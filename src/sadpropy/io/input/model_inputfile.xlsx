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defaultThemeVersion="202300"/>
  <mc:AlternateContent xmlns:mc="http://schemas.openxmlformats.org/markup-compatibility/2006">
    <mc:Choice Requires="x15">
      <x15ac:absPath xmlns:x15ac="http://schemas.microsoft.com/office/spreadsheetml/2010/11/ac" url="C:\Users\jwici\SadProPy\src\sadpropy\io\input\"/>
    </mc:Choice>
  </mc:AlternateContent>
  <xr:revisionPtr revIDLastSave="0" documentId="13_ncr:1_{4359746A-B514-4852-8441-6D881C787B66}" xr6:coauthVersionLast="47" xr6:coauthVersionMax="47" xr10:uidLastSave="{00000000-0000-0000-0000-000000000000}"/>
  <bookViews>
    <workbookView xWindow="-120" yWindow="-120" windowWidth="29040" windowHeight="15720" firstSheet="9" activeTab="16" xr2:uid="{59A5497E-26E6-41F2-97A3-F930024339A4}"/>
  </bookViews>
  <sheets>
    <sheet name="Design Preferences" sheetId="25" r:id="rId1"/>
    <sheet name="ListDB" sheetId="1" r:id="rId2"/>
    <sheet name="Instructions" sheetId="30" r:id="rId3"/>
    <sheet name="Project Information" sheetId="20" r:id="rId4"/>
    <sheet name="User Specified Unitsystem" sheetId="27" r:id="rId5"/>
    <sheet name="Analysis Preferences" sheetId="24" r:id="rId6"/>
    <sheet name="Point Objects" sheetId="26" r:id="rId7"/>
    <sheet name="Line Objects" sheetId="28" r:id="rId8"/>
    <sheet name="Surface Objects" sheetId="29" r:id="rId9"/>
    <sheet name="Materials" sheetId="5" r:id="rId10"/>
    <sheet name="Mat_Concrete04" sheetId="6" r:id="rId11"/>
    <sheet name="Mat_Steel02" sheetId="7" r:id="rId12"/>
    <sheet name="Mat_MinMax" sheetId="8" r:id="rId13"/>
    <sheet name="Mat_IMK" sheetId="9" r:id="rId14"/>
    <sheet name="Frame Sections" sheetId="10" r:id="rId15"/>
    <sheet name="Sec_Fiber" sheetId="11" r:id="rId16"/>
    <sheet name="Sec_Aggregator" sheetId="12" r:id="rId17"/>
    <sheet name="Slab Sections" sheetId="13" r:id="rId18"/>
    <sheet name="Element Offset" sheetId="16" r:id="rId19"/>
    <sheet name="Slabs" sheetId="17" r:id="rId20"/>
    <sheet name="Restraints" sheetId="18" r:id="rId21"/>
    <sheet name="Loads" sheetId="19" r:id="rId22"/>
  </sheets>
  <definedNames>
    <definedName name="Base_Mat">Materials!$A$14:$A$1013</definedName>
    <definedName name="Base_Mat_Conc">ListDB!$C$2:$C$1001</definedName>
    <definedName name="Base_Mat_Steel">ListDB!$D$2:$D$1001</definedName>
    <definedName name="Base_Sec">'Frame Sections'!$A$17:$A$1016</definedName>
    <definedName name="Int_Type_Con">ListDB!$G$2:$G$1001</definedName>
    <definedName name="Int_Type_Dist">ListDB!$F$2:$F$1001</definedName>
    <definedName name="LC_Type">ListDB!$J$2:$J$1001</definedName>
    <definedName name="Mat_Name">ListDB!$B$2:$B$1001</definedName>
    <definedName name="Mat_Type">ListDB!$A$2:$A$1001</definedName>
    <definedName name="MatDB">Materials!$A$14:$E$1013</definedName>
    <definedName name="NL_Mat_Name">ListDB!$E$2:$E$1001</definedName>
    <definedName name="Sec_Name">ListDB!$I$2:$I$1001</definedName>
    <definedName name="Sec_Shape">ListDB!$H$2:$H$1001</definedName>
    <definedName name="SecDB">'Frame Sections'!$A$17:$M$1016</definedName>
    <definedName name="SecFiberDB">Sec_Fiber!$A$19:$O$1018</definedName>
    <definedName name="Slab_Sec">'Slab Sections'!$A$2:$A$1001</definedName>
    <definedName name="Unit_Angle">ListDB!$P$2:$P$3</definedName>
    <definedName name="Unit_Force">ListDB!$K$2:$K$8</definedName>
    <definedName name="Unit_Length">ListDB!$L$2:$L$6</definedName>
    <definedName name="Unit_Mass">ListDB!$M$2:$M$6</definedName>
    <definedName name="Unit_Stress">ListDB!$N$2:$N$9</definedName>
    <definedName name="Unit_Time">ListDB!$O$2:$O$3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F20" i="7" l="1"/>
  <c r="E20" i="7"/>
  <c r="E15" i="6"/>
  <c r="E14" i="6"/>
  <c r="H15" i="6" s="1"/>
  <c r="C15" i="5"/>
  <c r="E15" i="5"/>
  <c r="H15" i="5"/>
  <c r="G15" i="5"/>
  <c r="F14" i="5"/>
  <c r="C14" i="5" s="1"/>
  <c r="H14" i="6" l="1"/>
  <c r="D2" i="1" a="1"/>
  <c r="D2" i="1" s="1"/>
  <c r="C2" i="1" a="1"/>
  <c r="C2" i="1" s="1"/>
  <c r="B2" i="1" a="1"/>
  <c r="B2" i="1" s="1"/>
  <c r="B35" i="16" l="1"/>
  <c r="B36" i="16"/>
  <c r="B51" i="16"/>
  <c r="B75" i="16"/>
  <c r="B83" i="16"/>
  <c r="B91" i="16"/>
  <c r="B123" i="16"/>
  <c r="B163" i="16"/>
  <c r="B164" i="16"/>
  <c r="B179" i="16"/>
  <c r="B203" i="16"/>
  <c r="B211" i="16"/>
  <c r="B219" i="16"/>
  <c r="B251" i="16"/>
  <c r="B291" i="16"/>
  <c r="B292" i="16"/>
  <c r="B307" i="16"/>
  <c r="B331" i="16"/>
  <c r="B339" i="16"/>
  <c r="B347" i="16"/>
  <c r="B379" i="16"/>
  <c r="B419" i="16"/>
  <c r="B420" i="16"/>
  <c r="B435" i="16"/>
  <c r="B459" i="16"/>
  <c r="B467" i="16"/>
  <c r="B475" i="16"/>
  <c r="B507" i="16"/>
  <c r="B547" i="16"/>
  <c r="B548" i="16"/>
  <c r="B563" i="16"/>
  <c r="B587" i="16"/>
  <c r="B595" i="16"/>
  <c r="B603" i="16"/>
  <c r="B654" i="16"/>
  <c r="B667" i="16"/>
  <c r="B1001" i="16"/>
  <c r="A3" i="16"/>
  <c r="B3" i="16" s="1"/>
  <c r="A4" i="16"/>
  <c r="B4" i="16" s="1"/>
  <c r="A5" i="16"/>
  <c r="B5" i="16" s="1"/>
  <c r="A6" i="16"/>
  <c r="B6" i="16" s="1"/>
  <c r="A7" i="16"/>
  <c r="B7" i="16" s="1"/>
  <c r="A8" i="16"/>
  <c r="B8" i="16" s="1"/>
  <c r="A9" i="16"/>
  <c r="B9" i="16" s="1"/>
  <c r="A10" i="16"/>
  <c r="B10" i="16" s="1"/>
  <c r="A11" i="16"/>
  <c r="B11" i="16" s="1"/>
  <c r="A12" i="16"/>
  <c r="B12" i="16" s="1"/>
  <c r="A13" i="16"/>
  <c r="B13" i="16" s="1"/>
  <c r="A14" i="16"/>
  <c r="B14" i="16" s="1"/>
  <c r="A15" i="16"/>
  <c r="B15" i="16" s="1"/>
  <c r="A16" i="16"/>
  <c r="B16" i="16" s="1"/>
  <c r="A17" i="16"/>
  <c r="B17" i="16" s="1"/>
  <c r="A18" i="16"/>
  <c r="B18" i="16" s="1"/>
  <c r="A19" i="16"/>
  <c r="B19" i="16" s="1"/>
  <c r="A20" i="16"/>
  <c r="B20" i="16" s="1"/>
  <c r="A21" i="16"/>
  <c r="B21" i="16" s="1"/>
  <c r="A22" i="16"/>
  <c r="B22" i="16" s="1"/>
  <c r="A23" i="16"/>
  <c r="B23" i="16" s="1"/>
  <c r="A24" i="16"/>
  <c r="B24" i="16" s="1"/>
  <c r="A25" i="16"/>
  <c r="B25" i="16" s="1"/>
  <c r="A26" i="16"/>
  <c r="B26" i="16" s="1"/>
  <c r="A27" i="16"/>
  <c r="B27" i="16" s="1"/>
  <c r="A28" i="16"/>
  <c r="B28" i="16" s="1"/>
  <c r="A29" i="16"/>
  <c r="B29" i="16" s="1"/>
  <c r="A30" i="16"/>
  <c r="B30" i="16" s="1"/>
  <c r="A31" i="16"/>
  <c r="B31" i="16" s="1"/>
  <c r="A32" i="16"/>
  <c r="B32" i="16" s="1"/>
  <c r="A33" i="16"/>
  <c r="B33" i="16" s="1"/>
  <c r="A34" i="16"/>
  <c r="B34" i="16" s="1"/>
  <c r="A35" i="16"/>
  <c r="A36" i="16"/>
  <c r="A37" i="16"/>
  <c r="B37" i="16" s="1"/>
  <c r="A38" i="16"/>
  <c r="B38" i="16" s="1"/>
  <c r="A39" i="16"/>
  <c r="B39" i="16" s="1"/>
  <c r="A40" i="16"/>
  <c r="B40" i="16" s="1"/>
  <c r="A41" i="16"/>
  <c r="B41" i="16" s="1"/>
  <c r="A42" i="16"/>
  <c r="B42" i="16" s="1"/>
  <c r="A43" i="16"/>
  <c r="B43" i="16" s="1"/>
  <c r="A44" i="16"/>
  <c r="B44" i="16" s="1"/>
  <c r="A45" i="16"/>
  <c r="B45" i="16" s="1"/>
  <c r="A46" i="16"/>
  <c r="B46" i="16" s="1"/>
  <c r="A47" i="16"/>
  <c r="B47" i="16" s="1"/>
  <c r="A48" i="16"/>
  <c r="B48" i="16" s="1"/>
  <c r="A49" i="16"/>
  <c r="B49" i="16" s="1"/>
  <c r="A50" i="16"/>
  <c r="B50" i="16" s="1"/>
  <c r="A51" i="16"/>
  <c r="A52" i="16"/>
  <c r="B52" i="16" s="1"/>
  <c r="A53" i="16"/>
  <c r="B53" i="16" s="1"/>
  <c r="A54" i="16"/>
  <c r="B54" i="16" s="1"/>
  <c r="A55" i="16"/>
  <c r="B55" i="16" s="1"/>
  <c r="A56" i="16"/>
  <c r="B56" i="16" s="1"/>
  <c r="A57" i="16"/>
  <c r="B57" i="16" s="1"/>
  <c r="A58" i="16"/>
  <c r="B58" i="16" s="1"/>
  <c r="A59" i="16"/>
  <c r="B59" i="16" s="1"/>
  <c r="A60" i="16"/>
  <c r="B60" i="16" s="1"/>
  <c r="A61" i="16"/>
  <c r="B61" i="16" s="1"/>
  <c r="A62" i="16"/>
  <c r="B62" i="16" s="1"/>
  <c r="A63" i="16"/>
  <c r="B63" i="16" s="1"/>
  <c r="A64" i="16"/>
  <c r="B64" i="16" s="1"/>
  <c r="A65" i="16"/>
  <c r="B65" i="16" s="1"/>
  <c r="A66" i="16"/>
  <c r="B66" i="16" s="1"/>
  <c r="A67" i="16"/>
  <c r="B67" i="16" s="1"/>
  <c r="A68" i="16"/>
  <c r="B68" i="16" s="1"/>
  <c r="A69" i="16"/>
  <c r="B69" i="16" s="1"/>
  <c r="A70" i="16"/>
  <c r="B70" i="16" s="1"/>
  <c r="A71" i="16"/>
  <c r="B71" i="16" s="1"/>
  <c r="A72" i="16"/>
  <c r="B72" i="16" s="1"/>
  <c r="A73" i="16"/>
  <c r="B73" i="16" s="1"/>
  <c r="A74" i="16"/>
  <c r="B74" i="16" s="1"/>
  <c r="A75" i="16"/>
  <c r="A76" i="16"/>
  <c r="B76" i="16" s="1"/>
  <c r="A77" i="16"/>
  <c r="B77" i="16" s="1"/>
  <c r="A78" i="16"/>
  <c r="B78" i="16" s="1"/>
  <c r="A79" i="16"/>
  <c r="B79" i="16" s="1"/>
  <c r="A80" i="16"/>
  <c r="B80" i="16" s="1"/>
  <c r="A81" i="16"/>
  <c r="B81" i="16" s="1"/>
  <c r="A82" i="16"/>
  <c r="B82" i="16" s="1"/>
  <c r="A83" i="16"/>
  <c r="A84" i="16"/>
  <c r="B84" i="16" s="1"/>
  <c r="A85" i="16"/>
  <c r="B85" i="16" s="1"/>
  <c r="A86" i="16"/>
  <c r="B86" i="16" s="1"/>
  <c r="A87" i="16"/>
  <c r="B87" i="16" s="1"/>
  <c r="A88" i="16"/>
  <c r="B88" i="16" s="1"/>
  <c r="A89" i="16"/>
  <c r="B89" i="16" s="1"/>
  <c r="A90" i="16"/>
  <c r="B90" i="16" s="1"/>
  <c r="A91" i="16"/>
  <c r="A92" i="16"/>
  <c r="B92" i="16" s="1"/>
  <c r="A93" i="16"/>
  <c r="B93" i="16" s="1"/>
  <c r="A94" i="16"/>
  <c r="B94" i="16" s="1"/>
  <c r="A95" i="16"/>
  <c r="B95" i="16" s="1"/>
  <c r="A96" i="16"/>
  <c r="B96" i="16" s="1"/>
  <c r="A97" i="16"/>
  <c r="B97" i="16" s="1"/>
  <c r="A98" i="16"/>
  <c r="B98" i="16" s="1"/>
  <c r="A99" i="16"/>
  <c r="B99" i="16" s="1"/>
  <c r="A100" i="16"/>
  <c r="B100" i="16" s="1"/>
  <c r="A101" i="16"/>
  <c r="B101" i="16" s="1"/>
  <c r="A102" i="16"/>
  <c r="B102" i="16" s="1"/>
  <c r="A103" i="16"/>
  <c r="B103" i="16" s="1"/>
  <c r="A104" i="16"/>
  <c r="B104" i="16" s="1"/>
  <c r="A105" i="16"/>
  <c r="B105" i="16" s="1"/>
  <c r="A106" i="16"/>
  <c r="B106" i="16" s="1"/>
  <c r="A107" i="16"/>
  <c r="B107" i="16" s="1"/>
  <c r="A108" i="16"/>
  <c r="B108" i="16" s="1"/>
  <c r="A109" i="16"/>
  <c r="B109" i="16" s="1"/>
  <c r="A110" i="16"/>
  <c r="B110" i="16" s="1"/>
  <c r="A111" i="16"/>
  <c r="B111" i="16" s="1"/>
  <c r="A112" i="16"/>
  <c r="B112" i="16" s="1"/>
  <c r="A113" i="16"/>
  <c r="B113" i="16" s="1"/>
  <c r="A114" i="16"/>
  <c r="B114" i="16" s="1"/>
  <c r="A115" i="16"/>
  <c r="B115" i="16" s="1"/>
  <c r="A116" i="16"/>
  <c r="B116" i="16" s="1"/>
  <c r="A117" i="16"/>
  <c r="B117" i="16" s="1"/>
  <c r="A118" i="16"/>
  <c r="B118" i="16" s="1"/>
  <c r="A119" i="16"/>
  <c r="B119" i="16" s="1"/>
  <c r="A120" i="16"/>
  <c r="B120" i="16" s="1"/>
  <c r="A121" i="16"/>
  <c r="B121" i="16" s="1"/>
  <c r="A122" i="16"/>
  <c r="B122" i="16" s="1"/>
  <c r="A123" i="16"/>
  <c r="A124" i="16"/>
  <c r="B124" i="16" s="1"/>
  <c r="A125" i="16"/>
  <c r="B125" i="16" s="1"/>
  <c r="A126" i="16"/>
  <c r="B126" i="16" s="1"/>
  <c r="A127" i="16"/>
  <c r="B127" i="16" s="1"/>
  <c r="A128" i="16"/>
  <c r="B128" i="16" s="1"/>
  <c r="A129" i="16"/>
  <c r="B129" i="16" s="1"/>
  <c r="A130" i="16"/>
  <c r="B130" i="16" s="1"/>
  <c r="A131" i="16"/>
  <c r="B131" i="16" s="1"/>
  <c r="A132" i="16"/>
  <c r="B132" i="16" s="1"/>
  <c r="A133" i="16"/>
  <c r="B133" i="16" s="1"/>
  <c r="A134" i="16"/>
  <c r="B134" i="16" s="1"/>
  <c r="A135" i="16"/>
  <c r="B135" i="16" s="1"/>
  <c r="A136" i="16"/>
  <c r="B136" i="16" s="1"/>
  <c r="A137" i="16"/>
  <c r="B137" i="16" s="1"/>
  <c r="A138" i="16"/>
  <c r="B138" i="16" s="1"/>
  <c r="A139" i="16"/>
  <c r="B139" i="16" s="1"/>
  <c r="A140" i="16"/>
  <c r="B140" i="16" s="1"/>
  <c r="A141" i="16"/>
  <c r="B141" i="16" s="1"/>
  <c r="A142" i="16"/>
  <c r="B142" i="16" s="1"/>
  <c r="A143" i="16"/>
  <c r="B143" i="16" s="1"/>
  <c r="A144" i="16"/>
  <c r="B144" i="16" s="1"/>
  <c r="A145" i="16"/>
  <c r="B145" i="16" s="1"/>
  <c r="A146" i="16"/>
  <c r="B146" i="16" s="1"/>
  <c r="A147" i="16"/>
  <c r="B147" i="16" s="1"/>
  <c r="A148" i="16"/>
  <c r="B148" i="16" s="1"/>
  <c r="A149" i="16"/>
  <c r="B149" i="16" s="1"/>
  <c r="A150" i="16"/>
  <c r="B150" i="16" s="1"/>
  <c r="A151" i="16"/>
  <c r="B151" i="16" s="1"/>
  <c r="A152" i="16"/>
  <c r="B152" i="16" s="1"/>
  <c r="A153" i="16"/>
  <c r="B153" i="16" s="1"/>
  <c r="A154" i="16"/>
  <c r="B154" i="16" s="1"/>
  <c r="A155" i="16"/>
  <c r="B155" i="16" s="1"/>
  <c r="A156" i="16"/>
  <c r="B156" i="16" s="1"/>
  <c r="A157" i="16"/>
  <c r="B157" i="16" s="1"/>
  <c r="A158" i="16"/>
  <c r="B158" i="16" s="1"/>
  <c r="A159" i="16"/>
  <c r="B159" i="16" s="1"/>
  <c r="A160" i="16"/>
  <c r="B160" i="16" s="1"/>
  <c r="A161" i="16"/>
  <c r="B161" i="16" s="1"/>
  <c r="A162" i="16"/>
  <c r="B162" i="16" s="1"/>
  <c r="A163" i="16"/>
  <c r="A164" i="16"/>
  <c r="A165" i="16"/>
  <c r="B165" i="16" s="1"/>
  <c r="A166" i="16"/>
  <c r="B166" i="16" s="1"/>
  <c r="A167" i="16"/>
  <c r="B167" i="16" s="1"/>
  <c r="A168" i="16"/>
  <c r="B168" i="16" s="1"/>
  <c r="A169" i="16"/>
  <c r="B169" i="16" s="1"/>
  <c r="A170" i="16"/>
  <c r="B170" i="16" s="1"/>
  <c r="A171" i="16"/>
  <c r="B171" i="16" s="1"/>
  <c r="A172" i="16"/>
  <c r="B172" i="16" s="1"/>
  <c r="A173" i="16"/>
  <c r="B173" i="16" s="1"/>
  <c r="A174" i="16"/>
  <c r="B174" i="16" s="1"/>
  <c r="A175" i="16"/>
  <c r="B175" i="16" s="1"/>
  <c r="A176" i="16"/>
  <c r="B176" i="16" s="1"/>
  <c r="A177" i="16"/>
  <c r="B177" i="16" s="1"/>
  <c r="A178" i="16"/>
  <c r="B178" i="16" s="1"/>
  <c r="A179" i="16"/>
  <c r="A180" i="16"/>
  <c r="B180" i="16" s="1"/>
  <c r="A181" i="16"/>
  <c r="B181" i="16" s="1"/>
  <c r="A182" i="16"/>
  <c r="B182" i="16" s="1"/>
  <c r="A183" i="16"/>
  <c r="B183" i="16" s="1"/>
  <c r="A184" i="16"/>
  <c r="B184" i="16" s="1"/>
  <c r="A185" i="16"/>
  <c r="B185" i="16" s="1"/>
  <c r="A186" i="16"/>
  <c r="B186" i="16" s="1"/>
  <c r="A187" i="16"/>
  <c r="B187" i="16" s="1"/>
  <c r="A188" i="16"/>
  <c r="B188" i="16" s="1"/>
  <c r="A189" i="16"/>
  <c r="B189" i="16" s="1"/>
  <c r="A190" i="16"/>
  <c r="B190" i="16" s="1"/>
  <c r="A191" i="16"/>
  <c r="B191" i="16" s="1"/>
  <c r="A192" i="16"/>
  <c r="B192" i="16" s="1"/>
  <c r="A193" i="16"/>
  <c r="B193" i="16" s="1"/>
  <c r="A194" i="16"/>
  <c r="B194" i="16" s="1"/>
  <c r="A195" i="16"/>
  <c r="B195" i="16" s="1"/>
  <c r="A196" i="16"/>
  <c r="B196" i="16" s="1"/>
  <c r="A197" i="16"/>
  <c r="B197" i="16" s="1"/>
  <c r="A198" i="16"/>
  <c r="B198" i="16" s="1"/>
  <c r="A199" i="16"/>
  <c r="B199" i="16" s="1"/>
  <c r="A200" i="16"/>
  <c r="B200" i="16" s="1"/>
  <c r="A201" i="16"/>
  <c r="B201" i="16" s="1"/>
  <c r="A202" i="16"/>
  <c r="B202" i="16" s="1"/>
  <c r="A203" i="16"/>
  <c r="A204" i="16"/>
  <c r="B204" i="16" s="1"/>
  <c r="A205" i="16"/>
  <c r="B205" i="16" s="1"/>
  <c r="A206" i="16"/>
  <c r="B206" i="16" s="1"/>
  <c r="A207" i="16"/>
  <c r="B207" i="16" s="1"/>
  <c r="A208" i="16"/>
  <c r="B208" i="16" s="1"/>
  <c r="A209" i="16"/>
  <c r="B209" i="16" s="1"/>
  <c r="A210" i="16"/>
  <c r="B210" i="16" s="1"/>
  <c r="A211" i="16"/>
  <c r="A212" i="16"/>
  <c r="B212" i="16" s="1"/>
  <c r="A213" i="16"/>
  <c r="B213" i="16" s="1"/>
  <c r="A214" i="16"/>
  <c r="B214" i="16" s="1"/>
  <c r="A215" i="16"/>
  <c r="B215" i="16" s="1"/>
  <c r="A216" i="16"/>
  <c r="B216" i="16" s="1"/>
  <c r="A217" i="16"/>
  <c r="B217" i="16" s="1"/>
  <c r="A218" i="16"/>
  <c r="B218" i="16" s="1"/>
  <c r="A219" i="16"/>
  <c r="A220" i="16"/>
  <c r="B220" i="16" s="1"/>
  <c r="A221" i="16"/>
  <c r="B221" i="16" s="1"/>
  <c r="A222" i="16"/>
  <c r="B222" i="16" s="1"/>
  <c r="A223" i="16"/>
  <c r="B223" i="16" s="1"/>
  <c r="A224" i="16"/>
  <c r="B224" i="16" s="1"/>
  <c r="A225" i="16"/>
  <c r="B225" i="16" s="1"/>
  <c r="A226" i="16"/>
  <c r="B226" i="16" s="1"/>
  <c r="A227" i="16"/>
  <c r="B227" i="16" s="1"/>
  <c r="A228" i="16"/>
  <c r="B228" i="16" s="1"/>
  <c r="A229" i="16"/>
  <c r="B229" i="16" s="1"/>
  <c r="A230" i="16"/>
  <c r="B230" i="16" s="1"/>
  <c r="A231" i="16"/>
  <c r="B231" i="16" s="1"/>
  <c r="A232" i="16"/>
  <c r="B232" i="16" s="1"/>
  <c r="A233" i="16"/>
  <c r="B233" i="16" s="1"/>
  <c r="A234" i="16"/>
  <c r="B234" i="16" s="1"/>
  <c r="A235" i="16"/>
  <c r="B235" i="16" s="1"/>
  <c r="A236" i="16"/>
  <c r="B236" i="16" s="1"/>
  <c r="A237" i="16"/>
  <c r="B237" i="16" s="1"/>
  <c r="A238" i="16"/>
  <c r="B238" i="16" s="1"/>
  <c r="A239" i="16"/>
  <c r="B239" i="16" s="1"/>
  <c r="A240" i="16"/>
  <c r="B240" i="16" s="1"/>
  <c r="A241" i="16"/>
  <c r="B241" i="16" s="1"/>
  <c r="A242" i="16"/>
  <c r="B242" i="16" s="1"/>
  <c r="A243" i="16"/>
  <c r="B243" i="16" s="1"/>
  <c r="A244" i="16"/>
  <c r="B244" i="16" s="1"/>
  <c r="A245" i="16"/>
  <c r="B245" i="16" s="1"/>
  <c r="A246" i="16"/>
  <c r="B246" i="16" s="1"/>
  <c r="A247" i="16"/>
  <c r="B247" i="16" s="1"/>
  <c r="A248" i="16"/>
  <c r="B248" i="16" s="1"/>
  <c r="A249" i="16"/>
  <c r="B249" i="16" s="1"/>
  <c r="A250" i="16"/>
  <c r="B250" i="16" s="1"/>
  <c r="A251" i="16"/>
  <c r="A252" i="16"/>
  <c r="B252" i="16" s="1"/>
  <c r="A253" i="16"/>
  <c r="B253" i="16" s="1"/>
  <c r="A254" i="16"/>
  <c r="B254" i="16" s="1"/>
  <c r="A255" i="16"/>
  <c r="B255" i="16" s="1"/>
  <c r="A256" i="16"/>
  <c r="B256" i="16" s="1"/>
  <c r="A257" i="16"/>
  <c r="B257" i="16" s="1"/>
  <c r="A258" i="16"/>
  <c r="B258" i="16" s="1"/>
  <c r="A259" i="16"/>
  <c r="B259" i="16" s="1"/>
  <c r="A260" i="16"/>
  <c r="B260" i="16" s="1"/>
  <c r="A261" i="16"/>
  <c r="B261" i="16" s="1"/>
  <c r="A262" i="16"/>
  <c r="B262" i="16" s="1"/>
  <c r="A263" i="16"/>
  <c r="B263" i="16" s="1"/>
  <c r="A264" i="16"/>
  <c r="B264" i="16" s="1"/>
  <c r="A265" i="16"/>
  <c r="B265" i="16" s="1"/>
  <c r="A266" i="16"/>
  <c r="B266" i="16" s="1"/>
  <c r="A267" i="16"/>
  <c r="B267" i="16" s="1"/>
  <c r="A268" i="16"/>
  <c r="B268" i="16" s="1"/>
  <c r="A269" i="16"/>
  <c r="B269" i="16" s="1"/>
  <c r="A270" i="16"/>
  <c r="B270" i="16" s="1"/>
  <c r="A271" i="16"/>
  <c r="B271" i="16" s="1"/>
  <c r="A272" i="16"/>
  <c r="B272" i="16" s="1"/>
  <c r="A273" i="16"/>
  <c r="B273" i="16" s="1"/>
  <c r="A274" i="16"/>
  <c r="B274" i="16" s="1"/>
  <c r="A275" i="16"/>
  <c r="B275" i="16" s="1"/>
  <c r="A276" i="16"/>
  <c r="B276" i="16" s="1"/>
  <c r="A277" i="16"/>
  <c r="B277" i="16" s="1"/>
  <c r="A278" i="16"/>
  <c r="B278" i="16" s="1"/>
  <c r="A279" i="16"/>
  <c r="B279" i="16" s="1"/>
  <c r="A280" i="16"/>
  <c r="B280" i="16" s="1"/>
  <c r="A281" i="16"/>
  <c r="B281" i="16" s="1"/>
  <c r="A282" i="16"/>
  <c r="B282" i="16" s="1"/>
  <c r="A283" i="16"/>
  <c r="B283" i="16" s="1"/>
  <c r="A284" i="16"/>
  <c r="B284" i="16" s="1"/>
  <c r="A285" i="16"/>
  <c r="B285" i="16" s="1"/>
  <c r="A286" i="16"/>
  <c r="B286" i="16" s="1"/>
  <c r="A287" i="16"/>
  <c r="B287" i="16" s="1"/>
  <c r="A288" i="16"/>
  <c r="B288" i="16" s="1"/>
  <c r="A289" i="16"/>
  <c r="B289" i="16" s="1"/>
  <c r="A290" i="16"/>
  <c r="B290" i="16" s="1"/>
  <c r="A291" i="16"/>
  <c r="A292" i="16"/>
  <c r="A293" i="16"/>
  <c r="B293" i="16" s="1"/>
  <c r="A294" i="16"/>
  <c r="B294" i="16" s="1"/>
  <c r="A295" i="16"/>
  <c r="B295" i="16" s="1"/>
  <c r="A296" i="16"/>
  <c r="B296" i="16" s="1"/>
  <c r="A297" i="16"/>
  <c r="B297" i="16" s="1"/>
  <c r="A298" i="16"/>
  <c r="B298" i="16" s="1"/>
  <c r="A299" i="16"/>
  <c r="B299" i="16" s="1"/>
  <c r="A300" i="16"/>
  <c r="B300" i="16" s="1"/>
  <c r="A301" i="16"/>
  <c r="B301" i="16" s="1"/>
  <c r="A302" i="16"/>
  <c r="B302" i="16" s="1"/>
  <c r="A303" i="16"/>
  <c r="B303" i="16" s="1"/>
  <c r="A304" i="16"/>
  <c r="B304" i="16" s="1"/>
  <c r="A305" i="16"/>
  <c r="B305" i="16" s="1"/>
  <c r="A306" i="16"/>
  <c r="B306" i="16" s="1"/>
  <c r="A307" i="16"/>
  <c r="A308" i="16"/>
  <c r="B308" i="16" s="1"/>
  <c r="A309" i="16"/>
  <c r="B309" i="16" s="1"/>
  <c r="A310" i="16"/>
  <c r="B310" i="16" s="1"/>
  <c r="A311" i="16"/>
  <c r="B311" i="16" s="1"/>
  <c r="A312" i="16"/>
  <c r="B312" i="16" s="1"/>
  <c r="A313" i="16"/>
  <c r="B313" i="16" s="1"/>
  <c r="A314" i="16"/>
  <c r="B314" i="16" s="1"/>
  <c r="A315" i="16"/>
  <c r="B315" i="16" s="1"/>
  <c r="A316" i="16"/>
  <c r="B316" i="16" s="1"/>
  <c r="A317" i="16"/>
  <c r="B317" i="16" s="1"/>
  <c r="A318" i="16"/>
  <c r="B318" i="16" s="1"/>
  <c r="A319" i="16"/>
  <c r="B319" i="16" s="1"/>
  <c r="A320" i="16"/>
  <c r="B320" i="16" s="1"/>
  <c r="A321" i="16"/>
  <c r="B321" i="16" s="1"/>
  <c r="A322" i="16"/>
  <c r="B322" i="16" s="1"/>
  <c r="A323" i="16"/>
  <c r="B323" i="16" s="1"/>
  <c r="A324" i="16"/>
  <c r="B324" i="16" s="1"/>
  <c r="A325" i="16"/>
  <c r="B325" i="16" s="1"/>
  <c r="A326" i="16"/>
  <c r="B326" i="16" s="1"/>
  <c r="A327" i="16"/>
  <c r="B327" i="16" s="1"/>
  <c r="A328" i="16"/>
  <c r="B328" i="16" s="1"/>
  <c r="A329" i="16"/>
  <c r="B329" i="16" s="1"/>
  <c r="A330" i="16"/>
  <c r="B330" i="16" s="1"/>
  <c r="A331" i="16"/>
  <c r="A332" i="16"/>
  <c r="B332" i="16" s="1"/>
  <c r="A333" i="16"/>
  <c r="B333" i="16" s="1"/>
  <c r="A334" i="16"/>
  <c r="B334" i="16" s="1"/>
  <c r="A335" i="16"/>
  <c r="B335" i="16" s="1"/>
  <c r="A336" i="16"/>
  <c r="B336" i="16" s="1"/>
  <c r="A337" i="16"/>
  <c r="B337" i="16" s="1"/>
  <c r="A338" i="16"/>
  <c r="B338" i="16" s="1"/>
  <c r="A339" i="16"/>
  <c r="A340" i="16"/>
  <c r="B340" i="16" s="1"/>
  <c r="A341" i="16"/>
  <c r="B341" i="16" s="1"/>
  <c r="A342" i="16"/>
  <c r="B342" i="16" s="1"/>
  <c r="A343" i="16"/>
  <c r="B343" i="16" s="1"/>
  <c r="A344" i="16"/>
  <c r="B344" i="16" s="1"/>
  <c r="A345" i="16"/>
  <c r="B345" i="16" s="1"/>
  <c r="A346" i="16"/>
  <c r="B346" i="16" s="1"/>
  <c r="A347" i="16"/>
  <c r="A348" i="16"/>
  <c r="B348" i="16" s="1"/>
  <c r="A349" i="16"/>
  <c r="B349" i="16" s="1"/>
  <c r="A350" i="16"/>
  <c r="B350" i="16" s="1"/>
  <c r="A351" i="16"/>
  <c r="B351" i="16" s="1"/>
  <c r="A352" i="16"/>
  <c r="B352" i="16" s="1"/>
  <c r="A353" i="16"/>
  <c r="B353" i="16" s="1"/>
  <c r="A354" i="16"/>
  <c r="B354" i="16" s="1"/>
  <c r="A355" i="16"/>
  <c r="B355" i="16" s="1"/>
  <c r="A356" i="16"/>
  <c r="B356" i="16" s="1"/>
  <c r="A357" i="16"/>
  <c r="B357" i="16" s="1"/>
  <c r="A358" i="16"/>
  <c r="B358" i="16" s="1"/>
  <c r="A359" i="16"/>
  <c r="B359" i="16" s="1"/>
  <c r="A360" i="16"/>
  <c r="B360" i="16" s="1"/>
  <c r="A361" i="16"/>
  <c r="B361" i="16" s="1"/>
  <c r="A362" i="16"/>
  <c r="B362" i="16" s="1"/>
  <c r="A363" i="16"/>
  <c r="B363" i="16" s="1"/>
  <c r="A364" i="16"/>
  <c r="B364" i="16" s="1"/>
  <c r="A365" i="16"/>
  <c r="B365" i="16" s="1"/>
  <c r="A366" i="16"/>
  <c r="B366" i="16" s="1"/>
  <c r="A367" i="16"/>
  <c r="B367" i="16" s="1"/>
  <c r="A368" i="16"/>
  <c r="B368" i="16" s="1"/>
  <c r="A369" i="16"/>
  <c r="B369" i="16" s="1"/>
  <c r="A370" i="16"/>
  <c r="B370" i="16" s="1"/>
  <c r="A371" i="16"/>
  <c r="B371" i="16" s="1"/>
  <c r="A372" i="16"/>
  <c r="B372" i="16" s="1"/>
  <c r="A373" i="16"/>
  <c r="B373" i="16" s="1"/>
  <c r="A374" i="16"/>
  <c r="B374" i="16" s="1"/>
  <c r="A375" i="16"/>
  <c r="B375" i="16" s="1"/>
  <c r="A376" i="16"/>
  <c r="B376" i="16" s="1"/>
  <c r="A377" i="16"/>
  <c r="B377" i="16" s="1"/>
  <c r="A378" i="16"/>
  <c r="B378" i="16" s="1"/>
  <c r="A379" i="16"/>
  <c r="A380" i="16"/>
  <c r="B380" i="16" s="1"/>
  <c r="A381" i="16"/>
  <c r="B381" i="16" s="1"/>
  <c r="A382" i="16"/>
  <c r="B382" i="16" s="1"/>
  <c r="A383" i="16"/>
  <c r="B383" i="16" s="1"/>
  <c r="A384" i="16"/>
  <c r="B384" i="16" s="1"/>
  <c r="A385" i="16"/>
  <c r="B385" i="16" s="1"/>
  <c r="A386" i="16"/>
  <c r="B386" i="16" s="1"/>
  <c r="A387" i="16"/>
  <c r="B387" i="16" s="1"/>
  <c r="A388" i="16"/>
  <c r="B388" i="16" s="1"/>
  <c r="A389" i="16"/>
  <c r="B389" i="16" s="1"/>
  <c r="A390" i="16"/>
  <c r="B390" i="16" s="1"/>
  <c r="A391" i="16"/>
  <c r="B391" i="16" s="1"/>
  <c r="A392" i="16"/>
  <c r="B392" i="16" s="1"/>
  <c r="A393" i="16"/>
  <c r="B393" i="16" s="1"/>
  <c r="A394" i="16"/>
  <c r="B394" i="16" s="1"/>
  <c r="A395" i="16"/>
  <c r="B395" i="16" s="1"/>
  <c r="A396" i="16"/>
  <c r="B396" i="16" s="1"/>
  <c r="A397" i="16"/>
  <c r="B397" i="16" s="1"/>
  <c r="A398" i="16"/>
  <c r="B398" i="16" s="1"/>
  <c r="A399" i="16"/>
  <c r="B399" i="16" s="1"/>
  <c r="A400" i="16"/>
  <c r="B400" i="16" s="1"/>
  <c r="A401" i="16"/>
  <c r="B401" i="16" s="1"/>
  <c r="A402" i="16"/>
  <c r="B402" i="16" s="1"/>
  <c r="A403" i="16"/>
  <c r="B403" i="16" s="1"/>
  <c r="A404" i="16"/>
  <c r="B404" i="16" s="1"/>
  <c r="A405" i="16"/>
  <c r="B405" i="16" s="1"/>
  <c r="A406" i="16"/>
  <c r="B406" i="16" s="1"/>
  <c r="A407" i="16"/>
  <c r="B407" i="16" s="1"/>
  <c r="A408" i="16"/>
  <c r="B408" i="16" s="1"/>
  <c r="A409" i="16"/>
  <c r="B409" i="16" s="1"/>
  <c r="A410" i="16"/>
  <c r="B410" i="16" s="1"/>
  <c r="A411" i="16"/>
  <c r="B411" i="16" s="1"/>
  <c r="A412" i="16"/>
  <c r="B412" i="16" s="1"/>
  <c r="A413" i="16"/>
  <c r="B413" i="16" s="1"/>
  <c r="A414" i="16"/>
  <c r="B414" i="16" s="1"/>
  <c r="A415" i="16"/>
  <c r="B415" i="16" s="1"/>
  <c r="A416" i="16"/>
  <c r="B416" i="16" s="1"/>
  <c r="A417" i="16"/>
  <c r="B417" i="16" s="1"/>
  <c r="A418" i="16"/>
  <c r="B418" i="16" s="1"/>
  <c r="A419" i="16"/>
  <c r="A420" i="16"/>
  <c r="A421" i="16"/>
  <c r="B421" i="16" s="1"/>
  <c r="A422" i="16"/>
  <c r="B422" i="16" s="1"/>
  <c r="A423" i="16"/>
  <c r="B423" i="16" s="1"/>
  <c r="A424" i="16"/>
  <c r="B424" i="16" s="1"/>
  <c r="A425" i="16"/>
  <c r="B425" i="16" s="1"/>
  <c r="A426" i="16"/>
  <c r="B426" i="16" s="1"/>
  <c r="A427" i="16"/>
  <c r="B427" i="16" s="1"/>
  <c r="A428" i="16"/>
  <c r="B428" i="16" s="1"/>
  <c r="A429" i="16"/>
  <c r="B429" i="16" s="1"/>
  <c r="A430" i="16"/>
  <c r="B430" i="16" s="1"/>
  <c r="A431" i="16"/>
  <c r="B431" i="16" s="1"/>
  <c r="A432" i="16"/>
  <c r="B432" i="16" s="1"/>
  <c r="A433" i="16"/>
  <c r="B433" i="16" s="1"/>
  <c r="A434" i="16"/>
  <c r="B434" i="16" s="1"/>
  <c r="A435" i="16"/>
  <c r="A436" i="16"/>
  <c r="B436" i="16" s="1"/>
  <c r="A437" i="16"/>
  <c r="B437" i="16" s="1"/>
  <c r="A438" i="16"/>
  <c r="B438" i="16" s="1"/>
  <c r="A439" i="16"/>
  <c r="B439" i="16" s="1"/>
  <c r="A440" i="16"/>
  <c r="B440" i="16" s="1"/>
  <c r="A441" i="16"/>
  <c r="B441" i="16" s="1"/>
  <c r="A442" i="16"/>
  <c r="B442" i="16" s="1"/>
  <c r="A443" i="16"/>
  <c r="B443" i="16" s="1"/>
  <c r="A444" i="16"/>
  <c r="B444" i="16" s="1"/>
  <c r="A445" i="16"/>
  <c r="B445" i="16" s="1"/>
  <c r="A446" i="16"/>
  <c r="B446" i="16" s="1"/>
  <c r="A447" i="16"/>
  <c r="B447" i="16" s="1"/>
  <c r="A448" i="16"/>
  <c r="B448" i="16" s="1"/>
  <c r="A449" i="16"/>
  <c r="B449" i="16" s="1"/>
  <c r="A450" i="16"/>
  <c r="B450" i="16" s="1"/>
  <c r="A451" i="16"/>
  <c r="B451" i="16" s="1"/>
  <c r="A452" i="16"/>
  <c r="B452" i="16" s="1"/>
  <c r="A453" i="16"/>
  <c r="B453" i="16" s="1"/>
  <c r="A454" i="16"/>
  <c r="B454" i="16" s="1"/>
  <c r="A455" i="16"/>
  <c r="B455" i="16" s="1"/>
  <c r="A456" i="16"/>
  <c r="B456" i="16" s="1"/>
  <c r="A457" i="16"/>
  <c r="B457" i="16" s="1"/>
  <c r="A458" i="16"/>
  <c r="B458" i="16" s="1"/>
  <c r="A459" i="16"/>
  <c r="A460" i="16"/>
  <c r="B460" i="16" s="1"/>
  <c r="A461" i="16"/>
  <c r="B461" i="16" s="1"/>
  <c r="A462" i="16"/>
  <c r="B462" i="16" s="1"/>
  <c r="A463" i="16"/>
  <c r="B463" i="16" s="1"/>
  <c r="A464" i="16"/>
  <c r="B464" i="16" s="1"/>
  <c r="A465" i="16"/>
  <c r="B465" i="16" s="1"/>
  <c r="A466" i="16"/>
  <c r="B466" i="16" s="1"/>
  <c r="A467" i="16"/>
  <c r="A468" i="16"/>
  <c r="B468" i="16" s="1"/>
  <c r="A469" i="16"/>
  <c r="B469" i="16" s="1"/>
  <c r="A470" i="16"/>
  <c r="B470" i="16" s="1"/>
  <c r="A471" i="16"/>
  <c r="B471" i="16" s="1"/>
  <c r="A472" i="16"/>
  <c r="B472" i="16" s="1"/>
  <c r="A473" i="16"/>
  <c r="B473" i="16" s="1"/>
  <c r="A474" i="16"/>
  <c r="B474" i="16" s="1"/>
  <c r="A475" i="16"/>
  <c r="A476" i="16"/>
  <c r="B476" i="16" s="1"/>
  <c r="A477" i="16"/>
  <c r="B477" i="16" s="1"/>
  <c r="A478" i="16"/>
  <c r="B478" i="16" s="1"/>
  <c r="A479" i="16"/>
  <c r="B479" i="16" s="1"/>
  <c r="A480" i="16"/>
  <c r="B480" i="16" s="1"/>
  <c r="A481" i="16"/>
  <c r="B481" i="16" s="1"/>
  <c r="A482" i="16"/>
  <c r="B482" i="16" s="1"/>
  <c r="A483" i="16"/>
  <c r="B483" i="16" s="1"/>
  <c r="A484" i="16"/>
  <c r="B484" i="16" s="1"/>
  <c r="A485" i="16"/>
  <c r="B485" i="16" s="1"/>
  <c r="A486" i="16"/>
  <c r="B486" i="16" s="1"/>
  <c r="A487" i="16"/>
  <c r="B487" i="16" s="1"/>
  <c r="A488" i="16"/>
  <c r="B488" i="16" s="1"/>
  <c r="A489" i="16"/>
  <c r="B489" i="16" s="1"/>
  <c r="A490" i="16"/>
  <c r="B490" i="16" s="1"/>
  <c r="A491" i="16"/>
  <c r="B491" i="16" s="1"/>
  <c r="A492" i="16"/>
  <c r="B492" i="16" s="1"/>
  <c r="A493" i="16"/>
  <c r="B493" i="16" s="1"/>
  <c r="A494" i="16"/>
  <c r="B494" i="16" s="1"/>
  <c r="A495" i="16"/>
  <c r="B495" i="16" s="1"/>
  <c r="A496" i="16"/>
  <c r="B496" i="16" s="1"/>
  <c r="A497" i="16"/>
  <c r="B497" i="16" s="1"/>
  <c r="A498" i="16"/>
  <c r="B498" i="16" s="1"/>
  <c r="A499" i="16"/>
  <c r="B499" i="16" s="1"/>
  <c r="A500" i="16"/>
  <c r="B500" i="16" s="1"/>
  <c r="A501" i="16"/>
  <c r="B501" i="16" s="1"/>
  <c r="A502" i="16"/>
  <c r="B502" i="16" s="1"/>
  <c r="A503" i="16"/>
  <c r="B503" i="16" s="1"/>
  <c r="A504" i="16"/>
  <c r="B504" i="16" s="1"/>
  <c r="A505" i="16"/>
  <c r="B505" i="16" s="1"/>
  <c r="A506" i="16"/>
  <c r="B506" i="16" s="1"/>
  <c r="A507" i="16"/>
  <c r="A508" i="16"/>
  <c r="B508" i="16" s="1"/>
  <c r="A509" i="16"/>
  <c r="B509" i="16" s="1"/>
  <c r="A510" i="16"/>
  <c r="B510" i="16" s="1"/>
  <c r="A511" i="16"/>
  <c r="B511" i="16" s="1"/>
  <c r="A512" i="16"/>
  <c r="B512" i="16" s="1"/>
  <c r="A513" i="16"/>
  <c r="B513" i="16" s="1"/>
  <c r="A514" i="16"/>
  <c r="B514" i="16" s="1"/>
  <c r="A515" i="16"/>
  <c r="B515" i="16" s="1"/>
  <c r="A516" i="16"/>
  <c r="B516" i="16" s="1"/>
  <c r="A517" i="16"/>
  <c r="B517" i="16" s="1"/>
  <c r="A518" i="16"/>
  <c r="B518" i="16" s="1"/>
  <c r="A519" i="16"/>
  <c r="B519" i="16" s="1"/>
  <c r="A520" i="16"/>
  <c r="B520" i="16" s="1"/>
  <c r="A521" i="16"/>
  <c r="B521" i="16" s="1"/>
  <c r="A522" i="16"/>
  <c r="B522" i="16" s="1"/>
  <c r="A523" i="16"/>
  <c r="B523" i="16" s="1"/>
  <c r="A524" i="16"/>
  <c r="B524" i="16" s="1"/>
  <c r="A525" i="16"/>
  <c r="B525" i="16" s="1"/>
  <c r="A526" i="16"/>
  <c r="B526" i="16" s="1"/>
  <c r="A527" i="16"/>
  <c r="B527" i="16" s="1"/>
  <c r="A528" i="16"/>
  <c r="B528" i="16" s="1"/>
  <c r="A529" i="16"/>
  <c r="B529" i="16" s="1"/>
  <c r="A530" i="16"/>
  <c r="B530" i="16" s="1"/>
  <c r="A531" i="16"/>
  <c r="B531" i="16" s="1"/>
  <c r="A532" i="16"/>
  <c r="B532" i="16" s="1"/>
  <c r="A533" i="16"/>
  <c r="B533" i="16" s="1"/>
  <c r="A534" i="16"/>
  <c r="B534" i="16" s="1"/>
  <c r="A535" i="16"/>
  <c r="B535" i="16" s="1"/>
  <c r="A536" i="16"/>
  <c r="B536" i="16" s="1"/>
  <c r="A537" i="16"/>
  <c r="B537" i="16" s="1"/>
  <c r="A538" i="16"/>
  <c r="B538" i="16" s="1"/>
  <c r="A539" i="16"/>
  <c r="B539" i="16" s="1"/>
  <c r="A540" i="16"/>
  <c r="B540" i="16" s="1"/>
  <c r="A541" i="16"/>
  <c r="B541" i="16" s="1"/>
  <c r="A542" i="16"/>
  <c r="B542" i="16" s="1"/>
  <c r="A543" i="16"/>
  <c r="B543" i="16" s="1"/>
  <c r="A544" i="16"/>
  <c r="B544" i="16" s="1"/>
  <c r="A545" i="16"/>
  <c r="B545" i="16" s="1"/>
  <c r="A546" i="16"/>
  <c r="B546" i="16" s="1"/>
  <c r="A547" i="16"/>
  <c r="A548" i="16"/>
  <c r="A549" i="16"/>
  <c r="B549" i="16" s="1"/>
  <c r="A550" i="16"/>
  <c r="B550" i="16" s="1"/>
  <c r="A551" i="16"/>
  <c r="B551" i="16" s="1"/>
  <c r="A552" i="16"/>
  <c r="B552" i="16" s="1"/>
  <c r="A553" i="16"/>
  <c r="B553" i="16" s="1"/>
  <c r="A554" i="16"/>
  <c r="B554" i="16" s="1"/>
  <c r="A555" i="16"/>
  <c r="B555" i="16" s="1"/>
  <c r="A556" i="16"/>
  <c r="B556" i="16" s="1"/>
  <c r="A557" i="16"/>
  <c r="B557" i="16" s="1"/>
  <c r="A558" i="16"/>
  <c r="B558" i="16" s="1"/>
  <c r="A559" i="16"/>
  <c r="B559" i="16" s="1"/>
  <c r="A560" i="16"/>
  <c r="B560" i="16" s="1"/>
  <c r="A561" i="16"/>
  <c r="B561" i="16" s="1"/>
  <c r="A562" i="16"/>
  <c r="B562" i="16" s="1"/>
  <c r="A563" i="16"/>
  <c r="A564" i="16"/>
  <c r="B564" i="16" s="1"/>
  <c r="A565" i="16"/>
  <c r="B565" i="16" s="1"/>
  <c r="A566" i="16"/>
  <c r="B566" i="16" s="1"/>
  <c r="A567" i="16"/>
  <c r="B567" i="16" s="1"/>
  <c r="A568" i="16"/>
  <c r="B568" i="16" s="1"/>
  <c r="A569" i="16"/>
  <c r="B569" i="16" s="1"/>
  <c r="A570" i="16"/>
  <c r="B570" i="16" s="1"/>
  <c r="A571" i="16"/>
  <c r="B571" i="16" s="1"/>
  <c r="A572" i="16"/>
  <c r="B572" i="16" s="1"/>
  <c r="A573" i="16"/>
  <c r="B573" i="16" s="1"/>
  <c r="A574" i="16"/>
  <c r="B574" i="16" s="1"/>
  <c r="A575" i="16"/>
  <c r="B575" i="16" s="1"/>
  <c r="A576" i="16"/>
  <c r="B576" i="16" s="1"/>
  <c r="A577" i="16"/>
  <c r="B577" i="16" s="1"/>
  <c r="A578" i="16"/>
  <c r="B578" i="16" s="1"/>
  <c r="A579" i="16"/>
  <c r="B579" i="16" s="1"/>
  <c r="A580" i="16"/>
  <c r="B580" i="16" s="1"/>
  <c r="A581" i="16"/>
  <c r="B581" i="16" s="1"/>
  <c r="A582" i="16"/>
  <c r="B582" i="16" s="1"/>
  <c r="A583" i="16"/>
  <c r="B583" i="16" s="1"/>
  <c r="A584" i="16"/>
  <c r="B584" i="16" s="1"/>
  <c r="A585" i="16"/>
  <c r="B585" i="16" s="1"/>
  <c r="A586" i="16"/>
  <c r="B586" i="16" s="1"/>
  <c r="A587" i="16"/>
  <c r="A588" i="16"/>
  <c r="B588" i="16" s="1"/>
  <c r="A589" i="16"/>
  <c r="B589" i="16" s="1"/>
  <c r="A590" i="16"/>
  <c r="B590" i="16" s="1"/>
  <c r="A591" i="16"/>
  <c r="B591" i="16" s="1"/>
  <c r="A592" i="16"/>
  <c r="B592" i="16" s="1"/>
  <c r="A593" i="16"/>
  <c r="B593" i="16" s="1"/>
  <c r="A594" i="16"/>
  <c r="B594" i="16" s="1"/>
  <c r="A595" i="16"/>
  <c r="A596" i="16"/>
  <c r="B596" i="16" s="1"/>
  <c r="A597" i="16"/>
  <c r="B597" i="16" s="1"/>
  <c r="A598" i="16"/>
  <c r="B598" i="16" s="1"/>
  <c r="A599" i="16"/>
  <c r="B599" i="16" s="1"/>
  <c r="A600" i="16"/>
  <c r="B600" i="16" s="1"/>
  <c r="A601" i="16"/>
  <c r="B601" i="16" s="1"/>
  <c r="A602" i="16"/>
  <c r="B602" i="16" s="1"/>
  <c r="A603" i="16"/>
  <c r="A604" i="16"/>
  <c r="B604" i="16" s="1"/>
  <c r="A605" i="16"/>
  <c r="B605" i="16" s="1"/>
  <c r="A606" i="16"/>
  <c r="B606" i="16" s="1"/>
  <c r="A607" i="16"/>
  <c r="B607" i="16" s="1"/>
  <c r="A608" i="16"/>
  <c r="B608" i="16" s="1"/>
  <c r="A609" i="16"/>
  <c r="B609" i="16" s="1"/>
  <c r="A610" i="16"/>
  <c r="B610" i="16" s="1"/>
  <c r="A611" i="16"/>
  <c r="B611" i="16" s="1"/>
  <c r="A612" i="16"/>
  <c r="B612" i="16" s="1"/>
  <c r="A613" i="16"/>
  <c r="B613" i="16" s="1"/>
  <c r="A614" i="16"/>
  <c r="B614" i="16" s="1"/>
  <c r="A615" i="16"/>
  <c r="B615" i="16" s="1"/>
  <c r="A616" i="16"/>
  <c r="B616" i="16" s="1"/>
  <c r="A617" i="16"/>
  <c r="B617" i="16" s="1"/>
  <c r="A618" i="16"/>
  <c r="B618" i="16" s="1"/>
  <c r="A619" i="16"/>
  <c r="B619" i="16" s="1"/>
  <c r="A620" i="16"/>
  <c r="B620" i="16" s="1"/>
  <c r="A621" i="16"/>
  <c r="B621" i="16" s="1"/>
  <c r="A622" i="16"/>
  <c r="B622" i="16" s="1"/>
  <c r="A623" i="16"/>
  <c r="B623" i="16" s="1"/>
  <c r="A624" i="16"/>
  <c r="B624" i="16" s="1"/>
  <c r="A625" i="16"/>
  <c r="B625" i="16" s="1"/>
  <c r="A626" i="16"/>
  <c r="B626" i="16" s="1"/>
  <c r="A627" i="16"/>
  <c r="B627" i="16" s="1"/>
  <c r="A628" i="16"/>
  <c r="B628" i="16" s="1"/>
  <c r="A629" i="16"/>
  <c r="B629" i="16" s="1"/>
  <c r="A630" i="16"/>
  <c r="B630" i="16" s="1"/>
  <c r="A631" i="16"/>
  <c r="B631" i="16" s="1"/>
  <c r="A632" i="16"/>
  <c r="B632" i="16" s="1"/>
  <c r="A633" i="16"/>
  <c r="B633" i="16" s="1"/>
  <c r="A634" i="16"/>
  <c r="B634" i="16" s="1"/>
  <c r="A635" i="16"/>
  <c r="B635" i="16" s="1"/>
  <c r="A636" i="16"/>
  <c r="B636" i="16" s="1"/>
  <c r="A637" i="16"/>
  <c r="B637" i="16" s="1"/>
  <c r="A638" i="16"/>
  <c r="B638" i="16" s="1"/>
  <c r="A639" i="16"/>
  <c r="B639" i="16" s="1"/>
  <c r="A640" i="16"/>
  <c r="B640" i="16" s="1"/>
  <c r="A641" i="16"/>
  <c r="B641" i="16" s="1"/>
  <c r="A642" i="16"/>
  <c r="B642" i="16" s="1"/>
  <c r="A643" i="16"/>
  <c r="B643" i="16" s="1"/>
  <c r="A644" i="16"/>
  <c r="B644" i="16" s="1"/>
  <c r="A645" i="16"/>
  <c r="B645" i="16" s="1"/>
  <c r="A646" i="16"/>
  <c r="B646" i="16" s="1"/>
  <c r="A647" i="16"/>
  <c r="B647" i="16" s="1"/>
  <c r="A648" i="16"/>
  <c r="B648" i="16" s="1"/>
  <c r="A649" i="16"/>
  <c r="B649" i="16" s="1"/>
  <c r="A650" i="16"/>
  <c r="B650" i="16" s="1"/>
  <c r="A651" i="16"/>
  <c r="B651" i="16" s="1"/>
  <c r="A652" i="16"/>
  <c r="B652" i="16" s="1"/>
  <c r="A653" i="16"/>
  <c r="B653" i="16" s="1"/>
  <c r="A654" i="16"/>
  <c r="A655" i="16"/>
  <c r="B655" i="16" s="1"/>
  <c r="A656" i="16"/>
  <c r="B656" i="16" s="1"/>
  <c r="A657" i="16"/>
  <c r="B657" i="16" s="1"/>
  <c r="A658" i="16"/>
  <c r="B658" i="16" s="1"/>
  <c r="A659" i="16"/>
  <c r="B659" i="16" s="1"/>
  <c r="A660" i="16"/>
  <c r="B660" i="16" s="1"/>
  <c r="A661" i="16"/>
  <c r="B661" i="16" s="1"/>
  <c r="A662" i="16"/>
  <c r="B662" i="16" s="1"/>
  <c r="A663" i="16"/>
  <c r="B663" i="16" s="1"/>
  <c r="A664" i="16"/>
  <c r="B664" i="16" s="1"/>
  <c r="A665" i="16"/>
  <c r="B665" i="16" s="1"/>
  <c r="A666" i="16"/>
  <c r="B666" i="16" s="1"/>
  <c r="A667" i="16"/>
  <c r="A668" i="16"/>
  <c r="B668" i="16" s="1"/>
  <c r="A669" i="16"/>
  <c r="B669" i="16" s="1"/>
  <c r="A670" i="16"/>
  <c r="B670" i="16" s="1"/>
  <c r="A671" i="16"/>
  <c r="B671" i="16" s="1"/>
  <c r="A672" i="16"/>
  <c r="B672" i="16" s="1"/>
  <c r="A673" i="16"/>
  <c r="B673" i="16" s="1"/>
  <c r="A674" i="16"/>
  <c r="B674" i="16" s="1"/>
  <c r="A675" i="16"/>
  <c r="B675" i="16" s="1"/>
  <c r="A676" i="16"/>
  <c r="B676" i="16" s="1"/>
  <c r="A677" i="16"/>
  <c r="B677" i="16" s="1"/>
  <c r="A678" i="16"/>
  <c r="B678" i="16" s="1"/>
  <c r="A679" i="16"/>
  <c r="B679" i="16" s="1"/>
  <c r="A680" i="16"/>
  <c r="B680" i="16" s="1"/>
  <c r="A681" i="16"/>
  <c r="B681" i="16" s="1"/>
  <c r="A682" i="16"/>
  <c r="B682" i="16" s="1"/>
  <c r="A683" i="16"/>
  <c r="B683" i="16" s="1"/>
  <c r="A684" i="16"/>
  <c r="B684" i="16" s="1"/>
  <c r="A685" i="16"/>
  <c r="B685" i="16" s="1"/>
  <c r="A686" i="16"/>
  <c r="B686" i="16" s="1"/>
  <c r="A687" i="16"/>
  <c r="B687" i="16" s="1"/>
  <c r="A688" i="16"/>
  <c r="B688" i="16" s="1"/>
  <c r="A689" i="16"/>
  <c r="B689" i="16" s="1"/>
  <c r="A690" i="16"/>
  <c r="B690" i="16" s="1"/>
  <c r="A691" i="16"/>
  <c r="B691" i="16" s="1"/>
  <c r="A692" i="16"/>
  <c r="B692" i="16" s="1"/>
  <c r="A693" i="16"/>
  <c r="B693" i="16" s="1"/>
  <c r="A694" i="16"/>
  <c r="B694" i="16" s="1"/>
  <c r="A695" i="16"/>
  <c r="B695" i="16" s="1"/>
  <c r="A696" i="16"/>
  <c r="B696" i="16" s="1"/>
  <c r="A697" i="16"/>
  <c r="B697" i="16" s="1"/>
  <c r="A698" i="16"/>
  <c r="B698" i="16" s="1"/>
  <c r="A699" i="16"/>
  <c r="B699" i="16" s="1"/>
  <c r="A700" i="16"/>
  <c r="B700" i="16" s="1"/>
  <c r="A701" i="16"/>
  <c r="B701" i="16" s="1"/>
  <c r="A702" i="16"/>
  <c r="B702" i="16" s="1"/>
  <c r="A703" i="16"/>
  <c r="B703" i="16" s="1"/>
  <c r="A704" i="16"/>
  <c r="B704" i="16" s="1"/>
  <c r="A705" i="16"/>
  <c r="B705" i="16" s="1"/>
  <c r="A706" i="16"/>
  <c r="B706" i="16" s="1"/>
  <c r="A707" i="16"/>
  <c r="B707" i="16" s="1"/>
  <c r="A708" i="16"/>
  <c r="B708" i="16" s="1"/>
  <c r="A709" i="16"/>
  <c r="B709" i="16" s="1"/>
  <c r="A710" i="16"/>
  <c r="B710" i="16" s="1"/>
  <c r="A711" i="16"/>
  <c r="B711" i="16" s="1"/>
  <c r="A712" i="16"/>
  <c r="B712" i="16" s="1"/>
  <c r="A713" i="16"/>
  <c r="B713" i="16" s="1"/>
  <c r="A714" i="16"/>
  <c r="B714" i="16" s="1"/>
  <c r="A715" i="16"/>
  <c r="B715" i="16" s="1"/>
  <c r="A716" i="16"/>
  <c r="B716" i="16" s="1"/>
  <c r="A717" i="16"/>
  <c r="B717" i="16" s="1"/>
  <c r="A718" i="16"/>
  <c r="B718" i="16" s="1"/>
  <c r="A719" i="16"/>
  <c r="B719" i="16" s="1"/>
  <c r="A720" i="16"/>
  <c r="B720" i="16" s="1"/>
  <c r="A721" i="16"/>
  <c r="B721" i="16" s="1"/>
  <c r="A722" i="16"/>
  <c r="B722" i="16" s="1"/>
  <c r="A723" i="16"/>
  <c r="B723" i="16" s="1"/>
  <c r="A724" i="16"/>
  <c r="B724" i="16" s="1"/>
  <c r="A725" i="16"/>
  <c r="B725" i="16" s="1"/>
  <c r="A726" i="16"/>
  <c r="B726" i="16" s="1"/>
  <c r="A727" i="16"/>
  <c r="B727" i="16" s="1"/>
  <c r="A728" i="16"/>
  <c r="B728" i="16" s="1"/>
  <c r="A729" i="16"/>
  <c r="B729" i="16" s="1"/>
  <c r="A730" i="16"/>
  <c r="B730" i="16" s="1"/>
  <c r="A731" i="16"/>
  <c r="B731" i="16" s="1"/>
  <c r="A732" i="16"/>
  <c r="B732" i="16" s="1"/>
  <c r="A733" i="16"/>
  <c r="B733" i="16" s="1"/>
  <c r="A734" i="16"/>
  <c r="B734" i="16" s="1"/>
  <c r="A735" i="16"/>
  <c r="B735" i="16" s="1"/>
  <c r="A736" i="16"/>
  <c r="B736" i="16" s="1"/>
  <c r="A737" i="16"/>
  <c r="B737" i="16" s="1"/>
  <c r="A738" i="16"/>
  <c r="B738" i="16" s="1"/>
  <c r="A739" i="16"/>
  <c r="B739" i="16" s="1"/>
  <c r="A740" i="16"/>
  <c r="B740" i="16" s="1"/>
  <c r="A741" i="16"/>
  <c r="B741" i="16" s="1"/>
  <c r="A742" i="16"/>
  <c r="B742" i="16" s="1"/>
  <c r="A743" i="16"/>
  <c r="B743" i="16" s="1"/>
  <c r="A744" i="16"/>
  <c r="B744" i="16" s="1"/>
  <c r="A745" i="16"/>
  <c r="B745" i="16" s="1"/>
  <c r="A746" i="16"/>
  <c r="B746" i="16" s="1"/>
  <c r="A747" i="16"/>
  <c r="B747" i="16" s="1"/>
  <c r="A748" i="16"/>
  <c r="B748" i="16" s="1"/>
  <c r="A749" i="16"/>
  <c r="B749" i="16" s="1"/>
  <c r="A750" i="16"/>
  <c r="B750" i="16" s="1"/>
  <c r="A751" i="16"/>
  <c r="B751" i="16" s="1"/>
  <c r="A752" i="16"/>
  <c r="B752" i="16" s="1"/>
  <c r="A753" i="16"/>
  <c r="B753" i="16" s="1"/>
  <c r="A754" i="16"/>
  <c r="B754" i="16" s="1"/>
  <c r="A755" i="16"/>
  <c r="B755" i="16" s="1"/>
  <c r="A756" i="16"/>
  <c r="B756" i="16" s="1"/>
  <c r="A757" i="16"/>
  <c r="B757" i="16" s="1"/>
  <c r="A758" i="16"/>
  <c r="B758" i="16" s="1"/>
  <c r="A759" i="16"/>
  <c r="B759" i="16" s="1"/>
  <c r="A760" i="16"/>
  <c r="B760" i="16" s="1"/>
  <c r="A761" i="16"/>
  <c r="B761" i="16" s="1"/>
  <c r="A762" i="16"/>
  <c r="B762" i="16" s="1"/>
  <c r="A763" i="16"/>
  <c r="B763" i="16" s="1"/>
  <c r="A764" i="16"/>
  <c r="B764" i="16" s="1"/>
  <c r="A765" i="16"/>
  <c r="B765" i="16" s="1"/>
  <c r="A766" i="16"/>
  <c r="B766" i="16" s="1"/>
  <c r="A767" i="16"/>
  <c r="B767" i="16" s="1"/>
  <c r="A768" i="16"/>
  <c r="B768" i="16" s="1"/>
  <c r="A769" i="16"/>
  <c r="B769" i="16" s="1"/>
  <c r="A770" i="16"/>
  <c r="B770" i="16" s="1"/>
  <c r="A771" i="16"/>
  <c r="B771" i="16" s="1"/>
  <c r="A772" i="16"/>
  <c r="B772" i="16" s="1"/>
  <c r="A773" i="16"/>
  <c r="B773" i="16" s="1"/>
  <c r="A774" i="16"/>
  <c r="B774" i="16" s="1"/>
  <c r="A775" i="16"/>
  <c r="B775" i="16" s="1"/>
  <c r="A776" i="16"/>
  <c r="B776" i="16" s="1"/>
  <c r="A777" i="16"/>
  <c r="B777" i="16" s="1"/>
  <c r="A778" i="16"/>
  <c r="B778" i="16" s="1"/>
  <c r="A779" i="16"/>
  <c r="B779" i="16" s="1"/>
  <c r="A780" i="16"/>
  <c r="B780" i="16" s="1"/>
  <c r="A781" i="16"/>
  <c r="B781" i="16" s="1"/>
  <c r="A782" i="16"/>
  <c r="B782" i="16" s="1"/>
  <c r="A783" i="16"/>
  <c r="B783" i="16" s="1"/>
  <c r="A784" i="16"/>
  <c r="B784" i="16" s="1"/>
  <c r="A785" i="16"/>
  <c r="B785" i="16" s="1"/>
  <c r="A786" i="16"/>
  <c r="B786" i="16" s="1"/>
  <c r="A787" i="16"/>
  <c r="B787" i="16" s="1"/>
  <c r="A788" i="16"/>
  <c r="B788" i="16" s="1"/>
  <c r="A789" i="16"/>
  <c r="B789" i="16" s="1"/>
  <c r="A790" i="16"/>
  <c r="B790" i="16" s="1"/>
  <c r="A791" i="16"/>
  <c r="B791" i="16" s="1"/>
  <c r="A792" i="16"/>
  <c r="B792" i="16" s="1"/>
  <c r="A793" i="16"/>
  <c r="B793" i="16" s="1"/>
  <c r="A794" i="16"/>
  <c r="B794" i="16" s="1"/>
  <c r="A795" i="16"/>
  <c r="B795" i="16" s="1"/>
  <c r="A796" i="16"/>
  <c r="B796" i="16" s="1"/>
  <c r="A797" i="16"/>
  <c r="B797" i="16" s="1"/>
  <c r="A798" i="16"/>
  <c r="B798" i="16" s="1"/>
  <c r="A799" i="16"/>
  <c r="B799" i="16" s="1"/>
  <c r="A800" i="16"/>
  <c r="B800" i="16" s="1"/>
  <c r="A801" i="16"/>
  <c r="B801" i="16" s="1"/>
  <c r="A802" i="16"/>
  <c r="B802" i="16" s="1"/>
  <c r="A803" i="16"/>
  <c r="B803" i="16" s="1"/>
  <c r="A804" i="16"/>
  <c r="B804" i="16" s="1"/>
  <c r="A805" i="16"/>
  <c r="B805" i="16" s="1"/>
  <c r="A806" i="16"/>
  <c r="B806" i="16" s="1"/>
  <c r="A807" i="16"/>
  <c r="B807" i="16" s="1"/>
  <c r="A808" i="16"/>
  <c r="B808" i="16" s="1"/>
  <c r="A809" i="16"/>
  <c r="B809" i="16" s="1"/>
  <c r="A810" i="16"/>
  <c r="B810" i="16" s="1"/>
  <c r="A811" i="16"/>
  <c r="B811" i="16" s="1"/>
  <c r="A812" i="16"/>
  <c r="B812" i="16" s="1"/>
  <c r="A813" i="16"/>
  <c r="B813" i="16" s="1"/>
  <c r="A814" i="16"/>
  <c r="B814" i="16" s="1"/>
  <c r="A815" i="16"/>
  <c r="B815" i="16" s="1"/>
  <c r="A816" i="16"/>
  <c r="B816" i="16" s="1"/>
  <c r="A817" i="16"/>
  <c r="B817" i="16" s="1"/>
  <c r="A818" i="16"/>
  <c r="B818" i="16" s="1"/>
  <c r="A819" i="16"/>
  <c r="B819" i="16" s="1"/>
  <c r="A820" i="16"/>
  <c r="B820" i="16" s="1"/>
  <c r="A821" i="16"/>
  <c r="B821" i="16" s="1"/>
  <c r="A822" i="16"/>
  <c r="B822" i="16" s="1"/>
  <c r="A823" i="16"/>
  <c r="B823" i="16" s="1"/>
  <c r="A824" i="16"/>
  <c r="B824" i="16" s="1"/>
  <c r="A825" i="16"/>
  <c r="B825" i="16" s="1"/>
  <c r="A826" i="16"/>
  <c r="B826" i="16" s="1"/>
  <c r="A827" i="16"/>
  <c r="B827" i="16" s="1"/>
  <c r="A828" i="16"/>
  <c r="B828" i="16" s="1"/>
  <c r="A829" i="16"/>
  <c r="B829" i="16" s="1"/>
  <c r="A830" i="16"/>
  <c r="B830" i="16" s="1"/>
  <c r="A831" i="16"/>
  <c r="B831" i="16" s="1"/>
  <c r="A832" i="16"/>
  <c r="B832" i="16" s="1"/>
  <c r="A833" i="16"/>
  <c r="B833" i="16" s="1"/>
  <c r="A834" i="16"/>
  <c r="B834" i="16" s="1"/>
  <c r="A835" i="16"/>
  <c r="B835" i="16" s="1"/>
  <c r="A836" i="16"/>
  <c r="B836" i="16" s="1"/>
  <c r="A837" i="16"/>
  <c r="B837" i="16" s="1"/>
  <c r="A838" i="16"/>
  <c r="B838" i="16" s="1"/>
  <c r="A839" i="16"/>
  <c r="B839" i="16" s="1"/>
  <c r="A840" i="16"/>
  <c r="B840" i="16" s="1"/>
  <c r="A841" i="16"/>
  <c r="B841" i="16" s="1"/>
  <c r="A842" i="16"/>
  <c r="B842" i="16" s="1"/>
  <c r="A843" i="16"/>
  <c r="B843" i="16" s="1"/>
  <c r="A844" i="16"/>
  <c r="B844" i="16" s="1"/>
  <c r="A845" i="16"/>
  <c r="B845" i="16" s="1"/>
  <c r="A846" i="16"/>
  <c r="B846" i="16" s="1"/>
  <c r="A847" i="16"/>
  <c r="B847" i="16" s="1"/>
  <c r="A848" i="16"/>
  <c r="B848" i="16" s="1"/>
  <c r="A849" i="16"/>
  <c r="B849" i="16" s="1"/>
  <c r="A850" i="16"/>
  <c r="B850" i="16" s="1"/>
  <c r="A851" i="16"/>
  <c r="B851" i="16" s="1"/>
  <c r="A852" i="16"/>
  <c r="B852" i="16" s="1"/>
  <c r="A853" i="16"/>
  <c r="B853" i="16" s="1"/>
  <c r="A854" i="16"/>
  <c r="B854" i="16" s="1"/>
  <c r="A855" i="16"/>
  <c r="B855" i="16" s="1"/>
  <c r="A856" i="16"/>
  <c r="B856" i="16" s="1"/>
  <c r="A857" i="16"/>
  <c r="B857" i="16" s="1"/>
  <c r="A858" i="16"/>
  <c r="B858" i="16" s="1"/>
  <c r="A859" i="16"/>
  <c r="B859" i="16" s="1"/>
  <c r="A860" i="16"/>
  <c r="B860" i="16" s="1"/>
  <c r="A861" i="16"/>
  <c r="B861" i="16" s="1"/>
  <c r="A862" i="16"/>
  <c r="B862" i="16" s="1"/>
  <c r="A863" i="16"/>
  <c r="B863" i="16" s="1"/>
  <c r="A864" i="16"/>
  <c r="B864" i="16" s="1"/>
  <c r="A865" i="16"/>
  <c r="B865" i="16" s="1"/>
  <c r="A866" i="16"/>
  <c r="B866" i="16" s="1"/>
  <c r="A867" i="16"/>
  <c r="B867" i="16" s="1"/>
  <c r="A868" i="16"/>
  <c r="B868" i="16" s="1"/>
  <c r="A869" i="16"/>
  <c r="B869" i="16" s="1"/>
  <c r="A870" i="16"/>
  <c r="B870" i="16" s="1"/>
  <c r="A871" i="16"/>
  <c r="B871" i="16" s="1"/>
  <c r="A872" i="16"/>
  <c r="B872" i="16" s="1"/>
  <c r="A873" i="16"/>
  <c r="B873" i="16" s="1"/>
  <c r="A874" i="16"/>
  <c r="B874" i="16" s="1"/>
  <c r="A875" i="16"/>
  <c r="B875" i="16" s="1"/>
  <c r="A876" i="16"/>
  <c r="B876" i="16" s="1"/>
  <c r="A877" i="16"/>
  <c r="B877" i="16" s="1"/>
  <c r="A878" i="16"/>
  <c r="B878" i="16" s="1"/>
  <c r="A879" i="16"/>
  <c r="B879" i="16" s="1"/>
  <c r="A880" i="16"/>
  <c r="B880" i="16" s="1"/>
  <c r="A881" i="16"/>
  <c r="B881" i="16" s="1"/>
  <c r="A882" i="16"/>
  <c r="B882" i="16" s="1"/>
  <c r="A883" i="16"/>
  <c r="B883" i="16" s="1"/>
  <c r="A884" i="16"/>
  <c r="B884" i="16" s="1"/>
  <c r="A885" i="16"/>
  <c r="B885" i="16" s="1"/>
  <c r="A886" i="16"/>
  <c r="B886" i="16" s="1"/>
  <c r="A887" i="16"/>
  <c r="B887" i="16" s="1"/>
  <c r="A888" i="16"/>
  <c r="B888" i="16" s="1"/>
  <c r="A889" i="16"/>
  <c r="B889" i="16" s="1"/>
  <c r="A890" i="16"/>
  <c r="B890" i="16" s="1"/>
  <c r="A891" i="16"/>
  <c r="B891" i="16" s="1"/>
  <c r="A892" i="16"/>
  <c r="B892" i="16" s="1"/>
  <c r="A893" i="16"/>
  <c r="B893" i="16" s="1"/>
  <c r="A894" i="16"/>
  <c r="B894" i="16" s="1"/>
  <c r="A895" i="16"/>
  <c r="B895" i="16" s="1"/>
  <c r="A896" i="16"/>
  <c r="B896" i="16" s="1"/>
  <c r="A897" i="16"/>
  <c r="B897" i="16" s="1"/>
  <c r="A898" i="16"/>
  <c r="B898" i="16" s="1"/>
  <c r="A899" i="16"/>
  <c r="B899" i="16" s="1"/>
  <c r="A900" i="16"/>
  <c r="B900" i="16" s="1"/>
  <c r="A901" i="16"/>
  <c r="B901" i="16" s="1"/>
  <c r="A902" i="16"/>
  <c r="B902" i="16" s="1"/>
  <c r="A903" i="16"/>
  <c r="B903" i="16" s="1"/>
  <c r="A904" i="16"/>
  <c r="B904" i="16" s="1"/>
  <c r="A905" i="16"/>
  <c r="B905" i="16" s="1"/>
  <c r="A906" i="16"/>
  <c r="B906" i="16" s="1"/>
  <c r="A907" i="16"/>
  <c r="B907" i="16" s="1"/>
  <c r="A908" i="16"/>
  <c r="B908" i="16" s="1"/>
  <c r="A909" i="16"/>
  <c r="B909" i="16" s="1"/>
  <c r="A910" i="16"/>
  <c r="B910" i="16" s="1"/>
  <c r="A911" i="16"/>
  <c r="B911" i="16" s="1"/>
  <c r="A912" i="16"/>
  <c r="B912" i="16" s="1"/>
  <c r="A913" i="16"/>
  <c r="B913" i="16" s="1"/>
  <c r="A914" i="16"/>
  <c r="B914" i="16" s="1"/>
  <c r="A915" i="16"/>
  <c r="B915" i="16" s="1"/>
  <c r="A916" i="16"/>
  <c r="B916" i="16" s="1"/>
  <c r="A917" i="16"/>
  <c r="B917" i="16" s="1"/>
  <c r="A918" i="16"/>
  <c r="B918" i="16" s="1"/>
  <c r="A919" i="16"/>
  <c r="B919" i="16" s="1"/>
  <c r="A920" i="16"/>
  <c r="B920" i="16" s="1"/>
  <c r="A921" i="16"/>
  <c r="B921" i="16" s="1"/>
  <c r="A922" i="16"/>
  <c r="B922" i="16" s="1"/>
  <c r="A923" i="16"/>
  <c r="B923" i="16" s="1"/>
  <c r="A924" i="16"/>
  <c r="B924" i="16" s="1"/>
  <c r="A925" i="16"/>
  <c r="B925" i="16" s="1"/>
  <c r="A926" i="16"/>
  <c r="B926" i="16" s="1"/>
  <c r="A927" i="16"/>
  <c r="B927" i="16" s="1"/>
  <c r="A928" i="16"/>
  <c r="B928" i="16" s="1"/>
  <c r="A929" i="16"/>
  <c r="B929" i="16" s="1"/>
  <c r="A930" i="16"/>
  <c r="B930" i="16" s="1"/>
  <c r="A931" i="16"/>
  <c r="B931" i="16" s="1"/>
  <c r="A932" i="16"/>
  <c r="B932" i="16" s="1"/>
  <c r="A933" i="16"/>
  <c r="B933" i="16" s="1"/>
  <c r="A934" i="16"/>
  <c r="B934" i="16" s="1"/>
  <c r="A935" i="16"/>
  <c r="B935" i="16" s="1"/>
  <c r="A936" i="16"/>
  <c r="B936" i="16" s="1"/>
  <c r="A937" i="16"/>
  <c r="B937" i="16" s="1"/>
  <c r="A938" i="16"/>
  <c r="B938" i="16" s="1"/>
  <c r="A939" i="16"/>
  <c r="B939" i="16" s="1"/>
  <c r="A940" i="16"/>
  <c r="B940" i="16" s="1"/>
  <c r="A941" i="16"/>
  <c r="B941" i="16" s="1"/>
  <c r="A942" i="16"/>
  <c r="B942" i="16" s="1"/>
  <c r="A943" i="16"/>
  <c r="B943" i="16" s="1"/>
  <c r="A944" i="16"/>
  <c r="B944" i="16" s="1"/>
  <c r="A945" i="16"/>
  <c r="B945" i="16" s="1"/>
  <c r="A946" i="16"/>
  <c r="B946" i="16" s="1"/>
  <c r="A947" i="16"/>
  <c r="B947" i="16" s="1"/>
  <c r="A948" i="16"/>
  <c r="B948" i="16" s="1"/>
  <c r="A949" i="16"/>
  <c r="B949" i="16" s="1"/>
  <c r="A950" i="16"/>
  <c r="B950" i="16" s="1"/>
  <c r="A951" i="16"/>
  <c r="B951" i="16" s="1"/>
  <c r="A952" i="16"/>
  <c r="B952" i="16" s="1"/>
  <c r="A953" i="16"/>
  <c r="B953" i="16" s="1"/>
  <c r="A954" i="16"/>
  <c r="B954" i="16" s="1"/>
  <c r="A955" i="16"/>
  <c r="B955" i="16" s="1"/>
  <c r="A956" i="16"/>
  <c r="B956" i="16" s="1"/>
  <c r="A957" i="16"/>
  <c r="B957" i="16" s="1"/>
  <c r="A958" i="16"/>
  <c r="B958" i="16" s="1"/>
  <c r="A959" i="16"/>
  <c r="B959" i="16" s="1"/>
  <c r="A960" i="16"/>
  <c r="B960" i="16" s="1"/>
  <c r="A961" i="16"/>
  <c r="B961" i="16" s="1"/>
  <c r="A962" i="16"/>
  <c r="B962" i="16" s="1"/>
  <c r="A963" i="16"/>
  <c r="B963" i="16" s="1"/>
  <c r="A964" i="16"/>
  <c r="B964" i="16" s="1"/>
  <c r="A965" i="16"/>
  <c r="B965" i="16" s="1"/>
  <c r="A966" i="16"/>
  <c r="B966" i="16" s="1"/>
  <c r="A967" i="16"/>
  <c r="B967" i="16" s="1"/>
  <c r="A968" i="16"/>
  <c r="B968" i="16" s="1"/>
  <c r="A969" i="16"/>
  <c r="B969" i="16" s="1"/>
  <c r="A970" i="16"/>
  <c r="B970" i="16" s="1"/>
  <c r="A971" i="16"/>
  <c r="B971" i="16" s="1"/>
  <c r="A972" i="16"/>
  <c r="B972" i="16" s="1"/>
  <c r="A973" i="16"/>
  <c r="B973" i="16" s="1"/>
  <c r="A974" i="16"/>
  <c r="B974" i="16" s="1"/>
  <c r="A975" i="16"/>
  <c r="B975" i="16" s="1"/>
  <c r="A976" i="16"/>
  <c r="B976" i="16" s="1"/>
  <c r="A977" i="16"/>
  <c r="B977" i="16" s="1"/>
  <c r="A978" i="16"/>
  <c r="B978" i="16" s="1"/>
  <c r="A979" i="16"/>
  <c r="B979" i="16" s="1"/>
  <c r="A980" i="16"/>
  <c r="B980" i="16" s="1"/>
  <c r="A981" i="16"/>
  <c r="B981" i="16" s="1"/>
  <c r="A982" i="16"/>
  <c r="B982" i="16" s="1"/>
  <c r="A983" i="16"/>
  <c r="B983" i="16" s="1"/>
  <c r="A984" i="16"/>
  <c r="B984" i="16" s="1"/>
  <c r="A985" i="16"/>
  <c r="B985" i="16" s="1"/>
  <c r="A986" i="16"/>
  <c r="B986" i="16" s="1"/>
  <c r="A987" i="16"/>
  <c r="B987" i="16" s="1"/>
  <c r="A988" i="16"/>
  <c r="B988" i="16" s="1"/>
  <c r="A989" i="16"/>
  <c r="B989" i="16" s="1"/>
  <c r="A990" i="16"/>
  <c r="B990" i="16" s="1"/>
  <c r="A991" i="16"/>
  <c r="B991" i="16" s="1"/>
  <c r="A992" i="16"/>
  <c r="B992" i="16" s="1"/>
  <c r="A993" i="16"/>
  <c r="B993" i="16" s="1"/>
  <c r="A994" i="16"/>
  <c r="B994" i="16" s="1"/>
  <c r="A995" i="16"/>
  <c r="B995" i="16" s="1"/>
  <c r="A996" i="16"/>
  <c r="B996" i="16" s="1"/>
  <c r="A997" i="16"/>
  <c r="B997" i="16" s="1"/>
  <c r="A998" i="16"/>
  <c r="B998" i="16" s="1"/>
  <c r="A999" i="16"/>
  <c r="B999" i="16" s="1"/>
  <c r="A1000" i="16"/>
  <c r="B1000" i="16" s="1"/>
  <c r="A1001" i="16"/>
  <c r="A2" i="16"/>
  <c r="B2" i="16" s="1"/>
  <c r="D9" i="12"/>
  <c r="E1016" i="10"/>
  <c r="E1015" i="10"/>
  <c r="E1014" i="10"/>
  <c r="E1013" i="10"/>
  <c r="E1012" i="10"/>
  <c r="E1011" i="10"/>
  <c r="E1010" i="10"/>
  <c r="E1009" i="10"/>
  <c r="E1008" i="10"/>
  <c r="E1007" i="10"/>
  <c r="E1006" i="10"/>
  <c r="E1005" i="10"/>
  <c r="E1004" i="10"/>
  <c r="E1003" i="10"/>
  <c r="E1002" i="10"/>
  <c r="E1001" i="10"/>
  <c r="E1000" i="10"/>
  <c r="E999" i="10"/>
  <c r="E998" i="10"/>
  <c r="E997" i="10"/>
  <c r="E996" i="10"/>
  <c r="E995" i="10"/>
  <c r="E994" i="10"/>
  <c r="E993" i="10"/>
  <c r="E992" i="10"/>
  <c r="E991" i="10"/>
  <c r="E990" i="10"/>
  <c r="E989" i="10"/>
  <c r="E988" i="10"/>
  <c r="E987" i="10"/>
  <c r="E986" i="10"/>
  <c r="E985" i="10"/>
  <c r="E984" i="10"/>
  <c r="E983" i="10"/>
  <c r="E982" i="10"/>
  <c r="E981" i="10"/>
  <c r="E980" i="10"/>
  <c r="E979" i="10"/>
  <c r="E978" i="10"/>
  <c r="E977" i="10"/>
  <c r="E976" i="10"/>
  <c r="E975" i="10"/>
  <c r="E974" i="10"/>
  <c r="E973" i="10"/>
  <c r="E972" i="10"/>
  <c r="E971" i="10"/>
  <c r="E970" i="10"/>
  <c r="E969" i="10"/>
  <c r="E968" i="10"/>
  <c r="E967" i="10"/>
  <c r="E966" i="10"/>
  <c r="E965" i="10"/>
  <c r="E964" i="10"/>
  <c r="E963" i="10"/>
  <c r="E962" i="10"/>
  <c r="E961" i="10"/>
  <c r="E960" i="10"/>
  <c r="E959" i="10"/>
  <c r="E958" i="10"/>
  <c r="E957" i="10"/>
  <c r="E956" i="10"/>
  <c r="E955" i="10"/>
  <c r="E954" i="10"/>
  <c r="E953" i="10"/>
  <c r="E952" i="10"/>
  <c r="E951" i="10"/>
  <c r="E950" i="10"/>
  <c r="E949" i="10"/>
  <c r="E948" i="10"/>
  <c r="E947" i="10"/>
  <c r="E946" i="10"/>
  <c r="E945" i="10"/>
  <c r="E944" i="10"/>
  <c r="E943" i="10"/>
  <c r="E942" i="10"/>
  <c r="E941" i="10"/>
  <c r="E940" i="10"/>
  <c r="E939" i="10"/>
  <c r="E938" i="10"/>
  <c r="E937" i="10"/>
  <c r="E936" i="10"/>
  <c r="E935" i="10"/>
  <c r="E934" i="10"/>
  <c r="E933" i="10"/>
  <c r="E932" i="10"/>
  <c r="E931" i="10"/>
  <c r="E930" i="10"/>
  <c r="E929" i="10"/>
  <c r="E928" i="10"/>
  <c r="E927" i="10"/>
  <c r="E926" i="10"/>
  <c r="E925" i="10"/>
  <c r="E924" i="10"/>
  <c r="E923" i="10"/>
  <c r="E922" i="10"/>
  <c r="E921" i="10"/>
  <c r="E920" i="10"/>
  <c r="E919" i="10"/>
  <c r="E918" i="10"/>
  <c r="E917" i="10"/>
  <c r="E916" i="10"/>
  <c r="E915" i="10"/>
  <c r="E914" i="10"/>
  <c r="E913" i="10"/>
  <c r="E912" i="10"/>
  <c r="E911" i="10"/>
  <c r="E910" i="10"/>
  <c r="E909" i="10"/>
  <c r="E908" i="10"/>
  <c r="E907" i="10"/>
  <c r="E906" i="10"/>
  <c r="E905" i="10"/>
  <c r="E904" i="10"/>
  <c r="E903" i="10"/>
  <c r="E902" i="10"/>
  <c r="E901" i="10"/>
  <c r="E900" i="10"/>
  <c r="E899" i="10"/>
  <c r="E898" i="10"/>
  <c r="E897" i="10"/>
  <c r="E896" i="10"/>
  <c r="E895" i="10"/>
  <c r="E894" i="10"/>
  <c r="E893" i="10"/>
  <c r="E892" i="10"/>
  <c r="E891" i="10"/>
  <c r="E890" i="10"/>
  <c r="E889" i="10"/>
  <c r="E888" i="10"/>
  <c r="E887" i="10"/>
  <c r="E886" i="10"/>
  <c r="E885" i="10"/>
  <c r="E884" i="10"/>
  <c r="E883" i="10"/>
  <c r="E882" i="10"/>
  <c r="E881" i="10"/>
  <c r="E880" i="10"/>
  <c r="E879" i="10"/>
  <c r="E878" i="10"/>
  <c r="E877" i="10"/>
  <c r="E876" i="10"/>
  <c r="E875" i="10"/>
  <c r="E874" i="10"/>
  <c r="E873" i="10"/>
  <c r="E872" i="10"/>
  <c r="E871" i="10"/>
  <c r="E870" i="10"/>
  <c r="E869" i="10"/>
  <c r="E868" i="10"/>
  <c r="E867" i="10"/>
  <c r="E866" i="10"/>
  <c r="E865" i="10"/>
  <c r="E864" i="10"/>
  <c r="E863" i="10"/>
  <c r="E862" i="10"/>
  <c r="E861" i="10"/>
  <c r="E860" i="10"/>
  <c r="E859" i="10"/>
  <c r="E858" i="10"/>
  <c r="E857" i="10"/>
  <c r="E856" i="10"/>
  <c r="E855" i="10"/>
  <c r="E854" i="10"/>
  <c r="E853" i="10"/>
  <c r="E852" i="10"/>
  <c r="E851" i="10"/>
  <c r="E850" i="10"/>
  <c r="E849" i="10"/>
  <c r="E848" i="10"/>
  <c r="E847" i="10"/>
  <c r="E846" i="10"/>
  <c r="E845" i="10"/>
  <c r="E844" i="10"/>
  <c r="E843" i="10"/>
  <c r="E842" i="10"/>
  <c r="E841" i="10"/>
  <c r="E840" i="10"/>
  <c r="E839" i="10"/>
  <c r="E838" i="10"/>
  <c r="E837" i="10"/>
  <c r="E836" i="10"/>
  <c r="E835" i="10"/>
  <c r="E834" i="10"/>
  <c r="E833" i="10"/>
  <c r="E832" i="10"/>
  <c r="E831" i="10"/>
  <c r="E830" i="10"/>
  <c r="E829" i="10"/>
  <c r="E828" i="10"/>
  <c r="E827" i="10"/>
  <c r="E826" i="10"/>
  <c r="E825" i="10"/>
  <c r="E824" i="10"/>
  <c r="E823" i="10"/>
  <c r="E822" i="10"/>
  <c r="E821" i="10"/>
  <c r="E820" i="10"/>
  <c r="E819" i="10"/>
  <c r="E818" i="10"/>
  <c r="E817" i="10"/>
  <c r="E816" i="10"/>
  <c r="E815" i="10"/>
  <c r="E814" i="10"/>
  <c r="E813" i="10"/>
  <c r="E812" i="10"/>
  <c r="E811" i="10"/>
  <c r="E810" i="10"/>
  <c r="E809" i="10"/>
  <c r="E808" i="10"/>
  <c r="E807" i="10"/>
  <c r="E806" i="10"/>
  <c r="E805" i="10"/>
  <c r="E804" i="10"/>
  <c r="E803" i="10"/>
  <c r="E802" i="10"/>
  <c r="E801" i="10"/>
  <c r="E800" i="10"/>
  <c r="E799" i="10"/>
  <c r="E798" i="10"/>
  <c r="E797" i="10"/>
  <c r="E796" i="10"/>
  <c r="E795" i="10"/>
  <c r="E794" i="10"/>
  <c r="E793" i="10"/>
  <c r="E792" i="10"/>
  <c r="E791" i="10"/>
  <c r="E790" i="10"/>
  <c r="E789" i="10"/>
  <c r="E788" i="10"/>
  <c r="E787" i="10"/>
  <c r="E786" i="10"/>
  <c r="E785" i="10"/>
  <c r="E784" i="10"/>
  <c r="E783" i="10"/>
  <c r="E782" i="10"/>
  <c r="E781" i="10"/>
  <c r="E780" i="10"/>
  <c r="E779" i="10"/>
  <c r="E778" i="10"/>
  <c r="E777" i="10"/>
  <c r="E776" i="10"/>
  <c r="E775" i="10"/>
  <c r="E774" i="10"/>
  <c r="E773" i="10"/>
  <c r="E772" i="10"/>
  <c r="E771" i="10"/>
  <c r="E770" i="10"/>
  <c r="E769" i="10"/>
  <c r="E768" i="10"/>
  <c r="E767" i="10"/>
  <c r="E766" i="10"/>
  <c r="E765" i="10"/>
  <c r="E764" i="10"/>
  <c r="E763" i="10"/>
  <c r="E762" i="10"/>
  <c r="E761" i="10"/>
  <c r="E760" i="10"/>
  <c r="E759" i="10"/>
  <c r="E758" i="10"/>
  <c r="E757" i="10"/>
  <c r="E756" i="10"/>
  <c r="E755" i="10"/>
  <c r="E754" i="10"/>
  <c r="E753" i="10"/>
  <c r="E752" i="10"/>
  <c r="E751" i="10"/>
  <c r="E750" i="10"/>
  <c r="E749" i="10"/>
  <c r="E748" i="10"/>
  <c r="E747" i="10"/>
  <c r="E746" i="10"/>
  <c r="E745" i="10"/>
  <c r="E744" i="10"/>
  <c r="E743" i="10"/>
  <c r="E742" i="10"/>
  <c r="E741" i="10"/>
  <c r="E740" i="10"/>
  <c r="E739" i="10"/>
  <c r="E738" i="10"/>
  <c r="E737" i="10"/>
  <c r="E736" i="10"/>
  <c r="E735" i="10"/>
  <c r="E734" i="10"/>
  <c r="E733" i="10"/>
  <c r="E732" i="10"/>
  <c r="E731" i="10"/>
  <c r="E730" i="10"/>
  <c r="E729" i="10"/>
  <c r="E728" i="10"/>
  <c r="E727" i="10"/>
  <c r="E726" i="10"/>
  <c r="E725" i="10"/>
  <c r="E724" i="10"/>
  <c r="E723" i="10"/>
  <c r="E722" i="10"/>
  <c r="E721" i="10"/>
  <c r="E720" i="10"/>
  <c r="E719" i="10"/>
  <c r="E718" i="10"/>
  <c r="E717" i="10"/>
  <c r="E716" i="10"/>
  <c r="E715" i="10"/>
  <c r="E714" i="10"/>
  <c r="E713" i="10"/>
  <c r="E712" i="10"/>
  <c r="E711" i="10"/>
  <c r="E710" i="10"/>
  <c r="E709" i="10"/>
  <c r="E708" i="10"/>
  <c r="E707" i="10"/>
  <c r="E706" i="10"/>
  <c r="E705" i="10"/>
  <c r="E704" i="10"/>
  <c r="E703" i="10"/>
  <c r="E702" i="10"/>
  <c r="E701" i="10"/>
  <c r="E700" i="10"/>
  <c r="E699" i="10"/>
  <c r="E698" i="10"/>
  <c r="E697" i="10"/>
  <c r="E696" i="10"/>
  <c r="E695" i="10"/>
  <c r="E694" i="10"/>
  <c r="E693" i="10"/>
  <c r="E692" i="10"/>
  <c r="E691" i="10"/>
  <c r="E690" i="10"/>
  <c r="E689" i="10"/>
  <c r="E688" i="10"/>
  <c r="E687" i="10"/>
  <c r="E686" i="10"/>
  <c r="E685" i="10"/>
  <c r="E684" i="10"/>
  <c r="E683" i="10"/>
  <c r="E682" i="10"/>
  <c r="E681" i="10"/>
  <c r="E680" i="10"/>
  <c r="E679" i="10"/>
  <c r="E678" i="10"/>
  <c r="E677" i="10"/>
  <c r="E676" i="10"/>
  <c r="E675" i="10"/>
  <c r="E674" i="10"/>
  <c r="E673" i="10"/>
  <c r="E672" i="10"/>
  <c r="E671" i="10"/>
  <c r="E670" i="10"/>
  <c r="E669" i="10"/>
  <c r="E668" i="10"/>
  <c r="E667" i="10"/>
  <c r="E666" i="10"/>
  <c r="E665" i="10"/>
  <c r="E664" i="10"/>
  <c r="E663" i="10"/>
  <c r="E662" i="10"/>
  <c r="E661" i="10"/>
  <c r="E660" i="10"/>
  <c r="E659" i="10"/>
  <c r="E658" i="10"/>
  <c r="E657" i="10"/>
  <c r="E656" i="10"/>
  <c r="E655" i="10"/>
  <c r="E654" i="10"/>
  <c r="E653" i="10"/>
  <c r="E652" i="10"/>
  <c r="E651" i="10"/>
  <c r="E650" i="10"/>
  <c r="E649" i="10"/>
  <c r="E648" i="10"/>
  <c r="E647" i="10"/>
  <c r="E646" i="10"/>
  <c r="E645" i="10"/>
  <c r="E644" i="10"/>
  <c r="E643" i="10"/>
  <c r="E642" i="10"/>
  <c r="E641" i="10"/>
  <c r="E640" i="10"/>
  <c r="E639" i="10"/>
  <c r="E638" i="10"/>
  <c r="E637" i="10"/>
  <c r="E636" i="10"/>
  <c r="E635" i="10"/>
  <c r="E634" i="10"/>
  <c r="E633" i="10"/>
  <c r="E632" i="10"/>
  <c r="E631" i="10"/>
  <c r="E630" i="10"/>
  <c r="E629" i="10"/>
  <c r="E628" i="10"/>
  <c r="E627" i="10"/>
  <c r="E626" i="10"/>
  <c r="E625" i="10"/>
  <c r="E624" i="10"/>
  <c r="E623" i="10"/>
  <c r="E622" i="10"/>
  <c r="E621" i="10"/>
  <c r="E620" i="10"/>
  <c r="E619" i="10"/>
  <c r="E618" i="10"/>
  <c r="E617" i="10"/>
  <c r="E616" i="10"/>
  <c r="E615" i="10"/>
  <c r="E614" i="10"/>
  <c r="E613" i="10"/>
  <c r="E612" i="10"/>
  <c r="E611" i="10"/>
  <c r="E610" i="10"/>
  <c r="E609" i="10"/>
  <c r="E608" i="10"/>
  <c r="E607" i="10"/>
  <c r="E606" i="10"/>
  <c r="E605" i="10"/>
  <c r="E604" i="10"/>
  <c r="E603" i="10"/>
  <c r="E602" i="10"/>
  <c r="E601" i="10"/>
  <c r="E600" i="10"/>
  <c r="E599" i="10"/>
  <c r="E598" i="10"/>
  <c r="E597" i="10"/>
  <c r="E596" i="10"/>
  <c r="E595" i="10"/>
  <c r="E594" i="10"/>
  <c r="E593" i="10"/>
  <c r="E592" i="10"/>
  <c r="E591" i="10"/>
  <c r="E590" i="10"/>
  <c r="E589" i="10"/>
  <c r="E588" i="10"/>
  <c r="E587" i="10"/>
  <c r="E586" i="10"/>
  <c r="E585" i="10"/>
  <c r="E584" i="10"/>
  <c r="E583" i="10"/>
  <c r="E582" i="10"/>
  <c r="E581" i="10"/>
  <c r="E580" i="10"/>
  <c r="E579" i="10"/>
  <c r="E578" i="10"/>
  <c r="E577" i="10"/>
  <c r="E576" i="10"/>
  <c r="E575" i="10"/>
  <c r="E574" i="10"/>
  <c r="E573" i="10"/>
  <c r="E572" i="10"/>
  <c r="E571" i="10"/>
  <c r="E570" i="10"/>
  <c r="E569" i="10"/>
  <c r="E568" i="10"/>
  <c r="E567" i="10"/>
  <c r="E566" i="10"/>
  <c r="E565" i="10"/>
  <c r="E564" i="10"/>
  <c r="E563" i="10"/>
  <c r="E562" i="10"/>
  <c r="E561" i="10"/>
  <c r="E560" i="10"/>
  <c r="E559" i="10"/>
  <c r="E558" i="10"/>
  <c r="E557" i="10"/>
  <c r="E556" i="10"/>
  <c r="E555" i="10"/>
  <c r="E554" i="10"/>
  <c r="E553" i="10"/>
  <c r="E552" i="10"/>
  <c r="E551" i="10"/>
  <c r="E550" i="10"/>
  <c r="E549" i="10"/>
  <c r="E548" i="10"/>
  <c r="E547" i="10"/>
  <c r="E546" i="10"/>
  <c r="E545" i="10"/>
  <c r="E544" i="10"/>
  <c r="E543" i="10"/>
  <c r="E542" i="10"/>
  <c r="E541" i="10"/>
  <c r="E540" i="10"/>
  <c r="E539" i="10"/>
  <c r="E538" i="10"/>
  <c r="E537" i="10"/>
  <c r="E536" i="10"/>
  <c r="E535" i="10"/>
  <c r="E534" i="10"/>
  <c r="E533" i="10"/>
  <c r="E532" i="10"/>
  <c r="E531" i="10"/>
  <c r="E530" i="10"/>
  <c r="E529" i="10"/>
  <c r="E528" i="10"/>
  <c r="E527" i="10"/>
  <c r="E526" i="10"/>
  <c r="E525" i="10"/>
  <c r="E524" i="10"/>
  <c r="E523" i="10"/>
  <c r="E522" i="10"/>
  <c r="E521" i="10"/>
  <c r="E520" i="10"/>
  <c r="E519" i="10"/>
  <c r="E518" i="10"/>
  <c r="E517" i="10"/>
  <c r="E516" i="10"/>
  <c r="E515" i="10"/>
  <c r="E514" i="10"/>
  <c r="E513" i="10"/>
  <c r="E512" i="10"/>
  <c r="E511" i="10"/>
  <c r="E510" i="10"/>
  <c r="E509" i="10"/>
  <c r="E508" i="10"/>
  <c r="E507" i="10"/>
  <c r="E506" i="10"/>
  <c r="E505" i="10"/>
  <c r="E504" i="10"/>
  <c r="E503" i="10"/>
  <c r="E502" i="10"/>
  <c r="E501" i="10"/>
  <c r="E500" i="10"/>
  <c r="E499" i="10"/>
  <c r="E498" i="10"/>
  <c r="E497" i="10"/>
  <c r="E496" i="10"/>
  <c r="E495" i="10"/>
  <c r="E494" i="10"/>
  <c r="E493" i="10"/>
  <c r="E492" i="10"/>
  <c r="E491" i="10"/>
  <c r="E490" i="10"/>
  <c r="E489" i="10"/>
  <c r="E488" i="10"/>
  <c r="E487" i="10"/>
  <c r="E486" i="10"/>
  <c r="E485" i="10"/>
  <c r="E484" i="10"/>
  <c r="E483" i="10"/>
  <c r="E482" i="10"/>
  <c r="E481" i="10"/>
  <c r="E480" i="10"/>
  <c r="E479" i="10"/>
  <c r="E478" i="10"/>
  <c r="E477" i="10"/>
  <c r="E476" i="10"/>
  <c r="E475" i="10"/>
  <c r="E474" i="10"/>
  <c r="E473" i="10"/>
  <c r="E472" i="10"/>
  <c r="E471" i="10"/>
  <c r="E470" i="10"/>
  <c r="E469" i="10"/>
  <c r="E468" i="10"/>
  <c r="E467" i="10"/>
  <c r="E466" i="10"/>
  <c r="E465" i="10"/>
  <c r="E464" i="10"/>
  <c r="E463" i="10"/>
  <c r="E462" i="10"/>
  <c r="E461" i="10"/>
  <c r="E460" i="10"/>
  <c r="E459" i="10"/>
  <c r="E458" i="10"/>
  <c r="E457" i="10"/>
  <c r="E456" i="10"/>
  <c r="E455" i="10"/>
  <c r="E454" i="10"/>
  <c r="E453" i="10"/>
  <c r="E452" i="10"/>
  <c r="E451" i="10"/>
  <c r="E450" i="10"/>
  <c r="E449" i="10"/>
  <c r="E448" i="10"/>
  <c r="E447" i="10"/>
  <c r="E446" i="10"/>
  <c r="E445" i="10"/>
  <c r="E444" i="10"/>
  <c r="E443" i="10"/>
  <c r="E442" i="10"/>
  <c r="E441" i="10"/>
  <c r="E440" i="10"/>
  <c r="E439" i="10"/>
  <c r="E438" i="10"/>
  <c r="E437" i="10"/>
  <c r="E436" i="10"/>
  <c r="E435" i="10"/>
  <c r="E434" i="10"/>
  <c r="E433" i="10"/>
  <c r="E432" i="10"/>
  <c r="E431" i="10"/>
  <c r="E430" i="10"/>
  <c r="E429" i="10"/>
  <c r="E428" i="10"/>
  <c r="E427" i="10"/>
  <c r="E426" i="10"/>
  <c r="E425" i="10"/>
  <c r="E424" i="10"/>
  <c r="E423" i="10"/>
  <c r="E422" i="10"/>
  <c r="E421" i="10"/>
  <c r="E420" i="10"/>
  <c r="E419" i="10"/>
  <c r="E418" i="10"/>
  <c r="E417" i="10"/>
  <c r="E416" i="10"/>
  <c r="E415" i="10"/>
  <c r="E414" i="10"/>
  <c r="E413" i="10"/>
  <c r="E412" i="10"/>
  <c r="E411" i="10"/>
  <c r="E410" i="10"/>
  <c r="E409" i="10"/>
  <c r="E408" i="10"/>
  <c r="E407" i="10"/>
  <c r="E406" i="10"/>
  <c r="E405" i="10"/>
  <c r="E404" i="10"/>
  <c r="E403" i="10"/>
  <c r="E402" i="10"/>
  <c r="E401" i="10"/>
  <c r="E400" i="10"/>
  <c r="E399" i="10"/>
  <c r="E398" i="10"/>
  <c r="E397" i="10"/>
  <c r="E396" i="10"/>
  <c r="E395" i="10"/>
  <c r="E394" i="10"/>
  <c r="E393" i="10"/>
  <c r="E392" i="10"/>
  <c r="E391" i="10"/>
  <c r="E390" i="10"/>
  <c r="E389" i="10"/>
  <c r="E388" i="10"/>
  <c r="E387" i="10"/>
  <c r="E386" i="10"/>
  <c r="E385" i="10"/>
  <c r="E384" i="10"/>
  <c r="E383" i="10"/>
  <c r="E382" i="10"/>
  <c r="E381" i="10"/>
  <c r="E380" i="10"/>
  <c r="E379" i="10"/>
  <c r="E378" i="10"/>
  <c r="E377" i="10"/>
  <c r="E376" i="10"/>
  <c r="E375" i="10"/>
  <c r="E374" i="10"/>
  <c r="E373" i="10"/>
  <c r="E372" i="10"/>
  <c r="E371" i="10"/>
  <c r="E370" i="10"/>
  <c r="E369" i="10"/>
  <c r="E368" i="10"/>
  <c r="E367" i="10"/>
  <c r="E366" i="10"/>
  <c r="E365" i="10"/>
  <c r="E364" i="10"/>
  <c r="E363" i="10"/>
  <c r="E362" i="10"/>
  <c r="E361" i="10"/>
  <c r="E360" i="10"/>
  <c r="E359" i="10"/>
  <c r="E358" i="10"/>
  <c r="E357" i="10"/>
  <c r="E356" i="10"/>
  <c r="E355" i="10"/>
  <c r="E354" i="10"/>
  <c r="E353" i="10"/>
  <c r="E352" i="10"/>
  <c r="E351" i="10"/>
  <c r="E350" i="10"/>
  <c r="E349" i="10"/>
  <c r="E348" i="10"/>
  <c r="E347" i="10"/>
  <c r="E346" i="10"/>
  <c r="E345" i="10"/>
  <c r="E344" i="10"/>
  <c r="E343" i="10"/>
  <c r="E342" i="10"/>
  <c r="E341" i="10"/>
  <c r="E340" i="10"/>
  <c r="E339" i="10"/>
  <c r="E338" i="10"/>
  <c r="E337" i="10"/>
  <c r="E336" i="10"/>
  <c r="E335" i="10"/>
  <c r="E334" i="10"/>
  <c r="E333" i="10"/>
  <c r="E332" i="10"/>
  <c r="E331" i="10"/>
  <c r="E330" i="10"/>
  <c r="E329" i="10"/>
  <c r="E328" i="10"/>
  <c r="E327" i="10"/>
  <c r="E326" i="10"/>
  <c r="E325" i="10"/>
  <c r="E324" i="10"/>
  <c r="E323" i="10"/>
  <c r="E322" i="10"/>
  <c r="E321" i="10"/>
  <c r="E320" i="10"/>
  <c r="E319" i="10"/>
  <c r="E318" i="10"/>
  <c r="E317" i="10"/>
  <c r="E316" i="10"/>
  <c r="E315" i="10"/>
  <c r="E314" i="10"/>
  <c r="E313" i="10"/>
  <c r="E312" i="10"/>
  <c r="E311" i="10"/>
  <c r="E310" i="10"/>
  <c r="E309" i="10"/>
  <c r="E308" i="10"/>
  <c r="E307" i="10"/>
  <c r="E306" i="10"/>
  <c r="E305" i="10"/>
  <c r="E304" i="10"/>
  <c r="E303" i="10"/>
  <c r="E302" i="10"/>
  <c r="E301" i="10"/>
  <c r="E300" i="10"/>
  <c r="E299" i="10"/>
  <c r="E298" i="10"/>
  <c r="E297" i="10"/>
  <c r="E296" i="10"/>
  <c r="E295" i="10"/>
  <c r="E294" i="10"/>
  <c r="E293" i="10"/>
  <c r="E292" i="10"/>
  <c r="E291" i="10"/>
  <c r="E290" i="10"/>
  <c r="E289" i="10"/>
  <c r="E288" i="10"/>
  <c r="E287" i="10"/>
  <c r="E286" i="10"/>
  <c r="E285" i="10"/>
  <c r="E284" i="10"/>
  <c r="E283" i="10"/>
  <c r="E282" i="10"/>
  <c r="E281" i="10"/>
  <c r="E280" i="10"/>
  <c r="E279" i="10"/>
  <c r="E278" i="10"/>
  <c r="E277" i="10"/>
  <c r="E276" i="10"/>
  <c r="E275" i="10"/>
  <c r="E274" i="10"/>
  <c r="E273" i="10"/>
  <c r="E272" i="10"/>
  <c r="E271" i="10"/>
  <c r="E270" i="10"/>
  <c r="E269" i="10"/>
  <c r="E268" i="10"/>
  <c r="E267" i="10"/>
  <c r="E266" i="10"/>
  <c r="E265" i="10"/>
  <c r="E264" i="10"/>
  <c r="E263" i="10"/>
  <c r="E262" i="10"/>
  <c r="E261" i="10"/>
  <c r="E260" i="10"/>
  <c r="E259" i="10"/>
  <c r="E258" i="10"/>
  <c r="E257" i="10"/>
  <c r="E256" i="10"/>
  <c r="E255" i="10"/>
  <c r="E254" i="10"/>
  <c r="E253" i="10"/>
  <c r="E252" i="10"/>
  <c r="E251" i="10"/>
  <c r="E250" i="10"/>
  <c r="E249" i="10"/>
  <c r="E248" i="10"/>
  <c r="E247" i="10"/>
  <c r="E246" i="10"/>
  <c r="E245" i="10"/>
  <c r="E244" i="10"/>
  <c r="E243" i="10"/>
  <c r="E242" i="10"/>
  <c r="E241" i="10"/>
  <c r="E240" i="10"/>
  <c r="E239" i="10"/>
  <c r="E238" i="10"/>
  <c r="E237" i="10"/>
  <c r="E236" i="10"/>
  <c r="E235" i="10"/>
  <c r="E234" i="10"/>
  <c r="E233" i="10"/>
  <c r="E232" i="10"/>
  <c r="E231" i="10"/>
  <c r="E230" i="10"/>
  <c r="E229" i="10"/>
  <c r="E228" i="10"/>
  <c r="E227" i="10"/>
  <c r="E226" i="10"/>
  <c r="E225" i="10"/>
  <c r="E224" i="10"/>
  <c r="E223" i="10"/>
  <c r="E222" i="10"/>
  <c r="E221" i="10"/>
  <c r="E220" i="10"/>
  <c r="E219" i="10"/>
  <c r="E218" i="10"/>
  <c r="E217" i="10"/>
  <c r="E216" i="10"/>
  <c r="E215" i="10"/>
  <c r="E214" i="10"/>
  <c r="E213" i="10"/>
  <c r="E212" i="10"/>
  <c r="E211" i="10"/>
  <c r="E210" i="10"/>
  <c r="E209" i="10"/>
  <c r="E208" i="10"/>
  <c r="E207" i="10"/>
  <c r="E206" i="10"/>
  <c r="E205" i="10"/>
  <c r="E204" i="10"/>
  <c r="E203" i="10"/>
  <c r="E202" i="10"/>
  <c r="E201" i="10"/>
  <c r="E200" i="10"/>
  <c r="E199" i="10"/>
  <c r="E198" i="10"/>
  <c r="E197" i="10"/>
  <c r="E196" i="10"/>
  <c r="E195" i="10"/>
  <c r="E194" i="10"/>
  <c r="E193" i="10"/>
  <c r="E192" i="10"/>
  <c r="E191" i="10"/>
  <c r="E190" i="10"/>
  <c r="E189" i="10"/>
  <c r="E188" i="10"/>
  <c r="E187" i="10"/>
  <c r="E186" i="10"/>
  <c r="E185" i="10"/>
  <c r="E184" i="10"/>
  <c r="E183" i="10"/>
  <c r="E182" i="10"/>
  <c r="E181" i="10"/>
  <c r="E180" i="10"/>
  <c r="E179" i="10"/>
  <c r="E178" i="10"/>
  <c r="E177" i="10"/>
  <c r="E176" i="10"/>
  <c r="E175" i="10"/>
  <c r="E174" i="10"/>
  <c r="E173" i="10"/>
  <c r="E172" i="10"/>
  <c r="E171" i="10"/>
  <c r="E170" i="10"/>
  <c r="E169" i="10"/>
  <c r="E168" i="10"/>
  <c r="E167" i="10"/>
  <c r="E166" i="10"/>
  <c r="E165" i="10"/>
  <c r="E164" i="10"/>
  <c r="E163" i="10"/>
  <c r="E162" i="10"/>
  <c r="E161" i="10"/>
  <c r="E160" i="10"/>
  <c r="E159" i="10"/>
  <c r="E158" i="10"/>
  <c r="E157" i="10"/>
  <c r="E156" i="10"/>
  <c r="E155" i="10"/>
  <c r="E154" i="10"/>
  <c r="E153" i="10"/>
  <c r="E152" i="10"/>
  <c r="E151" i="10"/>
  <c r="E150" i="10"/>
  <c r="E149" i="10"/>
  <c r="E148" i="10"/>
  <c r="E147" i="10"/>
  <c r="E146" i="10"/>
  <c r="E145" i="10"/>
  <c r="E144" i="10"/>
  <c r="E143" i="10"/>
  <c r="E142" i="10"/>
  <c r="E141" i="10"/>
  <c r="E140" i="10"/>
  <c r="E139" i="10"/>
  <c r="E138" i="10"/>
  <c r="E137" i="10"/>
  <c r="E136" i="10"/>
  <c r="E135" i="10"/>
  <c r="E134" i="10"/>
  <c r="E133" i="10"/>
  <c r="E132" i="10"/>
  <c r="E131" i="10"/>
  <c r="E130" i="10"/>
  <c r="E129" i="10"/>
  <c r="E128" i="10"/>
  <c r="E127" i="10"/>
  <c r="E126" i="10"/>
  <c r="E125" i="10"/>
  <c r="E124" i="10"/>
  <c r="E123" i="10"/>
  <c r="E122" i="10"/>
  <c r="E121" i="10"/>
  <c r="E120" i="10"/>
  <c r="E119" i="10"/>
  <c r="E118" i="10"/>
  <c r="E117" i="10"/>
  <c r="E116" i="10"/>
  <c r="E115" i="10"/>
  <c r="E114" i="10"/>
  <c r="E113" i="10"/>
  <c r="E112" i="10"/>
  <c r="E111" i="10"/>
  <c r="E110" i="10"/>
  <c r="E109" i="10"/>
  <c r="E108" i="10"/>
  <c r="E107" i="10"/>
  <c r="E106" i="10"/>
  <c r="E105" i="10"/>
  <c r="E104" i="10"/>
  <c r="E103" i="10"/>
  <c r="E102" i="10"/>
  <c r="E101" i="10"/>
  <c r="E100" i="10"/>
  <c r="E99" i="10"/>
  <c r="E98" i="10"/>
  <c r="E97" i="10"/>
  <c r="E96" i="10"/>
  <c r="E95" i="10"/>
  <c r="E94" i="10"/>
  <c r="E93" i="10"/>
  <c r="E92" i="10"/>
  <c r="E91" i="10"/>
  <c r="E90" i="10"/>
  <c r="E89" i="10"/>
  <c r="E88" i="10"/>
  <c r="E87" i="10"/>
  <c r="E86" i="10"/>
  <c r="E85" i="10"/>
  <c r="E84" i="10"/>
  <c r="E83" i="10"/>
  <c r="E82" i="10"/>
  <c r="E81" i="10"/>
  <c r="E80" i="10"/>
  <c r="E79" i="10"/>
  <c r="E78" i="10"/>
  <c r="E77" i="10"/>
  <c r="E76" i="10"/>
  <c r="E75" i="10"/>
  <c r="E74" i="10"/>
  <c r="E73" i="10"/>
  <c r="E72" i="10"/>
  <c r="E71" i="10"/>
  <c r="E70" i="10"/>
  <c r="E69" i="10"/>
  <c r="E68" i="10"/>
  <c r="E67" i="10"/>
  <c r="E66" i="10"/>
  <c r="E65" i="10"/>
  <c r="E64" i="10"/>
  <c r="E63" i="10"/>
  <c r="E62" i="10"/>
  <c r="E61" i="10"/>
  <c r="E60" i="10"/>
  <c r="E59" i="10"/>
  <c r="E58" i="10"/>
  <c r="E57" i="10"/>
  <c r="E56" i="10"/>
  <c r="E55" i="10"/>
  <c r="E54" i="10"/>
  <c r="E53" i="10"/>
  <c r="E52" i="10"/>
  <c r="E51" i="10"/>
  <c r="E50" i="10"/>
  <c r="E49" i="10"/>
  <c r="E48" i="10"/>
  <c r="E47" i="10"/>
  <c r="E46" i="10"/>
  <c r="E45" i="10"/>
  <c r="E44" i="10"/>
  <c r="E43" i="10"/>
  <c r="E42" i="10"/>
  <c r="E41" i="10"/>
  <c r="E40" i="10"/>
  <c r="E39" i="10"/>
  <c r="E38" i="10"/>
  <c r="E37" i="10"/>
  <c r="E36" i="10"/>
  <c r="E35" i="10"/>
  <c r="E34" i="10"/>
  <c r="E33" i="10"/>
  <c r="E32" i="10"/>
  <c r="E31" i="10"/>
  <c r="E30" i="10"/>
  <c r="E29" i="10"/>
  <c r="E28" i="10"/>
  <c r="E27" i="10"/>
  <c r="E26" i="10"/>
  <c r="E25" i="10"/>
  <c r="E24" i="10"/>
  <c r="E23" i="10"/>
  <c r="E22" i="10"/>
  <c r="E21" i="10"/>
  <c r="E20" i="10"/>
  <c r="E19" i="10"/>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37" i="12"/>
  <c r="C38" i="12"/>
  <c r="C39" i="12"/>
  <c r="C40" i="12"/>
  <c r="C41" i="12"/>
  <c r="C42" i="12"/>
  <c r="C43" i="12"/>
  <c r="C44" i="12"/>
  <c r="C45" i="12"/>
  <c r="C46" i="12"/>
  <c r="C47" i="12"/>
  <c r="C48" i="12"/>
  <c r="C49" i="12"/>
  <c r="C50" i="12"/>
  <c r="C51" i="12"/>
  <c r="C52" i="12"/>
  <c r="C53" i="12"/>
  <c r="C54" i="12"/>
  <c r="C55" i="12"/>
  <c r="C56" i="12"/>
  <c r="C57" i="12"/>
  <c r="C58" i="12"/>
  <c r="C59" i="12"/>
  <c r="C60" i="12"/>
  <c r="C61" i="12"/>
  <c r="C62" i="12"/>
  <c r="C63" i="12"/>
  <c r="C64" i="12"/>
  <c r="C65" i="12"/>
  <c r="C66" i="12"/>
  <c r="C67" i="12"/>
  <c r="C68" i="12"/>
  <c r="C69" i="12"/>
  <c r="C70" i="12"/>
  <c r="C71" i="12"/>
  <c r="C72" i="12"/>
  <c r="C73" i="12"/>
  <c r="C74" i="12"/>
  <c r="C75" i="12"/>
  <c r="C76" i="12"/>
  <c r="C77" i="12"/>
  <c r="C78" i="12"/>
  <c r="C79" i="12"/>
  <c r="C80" i="12"/>
  <c r="C81" i="12"/>
  <c r="C82" i="12"/>
  <c r="C83" i="12"/>
  <c r="C84" i="12"/>
  <c r="C85" i="12"/>
  <c r="C86" i="12"/>
  <c r="C87" i="12"/>
  <c r="C88" i="12"/>
  <c r="C89" i="12"/>
  <c r="C90" i="12"/>
  <c r="C91" i="12"/>
  <c r="C92" i="12"/>
  <c r="C93" i="12"/>
  <c r="C94" i="12"/>
  <c r="C95" i="12"/>
  <c r="C96" i="12"/>
  <c r="C97" i="12"/>
  <c r="C98" i="12"/>
  <c r="C99" i="12"/>
  <c r="C100" i="12"/>
  <c r="C101" i="12"/>
  <c r="C102" i="12"/>
  <c r="C103" i="12"/>
  <c r="C104" i="12"/>
  <c r="C105" i="12"/>
  <c r="C106" i="12"/>
  <c r="C107" i="12"/>
  <c r="C108" i="12"/>
  <c r="C109" i="12"/>
  <c r="C110" i="12"/>
  <c r="C111" i="12"/>
  <c r="C112" i="12"/>
  <c r="C113" i="12"/>
  <c r="C114" i="12"/>
  <c r="C115" i="12"/>
  <c r="C116" i="12"/>
  <c r="C117" i="12"/>
  <c r="C118" i="12"/>
  <c r="C119" i="12"/>
  <c r="C120" i="12"/>
  <c r="C121" i="12"/>
  <c r="C122" i="12"/>
  <c r="C123" i="12"/>
  <c r="C124" i="12"/>
  <c r="C125" i="12"/>
  <c r="C126" i="12"/>
  <c r="C127" i="12"/>
  <c r="C128" i="12"/>
  <c r="C129" i="12"/>
  <c r="C130" i="12"/>
  <c r="C131" i="12"/>
  <c r="C132" i="12"/>
  <c r="C133" i="12"/>
  <c r="C134" i="12"/>
  <c r="C135" i="12"/>
  <c r="C136" i="12"/>
  <c r="C137" i="12"/>
  <c r="C138" i="12"/>
  <c r="C139" i="12"/>
  <c r="C140" i="12"/>
  <c r="C141" i="12"/>
  <c r="C142" i="12"/>
  <c r="C143" i="12"/>
  <c r="C144" i="12"/>
  <c r="C145" i="12"/>
  <c r="C146" i="12"/>
  <c r="C147" i="12"/>
  <c r="C148" i="12"/>
  <c r="C149" i="12"/>
  <c r="C150" i="12"/>
  <c r="C151" i="12"/>
  <c r="C152" i="12"/>
  <c r="C153" i="12"/>
  <c r="C154" i="12"/>
  <c r="C155" i="12"/>
  <c r="C156" i="12"/>
  <c r="C157" i="12"/>
  <c r="C158" i="12"/>
  <c r="C159" i="12"/>
  <c r="C160" i="12"/>
  <c r="C161" i="12"/>
  <c r="C162" i="12"/>
  <c r="C163" i="12"/>
  <c r="C164" i="12"/>
  <c r="C165" i="12"/>
  <c r="C166" i="12"/>
  <c r="C167" i="12"/>
  <c r="C168" i="12"/>
  <c r="C169" i="12"/>
  <c r="C170" i="12"/>
  <c r="C171" i="12"/>
  <c r="C172" i="12"/>
  <c r="C173" i="12"/>
  <c r="C174" i="12"/>
  <c r="C175" i="12"/>
  <c r="C176" i="12"/>
  <c r="C177" i="12"/>
  <c r="C178" i="12"/>
  <c r="C179" i="12"/>
  <c r="C180" i="12"/>
  <c r="C181" i="12"/>
  <c r="C182" i="12"/>
  <c r="C183" i="12"/>
  <c r="C184" i="12"/>
  <c r="C185" i="12"/>
  <c r="C186" i="12"/>
  <c r="C187" i="12"/>
  <c r="C188" i="12"/>
  <c r="C189" i="12"/>
  <c r="C190" i="12"/>
  <c r="C191" i="12"/>
  <c r="C192" i="12"/>
  <c r="C193" i="12"/>
  <c r="C194" i="12"/>
  <c r="C195" i="12"/>
  <c r="C196" i="12"/>
  <c r="C197" i="12"/>
  <c r="C198" i="12"/>
  <c r="C199" i="12"/>
  <c r="C200" i="12"/>
  <c r="C201" i="12"/>
  <c r="C202" i="12"/>
  <c r="C203" i="12"/>
  <c r="C204" i="12"/>
  <c r="C205" i="12"/>
  <c r="C206" i="12"/>
  <c r="C207" i="12"/>
  <c r="C208" i="12"/>
  <c r="C209" i="12"/>
  <c r="C210" i="12"/>
  <c r="C211" i="12"/>
  <c r="C212" i="12"/>
  <c r="C213" i="12"/>
  <c r="C214" i="12"/>
  <c r="C215" i="12"/>
  <c r="C216" i="12"/>
  <c r="C217" i="12"/>
  <c r="C218" i="12"/>
  <c r="C219" i="12"/>
  <c r="C220" i="12"/>
  <c r="C221" i="12"/>
  <c r="C222" i="12"/>
  <c r="C223" i="12"/>
  <c r="C224" i="12"/>
  <c r="C225" i="12"/>
  <c r="C226" i="12"/>
  <c r="C227" i="12"/>
  <c r="C228" i="12"/>
  <c r="C229" i="12"/>
  <c r="C230" i="12"/>
  <c r="C231" i="12"/>
  <c r="C232" i="12"/>
  <c r="C233" i="12"/>
  <c r="C234" i="12"/>
  <c r="C235" i="12"/>
  <c r="C236" i="12"/>
  <c r="C237" i="12"/>
  <c r="C238" i="12"/>
  <c r="C239" i="12"/>
  <c r="C240" i="12"/>
  <c r="C241" i="12"/>
  <c r="C242" i="12"/>
  <c r="C243" i="12"/>
  <c r="C244" i="12"/>
  <c r="C245" i="12"/>
  <c r="C246" i="12"/>
  <c r="C247" i="12"/>
  <c r="C248" i="12"/>
  <c r="C249" i="12"/>
  <c r="C250" i="12"/>
  <c r="C251" i="12"/>
  <c r="C252" i="12"/>
  <c r="C253" i="12"/>
  <c r="C254" i="12"/>
  <c r="C255" i="12"/>
  <c r="C256" i="12"/>
  <c r="C257" i="12"/>
  <c r="C258" i="12"/>
  <c r="C259" i="12"/>
  <c r="C260" i="12"/>
  <c r="C261" i="12"/>
  <c r="C262" i="12"/>
  <c r="C263" i="12"/>
  <c r="C264" i="12"/>
  <c r="C265" i="12"/>
  <c r="C266" i="12"/>
  <c r="C267" i="12"/>
  <c r="C268" i="12"/>
  <c r="C269" i="12"/>
  <c r="C270" i="12"/>
  <c r="C271" i="12"/>
  <c r="C272" i="12"/>
  <c r="C273" i="12"/>
  <c r="C274" i="12"/>
  <c r="C275" i="12"/>
  <c r="C276" i="12"/>
  <c r="C277" i="12"/>
  <c r="C278" i="12"/>
  <c r="C279" i="12"/>
  <c r="C280" i="12"/>
  <c r="C281" i="12"/>
  <c r="C282" i="12"/>
  <c r="C283" i="12"/>
  <c r="C284" i="12"/>
  <c r="C285" i="12"/>
  <c r="C286" i="12"/>
  <c r="C287" i="12"/>
  <c r="C288" i="12"/>
  <c r="C289" i="12"/>
  <c r="C290" i="12"/>
  <c r="C291" i="12"/>
  <c r="C292" i="12"/>
  <c r="C293" i="12"/>
  <c r="C294" i="12"/>
  <c r="C295" i="12"/>
  <c r="C296" i="12"/>
  <c r="C297" i="12"/>
  <c r="C298" i="12"/>
  <c r="C299" i="12"/>
  <c r="C300" i="12"/>
  <c r="C301" i="12"/>
  <c r="C302" i="12"/>
  <c r="C303" i="12"/>
  <c r="C304" i="12"/>
  <c r="C305" i="12"/>
  <c r="C306" i="12"/>
  <c r="C307" i="12"/>
  <c r="C308" i="12"/>
  <c r="C309" i="12"/>
  <c r="C310" i="12"/>
  <c r="C311" i="12"/>
  <c r="C312" i="12"/>
  <c r="C313" i="12"/>
  <c r="C314" i="12"/>
  <c r="C315" i="12"/>
  <c r="C316" i="12"/>
  <c r="C317" i="12"/>
  <c r="C318" i="12"/>
  <c r="C319" i="12"/>
  <c r="C320" i="12"/>
  <c r="C321" i="12"/>
  <c r="C322" i="12"/>
  <c r="C323" i="12"/>
  <c r="C324" i="12"/>
  <c r="C325" i="12"/>
  <c r="C326" i="12"/>
  <c r="C327" i="12"/>
  <c r="C328" i="12"/>
  <c r="C329" i="12"/>
  <c r="C330" i="12"/>
  <c r="C331" i="12"/>
  <c r="C332" i="12"/>
  <c r="C333" i="12"/>
  <c r="C334" i="12"/>
  <c r="C335" i="12"/>
  <c r="C336" i="12"/>
  <c r="C337" i="12"/>
  <c r="C338" i="12"/>
  <c r="C339" i="12"/>
  <c r="C340" i="12"/>
  <c r="C341" i="12"/>
  <c r="C342" i="12"/>
  <c r="C343" i="12"/>
  <c r="C344" i="12"/>
  <c r="C345" i="12"/>
  <c r="C346" i="12"/>
  <c r="C347" i="12"/>
  <c r="C348" i="12"/>
  <c r="C349" i="12"/>
  <c r="C350" i="12"/>
  <c r="C351" i="12"/>
  <c r="C352" i="12"/>
  <c r="C353" i="12"/>
  <c r="C354" i="12"/>
  <c r="C355" i="12"/>
  <c r="C356" i="12"/>
  <c r="C357" i="12"/>
  <c r="C358" i="12"/>
  <c r="C359" i="12"/>
  <c r="C360" i="12"/>
  <c r="C361" i="12"/>
  <c r="C362" i="12"/>
  <c r="C363" i="12"/>
  <c r="C364" i="12"/>
  <c r="C365" i="12"/>
  <c r="C366" i="12"/>
  <c r="C367" i="12"/>
  <c r="C368" i="12"/>
  <c r="C369" i="12"/>
  <c r="C370" i="12"/>
  <c r="C371" i="12"/>
  <c r="C372" i="12"/>
  <c r="C373" i="12"/>
  <c r="C374" i="12"/>
  <c r="C375" i="12"/>
  <c r="C376" i="12"/>
  <c r="C377" i="12"/>
  <c r="C378" i="12"/>
  <c r="C379" i="12"/>
  <c r="C380" i="12"/>
  <c r="C381" i="12"/>
  <c r="C382" i="12"/>
  <c r="C383" i="12"/>
  <c r="C384" i="12"/>
  <c r="C385" i="12"/>
  <c r="C386" i="12"/>
  <c r="C387" i="12"/>
  <c r="C388" i="12"/>
  <c r="C389" i="12"/>
  <c r="C390" i="12"/>
  <c r="C391" i="12"/>
  <c r="C392" i="12"/>
  <c r="C393" i="12"/>
  <c r="C394" i="12"/>
  <c r="C395" i="12"/>
  <c r="C396" i="12"/>
  <c r="C397" i="12"/>
  <c r="C398" i="12"/>
  <c r="C399" i="12"/>
  <c r="C400" i="12"/>
  <c r="C401" i="12"/>
  <c r="C402" i="12"/>
  <c r="C403" i="12"/>
  <c r="C404" i="12"/>
  <c r="C405" i="12"/>
  <c r="C406" i="12"/>
  <c r="C407" i="12"/>
  <c r="C408" i="12"/>
  <c r="C409" i="12"/>
  <c r="C410" i="12"/>
  <c r="C411" i="12"/>
  <c r="C412" i="12"/>
  <c r="C413" i="12"/>
  <c r="C414" i="12"/>
  <c r="C415" i="12"/>
  <c r="C416" i="12"/>
  <c r="C417" i="12"/>
  <c r="C418" i="12"/>
  <c r="C419" i="12"/>
  <c r="C420" i="12"/>
  <c r="C421" i="12"/>
  <c r="C422" i="12"/>
  <c r="C423" i="12"/>
  <c r="C424" i="12"/>
  <c r="C425" i="12"/>
  <c r="C426" i="12"/>
  <c r="C427" i="12"/>
  <c r="C428" i="12"/>
  <c r="C429" i="12"/>
  <c r="C430" i="12"/>
  <c r="C431" i="12"/>
  <c r="C432" i="12"/>
  <c r="C433" i="12"/>
  <c r="C434" i="12"/>
  <c r="C435" i="12"/>
  <c r="C436" i="12"/>
  <c r="C437" i="12"/>
  <c r="C438" i="12"/>
  <c r="C439" i="12"/>
  <c r="C440" i="12"/>
  <c r="C441" i="12"/>
  <c r="C442" i="12"/>
  <c r="C443" i="12"/>
  <c r="C444" i="12"/>
  <c r="C445" i="12"/>
  <c r="C446" i="12"/>
  <c r="C447" i="12"/>
  <c r="C448" i="12"/>
  <c r="C449" i="12"/>
  <c r="C450" i="12"/>
  <c r="C451" i="12"/>
  <c r="C452" i="12"/>
  <c r="C453" i="12"/>
  <c r="C454" i="12"/>
  <c r="C455" i="12"/>
  <c r="C456" i="12"/>
  <c r="C457" i="12"/>
  <c r="C458" i="12"/>
  <c r="C459" i="12"/>
  <c r="C460" i="12"/>
  <c r="C461" i="12"/>
  <c r="C462" i="12"/>
  <c r="C463" i="12"/>
  <c r="C464" i="12"/>
  <c r="C465" i="12"/>
  <c r="C466" i="12"/>
  <c r="C467" i="12"/>
  <c r="C468" i="12"/>
  <c r="C469" i="12"/>
  <c r="C470" i="12"/>
  <c r="C471" i="12"/>
  <c r="C472" i="12"/>
  <c r="C473" i="12"/>
  <c r="C474" i="12"/>
  <c r="C475" i="12"/>
  <c r="C476" i="12"/>
  <c r="C477" i="12"/>
  <c r="C478" i="12"/>
  <c r="C479" i="12"/>
  <c r="C480" i="12"/>
  <c r="C481" i="12"/>
  <c r="C482" i="12"/>
  <c r="C483" i="12"/>
  <c r="C484" i="12"/>
  <c r="C485" i="12"/>
  <c r="C486" i="12"/>
  <c r="C487" i="12"/>
  <c r="C488" i="12"/>
  <c r="C489" i="12"/>
  <c r="C490" i="12"/>
  <c r="C491" i="12"/>
  <c r="C492" i="12"/>
  <c r="C493" i="12"/>
  <c r="C494" i="12"/>
  <c r="C495" i="12"/>
  <c r="C496" i="12"/>
  <c r="C497" i="12"/>
  <c r="C498" i="12"/>
  <c r="C499" i="12"/>
  <c r="C500" i="12"/>
  <c r="C501" i="12"/>
  <c r="C502" i="12"/>
  <c r="C503" i="12"/>
  <c r="C504" i="12"/>
  <c r="C505" i="12"/>
  <c r="C506" i="12"/>
  <c r="C507" i="12"/>
  <c r="C508" i="12"/>
  <c r="C509" i="12"/>
  <c r="C510" i="12"/>
  <c r="C511" i="12"/>
  <c r="C512" i="12"/>
  <c r="C513" i="12"/>
  <c r="C514" i="12"/>
  <c r="C515" i="12"/>
  <c r="C516" i="12"/>
  <c r="C517" i="12"/>
  <c r="C518" i="12"/>
  <c r="C519" i="12"/>
  <c r="C520" i="12"/>
  <c r="C521" i="12"/>
  <c r="C522" i="12"/>
  <c r="C523" i="12"/>
  <c r="C524" i="12"/>
  <c r="C525" i="12"/>
  <c r="C526" i="12"/>
  <c r="C527" i="12"/>
  <c r="C528" i="12"/>
  <c r="C529" i="12"/>
  <c r="C530" i="12"/>
  <c r="C531" i="12"/>
  <c r="C532" i="12"/>
  <c r="C533" i="12"/>
  <c r="C534" i="12"/>
  <c r="C535" i="12"/>
  <c r="C536" i="12"/>
  <c r="C537" i="12"/>
  <c r="C538" i="12"/>
  <c r="C539" i="12"/>
  <c r="C540" i="12"/>
  <c r="C541" i="12"/>
  <c r="C542" i="12"/>
  <c r="C543" i="12"/>
  <c r="C544" i="12"/>
  <c r="C545" i="12"/>
  <c r="C546" i="12"/>
  <c r="C547" i="12"/>
  <c r="C548" i="12"/>
  <c r="C549" i="12"/>
  <c r="C550" i="12"/>
  <c r="C551" i="12"/>
  <c r="C552" i="12"/>
  <c r="C553" i="12"/>
  <c r="C554" i="12"/>
  <c r="C555" i="12"/>
  <c r="C556" i="12"/>
  <c r="C557" i="12"/>
  <c r="C558" i="12"/>
  <c r="C559" i="12"/>
  <c r="C560" i="12"/>
  <c r="C561" i="12"/>
  <c r="C562" i="12"/>
  <c r="C563" i="12"/>
  <c r="C564" i="12"/>
  <c r="C565" i="12"/>
  <c r="C566" i="12"/>
  <c r="C567" i="12"/>
  <c r="C568" i="12"/>
  <c r="C569" i="12"/>
  <c r="C570" i="12"/>
  <c r="C571" i="12"/>
  <c r="C572" i="12"/>
  <c r="C573" i="12"/>
  <c r="C574" i="12"/>
  <c r="C575" i="12"/>
  <c r="C576" i="12"/>
  <c r="C577" i="12"/>
  <c r="C578" i="12"/>
  <c r="C579" i="12"/>
  <c r="C580" i="12"/>
  <c r="C581" i="12"/>
  <c r="C582" i="12"/>
  <c r="C583" i="12"/>
  <c r="C584" i="12"/>
  <c r="C585" i="12"/>
  <c r="C586" i="12"/>
  <c r="C587" i="12"/>
  <c r="C588" i="12"/>
  <c r="C589" i="12"/>
  <c r="C590" i="12"/>
  <c r="C591" i="12"/>
  <c r="C592" i="12"/>
  <c r="C593" i="12"/>
  <c r="C594" i="12"/>
  <c r="C595" i="12"/>
  <c r="C596" i="12"/>
  <c r="C597" i="12"/>
  <c r="C598" i="12"/>
  <c r="C599" i="12"/>
  <c r="C600" i="12"/>
  <c r="C601" i="12"/>
  <c r="C602" i="12"/>
  <c r="C603" i="12"/>
  <c r="C604" i="12"/>
  <c r="C605" i="12"/>
  <c r="C606" i="12"/>
  <c r="C607" i="12"/>
  <c r="C608" i="12"/>
  <c r="C609" i="12"/>
  <c r="C610" i="12"/>
  <c r="C611" i="12"/>
  <c r="C612" i="12"/>
  <c r="C613" i="12"/>
  <c r="C614" i="12"/>
  <c r="C615" i="12"/>
  <c r="C616" i="12"/>
  <c r="C617" i="12"/>
  <c r="C618" i="12"/>
  <c r="C619" i="12"/>
  <c r="C620" i="12"/>
  <c r="C621" i="12"/>
  <c r="C622" i="12"/>
  <c r="C623" i="12"/>
  <c r="C624" i="12"/>
  <c r="C625" i="12"/>
  <c r="C626" i="12"/>
  <c r="C627" i="12"/>
  <c r="C628" i="12"/>
  <c r="C629" i="12"/>
  <c r="C630" i="12"/>
  <c r="C631" i="12"/>
  <c r="C632" i="12"/>
  <c r="C633" i="12"/>
  <c r="C634" i="12"/>
  <c r="C635" i="12"/>
  <c r="C636" i="12"/>
  <c r="C637" i="12"/>
  <c r="C638" i="12"/>
  <c r="C639" i="12"/>
  <c r="C640" i="12"/>
  <c r="C641" i="12"/>
  <c r="C642" i="12"/>
  <c r="C643" i="12"/>
  <c r="C644" i="12"/>
  <c r="C645" i="12"/>
  <c r="C646" i="12"/>
  <c r="C647" i="12"/>
  <c r="C648" i="12"/>
  <c r="C649" i="12"/>
  <c r="C650" i="12"/>
  <c r="C651" i="12"/>
  <c r="C652" i="12"/>
  <c r="C653" i="12"/>
  <c r="C654" i="12"/>
  <c r="C655" i="12"/>
  <c r="C656" i="12"/>
  <c r="C657" i="12"/>
  <c r="C658" i="12"/>
  <c r="C659" i="12"/>
  <c r="C660" i="12"/>
  <c r="C661" i="12"/>
  <c r="C662" i="12"/>
  <c r="C663" i="12"/>
  <c r="C664" i="12"/>
  <c r="C665" i="12"/>
  <c r="C666" i="12"/>
  <c r="C667" i="12"/>
  <c r="C668" i="12"/>
  <c r="C669" i="12"/>
  <c r="C670" i="12"/>
  <c r="C671" i="12"/>
  <c r="C672" i="12"/>
  <c r="C673" i="12"/>
  <c r="C674" i="12"/>
  <c r="C675" i="12"/>
  <c r="C676" i="12"/>
  <c r="C677" i="12"/>
  <c r="C678" i="12"/>
  <c r="C679" i="12"/>
  <c r="C680" i="12"/>
  <c r="C681" i="12"/>
  <c r="C682" i="12"/>
  <c r="C683" i="12"/>
  <c r="C684" i="12"/>
  <c r="C685" i="12"/>
  <c r="C686" i="12"/>
  <c r="C687" i="12"/>
  <c r="C688" i="12"/>
  <c r="C689" i="12"/>
  <c r="C690" i="12"/>
  <c r="C691" i="12"/>
  <c r="C692" i="12"/>
  <c r="C693" i="12"/>
  <c r="C694" i="12"/>
  <c r="C695" i="12"/>
  <c r="C696" i="12"/>
  <c r="C697" i="12"/>
  <c r="C698" i="12"/>
  <c r="C699" i="12"/>
  <c r="C700" i="12"/>
  <c r="C701" i="12"/>
  <c r="C702" i="12"/>
  <c r="C703" i="12"/>
  <c r="C704" i="12"/>
  <c r="C705" i="12"/>
  <c r="C706" i="12"/>
  <c r="C707" i="12"/>
  <c r="C708" i="12"/>
  <c r="C709" i="12"/>
  <c r="C710" i="12"/>
  <c r="C711" i="12"/>
  <c r="C712" i="12"/>
  <c r="C713" i="12"/>
  <c r="C714" i="12"/>
  <c r="C715" i="12"/>
  <c r="C716" i="12"/>
  <c r="C717" i="12"/>
  <c r="C718" i="12"/>
  <c r="C719" i="12"/>
  <c r="C720" i="12"/>
  <c r="C721" i="12"/>
  <c r="C722" i="12"/>
  <c r="C723" i="12"/>
  <c r="C724" i="12"/>
  <c r="C725" i="12"/>
  <c r="C726" i="12"/>
  <c r="C727" i="12"/>
  <c r="C728" i="12"/>
  <c r="C729" i="12"/>
  <c r="C730" i="12"/>
  <c r="C731" i="12"/>
  <c r="C732" i="12"/>
  <c r="C733" i="12"/>
  <c r="C734" i="12"/>
  <c r="C735" i="12"/>
  <c r="C736" i="12"/>
  <c r="C737" i="12"/>
  <c r="C738" i="12"/>
  <c r="C739" i="12"/>
  <c r="C740" i="12"/>
  <c r="C741" i="12"/>
  <c r="C742" i="12"/>
  <c r="C743" i="12"/>
  <c r="C744" i="12"/>
  <c r="C745" i="12"/>
  <c r="C746" i="12"/>
  <c r="C747" i="12"/>
  <c r="C748" i="12"/>
  <c r="C749" i="12"/>
  <c r="C750" i="12"/>
  <c r="C751" i="12"/>
  <c r="C752" i="12"/>
  <c r="C753" i="12"/>
  <c r="C754" i="12"/>
  <c r="C755" i="12"/>
  <c r="C756" i="12"/>
  <c r="C757" i="12"/>
  <c r="C758" i="12"/>
  <c r="C759" i="12"/>
  <c r="C760" i="12"/>
  <c r="C761" i="12"/>
  <c r="C762" i="12"/>
  <c r="C763" i="12"/>
  <c r="C764" i="12"/>
  <c r="C765" i="12"/>
  <c r="C766" i="12"/>
  <c r="C767" i="12"/>
  <c r="C768" i="12"/>
  <c r="C769" i="12"/>
  <c r="C770" i="12"/>
  <c r="C771" i="12"/>
  <c r="C772" i="12"/>
  <c r="C773" i="12"/>
  <c r="C774" i="12"/>
  <c r="C775" i="12"/>
  <c r="C776" i="12"/>
  <c r="C777" i="12"/>
  <c r="C778" i="12"/>
  <c r="C779" i="12"/>
  <c r="C780" i="12"/>
  <c r="C781" i="12"/>
  <c r="C782" i="12"/>
  <c r="C783" i="12"/>
  <c r="C784" i="12"/>
  <c r="C785" i="12"/>
  <c r="C786" i="12"/>
  <c r="C787" i="12"/>
  <c r="C788" i="12"/>
  <c r="C789" i="12"/>
  <c r="C790" i="12"/>
  <c r="C791" i="12"/>
  <c r="C792" i="12"/>
  <c r="C793" i="12"/>
  <c r="C794" i="12"/>
  <c r="C795" i="12"/>
  <c r="C796" i="12"/>
  <c r="C797" i="12"/>
  <c r="C798" i="12"/>
  <c r="C799" i="12"/>
  <c r="C800" i="12"/>
  <c r="C801" i="12"/>
  <c r="C802" i="12"/>
  <c r="C803" i="12"/>
  <c r="C804" i="12"/>
  <c r="C805" i="12"/>
  <c r="C806" i="12"/>
  <c r="C807" i="12"/>
  <c r="C808" i="12"/>
  <c r="C809" i="12"/>
  <c r="C810" i="12"/>
  <c r="C811" i="12"/>
  <c r="C812" i="12"/>
  <c r="C813" i="12"/>
  <c r="C814" i="12"/>
  <c r="C815" i="12"/>
  <c r="C816" i="12"/>
  <c r="C817" i="12"/>
  <c r="C818" i="12"/>
  <c r="C819" i="12"/>
  <c r="C820" i="12"/>
  <c r="C821" i="12"/>
  <c r="C822" i="12"/>
  <c r="C823" i="12"/>
  <c r="C824" i="12"/>
  <c r="C825" i="12"/>
  <c r="C826" i="12"/>
  <c r="C827" i="12"/>
  <c r="C828" i="12"/>
  <c r="C829" i="12"/>
  <c r="C830" i="12"/>
  <c r="C831" i="12"/>
  <c r="C832" i="12"/>
  <c r="C833" i="12"/>
  <c r="C834" i="12"/>
  <c r="C835" i="12"/>
  <c r="C836" i="12"/>
  <c r="C837" i="12"/>
  <c r="C838" i="12"/>
  <c r="C839" i="12"/>
  <c r="C840" i="12"/>
  <c r="C841" i="12"/>
  <c r="C842" i="12"/>
  <c r="C843" i="12"/>
  <c r="C844" i="12"/>
  <c r="C845" i="12"/>
  <c r="C846" i="12"/>
  <c r="C847" i="12"/>
  <c r="C848" i="12"/>
  <c r="C849" i="12"/>
  <c r="C850" i="12"/>
  <c r="C851" i="12"/>
  <c r="C852" i="12"/>
  <c r="C853" i="12"/>
  <c r="C854" i="12"/>
  <c r="C855" i="12"/>
  <c r="C856" i="12"/>
  <c r="C857" i="12"/>
  <c r="C858" i="12"/>
  <c r="C859" i="12"/>
  <c r="C860" i="12"/>
  <c r="C861" i="12"/>
  <c r="C862" i="12"/>
  <c r="C863" i="12"/>
  <c r="C864" i="12"/>
  <c r="C865" i="12"/>
  <c r="C866" i="12"/>
  <c r="C867" i="12"/>
  <c r="C868" i="12"/>
  <c r="C869" i="12"/>
  <c r="C870" i="12"/>
  <c r="C871" i="12"/>
  <c r="C872" i="12"/>
  <c r="C873" i="12"/>
  <c r="C874" i="12"/>
  <c r="C875" i="12"/>
  <c r="C876" i="12"/>
  <c r="C877" i="12"/>
  <c r="C878" i="12"/>
  <c r="C879" i="12"/>
  <c r="C880" i="12"/>
  <c r="C881" i="12"/>
  <c r="C882" i="12"/>
  <c r="C883" i="12"/>
  <c r="C884" i="12"/>
  <c r="C885" i="12"/>
  <c r="C886" i="12"/>
  <c r="C887" i="12"/>
  <c r="C888" i="12"/>
  <c r="C889" i="12"/>
  <c r="C890" i="12"/>
  <c r="C891" i="12"/>
  <c r="C892" i="12"/>
  <c r="C893" i="12"/>
  <c r="C894" i="12"/>
  <c r="C895" i="12"/>
  <c r="C896" i="12"/>
  <c r="C897" i="12"/>
  <c r="C898" i="12"/>
  <c r="C899" i="12"/>
  <c r="C900" i="12"/>
  <c r="C901" i="12"/>
  <c r="C902" i="12"/>
  <c r="C903" i="12"/>
  <c r="C904" i="12"/>
  <c r="C905" i="12"/>
  <c r="C906" i="12"/>
  <c r="C907" i="12"/>
  <c r="C908" i="12"/>
  <c r="C909" i="12"/>
  <c r="C910" i="12"/>
  <c r="C911" i="12"/>
  <c r="C912" i="12"/>
  <c r="C913" i="12"/>
  <c r="C914" i="12"/>
  <c r="C915" i="12"/>
  <c r="C916" i="12"/>
  <c r="C917" i="12"/>
  <c r="C918" i="12"/>
  <c r="C919" i="12"/>
  <c r="C920" i="12"/>
  <c r="C921" i="12"/>
  <c r="C922" i="12"/>
  <c r="C923" i="12"/>
  <c r="C924" i="12"/>
  <c r="C925" i="12"/>
  <c r="C926" i="12"/>
  <c r="C927" i="12"/>
  <c r="C928" i="12"/>
  <c r="C929" i="12"/>
  <c r="C930" i="12"/>
  <c r="C931" i="12"/>
  <c r="C932" i="12"/>
  <c r="C933" i="12"/>
  <c r="C934" i="12"/>
  <c r="C935" i="12"/>
  <c r="C936" i="12"/>
  <c r="C937" i="12"/>
  <c r="C938" i="12"/>
  <c r="C939" i="12"/>
  <c r="C940" i="12"/>
  <c r="C941" i="12"/>
  <c r="C942" i="12"/>
  <c r="C943" i="12"/>
  <c r="C944" i="12"/>
  <c r="C945" i="12"/>
  <c r="C946" i="12"/>
  <c r="C947" i="12"/>
  <c r="C948" i="12"/>
  <c r="C949" i="12"/>
  <c r="C950" i="12"/>
  <c r="C951" i="12"/>
  <c r="C952" i="12"/>
  <c r="C953" i="12"/>
  <c r="C954" i="12"/>
  <c r="C955" i="12"/>
  <c r="C956" i="12"/>
  <c r="C957" i="12"/>
  <c r="C958" i="12"/>
  <c r="C959" i="12"/>
  <c r="C960" i="12"/>
  <c r="C961" i="12"/>
  <c r="C962" i="12"/>
  <c r="C963" i="12"/>
  <c r="C964" i="12"/>
  <c r="C965" i="12"/>
  <c r="C966" i="12"/>
  <c r="C967" i="12"/>
  <c r="C968" i="12"/>
  <c r="C969" i="12"/>
  <c r="C970" i="12"/>
  <c r="C971" i="12"/>
  <c r="C972" i="12"/>
  <c r="C973" i="12"/>
  <c r="C974" i="12"/>
  <c r="C975" i="12"/>
  <c r="C976" i="12"/>
  <c r="C977" i="12"/>
  <c r="C978" i="12"/>
  <c r="C979" i="12"/>
  <c r="C980" i="12"/>
  <c r="C981" i="12"/>
  <c r="C982" i="12"/>
  <c r="C983" i="12"/>
  <c r="C984" i="12"/>
  <c r="C985" i="12"/>
  <c r="C986" i="12"/>
  <c r="C987" i="12"/>
  <c r="C988" i="12"/>
  <c r="C989" i="12"/>
  <c r="C990" i="12"/>
  <c r="C991" i="12"/>
  <c r="C992" i="12"/>
  <c r="C993" i="12"/>
  <c r="C994" i="12"/>
  <c r="C995" i="12"/>
  <c r="C996" i="12"/>
  <c r="C997" i="12"/>
  <c r="C998" i="12"/>
  <c r="C999" i="12"/>
  <c r="C1000" i="12"/>
  <c r="C1001" i="12"/>
  <c r="C1002" i="12"/>
  <c r="C1003" i="12"/>
  <c r="C1004" i="12"/>
  <c r="C1005" i="12"/>
  <c r="C1006" i="12"/>
  <c r="C1007" i="12"/>
  <c r="C1008" i="12"/>
  <c r="C9" i="12"/>
  <c r="D10" i="12" l="1"/>
  <c r="D11" i="12"/>
  <c r="D12" i="12"/>
  <c r="D13" i="12"/>
  <c r="D14" i="12"/>
  <c r="D15" i="12"/>
  <c r="D16" i="12"/>
  <c r="D17" i="12"/>
  <c r="D18" i="12"/>
  <c r="D19" i="12"/>
  <c r="D20" i="12"/>
  <c r="D21" i="12"/>
  <c r="D22" i="12"/>
  <c r="D23" i="12"/>
  <c r="D24" i="12"/>
  <c r="D25" i="12"/>
  <c r="D26" i="12"/>
  <c r="D27" i="12"/>
  <c r="D28" i="12"/>
  <c r="D29" i="12"/>
  <c r="D30" i="12"/>
  <c r="D31" i="12"/>
  <c r="D32" i="12"/>
  <c r="D33" i="12"/>
  <c r="D34" i="12"/>
  <c r="D35" i="12"/>
  <c r="D36" i="12"/>
  <c r="D37" i="12"/>
  <c r="D38" i="12"/>
  <c r="D39" i="12"/>
  <c r="D40" i="12"/>
  <c r="D41" i="12"/>
  <c r="D42" i="12"/>
  <c r="D43" i="12"/>
  <c r="D44" i="12"/>
  <c r="D45" i="12"/>
  <c r="D46" i="12"/>
  <c r="D47" i="12"/>
  <c r="D48" i="12"/>
  <c r="D49" i="12"/>
  <c r="D50" i="12"/>
  <c r="D51" i="12"/>
  <c r="D52" i="12"/>
  <c r="D53" i="12"/>
  <c r="D54" i="12"/>
  <c r="D55" i="12"/>
  <c r="D56" i="12"/>
  <c r="D57" i="12"/>
  <c r="D58" i="12"/>
  <c r="D59" i="12"/>
  <c r="D60" i="12"/>
  <c r="D61" i="12"/>
  <c r="D62" i="12"/>
  <c r="D63" i="12"/>
  <c r="D64" i="12"/>
  <c r="D65" i="12"/>
  <c r="D66" i="12"/>
  <c r="D67" i="12"/>
  <c r="D68" i="12"/>
  <c r="D69" i="12"/>
  <c r="D70" i="12"/>
  <c r="D71" i="12"/>
  <c r="D72" i="12"/>
  <c r="D73" i="12"/>
  <c r="D74" i="12"/>
  <c r="D75" i="12"/>
  <c r="D76" i="12"/>
  <c r="D77" i="12"/>
  <c r="D78" i="12"/>
  <c r="D79" i="12"/>
  <c r="D80" i="12"/>
  <c r="D81" i="12"/>
  <c r="D82" i="12"/>
  <c r="D83" i="12"/>
  <c r="D84" i="12"/>
  <c r="D85" i="12"/>
  <c r="D86" i="12"/>
  <c r="D87" i="12"/>
  <c r="D88" i="12"/>
  <c r="D89" i="12"/>
  <c r="D90" i="12"/>
  <c r="D91" i="12"/>
  <c r="D92" i="12"/>
  <c r="D93" i="12"/>
  <c r="D94" i="12"/>
  <c r="D95" i="12"/>
  <c r="D96" i="12"/>
  <c r="D97" i="12"/>
  <c r="D98" i="12"/>
  <c r="D99" i="12"/>
  <c r="D100" i="12"/>
  <c r="D101" i="12"/>
  <c r="D102" i="12"/>
  <c r="D103" i="12"/>
  <c r="D104" i="12"/>
  <c r="D105" i="12"/>
  <c r="D106" i="12"/>
  <c r="D107" i="12"/>
  <c r="D108" i="12"/>
  <c r="D109" i="12"/>
  <c r="D110" i="12"/>
  <c r="D111" i="12"/>
  <c r="D112" i="12"/>
  <c r="D113" i="12"/>
  <c r="D114" i="12"/>
  <c r="D115" i="12"/>
  <c r="D116" i="12"/>
  <c r="D117" i="12"/>
  <c r="D118" i="12"/>
  <c r="D119" i="12"/>
  <c r="D120" i="12"/>
  <c r="D121" i="12"/>
  <c r="D122" i="12"/>
  <c r="D123" i="12"/>
  <c r="D124" i="12"/>
  <c r="D125" i="12"/>
  <c r="D126" i="12"/>
  <c r="D127" i="12"/>
  <c r="D128" i="12"/>
  <c r="D129" i="12"/>
  <c r="D130" i="12"/>
  <c r="D131" i="12"/>
  <c r="D132" i="12"/>
  <c r="D133" i="12"/>
  <c r="D134" i="12"/>
  <c r="D135" i="12"/>
  <c r="D136" i="12"/>
  <c r="D137" i="12"/>
  <c r="D138" i="12"/>
  <c r="D139" i="12"/>
  <c r="D140" i="12"/>
  <c r="D141" i="12"/>
  <c r="D142" i="12"/>
  <c r="D143" i="12"/>
  <c r="D144" i="12"/>
  <c r="D145" i="12"/>
  <c r="D146" i="12"/>
  <c r="D147" i="12"/>
  <c r="D148" i="12"/>
  <c r="D149" i="12"/>
  <c r="D150" i="12"/>
  <c r="D151" i="12"/>
  <c r="D152" i="12"/>
  <c r="D153" i="12"/>
  <c r="D154" i="12"/>
  <c r="D155" i="12"/>
  <c r="D156" i="12"/>
  <c r="D157" i="12"/>
  <c r="D158" i="12"/>
  <c r="D159" i="12"/>
  <c r="D160" i="12"/>
  <c r="D161" i="12"/>
  <c r="D162" i="12"/>
  <c r="D163" i="12"/>
  <c r="D164" i="12"/>
  <c r="D165" i="12"/>
  <c r="D166" i="12"/>
  <c r="D167" i="12"/>
  <c r="D168" i="12"/>
  <c r="D169" i="12"/>
  <c r="D170" i="12"/>
  <c r="D171" i="12"/>
  <c r="D172" i="12"/>
  <c r="D173" i="12"/>
  <c r="D174" i="12"/>
  <c r="D175" i="12"/>
  <c r="D176" i="12"/>
  <c r="D177" i="12"/>
  <c r="D178" i="12"/>
  <c r="D179" i="12"/>
  <c r="D180" i="12"/>
  <c r="D181" i="12"/>
  <c r="D182" i="12"/>
  <c r="D183" i="12"/>
  <c r="D184" i="12"/>
  <c r="D185" i="12"/>
  <c r="D186" i="12"/>
  <c r="D187" i="12"/>
  <c r="D188" i="12"/>
  <c r="D189" i="12"/>
  <c r="D190" i="12"/>
  <c r="D191" i="12"/>
  <c r="D192" i="12"/>
  <c r="D193" i="12"/>
  <c r="D194" i="12"/>
  <c r="D195" i="12"/>
  <c r="D196" i="12"/>
  <c r="D197" i="12"/>
  <c r="D198" i="12"/>
  <c r="D199" i="12"/>
  <c r="D200" i="12"/>
  <c r="D201" i="12"/>
  <c r="D202" i="12"/>
  <c r="D203" i="12"/>
  <c r="D204" i="12"/>
  <c r="D205" i="12"/>
  <c r="D206" i="12"/>
  <c r="D207" i="12"/>
  <c r="D208" i="12"/>
  <c r="D209" i="12"/>
  <c r="D210" i="12"/>
  <c r="D211" i="12"/>
  <c r="D212" i="12"/>
  <c r="D213" i="12"/>
  <c r="D214" i="12"/>
  <c r="D215" i="12"/>
  <c r="D216" i="12"/>
  <c r="D217" i="12"/>
  <c r="D218" i="12"/>
  <c r="D219" i="12"/>
  <c r="D220" i="12"/>
  <c r="D221" i="12"/>
  <c r="D222" i="12"/>
  <c r="D223" i="12"/>
  <c r="D224" i="12"/>
  <c r="D225" i="12"/>
  <c r="D226" i="12"/>
  <c r="D227" i="12"/>
  <c r="D228" i="12"/>
  <c r="D229" i="12"/>
  <c r="D230" i="12"/>
  <c r="D231" i="12"/>
  <c r="D232" i="12"/>
  <c r="D233" i="12"/>
  <c r="D234" i="12"/>
  <c r="D235" i="12"/>
  <c r="D236" i="12"/>
  <c r="D237" i="12"/>
  <c r="D238" i="12"/>
  <c r="D239" i="12"/>
  <c r="D240" i="12"/>
  <c r="D241" i="12"/>
  <c r="D242" i="12"/>
  <c r="D243" i="12"/>
  <c r="D244" i="12"/>
  <c r="D245" i="12"/>
  <c r="D246" i="12"/>
  <c r="D247" i="12"/>
  <c r="D248" i="12"/>
  <c r="D249" i="12"/>
  <c r="D250" i="12"/>
  <c r="D251" i="12"/>
  <c r="D252" i="12"/>
  <c r="D253" i="12"/>
  <c r="D254" i="12"/>
  <c r="D255" i="12"/>
  <c r="D256" i="12"/>
  <c r="D257" i="12"/>
  <c r="D258" i="12"/>
  <c r="D259" i="12"/>
  <c r="D260" i="12"/>
  <c r="D261" i="12"/>
  <c r="D262" i="12"/>
  <c r="D263" i="12"/>
  <c r="D264" i="12"/>
  <c r="D265" i="12"/>
  <c r="D266" i="12"/>
  <c r="D267" i="12"/>
  <c r="D268" i="12"/>
  <c r="D269" i="12"/>
  <c r="D270" i="12"/>
  <c r="D271" i="12"/>
  <c r="D272" i="12"/>
  <c r="D273" i="12"/>
  <c r="D274" i="12"/>
  <c r="D275" i="12"/>
  <c r="D276" i="12"/>
  <c r="D277" i="12"/>
  <c r="D278" i="12"/>
  <c r="D279" i="12"/>
  <c r="D280" i="12"/>
  <c r="D281" i="12"/>
  <c r="D282" i="12"/>
  <c r="D283" i="12"/>
  <c r="D284" i="12"/>
  <c r="D285" i="12"/>
  <c r="D286" i="12"/>
  <c r="D287" i="12"/>
  <c r="D288" i="12"/>
  <c r="D289" i="12"/>
  <c r="D290" i="12"/>
  <c r="D291" i="12"/>
  <c r="D292" i="12"/>
  <c r="D293" i="12"/>
  <c r="D294" i="12"/>
  <c r="D295" i="12"/>
  <c r="D296" i="12"/>
  <c r="D297" i="12"/>
  <c r="D298" i="12"/>
  <c r="D299" i="12"/>
  <c r="D300" i="12"/>
  <c r="D301" i="12"/>
  <c r="D302" i="12"/>
  <c r="D303" i="12"/>
  <c r="D304" i="12"/>
  <c r="D305" i="12"/>
  <c r="D306" i="12"/>
  <c r="D307" i="12"/>
  <c r="D308" i="12"/>
  <c r="D309" i="12"/>
  <c r="D310" i="12"/>
  <c r="D311" i="12"/>
  <c r="D312" i="12"/>
  <c r="D313" i="12"/>
  <c r="D314" i="12"/>
  <c r="D315" i="12"/>
  <c r="D316" i="12"/>
  <c r="D317" i="12"/>
  <c r="D318" i="12"/>
  <c r="D319" i="12"/>
  <c r="D320" i="12"/>
  <c r="D321" i="12"/>
  <c r="D322" i="12"/>
  <c r="D323" i="12"/>
  <c r="D324" i="12"/>
  <c r="D325" i="12"/>
  <c r="D326" i="12"/>
  <c r="D327" i="12"/>
  <c r="D328" i="12"/>
  <c r="D329" i="12"/>
  <c r="D330" i="12"/>
  <c r="D331" i="12"/>
  <c r="D332" i="12"/>
  <c r="D333" i="12"/>
  <c r="D334" i="12"/>
  <c r="D335" i="12"/>
  <c r="D336" i="12"/>
  <c r="D337" i="12"/>
  <c r="D338" i="12"/>
  <c r="D339" i="12"/>
  <c r="D340" i="12"/>
  <c r="D341" i="12"/>
  <c r="D342" i="12"/>
  <c r="D343" i="12"/>
  <c r="D344" i="12"/>
  <c r="D345" i="12"/>
  <c r="D346" i="12"/>
  <c r="D347" i="12"/>
  <c r="D348" i="12"/>
  <c r="D349" i="12"/>
  <c r="D350" i="12"/>
  <c r="D351" i="12"/>
  <c r="D352" i="12"/>
  <c r="D353" i="12"/>
  <c r="D354" i="12"/>
  <c r="D355" i="12"/>
  <c r="D356" i="12"/>
  <c r="D357" i="12"/>
  <c r="D358" i="12"/>
  <c r="D359" i="12"/>
  <c r="D360" i="12"/>
  <c r="D361" i="12"/>
  <c r="D362" i="12"/>
  <c r="D363" i="12"/>
  <c r="D364" i="12"/>
  <c r="D365" i="12"/>
  <c r="D366" i="12"/>
  <c r="D367" i="12"/>
  <c r="D368" i="12"/>
  <c r="D369" i="12"/>
  <c r="D370" i="12"/>
  <c r="D371" i="12"/>
  <c r="D372" i="12"/>
  <c r="D373" i="12"/>
  <c r="D374" i="12"/>
  <c r="D375" i="12"/>
  <c r="D376" i="12"/>
  <c r="D377" i="12"/>
  <c r="D378" i="12"/>
  <c r="D379" i="12"/>
  <c r="D380" i="12"/>
  <c r="D381" i="12"/>
  <c r="D382" i="12"/>
  <c r="D383" i="12"/>
  <c r="D384" i="12"/>
  <c r="D385" i="12"/>
  <c r="D386" i="12"/>
  <c r="D387" i="12"/>
  <c r="D388" i="12"/>
  <c r="D389" i="12"/>
  <c r="D390" i="12"/>
  <c r="D391" i="12"/>
  <c r="D392" i="12"/>
  <c r="D393" i="12"/>
  <c r="D394" i="12"/>
  <c r="D395" i="12"/>
  <c r="D396" i="12"/>
  <c r="D397" i="12"/>
  <c r="D398" i="12"/>
  <c r="D399" i="12"/>
  <c r="D400" i="12"/>
  <c r="D401" i="12"/>
  <c r="D402" i="12"/>
  <c r="D403" i="12"/>
  <c r="D404" i="12"/>
  <c r="D405" i="12"/>
  <c r="D406" i="12"/>
  <c r="D407" i="12"/>
  <c r="D408" i="12"/>
  <c r="D409" i="12"/>
  <c r="D410" i="12"/>
  <c r="D411" i="12"/>
  <c r="D412" i="12"/>
  <c r="D413" i="12"/>
  <c r="D414" i="12"/>
  <c r="D415" i="12"/>
  <c r="D416" i="12"/>
  <c r="D417" i="12"/>
  <c r="D418" i="12"/>
  <c r="D419" i="12"/>
  <c r="D420" i="12"/>
  <c r="D421" i="12"/>
  <c r="D422" i="12"/>
  <c r="D423" i="12"/>
  <c r="D424" i="12"/>
  <c r="D425" i="12"/>
  <c r="D426" i="12"/>
  <c r="D427" i="12"/>
  <c r="D428" i="12"/>
  <c r="D429" i="12"/>
  <c r="D430" i="12"/>
  <c r="D431" i="12"/>
  <c r="D432" i="12"/>
  <c r="D433" i="12"/>
  <c r="D434" i="12"/>
  <c r="D435" i="12"/>
  <c r="D436" i="12"/>
  <c r="D437" i="12"/>
  <c r="D438" i="12"/>
  <c r="D439" i="12"/>
  <c r="D440" i="12"/>
  <c r="D441" i="12"/>
  <c r="D442" i="12"/>
  <c r="D443" i="12"/>
  <c r="D444" i="12"/>
  <c r="D445" i="12"/>
  <c r="D446" i="12"/>
  <c r="D447" i="12"/>
  <c r="D448" i="12"/>
  <c r="D449" i="12"/>
  <c r="D450" i="12"/>
  <c r="D451" i="12"/>
  <c r="D452" i="12"/>
  <c r="D453" i="12"/>
  <c r="D454" i="12"/>
  <c r="D455" i="12"/>
  <c r="D456" i="12"/>
  <c r="D457" i="12"/>
  <c r="D458" i="12"/>
  <c r="D459" i="12"/>
  <c r="D460" i="12"/>
  <c r="D461" i="12"/>
  <c r="D462" i="12"/>
  <c r="D463" i="12"/>
  <c r="D464" i="12"/>
  <c r="D465" i="12"/>
  <c r="D466" i="12"/>
  <c r="D467" i="12"/>
  <c r="D468" i="12"/>
  <c r="D469" i="12"/>
  <c r="D470" i="12"/>
  <c r="D471" i="12"/>
  <c r="D472" i="12"/>
  <c r="D473" i="12"/>
  <c r="D474" i="12"/>
  <c r="D475" i="12"/>
  <c r="D476" i="12"/>
  <c r="D477" i="12"/>
  <c r="D478" i="12"/>
  <c r="D479" i="12"/>
  <c r="D480" i="12"/>
  <c r="D481" i="12"/>
  <c r="D482" i="12"/>
  <c r="D483" i="12"/>
  <c r="D484" i="12"/>
  <c r="D485" i="12"/>
  <c r="D486" i="12"/>
  <c r="D487" i="12"/>
  <c r="D488" i="12"/>
  <c r="D489" i="12"/>
  <c r="D490" i="12"/>
  <c r="D491" i="12"/>
  <c r="D492" i="12"/>
  <c r="D493" i="12"/>
  <c r="D494" i="12"/>
  <c r="D495" i="12"/>
  <c r="D496" i="12"/>
  <c r="D497" i="12"/>
  <c r="D498" i="12"/>
  <c r="D499" i="12"/>
  <c r="D500" i="12"/>
  <c r="D501" i="12"/>
  <c r="D502" i="12"/>
  <c r="D503" i="12"/>
  <c r="D504" i="12"/>
  <c r="D505" i="12"/>
  <c r="D506" i="12"/>
  <c r="D507" i="12"/>
  <c r="D508" i="12"/>
  <c r="D509" i="12"/>
  <c r="D510" i="12"/>
  <c r="D511" i="12"/>
  <c r="D512" i="12"/>
  <c r="D513" i="12"/>
  <c r="D514" i="12"/>
  <c r="D515" i="12"/>
  <c r="D516" i="12"/>
  <c r="D517" i="12"/>
  <c r="D518" i="12"/>
  <c r="D519" i="12"/>
  <c r="D520" i="12"/>
  <c r="D521" i="12"/>
  <c r="D522" i="12"/>
  <c r="D523" i="12"/>
  <c r="D524" i="12"/>
  <c r="D525" i="12"/>
  <c r="D526" i="12"/>
  <c r="D527" i="12"/>
  <c r="D528" i="12"/>
  <c r="D529" i="12"/>
  <c r="D530" i="12"/>
  <c r="D531" i="12"/>
  <c r="D532" i="12"/>
  <c r="D533" i="12"/>
  <c r="D534" i="12"/>
  <c r="D535" i="12"/>
  <c r="D536" i="12"/>
  <c r="D537" i="12"/>
  <c r="D538" i="12"/>
  <c r="D539" i="12"/>
  <c r="D540" i="12"/>
  <c r="D541" i="12"/>
  <c r="D542" i="12"/>
  <c r="D543" i="12"/>
  <c r="D544" i="12"/>
  <c r="D545" i="12"/>
  <c r="D546" i="12"/>
  <c r="D547" i="12"/>
  <c r="D548" i="12"/>
  <c r="D549" i="12"/>
  <c r="D550" i="12"/>
  <c r="D551" i="12"/>
  <c r="D552" i="12"/>
  <c r="D553" i="12"/>
  <c r="D554" i="12"/>
  <c r="D555" i="12"/>
  <c r="D556" i="12"/>
  <c r="D557" i="12"/>
  <c r="D558" i="12"/>
  <c r="D559" i="12"/>
  <c r="D560" i="12"/>
  <c r="D561" i="12"/>
  <c r="D562" i="12"/>
  <c r="D563" i="12"/>
  <c r="D564" i="12"/>
  <c r="D565" i="12"/>
  <c r="D566" i="12"/>
  <c r="D567" i="12"/>
  <c r="D568" i="12"/>
  <c r="D569" i="12"/>
  <c r="D570" i="12"/>
  <c r="D571" i="12"/>
  <c r="D572" i="12"/>
  <c r="D573" i="12"/>
  <c r="D574" i="12"/>
  <c r="D575" i="12"/>
  <c r="D576" i="12"/>
  <c r="D577" i="12"/>
  <c r="D578" i="12"/>
  <c r="D579" i="12"/>
  <c r="D580" i="12"/>
  <c r="D581" i="12"/>
  <c r="D582" i="12"/>
  <c r="D583" i="12"/>
  <c r="D584" i="12"/>
  <c r="D585" i="12"/>
  <c r="D586" i="12"/>
  <c r="D587" i="12"/>
  <c r="D588" i="12"/>
  <c r="D589" i="12"/>
  <c r="D590" i="12"/>
  <c r="D591" i="12"/>
  <c r="D592" i="12"/>
  <c r="D593" i="12"/>
  <c r="D594" i="12"/>
  <c r="D595" i="12"/>
  <c r="D596" i="12"/>
  <c r="D597" i="12"/>
  <c r="D598" i="12"/>
  <c r="D599" i="12"/>
  <c r="D600" i="12"/>
  <c r="D601" i="12"/>
  <c r="D602" i="12"/>
  <c r="D603" i="12"/>
  <c r="D604" i="12"/>
  <c r="D605" i="12"/>
  <c r="D606" i="12"/>
  <c r="D607" i="12"/>
  <c r="D608" i="12"/>
  <c r="D609" i="12"/>
  <c r="D610" i="12"/>
  <c r="D611" i="12"/>
  <c r="D612" i="12"/>
  <c r="D613" i="12"/>
  <c r="D614" i="12"/>
  <c r="D615" i="12"/>
  <c r="D616" i="12"/>
  <c r="D617" i="12"/>
  <c r="D618" i="12"/>
  <c r="D619" i="12"/>
  <c r="D620" i="12"/>
  <c r="D621" i="12"/>
  <c r="D622" i="12"/>
  <c r="D623" i="12"/>
  <c r="D624" i="12"/>
  <c r="D625" i="12"/>
  <c r="D626" i="12"/>
  <c r="D627" i="12"/>
  <c r="D628" i="12"/>
  <c r="D629" i="12"/>
  <c r="D630" i="12"/>
  <c r="D631" i="12"/>
  <c r="D632" i="12"/>
  <c r="D633" i="12"/>
  <c r="D634" i="12"/>
  <c r="D635" i="12"/>
  <c r="D636" i="12"/>
  <c r="D637" i="12"/>
  <c r="D638" i="12"/>
  <c r="D639" i="12"/>
  <c r="D640" i="12"/>
  <c r="D641" i="12"/>
  <c r="D642" i="12"/>
  <c r="D643" i="12"/>
  <c r="D644" i="12"/>
  <c r="D645" i="12"/>
  <c r="D646" i="12"/>
  <c r="D647" i="12"/>
  <c r="D648" i="12"/>
  <c r="D649" i="12"/>
  <c r="D650" i="12"/>
  <c r="D651" i="12"/>
  <c r="D652" i="12"/>
  <c r="D653" i="12"/>
  <c r="D654" i="12"/>
  <c r="D655" i="12"/>
  <c r="D656" i="12"/>
  <c r="D657" i="12"/>
  <c r="D658" i="12"/>
  <c r="D659" i="12"/>
  <c r="D660" i="12"/>
  <c r="D661" i="12"/>
  <c r="D662" i="12"/>
  <c r="D663" i="12"/>
  <c r="D664" i="12"/>
  <c r="D665" i="12"/>
  <c r="D666" i="12"/>
  <c r="D667" i="12"/>
  <c r="D668" i="12"/>
  <c r="D669" i="12"/>
  <c r="D670" i="12"/>
  <c r="D671" i="12"/>
  <c r="D672" i="12"/>
  <c r="D673" i="12"/>
  <c r="D674" i="12"/>
  <c r="D675" i="12"/>
  <c r="D676" i="12"/>
  <c r="D677" i="12"/>
  <c r="D678" i="12"/>
  <c r="D679" i="12"/>
  <c r="D680" i="12"/>
  <c r="D681" i="12"/>
  <c r="D682" i="12"/>
  <c r="D683" i="12"/>
  <c r="D684" i="12"/>
  <c r="D685" i="12"/>
  <c r="D686" i="12"/>
  <c r="D687" i="12"/>
  <c r="D688" i="12"/>
  <c r="D689" i="12"/>
  <c r="D690" i="12"/>
  <c r="D691" i="12"/>
  <c r="D692" i="12"/>
  <c r="D693" i="12"/>
  <c r="D694" i="12"/>
  <c r="D695" i="12"/>
  <c r="D696" i="12"/>
  <c r="D697" i="12"/>
  <c r="D698" i="12"/>
  <c r="D699" i="12"/>
  <c r="D700" i="12"/>
  <c r="D701" i="12"/>
  <c r="D702" i="12"/>
  <c r="D703" i="12"/>
  <c r="D704" i="12"/>
  <c r="D705" i="12"/>
  <c r="D706" i="12"/>
  <c r="D707" i="12"/>
  <c r="D708" i="12"/>
  <c r="D709" i="12"/>
  <c r="D710" i="12"/>
  <c r="D711" i="12"/>
  <c r="D712" i="12"/>
  <c r="D713" i="12"/>
  <c r="D714" i="12"/>
  <c r="D715" i="12"/>
  <c r="D716" i="12"/>
  <c r="D717" i="12"/>
  <c r="D718" i="12"/>
  <c r="D719" i="12"/>
  <c r="D720" i="12"/>
  <c r="D721" i="12"/>
  <c r="D722" i="12"/>
  <c r="D723" i="12"/>
  <c r="D724" i="12"/>
  <c r="D725" i="12"/>
  <c r="D726" i="12"/>
  <c r="D727" i="12"/>
  <c r="D728" i="12"/>
  <c r="D729" i="12"/>
  <c r="D730" i="12"/>
  <c r="D731" i="12"/>
  <c r="D732" i="12"/>
  <c r="D733" i="12"/>
  <c r="D734" i="12"/>
  <c r="D735" i="12"/>
  <c r="D736" i="12"/>
  <c r="D737" i="12"/>
  <c r="D738" i="12"/>
  <c r="D739" i="12"/>
  <c r="D740" i="12"/>
  <c r="D741" i="12"/>
  <c r="D742" i="12"/>
  <c r="D743" i="12"/>
  <c r="D744" i="12"/>
  <c r="D745" i="12"/>
  <c r="D746" i="12"/>
  <c r="D747" i="12"/>
  <c r="D748" i="12"/>
  <c r="D749" i="12"/>
  <c r="D750" i="12"/>
  <c r="D751" i="12"/>
  <c r="D752" i="12"/>
  <c r="D753" i="12"/>
  <c r="D754" i="12"/>
  <c r="D755" i="12"/>
  <c r="D756" i="12"/>
  <c r="D757" i="12"/>
  <c r="D758" i="12"/>
  <c r="D759" i="12"/>
  <c r="D760" i="12"/>
  <c r="D761" i="12"/>
  <c r="D762" i="12"/>
  <c r="D763" i="12"/>
  <c r="D764" i="12"/>
  <c r="D765" i="12"/>
  <c r="D766" i="12"/>
  <c r="D767" i="12"/>
  <c r="D768" i="12"/>
  <c r="D769" i="12"/>
  <c r="D770" i="12"/>
  <c r="D771" i="12"/>
  <c r="D772" i="12"/>
  <c r="D773" i="12"/>
  <c r="D774" i="12"/>
  <c r="D775" i="12"/>
  <c r="D776" i="12"/>
  <c r="D777" i="12"/>
  <c r="D778" i="12"/>
  <c r="D779" i="12"/>
  <c r="D780" i="12"/>
  <c r="D781" i="12"/>
  <c r="D782" i="12"/>
  <c r="D783" i="12"/>
  <c r="D784" i="12"/>
  <c r="D785" i="12"/>
  <c r="D786" i="12"/>
  <c r="D787" i="12"/>
  <c r="D788" i="12"/>
  <c r="D789" i="12"/>
  <c r="D790" i="12"/>
  <c r="D791" i="12"/>
  <c r="D792" i="12"/>
  <c r="D793" i="12"/>
  <c r="D794" i="12"/>
  <c r="D795" i="12"/>
  <c r="D796" i="12"/>
  <c r="D797" i="12"/>
  <c r="D798" i="12"/>
  <c r="D799" i="12"/>
  <c r="D800" i="12"/>
  <c r="D801" i="12"/>
  <c r="D802" i="12"/>
  <c r="D803" i="12"/>
  <c r="D804" i="12"/>
  <c r="D805" i="12"/>
  <c r="D806" i="12"/>
  <c r="D807" i="12"/>
  <c r="D808" i="12"/>
  <c r="D809" i="12"/>
  <c r="D810" i="12"/>
  <c r="D811" i="12"/>
  <c r="D812" i="12"/>
  <c r="D813" i="12"/>
  <c r="D814" i="12"/>
  <c r="D815" i="12"/>
  <c r="D816" i="12"/>
  <c r="D817" i="12"/>
  <c r="D818" i="12"/>
  <c r="D819" i="12"/>
  <c r="D820" i="12"/>
  <c r="D821" i="12"/>
  <c r="D822" i="12"/>
  <c r="D823" i="12"/>
  <c r="D824" i="12"/>
  <c r="D825" i="12"/>
  <c r="D826" i="12"/>
  <c r="D827" i="12"/>
  <c r="D828" i="12"/>
  <c r="D829" i="12"/>
  <c r="D830" i="12"/>
  <c r="D831" i="12"/>
  <c r="D832" i="12"/>
  <c r="D833" i="12"/>
  <c r="D834" i="12"/>
  <c r="D835" i="12"/>
  <c r="D836" i="12"/>
  <c r="D837" i="12"/>
  <c r="D838" i="12"/>
  <c r="D839" i="12"/>
  <c r="D840" i="12"/>
  <c r="D841" i="12"/>
  <c r="D842" i="12"/>
  <c r="D843" i="12"/>
  <c r="D844" i="12"/>
  <c r="D845" i="12"/>
  <c r="D846" i="12"/>
  <c r="D847" i="12"/>
  <c r="D848" i="12"/>
  <c r="D849" i="12"/>
  <c r="D850" i="12"/>
  <c r="D851" i="12"/>
  <c r="D852" i="12"/>
  <c r="D853" i="12"/>
  <c r="D854" i="12"/>
  <c r="D855" i="12"/>
  <c r="D856" i="12"/>
  <c r="D857" i="12"/>
  <c r="D858" i="12"/>
  <c r="D859" i="12"/>
  <c r="D860" i="12"/>
  <c r="D861" i="12"/>
  <c r="D862" i="12"/>
  <c r="D863" i="12"/>
  <c r="D864" i="12"/>
  <c r="D865" i="12"/>
  <c r="D866" i="12"/>
  <c r="D867" i="12"/>
  <c r="D868" i="12"/>
  <c r="D869" i="12"/>
  <c r="D870" i="12"/>
  <c r="D871" i="12"/>
  <c r="D872" i="12"/>
  <c r="D873" i="12"/>
  <c r="D874" i="12"/>
  <c r="D875" i="12"/>
  <c r="D876" i="12"/>
  <c r="D877" i="12"/>
  <c r="D878" i="12"/>
  <c r="D879" i="12"/>
  <c r="D880" i="12"/>
  <c r="D881" i="12"/>
  <c r="D882" i="12"/>
  <c r="D883" i="12"/>
  <c r="D884" i="12"/>
  <c r="D885" i="12"/>
  <c r="D886" i="12"/>
  <c r="D887" i="12"/>
  <c r="D888" i="12"/>
  <c r="D889" i="12"/>
  <c r="D890" i="12"/>
  <c r="D891" i="12"/>
  <c r="D892" i="12"/>
  <c r="D893" i="12"/>
  <c r="D894" i="12"/>
  <c r="D895" i="12"/>
  <c r="D896" i="12"/>
  <c r="D897" i="12"/>
  <c r="D898" i="12"/>
  <c r="D899" i="12"/>
  <c r="D900" i="12"/>
  <c r="D901" i="12"/>
  <c r="D902" i="12"/>
  <c r="D903" i="12"/>
  <c r="D904" i="12"/>
  <c r="D905" i="12"/>
  <c r="D906" i="12"/>
  <c r="D907" i="12"/>
  <c r="D908" i="12"/>
  <c r="D909" i="12"/>
  <c r="D910" i="12"/>
  <c r="D911" i="12"/>
  <c r="D912" i="12"/>
  <c r="D913" i="12"/>
  <c r="D914" i="12"/>
  <c r="D915" i="12"/>
  <c r="D916" i="12"/>
  <c r="D917" i="12"/>
  <c r="D918" i="12"/>
  <c r="D919" i="12"/>
  <c r="D920" i="12"/>
  <c r="D921" i="12"/>
  <c r="D922" i="12"/>
  <c r="D923" i="12"/>
  <c r="D924" i="12"/>
  <c r="D925" i="12"/>
  <c r="D926" i="12"/>
  <c r="D927" i="12"/>
  <c r="D928" i="12"/>
  <c r="D929" i="12"/>
  <c r="D930" i="12"/>
  <c r="D931" i="12"/>
  <c r="D932" i="12"/>
  <c r="D933" i="12"/>
  <c r="D934" i="12"/>
  <c r="D935" i="12"/>
  <c r="D936" i="12"/>
  <c r="D937" i="12"/>
  <c r="D938" i="12"/>
  <c r="D939" i="12"/>
  <c r="D940" i="12"/>
  <c r="D941" i="12"/>
  <c r="D942" i="12"/>
  <c r="D943" i="12"/>
  <c r="D944" i="12"/>
  <c r="D945" i="12"/>
  <c r="D946" i="12"/>
  <c r="D947" i="12"/>
  <c r="D948" i="12"/>
  <c r="D949" i="12"/>
  <c r="D950" i="12"/>
  <c r="D951" i="12"/>
  <c r="D952" i="12"/>
  <c r="D953" i="12"/>
  <c r="D954" i="12"/>
  <c r="D955" i="12"/>
  <c r="D956" i="12"/>
  <c r="D957" i="12"/>
  <c r="D958" i="12"/>
  <c r="D959" i="12"/>
  <c r="D960" i="12"/>
  <c r="D961" i="12"/>
  <c r="D962" i="12"/>
  <c r="D963" i="12"/>
  <c r="D964" i="12"/>
  <c r="D965" i="12"/>
  <c r="D966" i="12"/>
  <c r="D967" i="12"/>
  <c r="D968" i="12"/>
  <c r="D969" i="12"/>
  <c r="D970" i="12"/>
  <c r="D971" i="12"/>
  <c r="D972" i="12"/>
  <c r="D973" i="12"/>
  <c r="D974" i="12"/>
  <c r="D975" i="12"/>
  <c r="D976" i="12"/>
  <c r="D977" i="12"/>
  <c r="D978" i="12"/>
  <c r="D979" i="12"/>
  <c r="D980" i="12"/>
  <c r="D981" i="12"/>
  <c r="D982" i="12"/>
  <c r="D983" i="12"/>
  <c r="D984" i="12"/>
  <c r="D985" i="12"/>
  <c r="D986" i="12"/>
  <c r="D987" i="12"/>
  <c r="D988" i="12"/>
  <c r="D989" i="12"/>
  <c r="D990" i="12"/>
  <c r="D991" i="12"/>
  <c r="D992" i="12"/>
  <c r="D993" i="12"/>
  <c r="D994" i="12"/>
  <c r="D995" i="12"/>
  <c r="D996" i="12"/>
  <c r="D997" i="12"/>
  <c r="D998" i="12"/>
  <c r="D999" i="12"/>
  <c r="D1000" i="12"/>
  <c r="D1001" i="12"/>
  <c r="D1002" i="12"/>
  <c r="D1003" i="12"/>
  <c r="D1004" i="12"/>
  <c r="D1005" i="12"/>
  <c r="D1006" i="12"/>
  <c r="D1007" i="12"/>
  <c r="D1008" i="12"/>
  <c r="I2" i="1" a="1"/>
  <c r="I2" i="1" s="1"/>
  <c r="H19" i="11"/>
  <c r="L19" i="11"/>
  <c r="M19" i="11"/>
  <c r="N19" i="11"/>
  <c r="O19" i="11"/>
  <c r="G20" i="11"/>
  <c r="G21" i="11"/>
  <c r="G22" i="11"/>
  <c r="G23" i="11"/>
  <c r="G24" i="11"/>
  <c r="G25" i="11"/>
  <c r="G26" i="11"/>
  <c r="G27" i="11"/>
  <c r="G28" i="11"/>
  <c r="G29" i="11"/>
  <c r="G30" i="11"/>
  <c r="G31" i="11"/>
  <c r="G32" i="11"/>
  <c r="G33" i="11"/>
  <c r="G34" i="11"/>
  <c r="G35" i="11"/>
  <c r="G36" i="11"/>
  <c r="G37" i="11"/>
  <c r="G38" i="11"/>
  <c r="G39" i="11"/>
  <c r="G40" i="11"/>
  <c r="G41" i="11"/>
  <c r="G42" i="11"/>
  <c r="G43" i="11"/>
  <c r="G44" i="11"/>
  <c r="G45" i="11"/>
  <c r="G46" i="11"/>
  <c r="G47" i="11"/>
  <c r="G48" i="11"/>
  <c r="G49" i="11"/>
  <c r="G50" i="11"/>
  <c r="G51" i="11"/>
  <c r="G52" i="11"/>
  <c r="G53" i="11"/>
  <c r="G54" i="11"/>
  <c r="G55" i="11"/>
  <c r="G56" i="11"/>
  <c r="G57" i="11"/>
  <c r="G58" i="11"/>
  <c r="G59" i="11"/>
  <c r="G60" i="11"/>
  <c r="G61" i="11"/>
  <c r="G62" i="11"/>
  <c r="G63" i="11"/>
  <c r="G64" i="11"/>
  <c r="G65" i="11"/>
  <c r="G66" i="11"/>
  <c r="G67" i="11"/>
  <c r="G68" i="11"/>
  <c r="G69" i="11"/>
  <c r="G70" i="11"/>
  <c r="G71" i="11"/>
  <c r="G72" i="11"/>
  <c r="G73" i="11"/>
  <c r="G74" i="11"/>
  <c r="G75" i="11"/>
  <c r="G76" i="11"/>
  <c r="G77" i="11"/>
  <c r="G78" i="11"/>
  <c r="G79" i="11"/>
  <c r="G80" i="11"/>
  <c r="G81" i="11"/>
  <c r="G82" i="11"/>
  <c r="G83" i="11"/>
  <c r="G84" i="11"/>
  <c r="G85" i="11"/>
  <c r="G86" i="11"/>
  <c r="G87" i="11"/>
  <c r="G88" i="11"/>
  <c r="G89" i="11"/>
  <c r="G90" i="11"/>
  <c r="G91" i="11"/>
  <c r="G92" i="11"/>
  <c r="G93" i="11"/>
  <c r="G94" i="11"/>
  <c r="G95" i="11"/>
  <c r="G96" i="11"/>
  <c r="G97" i="11"/>
  <c r="G98" i="11"/>
  <c r="G99" i="11"/>
  <c r="G100" i="11"/>
  <c r="G101" i="11"/>
  <c r="G102" i="11"/>
  <c r="G103" i="11"/>
  <c r="G104" i="11"/>
  <c r="G105" i="11"/>
  <c r="G106" i="11"/>
  <c r="G107" i="11"/>
  <c r="G108" i="11"/>
  <c r="G109" i="11"/>
  <c r="G110" i="11"/>
  <c r="G111" i="11"/>
  <c r="G112" i="11"/>
  <c r="G113" i="11"/>
  <c r="G114" i="11"/>
  <c r="G115" i="11"/>
  <c r="G116" i="11"/>
  <c r="G117" i="11"/>
  <c r="G118" i="11"/>
  <c r="G119" i="11"/>
  <c r="G120" i="11"/>
  <c r="G121" i="11"/>
  <c r="G122" i="11"/>
  <c r="G123" i="11"/>
  <c r="G124" i="11"/>
  <c r="G125" i="11"/>
  <c r="G126" i="11"/>
  <c r="G127" i="11"/>
  <c r="G128" i="11"/>
  <c r="G129" i="11"/>
  <c r="G130" i="11"/>
  <c r="G131" i="11"/>
  <c r="G132" i="11"/>
  <c r="G133" i="11"/>
  <c r="G134" i="11"/>
  <c r="G135" i="11"/>
  <c r="G136" i="11"/>
  <c r="G137" i="11"/>
  <c r="G138" i="11"/>
  <c r="G139" i="11"/>
  <c r="G140" i="11"/>
  <c r="G141" i="11"/>
  <c r="G142" i="11"/>
  <c r="G143" i="11"/>
  <c r="G144" i="11"/>
  <c r="G145" i="11"/>
  <c r="G146" i="11"/>
  <c r="G147" i="11"/>
  <c r="G148" i="11"/>
  <c r="G149" i="11"/>
  <c r="G150" i="11"/>
  <c r="G151" i="11"/>
  <c r="G152" i="11"/>
  <c r="G153" i="11"/>
  <c r="G154" i="11"/>
  <c r="G155" i="11"/>
  <c r="G156" i="11"/>
  <c r="G157" i="11"/>
  <c r="G158" i="11"/>
  <c r="G159" i="11"/>
  <c r="G160" i="11"/>
  <c r="G161" i="11"/>
  <c r="G162" i="11"/>
  <c r="G163" i="11"/>
  <c r="G164" i="11"/>
  <c r="G165" i="11"/>
  <c r="G166" i="11"/>
  <c r="G167" i="11"/>
  <c r="G168" i="11"/>
  <c r="G169" i="11"/>
  <c r="G170" i="11"/>
  <c r="G171" i="11"/>
  <c r="G172" i="11"/>
  <c r="G173" i="11"/>
  <c r="G174" i="11"/>
  <c r="G175" i="11"/>
  <c r="G176" i="11"/>
  <c r="G177" i="11"/>
  <c r="G178" i="11"/>
  <c r="G179" i="11"/>
  <c r="G180" i="11"/>
  <c r="G181" i="11"/>
  <c r="G182" i="11"/>
  <c r="G183" i="11"/>
  <c r="G184" i="11"/>
  <c r="G185" i="11"/>
  <c r="G186" i="11"/>
  <c r="G187" i="11"/>
  <c r="G188" i="11"/>
  <c r="G189" i="11"/>
  <c r="G190" i="11"/>
  <c r="G191" i="11"/>
  <c r="G192" i="11"/>
  <c r="G193" i="11"/>
  <c r="G194" i="11"/>
  <c r="G195" i="11"/>
  <c r="G196" i="11"/>
  <c r="G197" i="11"/>
  <c r="G198" i="11"/>
  <c r="G199" i="11"/>
  <c r="G200" i="11"/>
  <c r="G201" i="11"/>
  <c r="G202" i="11"/>
  <c r="G203" i="11"/>
  <c r="G204" i="11"/>
  <c r="G205" i="11"/>
  <c r="G206" i="11"/>
  <c r="G207" i="11"/>
  <c r="G208" i="11"/>
  <c r="G209" i="11"/>
  <c r="G210" i="11"/>
  <c r="G211" i="11"/>
  <c r="G212" i="11"/>
  <c r="G213" i="11"/>
  <c r="G214" i="11"/>
  <c r="G215" i="11"/>
  <c r="G216" i="11"/>
  <c r="G217" i="11"/>
  <c r="G218" i="11"/>
  <c r="G219" i="11"/>
  <c r="G220" i="11"/>
  <c r="G221" i="11"/>
  <c r="G222" i="11"/>
  <c r="G223" i="11"/>
  <c r="G224" i="11"/>
  <c r="G225" i="11"/>
  <c r="G226" i="11"/>
  <c r="G227" i="11"/>
  <c r="G228" i="11"/>
  <c r="G229" i="11"/>
  <c r="G230" i="11"/>
  <c r="G231" i="11"/>
  <c r="G232" i="11"/>
  <c r="G233" i="11"/>
  <c r="G234" i="11"/>
  <c r="G235" i="11"/>
  <c r="G236" i="11"/>
  <c r="G237" i="11"/>
  <c r="G238" i="11"/>
  <c r="G239" i="11"/>
  <c r="G240" i="11"/>
  <c r="G241" i="11"/>
  <c r="G242" i="11"/>
  <c r="G243" i="11"/>
  <c r="G244" i="11"/>
  <c r="G245" i="11"/>
  <c r="G246" i="11"/>
  <c r="G247" i="11"/>
  <c r="G248" i="11"/>
  <c r="G249" i="11"/>
  <c r="G250" i="11"/>
  <c r="G251" i="11"/>
  <c r="G252" i="11"/>
  <c r="G253" i="11"/>
  <c r="G254" i="11"/>
  <c r="G255" i="11"/>
  <c r="G256" i="11"/>
  <c r="G257" i="11"/>
  <c r="G258" i="11"/>
  <c r="G259" i="11"/>
  <c r="G260" i="11"/>
  <c r="G261" i="11"/>
  <c r="G262" i="11"/>
  <c r="G263" i="11"/>
  <c r="G264" i="11"/>
  <c r="G265" i="11"/>
  <c r="G266" i="11"/>
  <c r="G267" i="11"/>
  <c r="G268" i="11"/>
  <c r="G269" i="11"/>
  <c r="G270" i="11"/>
  <c r="G271" i="11"/>
  <c r="G272" i="11"/>
  <c r="G273" i="11"/>
  <c r="G274" i="11"/>
  <c r="G275" i="11"/>
  <c r="G276" i="11"/>
  <c r="G277" i="11"/>
  <c r="G278" i="11"/>
  <c r="G279" i="11"/>
  <c r="G280" i="11"/>
  <c r="G281" i="11"/>
  <c r="G282" i="11"/>
  <c r="G283" i="11"/>
  <c r="G284" i="11"/>
  <c r="G285" i="11"/>
  <c r="G286" i="11"/>
  <c r="G287" i="11"/>
  <c r="G288" i="11"/>
  <c r="G289" i="11"/>
  <c r="G290" i="11"/>
  <c r="G291" i="11"/>
  <c r="G292" i="11"/>
  <c r="G293" i="11"/>
  <c r="G294" i="11"/>
  <c r="G295" i="11"/>
  <c r="G296" i="11"/>
  <c r="G297" i="11"/>
  <c r="G298" i="11"/>
  <c r="G299" i="11"/>
  <c r="G300" i="11"/>
  <c r="G301" i="11"/>
  <c r="G302" i="11"/>
  <c r="G303" i="11"/>
  <c r="G304" i="11"/>
  <c r="G305" i="11"/>
  <c r="G306" i="11"/>
  <c r="G307" i="11"/>
  <c r="G308" i="11"/>
  <c r="G309" i="11"/>
  <c r="G310" i="11"/>
  <c r="G311" i="11"/>
  <c r="G312" i="11"/>
  <c r="G313" i="11"/>
  <c r="G314" i="11"/>
  <c r="G315" i="11"/>
  <c r="G316" i="11"/>
  <c r="G317" i="11"/>
  <c r="G318" i="11"/>
  <c r="G319" i="11"/>
  <c r="G320" i="11"/>
  <c r="G321" i="11"/>
  <c r="G322" i="11"/>
  <c r="G323" i="11"/>
  <c r="G324" i="11"/>
  <c r="G325" i="11"/>
  <c r="G326" i="11"/>
  <c r="G327" i="11"/>
  <c r="G328" i="11"/>
  <c r="G329" i="11"/>
  <c r="G330" i="11"/>
  <c r="G331" i="11"/>
  <c r="G332" i="11"/>
  <c r="G333" i="11"/>
  <c r="G334" i="11"/>
  <c r="G335" i="11"/>
  <c r="G336" i="11"/>
  <c r="G337" i="11"/>
  <c r="G338" i="11"/>
  <c r="G339" i="11"/>
  <c r="G340" i="11"/>
  <c r="G341" i="11"/>
  <c r="G342" i="11"/>
  <c r="G343" i="11"/>
  <c r="G344" i="11"/>
  <c r="G345" i="11"/>
  <c r="G346" i="11"/>
  <c r="G347" i="11"/>
  <c r="G348" i="11"/>
  <c r="G349" i="11"/>
  <c r="G350" i="11"/>
  <c r="G351" i="11"/>
  <c r="G352" i="11"/>
  <c r="G353" i="11"/>
  <c r="G354" i="11"/>
  <c r="G355" i="11"/>
  <c r="G356" i="11"/>
  <c r="G357" i="11"/>
  <c r="G358" i="11"/>
  <c r="G359" i="11"/>
  <c r="G360" i="11"/>
  <c r="G361" i="11"/>
  <c r="G362" i="11"/>
  <c r="G363" i="11"/>
  <c r="G364" i="11"/>
  <c r="G365" i="11"/>
  <c r="G366" i="11"/>
  <c r="G367" i="11"/>
  <c r="G368" i="11"/>
  <c r="G369" i="11"/>
  <c r="G370" i="11"/>
  <c r="G371" i="11"/>
  <c r="G372" i="11"/>
  <c r="G373" i="11"/>
  <c r="G374" i="11"/>
  <c r="G375" i="11"/>
  <c r="G376" i="11"/>
  <c r="G377" i="11"/>
  <c r="G378" i="11"/>
  <c r="G379" i="11"/>
  <c r="G380" i="11"/>
  <c r="G381" i="11"/>
  <c r="G382" i="11"/>
  <c r="G383" i="11"/>
  <c r="G384" i="11"/>
  <c r="G385" i="11"/>
  <c r="G386" i="11"/>
  <c r="G387" i="11"/>
  <c r="G388" i="11"/>
  <c r="G389" i="11"/>
  <c r="G390" i="11"/>
  <c r="G391" i="11"/>
  <c r="G392" i="11"/>
  <c r="G393" i="11"/>
  <c r="G394" i="11"/>
  <c r="G395" i="11"/>
  <c r="G396" i="11"/>
  <c r="G397" i="11"/>
  <c r="G398" i="11"/>
  <c r="G399" i="11"/>
  <c r="G400" i="11"/>
  <c r="G401" i="11"/>
  <c r="G402" i="11"/>
  <c r="G403" i="11"/>
  <c r="G404" i="11"/>
  <c r="G405" i="11"/>
  <c r="G406" i="11"/>
  <c r="G407" i="11"/>
  <c r="G408" i="11"/>
  <c r="G409" i="11"/>
  <c r="G410" i="11"/>
  <c r="G411" i="11"/>
  <c r="G412" i="11"/>
  <c r="G413" i="11"/>
  <c r="G414" i="11"/>
  <c r="G415" i="11"/>
  <c r="G416" i="11"/>
  <c r="G417" i="11"/>
  <c r="G418" i="11"/>
  <c r="G419" i="11"/>
  <c r="G420" i="11"/>
  <c r="G421" i="11"/>
  <c r="G422" i="11"/>
  <c r="G423" i="11"/>
  <c r="G424" i="11"/>
  <c r="G425" i="11"/>
  <c r="G426" i="11"/>
  <c r="G427" i="11"/>
  <c r="G428" i="11"/>
  <c r="G429" i="11"/>
  <c r="G430" i="11"/>
  <c r="G431" i="11"/>
  <c r="G432" i="11"/>
  <c r="G433" i="11"/>
  <c r="G434" i="11"/>
  <c r="G435" i="11"/>
  <c r="G436" i="11"/>
  <c r="G437" i="11"/>
  <c r="G438" i="11"/>
  <c r="G439" i="11"/>
  <c r="G440" i="11"/>
  <c r="G441" i="11"/>
  <c r="G442" i="11"/>
  <c r="G443" i="11"/>
  <c r="G444" i="11"/>
  <c r="G445" i="11"/>
  <c r="G446" i="11"/>
  <c r="G447" i="11"/>
  <c r="G448" i="11"/>
  <c r="G449" i="11"/>
  <c r="G450" i="11"/>
  <c r="G451" i="11"/>
  <c r="G452" i="11"/>
  <c r="G453" i="11"/>
  <c r="G454" i="11"/>
  <c r="G455" i="11"/>
  <c r="G456" i="11"/>
  <c r="G457" i="11"/>
  <c r="G458" i="11"/>
  <c r="G459" i="11"/>
  <c r="G460" i="11"/>
  <c r="G461" i="11"/>
  <c r="G462" i="11"/>
  <c r="G463" i="11"/>
  <c r="G464" i="11"/>
  <c r="G465" i="11"/>
  <c r="G466" i="11"/>
  <c r="G467" i="11"/>
  <c r="G468" i="11"/>
  <c r="G469" i="11"/>
  <c r="G470" i="11"/>
  <c r="G471" i="11"/>
  <c r="G472" i="11"/>
  <c r="G473" i="11"/>
  <c r="G474" i="11"/>
  <c r="G475" i="11"/>
  <c r="G476" i="11"/>
  <c r="G477" i="11"/>
  <c r="G478" i="11"/>
  <c r="G479" i="11"/>
  <c r="G480" i="11"/>
  <c r="G481" i="11"/>
  <c r="G482" i="11"/>
  <c r="G483" i="11"/>
  <c r="G484" i="11"/>
  <c r="G485" i="11"/>
  <c r="G486" i="11"/>
  <c r="G487" i="11"/>
  <c r="G488" i="11"/>
  <c r="G489" i="11"/>
  <c r="G490" i="11"/>
  <c r="G491" i="11"/>
  <c r="G492" i="11"/>
  <c r="G493" i="11"/>
  <c r="G494" i="11"/>
  <c r="G495" i="11"/>
  <c r="G496" i="11"/>
  <c r="G497" i="11"/>
  <c r="G498" i="11"/>
  <c r="G499" i="11"/>
  <c r="G500" i="11"/>
  <c r="G501" i="11"/>
  <c r="G502" i="11"/>
  <c r="G503" i="11"/>
  <c r="G504" i="11"/>
  <c r="G505" i="11"/>
  <c r="G506" i="11"/>
  <c r="G507" i="11"/>
  <c r="G508" i="11"/>
  <c r="G509" i="11"/>
  <c r="G510" i="11"/>
  <c r="G511" i="11"/>
  <c r="G512" i="11"/>
  <c r="G513" i="11"/>
  <c r="G514" i="11"/>
  <c r="G515" i="11"/>
  <c r="G516" i="11"/>
  <c r="G517" i="11"/>
  <c r="G518" i="11"/>
  <c r="G519" i="11"/>
  <c r="G520" i="11"/>
  <c r="G521" i="11"/>
  <c r="G522" i="11"/>
  <c r="G523" i="11"/>
  <c r="G524" i="11"/>
  <c r="G525" i="11"/>
  <c r="G526" i="11"/>
  <c r="G527" i="11"/>
  <c r="G528" i="11"/>
  <c r="G529" i="11"/>
  <c r="G530" i="11"/>
  <c r="G531" i="11"/>
  <c r="G532" i="11"/>
  <c r="G533" i="11"/>
  <c r="G534" i="11"/>
  <c r="G535" i="11"/>
  <c r="G536" i="11"/>
  <c r="G537" i="11"/>
  <c r="G538" i="11"/>
  <c r="G539" i="11"/>
  <c r="G540" i="11"/>
  <c r="G541" i="11"/>
  <c r="G542" i="11"/>
  <c r="G543" i="11"/>
  <c r="G544" i="11"/>
  <c r="G545" i="11"/>
  <c r="G546" i="11"/>
  <c r="G547" i="11"/>
  <c r="G548" i="11"/>
  <c r="G549" i="11"/>
  <c r="G550" i="11"/>
  <c r="G551" i="11"/>
  <c r="G552" i="11"/>
  <c r="G553" i="11"/>
  <c r="G554" i="11"/>
  <c r="G555" i="11"/>
  <c r="G556" i="11"/>
  <c r="G557" i="11"/>
  <c r="G558" i="11"/>
  <c r="G559" i="11"/>
  <c r="G560" i="11"/>
  <c r="G561" i="11"/>
  <c r="G562" i="11"/>
  <c r="G563" i="11"/>
  <c r="G564" i="11"/>
  <c r="G565" i="11"/>
  <c r="G566" i="11"/>
  <c r="G567" i="11"/>
  <c r="G568" i="11"/>
  <c r="G569" i="11"/>
  <c r="G570" i="11"/>
  <c r="G571" i="11"/>
  <c r="G572" i="11"/>
  <c r="G573" i="11"/>
  <c r="G574" i="11"/>
  <c r="G575" i="11"/>
  <c r="G576" i="11"/>
  <c r="G577" i="11"/>
  <c r="G578" i="11"/>
  <c r="G579" i="11"/>
  <c r="G580" i="11"/>
  <c r="G581" i="11"/>
  <c r="G582" i="11"/>
  <c r="G583" i="11"/>
  <c r="G584" i="11"/>
  <c r="G585" i="11"/>
  <c r="G586" i="11"/>
  <c r="G587" i="11"/>
  <c r="G588" i="11"/>
  <c r="G589" i="11"/>
  <c r="G590" i="11"/>
  <c r="G591" i="11"/>
  <c r="G592" i="11"/>
  <c r="G593" i="11"/>
  <c r="G594" i="11"/>
  <c r="G595" i="11"/>
  <c r="G596" i="11"/>
  <c r="G597" i="11"/>
  <c r="G598" i="11"/>
  <c r="G599" i="11"/>
  <c r="G600" i="11"/>
  <c r="G601" i="11"/>
  <c r="G602" i="11"/>
  <c r="G603" i="11"/>
  <c r="G604" i="11"/>
  <c r="G605" i="11"/>
  <c r="G606" i="11"/>
  <c r="G607" i="11"/>
  <c r="G608" i="11"/>
  <c r="G609" i="11"/>
  <c r="G610" i="11"/>
  <c r="G611" i="11"/>
  <c r="G612" i="11"/>
  <c r="G613" i="11"/>
  <c r="G614" i="11"/>
  <c r="G615" i="11"/>
  <c r="G616" i="11"/>
  <c r="G617" i="11"/>
  <c r="G618" i="11"/>
  <c r="G619" i="11"/>
  <c r="G620" i="11"/>
  <c r="G621" i="11"/>
  <c r="G622" i="11"/>
  <c r="G623" i="11"/>
  <c r="G624" i="11"/>
  <c r="G625" i="11"/>
  <c r="G626" i="11"/>
  <c r="G627" i="11"/>
  <c r="G628" i="11"/>
  <c r="G629" i="11"/>
  <c r="G630" i="11"/>
  <c r="G631" i="11"/>
  <c r="G632" i="11"/>
  <c r="G633" i="11"/>
  <c r="G634" i="11"/>
  <c r="G635" i="11"/>
  <c r="G636" i="11"/>
  <c r="G637" i="11"/>
  <c r="G638" i="11"/>
  <c r="G639" i="11"/>
  <c r="G640" i="11"/>
  <c r="G641" i="11"/>
  <c r="G642" i="11"/>
  <c r="G643" i="11"/>
  <c r="G644" i="11"/>
  <c r="G645" i="11"/>
  <c r="G646" i="11"/>
  <c r="G647" i="11"/>
  <c r="G648" i="11"/>
  <c r="G649" i="11"/>
  <c r="G650" i="11"/>
  <c r="G651" i="11"/>
  <c r="G652" i="11"/>
  <c r="G653" i="11"/>
  <c r="G654" i="11"/>
  <c r="G655" i="11"/>
  <c r="G656" i="11"/>
  <c r="G657" i="11"/>
  <c r="G658" i="11"/>
  <c r="G659" i="11"/>
  <c r="G660" i="11"/>
  <c r="G661" i="11"/>
  <c r="G662" i="11"/>
  <c r="G663" i="11"/>
  <c r="G664" i="11"/>
  <c r="G665" i="11"/>
  <c r="G666" i="11"/>
  <c r="G667" i="11"/>
  <c r="G668" i="11"/>
  <c r="G669" i="11"/>
  <c r="G670" i="11"/>
  <c r="G671" i="11"/>
  <c r="G672" i="11"/>
  <c r="G673" i="11"/>
  <c r="G674" i="11"/>
  <c r="G675" i="11"/>
  <c r="G676" i="11"/>
  <c r="G677" i="11"/>
  <c r="G678" i="11"/>
  <c r="G679" i="11"/>
  <c r="G680" i="11"/>
  <c r="G681" i="11"/>
  <c r="G682" i="11"/>
  <c r="G683" i="11"/>
  <c r="G684" i="11"/>
  <c r="G685" i="11"/>
  <c r="G686" i="11"/>
  <c r="G687" i="11"/>
  <c r="G688" i="11"/>
  <c r="G689" i="11"/>
  <c r="G690" i="11"/>
  <c r="G691" i="11"/>
  <c r="G692" i="11"/>
  <c r="G693" i="11"/>
  <c r="G694" i="11"/>
  <c r="G695" i="11"/>
  <c r="G696" i="11"/>
  <c r="G697" i="11"/>
  <c r="G698" i="11"/>
  <c r="G699" i="11"/>
  <c r="G700" i="11"/>
  <c r="G701" i="11"/>
  <c r="G702" i="11"/>
  <c r="G703" i="11"/>
  <c r="G704" i="11"/>
  <c r="G705" i="11"/>
  <c r="G706" i="11"/>
  <c r="G707" i="11"/>
  <c r="G708" i="11"/>
  <c r="G709" i="11"/>
  <c r="G710" i="11"/>
  <c r="G711" i="11"/>
  <c r="G712" i="11"/>
  <c r="G713" i="11"/>
  <c r="G714" i="11"/>
  <c r="G715" i="11"/>
  <c r="G716" i="11"/>
  <c r="G717" i="11"/>
  <c r="G718" i="11"/>
  <c r="G719" i="11"/>
  <c r="G720" i="11"/>
  <c r="G721" i="11"/>
  <c r="G722" i="11"/>
  <c r="G723" i="11"/>
  <c r="G724" i="11"/>
  <c r="G725" i="11"/>
  <c r="G726" i="11"/>
  <c r="G727" i="11"/>
  <c r="G728" i="11"/>
  <c r="G729" i="11"/>
  <c r="G730" i="11"/>
  <c r="G731" i="11"/>
  <c r="G732" i="11"/>
  <c r="G733" i="11"/>
  <c r="G734" i="11"/>
  <c r="G735" i="11"/>
  <c r="G736" i="11"/>
  <c r="G737" i="11"/>
  <c r="G738" i="11"/>
  <c r="G739" i="11"/>
  <c r="G740" i="11"/>
  <c r="G741" i="11"/>
  <c r="G742" i="11"/>
  <c r="G743" i="11"/>
  <c r="G744" i="11"/>
  <c r="G745" i="11"/>
  <c r="G746" i="11"/>
  <c r="G747" i="11"/>
  <c r="G748" i="11"/>
  <c r="G749" i="11"/>
  <c r="G750" i="11"/>
  <c r="G751" i="11"/>
  <c r="G752" i="11"/>
  <c r="G753" i="11"/>
  <c r="G754" i="11"/>
  <c r="G755" i="11"/>
  <c r="G756" i="11"/>
  <c r="G757" i="11"/>
  <c r="G758" i="11"/>
  <c r="G759" i="11"/>
  <c r="G760" i="11"/>
  <c r="G761" i="11"/>
  <c r="G762" i="11"/>
  <c r="G763" i="11"/>
  <c r="G764" i="11"/>
  <c r="G765" i="11"/>
  <c r="G766" i="11"/>
  <c r="G767" i="11"/>
  <c r="G768" i="11"/>
  <c r="G769" i="11"/>
  <c r="G770" i="11"/>
  <c r="G771" i="11"/>
  <c r="G772" i="11"/>
  <c r="G773" i="11"/>
  <c r="G774" i="11"/>
  <c r="G775" i="11"/>
  <c r="G776" i="11"/>
  <c r="G777" i="11"/>
  <c r="G778" i="11"/>
  <c r="G779" i="11"/>
  <c r="G780" i="11"/>
  <c r="G781" i="11"/>
  <c r="G782" i="11"/>
  <c r="G783" i="11"/>
  <c r="G784" i="11"/>
  <c r="G785" i="11"/>
  <c r="G786" i="11"/>
  <c r="G787" i="11"/>
  <c r="G788" i="11"/>
  <c r="G789" i="11"/>
  <c r="G790" i="11"/>
  <c r="G791" i="11"/>
  <c r="G792" i="11"/>
  <c r="G793" i="11"/>
  <c r="G794" i="11"/>
  <c r="G795" i="11"/>
  <c r="G796" i="11"/>
  <c r="G797" i="11"/>
  <c r="G798" i="11"/>
  <c r="G799" i="11"/>
  <c r="G800" i="11"/>
  <c r="G801" i="11"/>
  <c r="G802" i="11"/>
  <c r="G803" i="11"/>
  <c r="G804" i="11"/>
  <c r="G805" i="11"/>
  <c r="G806" i="11"/>
  <c r="G807" i="11"/>
  <c r="G808" i="11"/>
  <c r="G809" i="11"/>
  <c r="G810" i="11"/>
  <c r="G811" i="11"/>
  <c r="G812" i="11"/>
  <c r="G813" i="11"/>
  <c r="G814" i="11"/>
  <c r="G815" i="11"/>
  <c r="G816" i="11"/>
  <c r="G817" i="11"/>
  <c r="G818" i="11"/>
  <c r="G819" i="11"/>
  <c r="G820" i="11"/>
  <c r="G821" i="11"/>
  <c r="G822" i="11"/>
  <c r="G823" i="11"/>
  <c r="G824" i="11"/>
  <c r="G825" i="11"/>
  <c r="G826" i="11"/>
  <c r="G827" i="11"/>
  <c r="G828" i="11"/>
  <c r="G829" i="11"/>
  <c r="G830" i="11"/>
  <c r="G831" i="11"/>
  <c r="G832" i="11"/>
  <c r="G833" i="11"/>
  <c r="G834" i="11"/>
  <c r="G835" i="11"/>
  <c r="G836" i="11"/>
  <c r="G837" i="11"/>
  <c r="G838" i="11"/>
  <c r="G839" i="11"/>
  <c r="G840" i="11"/>
  <c r="G841" i="11"/>
  <c r="G842" i="11"/>
  <c r="G843" i="11"/>
  <c r="G844" i="11"/>
  <c r="G845" i="11"/>
  <c r="G846" i="11"/>
  <c r="G847" i="11"/>
  <c r="G848" i="11"/>
  <c r="G849" i="11"/>
  <c r="G850" i="11"/>
  <c r="G851" i="11"/>
  <c r="G852" i="11"/>
  <c r="G853" i="11"/>
  <c r="G854" i="11"/>
  <c r="G855" i="11"/>
  <c r="G856" i="11"/>
  <c r="G857" i="11"/>
  <c r="G858" i="11"/>
  <c r="G859" i="11"/>
  <c r="G860" i="11"/>
  <c r="G861" i="11"/>
  <c r="G862" i="11"/>
  <c r="G863" i="11"/>
  <c r="G864" i="11"/>
  <c r="G865" i="11"/>
  <c r="G866" i="11"/>
  <c r="G867" i="11"/>
  <c r="G868" i="11"/>
  <c r="G869" i="11"/>
  <c r="G870" i="11"/>
  <c r="G871" i="11"/>
  <c r="G872" i="11"/>
  <c r="G873" i="11"/>
  <c r="G874" i="11"/>
  <c r="G875" i="11"/>
  <c r="G876" i="11"/>
  <c r="G877" i="11"/>
  <c r="G878" i="11"/>
  <c r="G879" i="11"/>
  <c r="G880" i="11"/>
  <c r="G881" i="11"/>
  <c r="G882" i="11"/>
  <c r="G883" i="11"/>
  <c r="G884" i="11"/>
  <c r="G885" i="11"/>
  <c r="G886" i="11"/>
  <c r="G887" i="11"/>
  <c r="G888" i="11"/>
  <c r="G889" i="11"/>
  <c r="G890" i="11"/>
  <c r="G891" i="11"/>
  <c r="G892" i="11"/>
  <c r="G893" i="11"/>
  <c r="G894" i="11"/>
  <c r="G895" i="11"/>
  <c r="G896" i="11"/>
  <c r="G897" i="11"/>
  <c r="G898" i="11"/>
  <c r="G899" i="11"/>
  <c r="G900" i="11"/>
  <c r="G901" i="11"/>
  <c r="G902" i="11"/>
  <c r="G903" i="11"/>
  <c r="G904" i="11"/>
  <c r="G905" i="11"/>
  <c r="G906" i="11"/>
  <c r="G907" i="11"/>
  <c r="G908" i="11"/>
  <c r="G909" i="11"/>
  <c r="G910" i="11"/>
  <c r="G911" i="11"/>
  <c r="G912" i="11"/>
  <c r="G913" i="11"/>
  <c r="G914" i="11"/>
  <c r="G915" i="11"/>
  <c r="G916" i="11"/>
  <c r="G917" i="11"/>
  <c r="G918" i="11"/>
  <c r="G919" i="11"/>
  <c r="G920" i="11"/>
  <c r="G921" i="11"/>
  <c r="G922" i="11"/>
  <c r="G923" i="11"/>
  <c r="G924" i="11"/>
  <c r="G925" i="11"/>
  <c r="G926" i="11"/>
  <c r="G927" i="11"/>
  <c r="G928" i="11"/>
  <c r="G929" i="11"/>
  <c r="G930" i="11"/>
  <c r="G931" i="11"/>
  <c r="G932" i="11"/>
  <c r="G933" i="11"/>
  <c r="G934" i="11"/>
  <c r="G935" i="11"/>
  <c r="G936" i="11"/>
  <c r="G937" i="11"/>
  <c r="G938" i="11"/>
  <c r="G939" i="11"/>
  <c r="G940" i="11"/>
  <c r="G941" i="11"/>
  <c r="G942" i="11"/>
  <c r="G943" i="11"/>
  <c r="G944" i="11"/>
  <c r="G945" i="11"/>
  <c r="G946" i="11"/>
  <c r="G947" i="11"/>
  <c r="G948" i="11"/>
  <c r="G949" i="11"/>
  <c r="G950" i="11"/>
  <c r="G951" i="11"/>
  <c r="G952" i="11"/>
  <c r="G953" i="11"/>
  <c r="G954" i="11"/>
  <c r="G955" i="11"/>
  <c r="G956" i="11"/>
  <c r="G957" i="11"/>
  <c r="G958" i="11"/>
  <c r="G959" i="11"/>
  <c r="G960" i="11"/>
  <c r="G961" i="11"/>
  <c r="G962" i="11"/>
  <c r="G963" i="11"/>
  <c r="G964" i="11"/>
  <c r="G965" i="11"/>
  <c r="G966" i="11"/>
  <c r="G967" i="11"/>
  <c r="G968" i="11"/>
  <c r="G969" i="11"/>
  <c r="G970" i="11"/>
  <c r="G971" i="11"/>
  <c r="G972" i="11"/>
  <c r="G973" i="11"/>
  <c r="G974" i="11"/>
  <c r="G975" i="11"/>
  <c r="G976" i="11"/>
  <c r="G977" i="11"/>
  <c r="G978" i="11"/>
  <c r="G979" i="11"/>
  <c r="G980" i="11"/>
  <c r="G981" i="11"/>
  <c r="G982" i="11"/>
  <c r="G983" i="11"/>
  <c r="G984" i="11"/>
  <c r="G985" i="11"/>
  <c r="G986" i="11"/>
  <c r="G987" i="11"/>
  <c r="G988" i="11"/>
  <c r="G989" i="11"/>
  <c r="G990" i="11"/>
  <c r="G991" i="11"/>
  <c r="G992" i="11"/>
  <c r="G993" i="11"/>
  <c r="G994" i="11"/>
  <c r="G995" i="11"/>
  <c r="G996" i="11"/>
  <c r="G997" i="11"/>
  <c r="G998" i="11"/>
  <c r="G999" i="11"/>
  <c r="G1000" i="11"/>
  <c r="G1001" i="11"/>
  <c r="G1002" i="11"/>
  <c r="G1003" i="11"/>
  <c r="G1004" i="11"/>
  <c r="G1005" i="11"/>
  <c r="G1006" i="11"/>
  <c r="G1007" i="11"/>
  <c r="G1008" i="11"/>
  <c r="G1009" i="11"/>
  <c r="G1010" i="11"/>
  <c r="G1011" i="11"/>
  <c r="G1012" i="11"/>
  <c r="G1013" i="11"/>
  <c r="G1014" i="11"/>
  <c r="G1015" i="11"/>
  <c r="G1016" i="11"/>
  <c r="G1017" i="11"/>
  <c r="G1018" i="11"/>
  <c r="G19" i="11"/>
  <c r="D18" i="10"/>
  <c r="D19" i="10"/>
  <c r="D20" i="10"/>
  <c r="D21" i="10"/>
  <c r="D22" i="10"/>
  <c r="D23" i="10"/>
  <c r="D24" i="10"/>
  <c r="D25" i="10"/>
  <c r="D26" i="10"/>
  <c r="D27" i="10"/>
  <c r="D28" i="10"/>
  <c r="D29" i="10"/>
  <c r="D30" i="10"/>
  <c r="D31" i="10"/>
  <c r="D32" i="10"/>
  <c r="D33" i="10"/>
  <c r="D34" i="10"/>
  <c r="D35" i="10"/>
  <c r="D36" i="10"/>
  <c r="D37" i="10"/>
  <c r="D38" i="10"/>
  <c r="D39" i="10"/>
  <c r="D40" i="10"/>
  <c r="D41" i="10"/>
  <c r="D42" i="10"/>
  <c r="D43" i="10"/>
  <c r="D44" i="10"/>
  <c r="D45" i="10"/>
  <c r="D46" i="10"/>
  <c r="D47" i="10"/>
  <c r="D48" i="10"/>
  <c r="D49" i="10"/>
  <c r="D50" i="10"/>
  <c r="D51" i="10"/>
  <c r="D52" i="10"/>
  <c r="D53" i="10"/>
  <c r="D54" i="10"/>
  <c r="D55" i="10"/>
  <c r="D56" i="10"/>
  <c r="D57" i="10"/>
  <c r="D58" i="10"/>
  <c r="D59" i="10"/>
  <c r="D60" i="10"/>
  <c r="D61" i="10"/>
  <c r="D62" i="10"/>
  <c r="D63" i="10"/>
  <c r="D64" i="10"/>
  <c r="D65" i="10"/>
  <c r="D66" i="10"/>
  <c r="D67" i="10"/>
  <c r="D68" i="10"/>
  <c r="D69" i="10"/>
  <c r="D70" i="10"/>
  <c r="D71" i="10"/>
  <c r="D72" i="10"/>
  <c r="D73" i="10"/>
  <c r="D74" i="10"/>
  <c r="D75" i="10"/>
  <c r="D76" i="10"/>
  <c r="D77" i="10"/>
  <c r="D78" i="10"/>
  <c r="D79" i="10"/>
  <c r="D80" i="10"/>
  <c r="D81" i="10"/>
  <c r="D82" i="10"/>
  <c r="D83" i="10"/>
  <c r="D84" i="10"/>
  <c r="D85" i="10"/>
  <c r="D86" i="10"/>
  <c r="D87" i="10"/>
  <c r="D88" i="10"/>
  <c r="D89" i="10"/>
  <c r="D90" i="10"/>
  <c r="D91" i="10"/>
  <c r="D92" i="10"/>
  <c r="D93" i="10"/>
  <c r="D94" i="10"/>
  <c r="D95" i="10"/>
  <c r="D96" i="10"/>
  <c r="D97" i="10"/>
  <c r="D98" i="10"/>
  <c r="D99" i="10"/>
  <c r="D100" i="10"/>
  <c r="D101" i="10"/>
  <c r="D102" i="10"/>
  <c r="D103" i="10"/>
  <c r="D104" i="10"/>
  <c r="D105" i="10"/>
  <c r="D106" i="10"/>
  <c r="D107" i="10"/>
  <c r="D108" i="10"/>
  <c r="D109" i="10"/>
  <c r="D110" i="10"/>
  <c r="D111" i="10"/>
  <c r="D112" i="10"/>
  <c r="D113" i="10"/>
  <c r="D114" i="10"/>
  <c r="D115" i="10"/>
  <c r="D116" i="10"/>
  <c r="D117" i="10"/>
  <c r="D118" i="10"/>
  <c r="D119" i="10"/>
  <c r="D120" i="10"/>
  <c r="D121" i="10"/>
  <c r="D122" i="10"/>
  <c r="D123" i="10"/>
  <c r="D124" i="10"/>
  <c r="D125" i="10"/>
  <c r="D126" i="10"/>
  <c r="D127" i="10"/>
  <c r="D128" i="10"/>
  <c r="D129" i="10"/>
  <c r="D130" i="10"/>
  <c r="D131" i="10"/>
  <c r="D132" i="10"/>
  <c r="D133" i="10"/>
  <c r="D134" i="10"/>
  <c r="D135" i="10"/>
  <c r="D136" i="10"/>
  <c r="D137" i="10"/>
  <c r="D138" i="10"/>
  <c r="D139" i="10"/>
  <c r="D140" i="10"/>
  <c r="D141" i="10"/>
  <c r="D142" i="10"/>
  <c r="D143" i="10"/>
  <c r="D144" i="10"/>
  <c r="D145" i="10"/>
  <c r="D146" i="10"/>
  <c r="D147" i="10"/>
  <c r="D148" i="10"/>
  <c r="D149" i="10"/>
  <c r="D150" i="10"/>
  <c r="D151" i="10"/>
  <c r="D152" i="10"/>
  <c r="D153" i="10"/>
  <c r="D154" i="10"/>
  <c r="D155" i="10"/>
  <c r="D156" i="10"/>
  <c r="D157" i="10"/>
  <c r="D158" i="10"/>
  <c r="D159" i="10"/>
  <c r="D160" i="10"/>
  <c r="D161" i="10"/>
  <c r="D162" i="10"/>
  <c r="D163" i="10"/>
  <c r="D164" i="10"/>
  <c r="D165" i="10"/>
  <c r="D166" i="10"/>
  <c r="D167" i="10"/>
  <c r="D168" i="10"/>
  <c r="D169" i="10"/>
  <c r="D170" i="10"/>
  <c r="D171" i="10"/>
  <c r="D172" i="10"/>
  <c r="D173" i="10"/>
  <c r="D174" i="10"/>
  <c r="D175" i="10"/>
  <c r="D176" i="10"/>
  <c r="D177" i="10"/>
  <c r="D178" i="10"/>
  <c r="D179" i="10"/>
  <c r="D180" i="10"/>
  <c r="D181" i="10"/>
  <c r="D182" i="10"/>
  <c r="D183" i="10"/>
  <c r="D184" i="10"/>
  <c r="D185" i="10"/>
  <c r="D186" i="10"/>
  <c r="D187" i="10"/>
  <c r="D188" i="10"/>
  <c r="D189" i="10"/>
  <c r="D190" i="10"/>
  <c r="D191" i="10"/>
  <c r="D192" i="10"/>
  <c r="D193" i="10"/>
  <c r="D194" i="10"/>
  <c r="D195" i="10"/>
  <c r="D196" i="10"/>
  <c r="D197" i="10"/>
  <c r="D198" i="10"/>
  <c r="D199" i="10"/>
  <c r="D200" i="10"/>
  <c r="D201" i="10"/>
  <c r="D202" i="10"/>
  <c r="D203" i="10"/>
  <c r="D204" i="10"/>
  <c r="D205" i="10"/>
  <c r="D206" i="10"/>
  <c r="D207" i="10"/>
  <c r="D208" i="10"/>
  <c r="D209" i="10"/>
  <c r="D210" i="10"/>
  <c r="D211" i="10"/>
  <c r="D212" i="10"/>
  <c r="D213" i="10"/>
  <c r="D214" i="10"/>
  <c r="D215" i="10"/>
  <c r="D216" i="10"/>
  <c r="D217" i="10"/>
  <c r="D218" i="10"/>
  <c r="D219" i="10"/>
  <c r="D220" i="10"/>
  <c r="D221" i="10"/>
  <c r="D222" i="10"/>
  <c r="D223" i="10"/>
  <c r="D224" i="10"/>
  <c r="D225" i="10"/>
  <c r="D226" i="10"/>
  <c r="D227" i="10"/>
  <c r="D228" i="10"/>
  <c r="D229" i="10"/>
  <c r="D230" i="10"/>
  <c r="D231" i="10"/>
  <c r="D232" i="10"/>
  <c r="D233" i="10"/>
  <c r="D234" i="10"/>
  <c r="D235" i="10"/>
  <c r="D236" i="10"/>
  <c r="D237" i="10"/>
  <c r="D238" i="10"/>
  <c r="D239" i="10"/>
  <c r="D240" i="10"/>
  <c r="D241" i="10"/>
  <c r="D242" i="10"/>
  <c r="D243" i="10"/>
  <c r="D244" i="10"/>
  <c r="D245" i="10"/>
  <c r="D246" i="10"/>
  <c r="D247" i="10"/>
  <c r="D248" i="10"/>
  <c r="D249" i="10"/>
  <c r="D250" i="10"/>
  <c r="D251" i="10"/>
  <c r="D252" i="10"/>
  <c r="D253" i="10"/>
  <c r="D254" i="10"/>
  <c r="D255" i="10"/>
  <c r="D256" i="10"/>
  <c r="D257" i="10"/>
  <c r="D258" i="10"/>
  <c r="D259" i="10"/>
  <c r="D260" i="10"/>
  <c r="D261" i="10"/>
  <c r="D262" i="10"/>
  <c r="D263" i="10"/>
  <c r="D264" i="10"/>
  <c r="D265" i="10"/>
  <c r="D266" i="10"/>
  <c r="D267" i="10"/>
  <c r="D268" i="10"/>
  <c r="D269" i="10"/>
  <c r="D270" i="10"/>
  <c r="D271" i="10"/>
  <c r="D272" i="10"/>
  <c r="D273" i="10"/>
  <c r="D274" i="10"/>
  <c r="D275" i="10"/>
  <c r="D276" i="10"/>
  <c r="D277" i="10"/>
  <c r="D278" i="10"/>
  <c r="D279" i="10"/>
  <c r="D280" i="10"/>
  <c r="D281" i="10"/>
  <c r="D282" i="10"/>
  <c r="D283" i="10"/>
  <c r="D284" i="10"/>
  <c r="D285" i="10"/>
  <c r="D286" i="10"/>
  <c r="D287" i="10"/>
  <c r="D288" i="10"/>
  <c r="D289" i="10"/>
  <c r="D290" i="10"/>
  <c r="D291" i="10"/>
  <c r="D292" i="10"/>
  <c r="D293" i="10"/>
  <c r="D294" i="10"/>
  <c r="D295" i="10"/>
  <c r="D296" i="10"/>
  <c r="D297" i="10"/>
  <c r="D298" i="10"/>
  <c r="D299" i="10"/>
  <c r="D300" i="10"/>
  <c r="D301" i="10"/>
  <c r="D302" i="10"/>
  <c r="D303" i="10"/>
  <c r="D304" i="10"/>
  <c r="D305" i="10"/>
  <c r="D306" i="10"/>
  <c r="D307" i="10"/>
  <c r="D308" i="10"/>
  <c r="D309" i="10"/>
  <c r="D310" i="10"/>
  <c r="D311" i="10"/>
  <c r="D312" i="10"/>
  <c r="D313" i="10"/>
  <c r="D314" i="10"/>
  <c r="D315" i="10"/>
  <c r="D316" i="10"/>
  <c r="D317" i="10"/>
  <c r="D318" i="10"/>
  <c r="D319" i="10"/>
  <c r="D320" i="10"/>
  <c r="D321" i="10"/>
  <c r="D322" i="10"/>
  <c r="D323" i="10"/>
  <c r="D324" i="10"/>
  <c r="D325" i="10"/>
  <c r="D326" i="10"/>
  <c r="D327" i="10"/>
  <c r="D328" i="10"/>
  <c r="D329" i="10"/>
  <c r="D330" i="10"/>
  <c r="D331" i="10"/>
  <c r="D332" i="10"/>
  <c r="D333" i="10"/>
  <c r="D334" i="10"/>
  <c r="D335" i="10"/>
  <c r="D336" i="10"/>
  <c r="D337" i="10"/>
  <c r="D338" i="10"/>
  <c r="D339" i="10"/>
  <c r="D340" i="10"/>
  <c r="D341" i="10"/>
  <c r="D342" i="10"/>
  <c r="D343" i="10"/>
  <c r="D344" i="10"/>
  <c r="D345" i="10"/>
  <c r="D346" i="10"/>
  <c r="D347" i="10"/>
  <c r="D348" i="10"/>
  <c r="D349" i="10"/>
  <c r="D350" i="10"/>
  <c r="D351" i="10"/>
  <c r="D352" i="10"/>
  <c r="D353" i="10"/>
  <c r="D354" i="10"/>
  <c r="D355" i="10"/>
  <c r="D356" i="10"/>
  <c r="D357" i="10"/>
  <c r="D358" i="10"/>
  <c r="D359" i="10"/>
  <c r="D360" i="10"/>
  <c r="D361" i="10"/>
  <c r="D362" i="10"/>
  <c r="D363" i="10"/>
  <c r="D364" i="10"/>
  <c r="D365" i="10"/>
  <c r="D366" i="10"/>
  <c r="D367" i="10"/>
  <c r="D368" i="10"/>
  <c r="D369" i="10"/>
  <c r="D370" i="10"/>
  <c r="D371" i="10"/>
  <c r="D372" i="10"/>
  <c r="D373" i="10"/>
  <c r="D374" i="10"/>
  <c r="D375" i="10"/>
  <c r="D376" i="10"/>
  <c r="D377" i="10"/>
  <c r="D378" i="10"/>
  <c r="D379" i="10"/>
  <c r="D380" i="10"/>
  <c r="D381" i="10"/>
  <c r="D382" i="10"/>
  <c r="D383" i="10"/>
  <c r="D384" i="10"/>
  <c r="D385" i="10"/>
  <c r="D386" i="10"/>
  <c r="D387" i="10"/>
  <c r="D388" i="10"/>
  <c r="D389" i="10"/>
  <c r="D390" i="10"/>
  <c r="D391" i="10"/>
  <c r="D392" i="10"/>
  <c r="D393" i="10"/>
  <c r="D394" i="10"/>
  <c r="D395" i="10"/>
  <c r="D396" i="10"/>
  <c r="D397" i="10"/>
  <c r="D398" i="10"/>
  <c r="D399" i="10"/>
  <c r="D400" i="10"/>
  <c r="D401" i="10"/>
  <c r="D402" i="10"/>
  <c r="D403" i="10"/>
  <c r="D404" i="10"/>
  <c r="D405" i="10"/>
  <c r="D406" i="10"/>
  <c r="D407" i="10"/>
  <c r="D408" i="10"/>
  <c r="D409" i="10"/>
  <c r="D410" i="10"/>
  <c r="D411" i="10"/>
  <c r="D412" i="10"/>
  <c r="D413" i="10"/>
  <c r="D414" i="10"/>
  <c r="D415" i="10"/>
  <c r="D416" i="10"/>
  <c r="D417" i="10"/>
  <c r="D418" i="10"/>
  <c r="D419" i="10"/>
  <c r="D420" i="10"/>
  <c r="D421" i="10"/>
  <c r="D422" i="10"/>
  <c r="D423" i="10"/>
  <c r="D424" i="10"/>
  <c r="D425" i="10"/>
  <c r="D426" i="10"/>
  <c r="D427" i="10"/>
  <c r="D428" i="10"/>
  <c r="D429" i="10"/>
  <c r="D430" i="10"/>
  <c r="D431" i="10"/>
  <c r="D432" i="10"/>
  <c r="D433" i="10"/>
  <c r="D434" i="10"/>
  <c r="D435" i="10"/>
  <c r="D436" i="10"/>
  <c r="D437" i="10"/>
  <c r="D438" i="10"/>
  <c r="D439" i="10"/>
  <c r="D440" i="10"/>
  <c r="D441" i="10"/>
  <c r="D442" i="10"/>
  <c r="D443" i="10"/>
  <c r="D444" i="10"/>
  <c r="D445" i="10"/>
  <c r="D446" i="10"/>
  <c r="D447" i="10"/>
  <c r="D448" i="10"/>
  <c r="D449" i="10"/>
  <c r="D450" i="10"/>
  <c r="D451" i="10"/>
  <c r="D452" i="10"/>
  <c r="D453" i="10"/>
  <c r="D454" i="10"/>
  <c r="D455" i="10"/>
  <c r="D456" i="10"/>
  <c r="D457" i="10"/>
  <c r="D458" i="10"/>
  <c r="D459" i="10"/>
  <c r="D460" i="10"/>
  <c r="D461" i="10"/>
  <c r="D462" i="10"/>
  <c r="D463" i="10"/>
  <c r="D464" i="10"/>
  <c r="D465" i="10"/>
  <c r="D466" i="10"/>
  <c r="D467" i="10"/>
  <c r="D468" i="10"/>
  <c r="D469" i="10"/>
  <c r="D470" i="10"/>
  <c r="D471" i="10"/>
  <c r="D472" i="10"/>
  <c r="D473" i="10"/>
  <c r="D474" i="10"/>
  <c r="D475" i="10"/>
  <c r="D476" i="10"/>
  <c r="D477" i="10"/>
  <c r="D478" i="10"/>
  <c r="D479" i="10"/>
  <c r="D480" i="10"/>
  <c r="D481" i="10"/>
  <c r="D482" i="10"/>
  <c r="D483" i="10"/>
  <c r="D484" i="10"/>
  <c r="D485" i="10"/>
  <c r="D486" i="10"/>
  <c r="D487" i="10"/>
  <c r="D488" i="10"/>
  <c r="D489" i="10"/>
  <c r="D490" i="10"/>
  <c r="D491" i="10"/>
  <c r="D492" i="10"/>
  <c r="D493" i="10"/>
  <c r="D494" i="10"/>
  <c r="D495" i="10"/>
  <c r="D496" i="10"/>
  <c r="D497" i="10"/>
  <c r="D498" i="10"/>
  <c r="D499" i="10"/>
  <c r="D500" i="10"/>
  <c r="D501" i="10"/>
  <c r="D502" i="10"/>
  <c r="D503" i="10"/>
  <c r="D504" i="10"/>
  <c r="D505" i="10"/>
  <c r="D506" i="10"/>
  <c r="D507" i="10"/>
  <c r="D508" i="10"/>
  <c r="D509" i="10"/>
  <c r="D510" i="10"/>
  <c r="D511" i="10"/>
  <c r="D512" i="10"/>
  <c r="D513" i="10"/>
  <c r="D514" i="10"/>
  <c r="D515" i="10"/>
  <c r="D516" i="10"/>
  <c r="D517" i="10"/>
  <c r="D518" i="10"/>
  <c r="D519" i="10"/>
  <c r="D520" i="10"/>
  <c r="D521" i="10"/>
  <c r="D522" i="10"/>
  <c r="D523" i="10"/>
  <c r="D524" i="10"/>
  <c r="D525" i="10"/>
  <c r="D526" i="10"/>
  <c r="D527" i="10"/>
  <c r="D528" i="10"/>
  <c r="D529" i="10"/>
  <c r="D530" i="10"/>
  <c r="D531" i="10"/>
  <c r="D532" i="10"/>
  <c r="D533" i="10"/>
  <c r="D534" i="10"/>
  <c r="D535" i="10"/>
  <c r="D536" i="10"/>
  <c r="D537" i="10"/>
  <c r="D538" i="10"/>
  <c r="D539" i="10"/>
  <c r="D540" i="10"/>
  <c r="D541" i="10"/>
  <c r="D542" i="10"/>
  <c r="D543" i="10"/>
  <c r="D544" i="10"/>
  <c r="D545" i="10"/>
  <c r="D546" i="10"/>
  <c r="D547" i="10"/>
  <c r="D548" i="10"/>
  <c r="D549" i="10"/>
  <c r="D550" i="10"/>
  <c r="D551" i="10"/>
  <c r="D552" i="10"/>
  <c r="D553" i="10"/>
  <c r="D554" i="10"/>
  <c r="D555" i="10"/>
  <c r="D556" i="10"/>
  <c r="D557" i="10"/>
  <c r="D558" i="10"/>
  <c r="D559" i="10"/>
  <c r="D560" i="10"/>
  <c r="D561" i="10"/>
  <c r="D562" i="10"/>
  <c r="D563" i="10"/>
  <c r="D564" i="10"/>
  <c r="D565" i="10"/>
  <c r="D566" i="10"/>
  <c r="D567" i="10"/>
  <c r="D568" i="10"/>
  <c r="D569" i="10"/>
  <c r="D570" i="10"/>
  <c r="D571" i="10"/>
  <c r="D572" i="10"/>
  <c r="D573" i="10"/>
  <c r="D574" i="10"/>
  <c r="D575" i="10"/>
  <c r="D576" i="10"/>
  <c r="D577" i="10"/>
  <c r="D578" i="10"/>
  <c r="D579" i="10"/>
  <c r="D580" i="10"/>
  <c r="D581" i="10"/>
  <c r="D582" i="10"/>
  <c r="D583" i="10"/>
  <c r="D584" i="10"/>
  <c r="D585" i="10"/>
  <c r="D586" i="10"/>
  <c r="D587" i="10"/>
  <c r="D588" i="10"/>
  <c r="D589" i="10"/>
  <c r="D590" i="10"/>
  <c r="D591" i="10"/>
  <c r="D592" i="10"/>
  <c r="D593" i="10"/>
  <c r="D594" i="10"/>
  <c r="D595" i="10"/>
  <c r="D596" i="10"/>
  <c r="D597" i="10"/>
  <c r="D598" i="10"/>
  <c r="D599" i="10"/>
  <c r="D600" i="10"/>
  <c r="D601" i="10"/>
  <c r="D602" i="10"/>
  <c r="D603" i="10"/>
  <c r="D604" i="10"/>
  <c r="D605" i="10"/>
  <c r="D606" i="10"/>
  <c r="D607" i="10"/>
  <c r="D608" i="10"/>
  <c r="D609" i="10"/>
  <c r="D610" i="10"/>
  <c r="D611" i="10"/>
  <c r="D612" i="10"/>
  <c r="D613" i="10"/>
  <c r="D614" i="10"/>
  <c r="D615" i="10"/>
  <c r="D616" i="10"/>
  <c r="D617" i="10"/>
  <c r="D618" i="10"/>
  <c r="D619" i="10"/>
  <c r="D620" i="10"/>
  <c r="D621" i="10"/>
  <c r="D622" i="10"/>
  <c r="D623" i="10"/>
  <c r="D624" i="10"/>
  <c r="D625" i="10"/>
  <c r="D626" i="10"/>
  <c r="D627" i="10"/>
  <c r="D628" i="10"/>
  <c r="D629" i="10"/>
  <c r="D630" i="10"/>
  <c r="D631" i="10"/>
  <c r="D632" i="10"/>
  <c r="D633" i="10"/>
  <c r="D634" i="10"/>
  <c r="D635" i="10"/>
  <c r="D636" i="10"/>
  <c r="D637" i="10"/>
  <c r="D638" i="10"/>
  <c r="D639" i="10"/>
  <c r="D640" i="10"/>
  <c r="D641" i="10"/>
  <c r="D642" i="10"/>
  <c r="D643" i="10"/>
  <c r="D644" i="10"/>
  <c r="D645" i="10"/>
  <c r="D646" i="10"/>
  <c r="D647" i="10"/>
  <c r="D648" i="10"/>
  <c r="D649" i="10"/>
  <c r="D650" i="10"/>
  <c r="D651" i="10"/>
  <c r="D652" i="10"/>
  <c r="D653" i="10"/>
  <c r="D654" i="10"/>
  <c r="D655" i="10"/>
  <c r="D656" i="10"/>
  <c r="D657" i="10"/>
  <c r="D658" i="10"/>
  <c r="D659" i="10"/>
  <c r="D660" i="10"/>
  <c r="D661" i="10"/>
  <c r="D662" i="10"/>
  <c r="D663" i="10"/>
  <c r="D664" i="10"/>
  <c r="D665" i="10"/>
  <c r="D666" i="10"/>
  <c r="D667" i="10"/>
  <c r="D668" i="10"/>
  <c r="D669" i="10"/>
  <c r="D670" i="10"/>
  <c r="D671" i="10"/>
  <c r="D672" i="10"/>
  <c r="D673" i="10"/>
  <c r="D674" i="10"/>
  <c r="D675" i="10"/>
  <c r="D676" i="10"/>
  <c r="D677" i="10"/>
  <c r="D678" i="10"/>
  <c r="D679" i="10"/>
  <c r="D680" i="10"/>
  <c r="D681" i="10"/>
  <c r="D682" i="10"/>
  <c r="D683" i="10"/>
  <c r="D684" i="10"/>
  <c r="D685" i="10"/>
  <c r="D686" i="10"/>
  <c r="D687" i="10"/>
  <c r="D688" i="10"/>
  <c r="D689" i="10"/>
  <c r="D690" i="10"/>
  <c r="D691" i="10"/>
  <c r="D692" i="10"/>
  <c r="D693" i="10"/>
  <c r="D694" i="10"/>
  <c r="D695" i="10"/>
  <c r="D696" i="10"/>
  <c r="D697" i="10"/>
  <c r="D698" i="10"/>
  <c r="D699" i="10"/>
  <c r="D700" i="10"/>
  <c r="D701" i="10"/>
  <c r="D702" i="10"/>
  <c r="D703" i="10"/>
  <c r="D704" i="10"/>
  <c r="D705" i="10"/>
  <c r="D706" i="10"/>
  <c r="D707" i="10"/>
  <c r="D708" i="10"/>
  <c r="D709" i="10"/>
  <c r="D710" i="10"/>
  <c r="D711" i="10"/>
  <c r="D712" i="10"/>
  <c r="D713" i="10"/>
  <c r="D714" i="10"/>
  <c r="D715" i="10"/>
  <c r="D716" i="10"/>
  <c r="D717" i="10"/>
  <c r="D718" i="10"/>
  <c r="D719" i="10"/>
  <c r="D720" i="10"/>
  <c r="D721" i="10"/>
  <c r="D722" i="10"/>
  <c r="D723" i="10"/>
  <c r="D724" i="10"/>
  <c r="D725" i="10"/>
  <c r="D726" i="10"/>
  <c r="D727" i="10"/>
  <c r="D728" i="10"/>
  <c r="D729" i="10"/>
  <c r="D730" i="10"/>
  <c r="D731" i="10"/>
  <c r="D732" i="10"/>
  <c r="D733" i="10"/>
  <c r="D734" i="10"/>
  <c r="D735" i="10"/>
  <c r="D736" i="10"/>
  <c r="D737" i="10"/>
  <c r="D738" i="10"/>
  <c r="D739" i="10"/>
  <c r="D740" i="10"/>
  <c r="D741" i="10"/>
  <c r="D742" i="10"/>
  <c r="D743" i="10"/>
  <c r="D744" i="10"/>
  <c r="D745" i="10"/>
  <c r="D746" i="10"/>
  <c r="D747" i="10"/>
  <c r="D748" i="10"/>
  <c r="D749" i="10"/>
  <c r="D750" i="10"/>
  <c r="D751" i="10"/>
  <c r="D752" i="10"/>
  <c r="D753" i="10"/>
  <c r="D754" i="10"/>
  <c r="D755" i="10"/>
  <c r="D756" i="10"/>
  <c r="D757" i="10"/>
  <c r="D758" i="10"/>
  <c r="D759" i="10"/>
  <c r="D760" i="10"/>
  <c r="D761" i="10"/>
  <c r="D762" i="10"/>
  <c r="D763" i="10"/>
  <c r="D764" i="10"/>
  <c r="D765" i="10"/>
  <c r="D766" i="10"/>
  <c r="D767" i="10"/>
  <c r="D768" i="10"/>
  <c r="D769" i="10"/>
  <c r="D770" i="10"/>
  <c r="D771" i="10"/>
  <c r="D772" i="10"/>
  <c r="D773" i="10"/>
  <c r="D774" i="10"/>
  <c r="D775" i="10"/>
  <c r="D776" i="10"/>
  <c r="D777" i="10"/>
  <c r="D778" i="10"/>
  <c r="D779" i="10"/>
  <c r="D780" i="10"/>
  <c r="D781" i="10"/>
  <c r="D782" i="10"/>
  <c r="D783" i="10"/>
  <c r="D784" i="10"/>
  <c r="D785" i="10"/>
  <c r="D786" i="10"/>
  <c r="D787" i="10"/>
  <c r="D788" i="10"/>
  <c r="D789" i="10"/>
  <c r="D790" i="10"/>
  <c r="D791" i="10"/>
  <c r="D792" i="10"/>
  <c r="D793" i="10"/>
  <c r="D794" i="10"/>
  <c r="D795" i="10"/>
  <c r="D796" i="10"/>
  <c r="D797" i="10"/>
  <c r="D798" i="10"/>
  <c r="D799" i="10"/>
  <c r="D800" i="10"/>
  <c r="D801" i="10"/>
  <c r="D802" i="10"/>
  <c r="D803" i="10"/>
  <c r="D804" i="10"/>
  <c r="D805" i="10"/>
  <c r="D806" i="10"/>
  <c r="D807" i="10"/>
  <c r="D808" i="10"/>
  <c r="D809" i="10"/>
  <c r="D810" i="10"/>
  <c r="D811" i="10"/>
  <c r="D812" i="10"/>
  <c r="D813" i="10"/>
  <c r="D814" i="10"/>
  <c r="D815" i="10"/>
  <c r="D816" i="10"/>
  <c r="D817" i="10"/>
  <c r="D818" i="10"/>
  <c r="D819" i="10"/>
  <c r="D820" i="10"/>
  <c r="D821" i="10"/>
  <c r="D822" i="10"/>
  <c r="D823" i="10"/>
  <c r="D824" i="10"/>
  <c r="D825" i="10"/>
  <c r="D826" i="10"/>
  <c r="D827" i="10"/>
  <c r="D828" i="10"/>
  <c r="D829" i="10"/>
  <c r="D830" i="10"/>
  <c r="D831" i="10"/>
  <c r="D832" i="10"/>
  <c r="D833" i="10"/>
  <c r="D834" i="10"/>
  <c r="D835" i="10"/>
  <c r="D836" i="10"/>
  <c r="D837" i="10"/>
  <c r="D838" i="10"/>
  <c r="D839" i="10"/>
  <c r="D840" i="10"/>
  <c r="D841" i="10"/>
  <c r="D842" i="10"/>
  <c r="D843" i="10"/>
  <c r="D844" i="10"/>
  <c r="D845" i="10"/>
  <c r="D846" i="10"/>
  <c r="D847" i="10"/>
  <c r="D848" i="10"/>
  <c r="D849" i="10"/>
  <c r="D850" i="10"/>
  <c r="D851" i="10"/>
  <c r="D852" i="10"/>
  <c r="D853" i="10"/>
  <c r="D854" i="10"/>
  <c r="D855" i="10"/>
  <c r="D856" i="10"/>
  <c r="D857" i="10"/>
  <c r="D858" i="10"/>
  <c r="D859" i="10"/>
  <c r="D860" i="10"/>
  <c r="D861" i="10"/>
  <c r="D862" i="10"/>
  <c r="D863" i="10"/>
  <c r="D864" i="10"/>
  <c r="D865" i="10"/>
  <c r="D866" i="10"/>
  <c r="D867" i="10"/>
  <c r="D868" i="10"/>
  <c r="D869" i="10"/>
  <c r="D870" i="10"/>
  <c r="D871" i="10"/>
  <c r="D872" i="10"/>
  <c r="D873" i="10"/>
  <c r="D874" i="10"/>
  <c r="D875" i="10"/>
  <c r="D876" i="10"/>
  <c r="D877" i="10"/>
  <c r="D878" i="10"/>
  <c r="D879" i="10"/>
  <c r="D880" i="10"/>
  <c r="D881" i="10"/>
  <c r="D882" i="10"/>
  <c r="D883" i="10"/>
  <c r="D884" i="10"/>
  <c r="D885" i="10"/>
  <c r="D886" i="10"/>
  <c r="D887" i="10"/>
  <c r="D888" i="10"/>
  <c r="D889" i="10"/>
  <c r="D890" i="10"/>
  <c r="D891" i="10"/>
  <c r="D892" i="10"/>
  <c r="D893" i="10"/>
  <c r="D894" i="10"/>
  <c r="D895" i="10"/>
  <c r="D896" i="10"/>
  <c r="D897" i="10"/>
  <c r="D898" i="10"/>
  <c r="D899" i="10"/>
  <c r="D900" i="10"/>
  <c r="D901" i="10"/>
  <c r="D902" i="10"/>
  <c r="D903" i="10"/>
  <c r="D904" i="10"/>
  <c r="D905" i="10"/>
  <c r="D906" i="10"/>
  <c r="D907" i="10"/>
  <c r="D908" i="10"/>
  <c r="D909" i="10"/>
  <c r="D910" i="10"/>
  <c r="D911" i="10"/>
  <c r="D912" i="10"/>
  <c r="D913" i="10"/>
  <c r="D914" i="10"/>
  <c r="D915" i="10"/>
  <c r="D916" i="10"/>
  <c r="D917" i="10"/>
  <c r="D918" i="10"/>
  <c r="D919" i="10"/>
  <c r="D920" i="10"/>
  <c r="D921" i="10"/>
  <c r="D922" i="10"/>
  <c r="D923" i="10"/>
  <c r="D924" i="10"/>
  <c r="D925" i="10"/>
  <c r="D926" i="10"/>
  <c r="D927" i="10"/>
  <c r="D928" i="10"/>
  <c r="D929" i="10"/>
  <c r="D930" i="10"/>
  <c r="D931" i="10"/>
  <c r="D932" i="10"/>
  <c r="D933" i="10"/>
  <c r="D934" i="10"/>
  <c r="D935" i="10"/>
  <c r="D936" i="10"/>
  <c r="D937" i="10"/>
  <c r="D938" i="10"/>
  <c r="D939" i="10"/>
  <c r="D940" i="10"/>
  <c r="D941" i="10"/>
  <c r="D942" i="10"/>
  <c r="D943" i="10"/>
  <c r="D944" i="10"/>
  <c r="D945" i="10"/>
  <c r="D946" i="10"/>
  <c r="D947" i="10"/>
  <c r="D948" i="10"/>
  <c r="D949" i="10"/>
  <c r="D950" i="10"/>
  <c r="D951" i="10"/>
  <c r="D952" i="10"/>
  <c r="D953" i="10"/>
  <c r="D954" i="10"/>
  <c r="D955" i="10"/>
  <c r="D956" i="10"/>
  <c r="D957" i="10"/>
  <c r="D958" i="10"/>
  <c r="D959" i="10"/>
  <c r="D960" i="10"/>
  <c r="D961" i="10"/>
  <c r="D962" i="10"/>
  <c r="D963" i="10"/>
  <c r="D964" i="10"/>
  <c r="D965" i="10"/>
  <c r="D966" i="10"/>
  <c r="D967" i="10"/>
  <c r="D968" i="10"/>
  <c r="D969" i="10"/>
  <c r="D970" i="10"/>
  <c r="D971" i="10"/>
  <c r="D972" i="10"/>
  <c r="D973" i="10"/>
  <c r="D974" i="10"/>
  <c r="D975" i="10"/>
  <c r="D976" i="10"/>
  <c r="D977" i="10"/>
  <c r="D978" i="10"/>
  <c r="D979" i="10"/>
  <c r="D980" i="10"/>
  <c r="D981" i="10"/>
  <c r="D982" i="10"/>
  <c r="D983" i="10"/>
  <c r="D984" i="10"/>
  <c r="D985" i="10"/>
  <c r="D986" i="10"/>
  <c r="D987" i="10"/>
  <c r="D988" i="10"/>
  <c r="D989" i="10"/>
  <c r="D990" i="10"/>
  <c r="D991" i="10"/>
  <c r="D992" i="10"/>
  <c r="D993" i="10"/>
  <c r="D994" i="10"/>
  <c r="D995" i="10"/>
  <c r="D996" i="10"/>
  <c r="D997" i="10"/>
  <c r="D998" i="10"/>
  <c r="D999" i="10"/>
  <c r="D1000" i="10"/>
  <c r="D1001" i="10"/>
  <c r="D1002" i="10"/>
  <c r="D1003" i="10"/>
  <c r="D1004" i="10"/>
  <c r="D1005" i="10"/>
  <c r="D1006" i="10"/>
  <c r="D1007" i="10"/>
  <c r="D1008" i="10"/>
  <c r="D1009" i="10"/>
  <c r="D1010" i="10"/>
  <c r="D1011" i="10"/>
  <c r="D1012" i="10"/>
  <c r="D1013" i="10"/>
  <c r="D1014" i="10"/>
  <c r="D1015" i="10"/>
  <c r="D1016" i="10"/>
  <c r="D17" i="10"/>
  <c r="I20" i="9"/>
  <c r="J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492" i="9"/>
  <c r="B493" i="9"/>
  <c r="B494" i="9"/>
  <c r="B495" i="9"/>
  <c r="B496" i="9"/>
  <c r="B497" i="9"/>
  <c r="B498" i="9"/>
  <c r="B499" i="9"/>
  <c r="B500" i="9"/>
  <c r="B501" i="9"/>
  <c r="B502" i="9"/>
  <c r="B503" i="9"/>
  <c r="B504" i="9"/>
  <c r="B505" i="9"/>
  <c r="B506" i="9"/>
  <c r="B507" i="9"/>
  <c r="B508" i="9"/>
  <c r="B509" i="9"/>
  <c r="B510" i="9"/>
  <c r="B511" i="9"/>
  <c r="B512" i="9"/>
  <c r="B513" i="9"/>
  <c r="B514" i="9"/>
  <c r="B515" i="9"/>
  <c r="B516" i="9"/>
  <c r="B517" i="9"/>
  <c r="B518" i="9"/>
  <c r="B519" i="9"/>
  <c r="B520" i="9"/>
  <c r="B521" i="9"/>
  <c r="B522" i="9"/>
  <c r="B523" i="9"/>
  <c r="B524" i="9"/>
  <c r="B525" i="9"/>
  <c r="B526" i="9"/>
  <c r="B527" i="9"/>
  <c r="B528" i="9"/>
  <c r="B529" i="9"/>
  <c r="B530" i="9"/>
  <c r="B531" i="9"/>
  <c r="B532" i="9"/>
  <c r="B533" i="9"/>
  <c r="B534" i="9"/>
  <c r="B535" i="9"/>
  <c r="B536" i="9"/>
  <c r="B537" i="9"/>
  <c r="B538" i="9"/>
  <c r="B539" i="9"/>
  <c r="B540" i="9"/>
  <c r="B541" i="9"/>
  <c r="B542" i="9"/>
  <c r="B543" i="9"/>
  <c r="B544" i="9"/>
  <c r="B545" i="9"/>
  <c r="B546" i="9"/>
  <c r="B547" i="9"/>
  <c r="B548" i="9"/>
  <c r="B549" i="9"/>
  <c r="B550" i="9"/>
  <c r="B551" i="9"/>
  <c r="B552" i="9"/>
  <c r="B553" i="9"/>
  <c r="B554" i="9"/>
  <c r="B555" i="9"/>
  <c r="B556" i="9"/>
  <c r="B557" i="9"/>
  <c r="B558" i="9"/>
  <c r="B559" i="9"/>
  <c r="B560" i="9"/>
  <c r="B561" i="9"/>
  <c r="B562" i="9"/>
  <c r="B563" i="9"/>
  <c r="B564" i="9"/>
  <c r="B565" i="9"/>
  <c r="B566" i="9"/>
  <c r="B567" i="9"/>
  <c r="B568" i="9"/>
  <c r="B569" i="9"/>
  <c r="B570" i="9"/>
  <c r="B571" i="9"/>
  <c r="B572" i="9"/>
  <c r="B573" i="9"/>
  <c r="B574" i="9"/>
  <c r="B575" i="9"/>
  <c r="B576" i="9"/>
  <c r="B577" i="9"/>
  <c r="B578" i="9"/>
  <c r="B579" i="9"/>
  <c r="B580" i="9"/>
  <c r="B581" i="9"/>
  <c r="B582" i="9"/>
  <c r="B583" i="9"/>
  <c r="B584" i="9"/>
  <c r="B585" i="9"/>
  <c r="B586" i="9"/>
  <c r="B587" i="9"/>
  <c r="B588" i="9"/>
  <c r="B589" i="9"/>
  <c r="B590" i="9"/>
  <c r="B591" i="9"/>
  <c r="B592" i="9"/>
  <c r="B593" i="9"/>
  <c r="B594" i="9"/>
  <c r="B595" i="9"/>
  <c r="B596" i="9"/>
  <c r="B597" i="9"/>
  <c r="B598" i="9"/>
  <c r="B599" i="9"/>
  <c r="B600" i="9"/>
  <c r="B601" i="9"/>
  <c r="B602" i="9"/>
  <c r="B603" i="9"/>
  <c r="B604" i="9"/>
  <c r="B605" i="9"/>
  <c r="B606" i="9"/>
  <c r="B607" i="9"/>
  <c r="B608" i="9"/>
  <c r="B609" i="9"/>
  <c r="B610" i="9"/>
  <c r="B611" i="9"/>
  <c r="B612" i="9"/>
  <c r="B613" i="9"/>
  <c r="B614" i="9"/>
  <c r="B615" i="9"/>
  <c r="B616" i="9"/>
  <c r="B617" i="9"/>
  <c r="B618" i="9"/>
  <c r="B619" i="9"/>
  <c r="B620" i="9"/>
  <c r="B621" i="9"/>
  <c r="B622" i="9"/>
  <c r="B623" i="9"/>
  <c r="B624" i="9"/>
  <c r="B625" i="9"/>
  <c r="B626" i="9"/>
  <c r="B627" i="9"/>
  <c r="B628" i="9"/>
  <c r="B629" i="9"/>
  <c r="B630" i="9"/>
  <c r="B631" i="9"/>
  <c r="B632" i="9"/>
  <c r="B633" i="9"/>
  <c r="B634" i="9"/>
  <c r="B635" i="9"/>
  <c r="B636" i="9"/>
  <c r="B637" i="9"/>
  <c r="B638" i="9"/>
  <c r="B639" i="9"/>
  <c r="B640" i="9"/>
  <c r="B641" i="9"/>
  <c r="B642" i="9"/>
  <c r="B643" i="9"/>
  <c r="B644" i="9"/>
  <c r="B645" i="9"/>
  <c r="B646" i="9"/>
  <c r="B647" i="9"/>
  <c r="B648" i="9"/>
  <c r="B649" i="9"/>
  <c r="B650" i="9"/>
  <c r="B651" i="9"/>
  <c r="B652" i="9"/>
  <c r="B653" i="9"/>
  <c r="B654" i="9"/>
  <c r="B655" i="9"/>
  <c r="B656" i="9"/>
  <c r="B657" i="9"/>
  <c r="B658" i="9"/>
  <c r="B659" i="9"/>
  <c r="B660" i="9"/>
  <c r="B661" i="9"/>
  <c r="B662" i="9"/>
  <c r="B663" i="9"/>
  <c r="B664" i="9"/>
  <c r="B665" i="9"/>
  <c r="B666" i="9"/>
  <c r="B667" i="9"/>
  <c r="B668" i="9"/>
  <c r="B669" i="9"/>
  <c r="B670" i="9"/>
  <c r="B671" i="9"/>
  <c r="B672" i="9"/>
  <c r="B673" i="9"/>
  <c r="B674" i="9"/>
  <c r="B675" i="9"/>
  <c r="B676" i="9"/>
  <c r="B677" i="9"/>
  <c r="B678" i="9"/>
  <c r="B679" i="9"/>
  <c r="B680" i="9"/>
  <c r="B681" i="9"/>
  <c r="B682" i="9"/>
  <c r="B683" i="9"/>
  <c r="B684" i="9"/>
  <c r="B685" i="9"/>
  <c r="B686" i="9"/>
  <c r="B687" i="9"/>
  <c r="B688" i="9"/>
  <c r="B689" i="9"/>
  <c r="B690" i="9"/>
  <c r="B691" i="9"/>
  <c r="B692" i="9"/>
  <c r="B693" i="9"/>
  <c r="B694" i="9"/>
  <c r="B695" i="9"/>
  <c r="B696" i="9"/>
  <c r="B697" i="9"/>
  <c r="B698" i="9"/>
  <c r="B699" i="9"/>
  <c r="B700" i="9"/>
  <c r="B701" i="9"/>
  <c r="B702" i="9"/>
  <c r="B703" i="9"/>
  <c r="B704" i="9"/>
  <c r="B705" i="9"/>
  <c r="B706" i="9"/>
  <c r="B707" i="9"/>
  <c r="B708" i="9"/>
  <c r="B709" i="9"/>
  <c r="B710" i="9"/>
  <c r="B711" i="9"/>
  <c r="B712" i="9"/>
  <c r="B713" i="9"/>
  <c r="B714" i="9"/>
  <c r="B715" i="9"/>
  <c r="B716" i="9"/>
  <c r="B717" i="9"/>
  <c r="B718" i="9"/>
  <c r="B719" i="9"/>
  <c r="B720" i="9"/>
  <c r="B721" i="9"/>
  <c r="B722" i="9"/>
  <c r="B723" i="9"/>
  <c r="B724" i="9"/>
  <c r="B725" i="9"/>
  <c r="B726" i="9"/>
  <c r="B727" i="9"/>
  <c r="B728" i="9"/>
  <c r="B729" i="9"/>
  <c r="B730" i="9"/>
  <c r="B731" i="9"/>
  <c r="B732" i="9"/>
  <c r="B733" i="9"/>
  <c r="B734" i="9"/>
  <c r="B735" i="9"/>
  <c r="B736" i="9"/>
  <c r="B737" i="9"/>
  <c r="B738" i="9"/>
  <c r="B739" i="9"/>
  <c r="B740" i="9"/>
  <c r="B741" i="9"/>
  <c r="B742" i="9"/>
  <c r="B743" i="9"/>
  <c r="B744" i="9"/>
  <c r="B745" i="9"/>
  <c r="B746" i="9"/>
  <c r="B747" i="9"/>
  <c r="B748" i="9"/>
  <c r="B749" i="9"/>
  <c r="B750" i="9"/>
  <c r="B751" i="9"/>
  <c r="B752" i="9"/>
  <c r="B753" i="9"/>
  <c r="B754" i="9"/>
  <c r="B755" i="9"/>
  <c r="B756" i="9"/>
  <c r="B757" i="9"/>
  <c r="B758" i="9"/>
  <c r="B759" i="9"/>
  <c r="B760" i="9"/>
  <c r="B761" i="9"/>
  <c r="B762" i="9"/>
  <c r="B763" i="9"/>
  <c r="B764" i="9"/>
  <c r="B765" i="9"/>
  <c r="B766" i="9"/>
  <c r="B767" i="9"/>
  <c r="B768" i="9"/>
  <c r="B769" i="9"/>
  <c r="B770" i="9"/>
  <c r="B771" i="9"/>
  <c r="B772" i="9"/>
  <c r="B773" i="9"/>
  <c r="B774" i="9"/>
  <c r="B775" i="9"/>
  <c r="B776" i="9"/>
  <c r="B777" i="9"/>
  <c r="B778" i="9"/>
  <c r="B779" i="9"/>
  <c r="B780" i="9"/>
  <c r="B781" i="9"/>
  <c r="B782" i="9"/>
  <c r="B783" i="9"/>
  <c r="B784" i="9"/>
  <c r="B785" i="9"/>
  <c r="B786" i="9"/>
  <c r="B787" i="9"/>
  <c r="B788" i="9"/>
  <c r="B789" i="9"/>
  <c r="B790" i="9"/>
  <c r="B791" i="9"/>
  <c r="B792" i="9"/>
  <c r="B793" i="9"/>
  <c r="B794" i="9"/>
  <c r="B795" i="9"/>
  <c r="B796" i="9"/>
  <c r="B797" i="9"/>
  <c r="B798" i="9"/>
  <c r="B799" i="9"/>
  <c r="B800" i="9"/>
  <c r="B801" i="9"/>
  <c r="B802" i="9"/>
  <c r="B803" i="9"/>
  <c r="B804" i="9"/>
  <c r="B805" i="9"/>
  <c r="B806" i="9"/>
  <c r="B807" i="9"/>
  <c r="B808" i="9"/>
  <c r="B809" i="9"/>
  <c r="B810" i="9"/>
  <c r="B811" i="9"/>
  <c r="B812" i="9"/>
  <c r="B813" i="9"/>
  <c r="B814" i="9"/>
  <c r="B815" i="9"/>
  <c r="B816" i="9"/>
  <c r="B817" i="9"/>
  <c r="B818" i="9"/>
  <c r="B819" i="9"/>
  <c r="B820" i="9"/>
  <c r="B821" i="9"/>
  <c r="B822" i="9"/>
  <c r="B823" i="9"/>
  <c r="B824" i="9"/>
  <c r="B825" i="9"/>
  <c r="B826" i="9"/>
  <c r="B827" i="9"/>
  <c r="B828" i="9"/>
  <c r="B829" i="9"/>
  <c r="B830" i="9"/>
  <c r="B831" i="9"/>
  <c r="B832" i="9"/>
  <c r="B833" i="9"/>
  <c r="B834" i="9"/>
  <c r="B835" i="9"/>
  <c r="B836" i="9"/>
  <c r="B837" i="9"/>
  <c r="B838" i="9"/>
  <c r="B839" i="9"/>
  <c r="B840" i="9"/>
  <c r="B841" i="9"/>
  <c r="B842" i="9"/>
  <c r="B843" i="9"/>
  <c r="B844" i="9"/>
  <c r="B845" i="9"/>
  <c r="B846" i="9"/>
  <c r="B847" i="9"/>
  <c r="B848" i="9"/>
  <c r="B849" i="9"/>
  <c r="B850" i="9"/>
  <c r="B851" i="9"/>
  <c r="B852" i="9"/>
  <c r="B853" i="9"/>
  <c r="B854" i="9"/>
  <c r="B855" i="9"/>
  <c r="B856" i="9"/>
  <c r="B857" i="9"/>
  <c r="B858" i="9"/>
  <c r="B859" i="9"/>
  <c r="B860" i="9"/>
  <c r="B861" i="9"/>
  <c r="B862" i="9"/>
  <c r="B863" i="9"/>
  <c r="B864" i="9"/>
  <c r="B865" i="9"/>
  <c r="B866" i="9"/>
  <c r="B867" i="9"/>
  <c r="B868" i="9"/>
  <c r="B869" i="9"/>
  <c r="B870" i="9"/>
  <c r="B871" i="9"/>
  <c r="B872" i="9"/>
  <c r="B873" i="9"/>
  <c r="B874" i="9"/>
  <c r="B875" i="9"/>
  <c r="B876" i="9"/>
  <c r="B877" i="9"/>
  <c r="B878" i="9"/>
  <c r="B879" i="9"/>
  <c r="B880" i="9"/>
  <c r="B881" i="9"/>
  <c r="B882" i="9"/>
  <c r="B883" i="9"/>
  <c r="B884" i="9"/>
  <c r="B885" i="9"/>
  <c r="B886" i="9"/>
  <c r="B887" i="9"/>
  <c r="B888" i="9"/>
  <c r="B889" i="9"/>
  <c r="B890" i="9"/>
  <c r="B891" i="9"/>
  <c r="B892" i="9"/>
  <c r="B893" i="9"/>
  <c r="B894" i="9"/>
  <c r="B895" i="9"/>
  <c r="B896" i="9"/>
  <c r="B897" i="9"/>
  <c r="B898" i="9"/>
  <c r="B899" i="9"/>
  <c r="B900" i="9"/>
  <c r="B901" i="9"/>
  <c r="B902" i="9"/>
  <c r="B903" i="9"/>
  <c r="B904" i="9"/>
  <c r="B905" i="9"/>
  <c r="B906" i="9"/>
  <c r="B907" i="9"/>
  <c r="B908" i="9"/>
  <c r="B909" i="9"/>
  <c r="B910" i="9"/>
  <c r="B911" i="9"/>
  <c r="B912" i="9"/>
  <c r="B913" i="9"/>
  <c r="B914" i="9"/>
  <c r="B915" i="9"/>
  <c r="B916" i="9"/>
  <c r="B917" i="9"/>
  <c r="B918" i="9"/>
  <c r="B919" i="9"/>
  <c r="B920" i="9"/>
  <c r="B921" i="9"/>
  <c r="B922" i="9"/>
  <c r="B923" i="9"/>
  <c r="B924" i="9"/>
  <c r="B925" i="9"/>
  <c r="B926" i="9"/>
  <c r="B927" i="9"/>
  <c r="B928" i="9"/>
  <c r="B929" i="9"/>
  <c r="B930" i="9"/>
  <c r="B931" i="9"/>
  <c r="B932" i="9"/>
  <c r="B933" i="9"/>
  <c r="B934" i="9"/>
  <c r="B935" i="9"/>
  <c r="B936" i="9"/>
  <c r="B937" i="9"/>
  <c r="B938" i="9"/>
  <c r="B939" i="9"/>
  <c r="B940" i="9"/>
  <c r="B941" i="9"/>
  <c r="B942" i="9"/>
  <c r="B943" i="9"/>
  <c r="B944" i="9"/>
  <c r="B945" i="9"/>
  <c r="B946" i="9"/>
  <c r="B947" i="9"/>
  <c r="B948" i="9"/>
  <c r="B949" i="9"/>
  <c r="B950" i="9"/>
  <c r="B951" i="9"/>
  <c r="B952" i="9"/>
  <c r="B953" i="9"/>
  <c r="B954" i="9"/>
  <c r="B955" i="9"/>
  <c r="B956" i="9"/>
  <c r="B957" i="9"/>
  <c r="B958" i="9"/>
  <c r="B959" i="9"/>
  <c r="B960" i="9"/>
  <c r="B961" i="9"/>
  <c r="B962" i="9"/>
  <c r="B963" i="9"/>
  <c r="B964" i="9"/>
  <c r="B965" i="9"/>
  <c r="B966" i="9"/>
  <c r="B967" i="9"/>
  <c r="B968" i="9"/>
  <c r="B969" i="9"/>
  <c r="B970" i="9"/>
  <c r="B971" i="9"/>
  <c r="B972" i="9"/>
  <c r="B973" i="9"/>
  <c r="B974" i="9"/>
  <c r="B975" i="9"/>
  <c r="B976" i="9"/>
  <c r="B977" i="9"/>
  <c r="B978" i="9"/>
  <c r="B979" i="9"/>
  <c r="B980" i="9"/>
  <c r="B981" i="9"/>
  <c r="B982" i="9"/>
  <c r="B983" i="9"/>
  <c r="B984" i="9"/>
  <c r="B985" i="9"/>
  <c r="B986" i="9"/>
  <c r="B987" i="9"/>
  <c r="B988" i="9"/>
  <c r="B989" i="9"/>
  <c r="B990" i="9"/>
  <c r="B991" i="9"/>
  <c r="B992" i="9"/>
  <c r="B993" i="9"/>
  <c r="B994" i="9"/>
  <c r="B995" i="9"/>
  <c r="B996" i="9"/>
  <c r="B997" i="9"/>
  <c r="B998" i="9"/>
  <c r="B999" i="9"/>
  <c r="B1000" i="9"/>
  <c r="B1001" i="9"/>
  <c r="B1002" i="9"/>
  <c r="B1003" i="9"/>
  <c r="B1004" i="9"/>
  <c r="B1005" i="9"/>
  <c r="B1006" i="9"/>
  <c r="B1007" i="9"/>
  <c r="B1008" i="9"/>
  <c r="B1009" i="9"/>
  <c r="B1010" i="9"/>
  <c r="B1011" i="9"/>
  <c r="B1012" i="9"/>
  <c r="B1013" i="9"/>
  <c r="B1014" i="9"/>
  <c r="B1015" i="9"/>
  <c r="B1016" i="9"/>
  <c r="B1017" i="9"/>
  <c r="B1018" i="9"/>
  <c r="B1019" i="9"/>
  <c r="B20" i="9"/>
  <c r="D11" i="8"/>
  <c r="D12" i="8"/>
  <c r="D13" i="8"/>
  <c r="D14" i="8"/>
  <c r="D15" i="8"/>
  <c r="D16" i="8"/>
  <c r="D17" i="8"/>
  <c r="D18" i="8"/>
  <c r="D19" i="8"/>
  <c r="D20" i="8"/>
  <c r="D21" i="8"/>
  <c r="D22" i="8"/>
  <c r="D23" i="8"/>
  <c r="D24" i="8"/>
  <c r="D25" i="8"/>
  <c r="D26" i="8"/>
  <c r="D27" i="8"/>
  <c r="D28" i="8"/>
  <c r="D29" i="8"/>
  <c r="D30" i="8"/>
  <c r="D31" i="8"/>
  <c r="D32" i="8"/>
  <c r="D33" i="8"/>
  <c r="D34" i="8"/>
  <c r="D35" i="8"/>
  <c r="D36" i="8"/>
  <c r="D37" i="8"/>
  <c r="D38" i="8"/>
  <c r="D39" i="8"/>
  <c r="D40" i="8"/>
  <c r="D41" i="8"/>
  <c r="D42" i="8"/>
  <c r="D43" i="8"/>
  <c r="D44" i="8"/>
  <c r="D45" i="8"/>
  <c r="D46" i="8"/>
  <c r="D47" i="8"/>
  <c r="D48" i="8"/>
  <c r="D49" i="8"/>
  <c r="D50" i="8"/>
  <c r="D51" i="8"/>
  <c r="D52" i="8"/>
  <c r="D53" i="8"/>
  <c r="D54" i="8"/>
  <c r="D55" i="8"/>
  <c r="D56" i="8"/>
  <c r="D57" i="8"/>
  <c r="D58" i="8"/>
  <c r="D59" i="8"/>
  <c r="D60" i="8"/>
  <c r="D61" i="8"/>
  <c r="D62" i="8"/>
  <c r="D63" i="8"/>
  <c r="D64" i="8"/>
  <c r="D65" i="8"/>
  <c r="D66" i="8"/>
  <c r="D67" i="8"/>
  <c r="D68" i="8"/>
  <c r="D69" i="8"/>
  <c r="D70" i="8"/>
  <c r="D71" i="8"/>
  <c r="D72" i="8"/>
  <c r="D73" i="8"/>
  <c r="D74" i="8"/>
  <c r="D75" i="8"/>
  <c r="D76" i="8"/>
  <c r="D77" i="8"/>
  <c r="D78" i="8"/>
  <c r="D79" i="8"/>
  <c r="D80" i="8"/>
  <c r="D81" i="8"/>
  <c r="D82" i="8"/>
  <c r="D83" i="8"/>
  <c r="D84" i="8"/>
  <c r="D85" i="8"/>
  <c r="D86" i="8"/>
  <c r="D87" i="8"/>
  <c r="D88" i="8"/>
  <c r="D89" i="8"/>
  <c r="D90" i="8"/>
  <c r="D91" i="8"/>
  <c r="D92" i="8"/>
  <c r="D93" i="8"/>
  <c r="D94" i="8"/>
  <c r="D95" i="8"/>
  <c r="D96" i="8"/>
  <c r="D97" i="8"/>
  <c r="D98" i="8"/>
  <c r="D99" i="8"/>
  <c r="D100" i="8"/>
  <c r="D101" i="8"/>
  <c r="D102" i="8"/>
  <c r="D103" i="8"/>
  <c r="D104" i="8"/>
  <c r="D105" i="8"/>
  <c r="D106" i="8"/>
  <c r="D107" i="8"/>
  <c r="D108" i="8"/>
  <c r="D109" i="8"/>
  <c r="D110" i="8"/>
  <c r="D111" i="8"/>
  <c r="D112" i="8"/>
  <c r="D113" i="8"/>
  <c r="D114" i="8"/>
  <c r="D115" i="8"/>
  <c r="D116" i="8"/>
  <c r="D117" i="8"/>
  <c r="D118" i="8"/>
  <c r="D119" i="8"/>
  <c r="D120" i="8"/>
  <c r="D121" i="8"/>
  <c r="D122" i="8"/>
  <c r="D123" i="8"/>
  <c r="D124" i="8"/>
  <c r="D125" i="8"/>
  <c r="D126" i="8"/>
  <c r="D127" i="8"/>
  <c r="D128" i="8"/>
  <c r="D129" i="8"/>
  <c r="D130" i="8"/>
  <c r="D131" i="8"/>
  <c r="D132" i="8"/>
  <c r="D133" i="8"/>
  <c r="D134" i="8"/>
  <c r="D135" i="8"/>
  <c r="D136" i="8"/>
  <c r="D137" i="8"/>
  <c r="D138" i="8"/>
  <c r="D139" i="8"/>
  <c r="D140" i="8"/>
  <c r="D141" i="8"/>
  <c r="D142" i="8"/>
  <c r="D143" i="8"/>
  <c r="D144" i="8"/>
  <c r="D145" i="8"/>
  <c r="D146" i="8"/>
  <c r="D147" i="8"/>
  <c r="D148" i="8"/>
  <c r="D149" i="8"/>
  <c r="D150" i="8"/>
  <c r="D151" i="8"/>
  <c r="D152" i="8"/>
  <c r="D153" i="8"/>
  <c r="D154" i="8"/>
  <c r="D155" i="8"/>
  <c r="D156" i="8"/>
  <c r="D157" i="8"/>
  <c r="D158" i="8"/>
  <c r="D159" i="8"/>
  <c r="D160" i="8"/>
  <c r="D161" i="8"/>
  <c r="D162" i="8"/>
  <c r="D163" i="8"/>
  <c r="D164" i="8"/>
  <c r="D165" i="8"/>
  <c r="D166" i="8"/>
  <c r="D167" i="8"/>
  <c r="D168" i="8"/>
  <c r="D169" i="8"/>
  <c r="D170" i="8"/>
  <c r="D171" i="8"/>
  <c r="D172" i="8"/>
  <c r="D173" i="8"/>
  <c r="D174" i="8"/>
  <c r="D175" i="8"/>
  <c r="D176" i="8"/>
  <c r="D177" i="8"/>
  <c r="D178" i="8"/>
  <c r="D179" i="8"/>
  <c r="D180" i="8"/>
  <c r="D181" i="8"/>
  <c r="D182" i="8"/>
  <c r="D183" i="8"/>
  <c r="D184" i="8"/>
  <c r="D185" i="8"/>
  <c r="D186" i="8"/>
  <c r="D187" i="8"/>
  <c r="D188" i="8"/>
  <c r="D189" i="8"/>
  <c r="D190" i="8"/>
  <c r="D191" i="8"/>
  <c r="D192" i="8"/>
  <c r="D193" i="8"/>
  <c r="D194" i="8"/>
  <c r="D195" i="8"/>
  <c r="D196" i="8"/>
  <c r="D197" i="8"/>
  <c r="D198" i="8"/>
  <c r="D199" i="8"/>
  <c r="D200" i="8"/>
  <c r="D201" i="8"/>
  <c r="D202" i="8"/>
  <c r="D203" i="8"/>
  <c r="D204" i="8"/>
  <c r="D205" i="8"/>
  <c r="D206" i="8"/>
  <c r="D207" i="8"/>
  <c r="D208" i="8"/>
  <c r="D209" i="8"/>
  <c r="D210" i="8"/>
  <c r="D211" i="8"/>
  <c r="D212" i="8"/>
  <c r="D213" i="8"/>
  <c r="D214" i="8"/>
  <c r="D215" i="8"/>
  <c r="D216" i="8"/>
  <c r="D217" i="8"/>
  <c r="D218" i="8"/>
  <c r="D219" i="8"/>
  <c r="D220" i="8"/>
  <c r="D221" i="8"/>
  <c r="D222" i="8"/>
  <c r="D223" i="8"/>
  <c r="D224" i="8"/>
  <c r="D225" i="8"/>
  <c r="D226" i="8"/>
  <c r="D227" i="8"/>
  <c r="D228" i="8"/>
  <c r="D229" i="8"/>
  <c r="D230" i="8"/>
  <c r="D231" i="8"/>
  <c r="D232" i="8"/>
  <c r="D233" i="8"/>
  <c r="D234" i="8"/>
  <c r="D235" i="8"/>
  <c r="D236" i="8"/>
  <c r="D237" i="8"/>
  <c r="D238" i="8"/>
  <c r="D239" i="8"/>
  <c r="D240" i="8"/>
  <c r="D241" i="8"/>
  <c r="D242" i="8"/>
  <c r="D243" i="8"/>
  <c r="D244" i="8"/>
  <c r="D245" i="8"/>
  <c r="D246" i="8"/>
  <c r="D247" i="8"/>
  <c r="D248" i="8"/>
  <c r="D249" i="8"/>
  <c r="D250" i="8"/>
  <c r="D251" i="8"/>
  <c r="D252" i="8"/>
  <c r="D253" i="8"/>
  <c r="D254" i="8"/>
  <c r="D255" i="8"/>
  <c r="D256" i="8"/>
  <c r="D257" i="8"/>
  <c r="D258" i="8"/>
  <c r="D259" i="8"/>
  <c r="D260" i="8"/>
  <c r="D261" i="8"/>
  <c r="D262" i="8"/>
  <c r="D263" i="8"/>
  <c r="D264" i="8"/>
  <c r="D265" i="8"/>
  <c r="D266" i="8"/>
  <c r="D267" i="8"/>
  <c r="D268" i="8"/>
  <c r="D269" i="8"/>
  <c r="D270" i="8"/>
  <c r="D271" i="8"/>
  <c r="D272" i="8"/>
  <c r="D273" i="8"/>
  <c r="D274" i="8"/>
  <c r="D275" i="8"/>
  <c r="D276" i="8"/>
  <c r="D277" i="8"/>
  <c r="D278" i="8"/>
  <c r="D279" i="8"/>
  <c r="D280" i="8"/>
  <c r="D281" i="8"/>
  <c r="D282" i="8"/>
  <c r="D283" i="8"/>
  <c r="D284" i="8"/>
  <c r="D285" i="8"/>
  <c r="D286" i="8"/>
  <c r="D287" i="8"/>
  <c r="D288" i="8"/>
  <c r="D289" i="8"/>
  <c r="D290" i="8"/>
  <c r="D291" i="8"/>
  <c r="D292" i="8"/>
  <c r="D293" i="8"/>
  <c r="D294" i="8"/>
  <c r="D295" i="8"/>
  <c r="D296" i="8"/>
  <c r="D297" i="8"/>
  <c r="D298" i="8"/>
  <c r="D299" i="8"/>
  <c r="D300" i="8"/>
  <c r="D301" i="8"/>
  <c r="D302" i="8"/>
  <c r="D303" i="8"/>
  <c r="D304" i="8"/>
  <c r="D305" i="8"/>
  <c r="D306" i="8"/>
  <c r="D307" i="8"/>
  <c r="D308" i="8"/>
  <c r="D309" i="8"/>
  <c r="D310" i="8"/>
  <c r="D311" i="8"/>
  <c r="D312" i="8"/>
  <c r="D313" i="8"/>
  <c r="D314" i="8"/>
  <c r="D315" i="8"/>
  <c r="D316" i="8"/>
  <c r="D317" i="8"/>
  <c r="D318" i="8"/>
  <c r="D319" i="8"/>
  <c r="D320" i="8"/>
  <c r="D321" i="8"/>
  <c r="D322" i="8"/>
  <c r="D323" i="8"/>
  <c r="D324" i="8"/>
  <c r="D325" i="8"/>
  <c r="D326" i="8"/>
  <c r="D327" i="8"/>
  <c r="D328" i="8"/>
  <c r="D329" i="8"/>
  <c r="D330" i="8"/>
  <c r="D331" i="8"/>
  <c r="D332" i="8"/>
  <c r="D333" i="8"/>
  <c r="D334" i="8"/>
  <c r="D335" i="8"/>
  <c r="D336" i="8"/>
  <c r="D337" i="8"/>
  <c r="D338" i="8"/>
  <c r="D339" i="8"/>
  <c r="D340" i="8"/>
  <c r="D341" i="8"/>
  <c r="D342" i="8"/>
  <c r="D343" i="8"/>
  <c r="D344" i="8"/>
  <c r="D345" i="8"/>
  <c r="D346" i="8"/>
  <c r="D347" i="8"/>
  <c r="D348" i="8"/>
  <c r="D349" i="8"/>
  <c r="D350" i="8"/>
  <c r="D351" i="8"/>
  <c r="D352" i="8"/>
  <c r="D353" i="8"/>
  <c r="D354" i="8"/>
  <c r="D355" i="8"/>
  <c r="D356" i="8"/>
  <c r="D357" i="8"/>
  <c r="D358" i="8"/>
  <c r="D359" i="8"/>
  <c r="D360" i="8"/>
  <c r="D361" i="8"/>
  <c r="D362" i="8"/>
  <c r="D363" i="8"/>
  <c r="D364" i="8"/>
  <c r="D365" i="8"/>
  <c r="D366" i="8"/>
  <c r="D367" i="8"/>
  <c r="D368" i="8"/>
  <c r="D369" i="8"/>
  <c r="D370" i="8"/>
  <c r="D371" i="8"/>
  <c r="D372" i="8"/>
  <c r="D373" i="8"/>
  <c r="D374" i="8"/>
  <c r="D375" i="8"/>
  <c r="D376" i="8"/>
  <c r="D377" i="8"/>
  <c r="D378" i="8"/>
  <c r="D379" i="8"/>
  <c r="D380" i="8"/>
  <c r="D381" i="8"/>
  <c r="D382" i="8"/>
  <c r="D383" i="8"/>
  <c r="D384" i="8"/>
  <c r="D385" i="8"/>
  <c r="D386" i="8"/>
  <c r="D387" i="8"/>
  <c r="D388" i="8"/>
  <c r="D389" i="8"/>
  <c r="D390" i="8"/>
  <c r="D391" i="8"/>
  <c r="D392" i="8"/>
  <c r="D393" i="8"/>
  <c r="D394" i="8"/>
  <c r="D395" i="8"/>
  <c r="D396" i="8"/>
  <c r="D397" i="8"/>
  <c r="D398" i="8"/>
  <c r="D399" i="8"/>
  <c r="D400" i="8"/>
  <c r="D401" i="8"/>
  <c r="D402" i="8"/>
  <c r="D403" i="8"/>
  <c r="D404" i="8"/>
  <c r="D405" i="8"/>
  <c r="D406" i="8"/>
  <c r="D407" i="8"/>
  <c r="D408" i="8"/>
  <c r="D409" i="8"/>
  <c r="D410" i="8"/>
  <c r="D411" i="8"/>
  <c r="D412" i="8"/>
  <c r="D413" i="8"/>
  <c r="D414" i="8"/>
  <c r="D415" i="8"/>
  <c r="D416" i="8"/>
  <c r="D417" i="8"/>
  <c r="D418" i="8"/>
  <c r="D419" i="8"/>
  <c r="D420" i="8"/>
  <c r="D421" i="8"/>
  <c r="D422" i="8"/>
  <c r="D423" i="8"/>
  <c r="D424" i="8"/>
  <c r="D425" i="8"/>
  <c r="D426" i="8"/>
  <c r="D427" i="8"/>
  <c r="D428" i="8"/>
  <c r="D429" i="8"/>
  <c r="D430" i="8"/>
  <c r="D431" i="8"/>
  <c r="D432" i="8"/>
  <c r="D433" i="8"/>
  <c r="D434" i="8"/>
  <c r="D435" i="8"/>
  <c r="D436" i="8"/>
  <c r="D437" i="8"/>
  <c r="D438" i="8"/>
  <c r="D439" i="8"/>
  <c r="D440" i="8"/>
  <c r="D441" i="8"/>
  <c r="D442" i="8"/>
  <c r="D443" i="8"/>
  <c r="D444" i="8"/>
  <c r="D445" i="8"/>
  <c r="D446" i="8"/>
  <c r="D447" i="8"/>
  <c r="D448" i="8"/>
  <c r="D449" i="8"/>
  <c r="D450" i="8"/>
  <c r="D451" i="8"/>
  <c r="D452" i="8"/>
  <c r="D453" i="8"/>
  <c r="D454" i="8"/>
  <c r="D455" i="8"/>
  <c r="D456" i="8"/>
  <c r="D457" i="8"/>
  <c r="D458" i="8"/>
  <c r="D459" i="8"/>
  <c r="D460" i="8"/>
  <c r="D461" i="8"/>
  <c r="D462" i="8"/>
  <c r="D463" i="8"/>
  <c r="D464" i="8"/>
  <c r="D465" i="8"/>
  <c r="D466" i="8"/>
  <c r="D467" i="8"/>
  <c r="D468" i="8"/>
  <c r="D469" i="8"/>
  <c r="D470" i="8"/>
  <c r="D471" i="8"/>
  <c r="D472" i="8"/>
  <c r="D473" i="8"/>
  <c r="D474" i="8"/>
  <c r="D475" i="8"/>
  <c r="D476" i="8"/>
  <c r="D477" i="8"/>
  <c r="D478" i="8"/>
  <c r="D479" i="8"/>
  <c r="D480" i="8"/>
  <c r="D481" i="8"/>
  <c r="D482" i="8"/>
  <c r="D483" i="8"/>
  <c r="D484" i="8"/>
  <c r="D485" i="8"/>
  <c r="D486" i="8"/>
  <c r="D487" i="8"/>
  <c r="D488" i="8"/>
  <c r="D489" i="8"/>
  <c r="D490" i="8"/>
  <c r="D491" i="8"/>
  <c r="D492" i="8"/>
  <c r="D493" i="8"/>
  <c r="D494" i="8"/>
  <c r="D495" i="8"/>
  <c r="D496" i="8"/>
  <c r="D497" i="8"/>
  <c r="D498" i="8"/>
  <c r="D499" i="8"/>
  <c r="D500" i="8"/>
  <c r="D501" i="8"/>
  <c r="D502" i="8"/>
  <c r="D503" i="8"/>
  <c r="D504" i="8"/>
  <c r="D505" i="8"/>
  <c r="D506" i="8"/>
  <c r="D507" i="8"/>
  <c r="D508" i="8"/>
  <c r="D509" i="8"/>
  <c r="D510" i="8"/>
  <c r="D511" i="8"/>
  <c r="D512" i="8"/>
  <c r="D513" i="8"/>
  <c r="D514" i="8"/>
  <c r="D515" i="8"/>
  <c r="D516" i="8"/>
  <c r="D517" i="8"/>
  <c r="D518" i="8"/>
  <c r="D519" i="8"/>
  <c r="D520" i="8"/>
  <c r="D521" i="8"/>
  <c r="D522" i="8"/>
  <c r="D523" i="8"/>
  <c r="D524" i="8"/>
  <c r="D525" i="8"/>
  <c r="D526" i="8"/>
  <c r="D527" i="8"/>
  <c r="D528" i="8"/>
  <c r="D529" i="8"/>
  <c r="D530" i="8"/>
  <c r="D531" i="8"/>
  <c r="D532" i="8"/>
  <c r="D533" i="8"/>
  <c r="D534" i="8"/>
  <c r="D535" i="8"/>
  <c r="D536" i="8"/>
  <c r="D537" i="8"/>
  <c r="D538" i="8"/>
  <c r="D539" i="8"/>
  <c r="D540" i="8"/>
  <c r="D541" i="8"/>
  <c r="D542" i="8"/>
  <c r="D543" i="8"/>
  <c r="D544" i="8"/>
  <c r="D545" i="8"/>
  <c r="D546" i="8"/>
  <c r="D547" i="8"/>
  <c r="D548" i="8"/>
  <c r="D549" i="8"/>
  <c r="D550" i="8"/>
  <c r="D551" i="8"/>
  <c r="D552" i="8"/>
  <c r="D553" i="8"/>
  <c r="D554" i="8"/>
  <c r="D555" i="8"/>
  <c r="D556" i="8"/>
  <c r="D557" i="8"/>
  <c r="D558" i="8"/>
  <c r="D559" i="8"/>
  <c r="D560" i="8"/>
  <c r="D561" i="8"/>
  <c r="D562" i="8"/>
  <c r="D563" i="8"/>
  <c r="D564" i="8"/>
  <c r="D565" i="8"/>
  <c r="D566" i="8"/>
  <c r="D567" i="8"/>
  <c r="D568" i="8"/>
  <c r="D569" i="8"/>
  <c r="D570" i="8"/>
  <c r="D571" i="8"/>
  <c r="D572" i="8"/>
  <c r="D573" i="8"/>
  <c r="D574" i="8"/>
  <c r="D575" i="8"/>
  <c r="D576" i="8"/>
  <c r="D577" i="8"/>
  <c r="D578" i="8"/>
  <c r="D579" i="8"/>
  <c r="D580" i="8"/>
  <c r="D581" i="8"/>
  <c r="D582" i="8"/>
  <c r="D583" i="8"/>
  <c r="D584" i="8"/>
  <c r="D585" i="8"/>
  <c r="D586" i="8"/>
  <c r="D587" i="8"/>
  <c r="D588" i="8"/>
  <c r="D589" i="8"/>
  <c r="D590" i="8"/>
  <c r="D591" i="8"/>
  <c r="D592" i="8"/>
  <c r="D593" i="8"/>
  <c r="D594" i="8"/>
  <c r="D595" i="8"/>
  <c r="D596" i="8"/>
  <c r="D597" i="8"/>
  <c r="D598" i="8"/>
  <c r="D599" i="8"/>
  <c r="D600" i="8"/>
  <c r="D601" i="8"/>
  <c r="D602" i="8"/>
  <c r="D603" i="8"/>
  <c r="D604" i="8"/>
  <c r="D605" i="8"/>
  <c r="D606" i="8"/>
  <c r="D607" i="8"/>
  <c r="D608" i="8"/>
  <c r="D609" i="8"/>
  <c r="D610" i="8"/>
  <c r="D611" i="8"/>
  <c r="D612" i="8"/>
  <c r="D613" i="8"/>
  <c r="D614" i="8"/>
  <c r="D615" i="8"/>
  <c r="D616" i="8"/>
  <c r="D617" i="8"/>
  <c r="D618" i="8"/>
  <c r="D619" i="8"/>
  <c r="D620" i="8"/>
  <c r="D621" i="8"/>
  <c r="D622" i="8"/>
  <c r="D623" i="8"/>
  <c r="D624" i="8"/>
  <c r="D625" i="8"/>
  <c r="D626" i="8"/>
  <c r="D627" i="8"/>
  <c r="D628" i="8"/>
  <c r="D629" i="8"/>
  <c r="D630" i="8"/>
  <c r="D631" i="8"/>
  <c r="D632" i="8"/>
  <c r="D633" i="8"/>
  <c r="D634" i="8"/>
  <c r="D635" i="8"/>
  <c r="D636" i="8"/>
  <c r="D637" i="8"/>
  <c r="D638" i="8"/>
  <c r="D639" i="8"/>
  <c r="D640" i="8"/>
  <c r="D641" i="8"/>
  <c r="D642" i="8"/>
  <c r="D643" i="8"/>
  <c r="D644" i="8"/>
  <c r="D645" i="8"/>
  <c r="D646" i="8"/>
  <c r="D647" i="8"/>
  <c r="D648" i="8"/>
  <c r="D649" i="8"/>
  <c r="D650" i="8"/>
  <c r="D651" i="8"/>
  <c r="D652" i="8"/>
  <c r="D653" i="8"/>
  <c r="D654" i="8"/>
  <c r="D655" i="8"/>
  <c r="D656" i="8"/>
  <c r="D657" i="8"/>
  <c r="D658" i="8"/>
  <c r="D659" i="8"/>
  <c r="D660" i="8"/>
  <c r="D661" i="8"/>
  <c r="D662" i="8"/>
  <c r="D663" i="8"/>
  <c r="D664" i="8"/>
  <c r="D665" i="8"/>
  <c r="D666" i="8"/>
  <c r="D667" i="8"/>
  <c r="D668" i="8"/>
  <c r="D669" i="8"/>
  <c r="D670" i="8"/>
  <c r="D671" i="8"/>
  <c r="D672" i="8"/>
  <c r="D673" i="8"/>
  <c r="D674" i="8"/>
  <c r="D675" i="8"/>
  <c r="D676" i="8"/>
  <c r="D677" i="8"/>
  <c r="D678" i="8"/>
  <c r="D679" i="8"/>
  <c r="D680" i="8"/>
  <c r="D681" i="8"/>
  <c r="D682" i="8"/>
  <c r="D683" i="8"/>
  <c r="D684" i="8"/>
  <c r="D685" i="8"/>
  <c r="D686" i="8"/>
  <c r="D687" i="8"/>
  <c r="D688" i="8"/>
  <c r="D689" i="8"/>
  <c r="D690" i="8"/>
  <c r="D691" i="8"/>
  <c r="D692" i="8"/>
  <c r="D693" i="8"/>
  <c r="D694" i="8"/>
  <c r="D695" i="8"/>
  <c r="D696" i="8"/>
  <c r="D697" i="8"/>
  <c r="D698" i="8"/>
  <c r="D699" i="8"/>
  <c r="D700" i="8"/>
  <c r="D701" i="8"/>
  <c r="D702" i="8"/>
  <c r="D703" i="8"/>
  <c r="D704" i="8"/>
  <c r="D705" i="8"/>
  <c r="D706" i="8"/>
  <c r="D707" i="8"/>
  <c r="D708" i="8"/>
  <c r="D709" i="8"/>
  <c r="D710" i="8"/>
  <c r="D711" i="8"/>
  <c r="D712" i="8"/>
  <c r="D713" i="8"/>
  <c r="D714" i="8"/>
  <c r="D715" i="8"/>
  <c r="D716" i="8"/>
  <c r="D717" i="8"/>
  <c r="D718" i="8"/>
  <c r="D719" i="8"/>
  <c r="D720" i="8"/>
  <c r="D721" i="8"/>
  <c r="D722" i="8"/>
  <c r="D723" i="8"/>
  <c r="D724" i="8"/>
  <c r="D725" i="8"/>
  <c r="D726" i="8"/>
  <c r="D727" i="8"/>
  <c r="D728" i="8"/>
  <c r="D729" i="8"/>
  <c r="D730" i="8"/>
  <c r="D731" i="8"/>
  <c r="D732" i="8"/>
  <c r="D733" i="8"/>
  <c r="D734" i="8"/>
  <c r="D735" i="8"/>
  <c r="D736" i="8"/>
  <c r="D737" i="8"/>
  <c r="D738" i="8"/>
  <c r="D739" i="8"/>
  <c r="D740" i="8"/>
  <c r="D741" i="8"/>
  <c r="D742" i="8"/>
  <c r="D743" i="8"/>
  <c r="D744" i="8"/>
  <c r="D745" i="8"/>
  <c r="D746" i="8"/>
  <c r="D747" i="8"/>
  <c r="D748" i="8"/>
  <c r="D749" i="8"/>
  <c r="D750" i="8"/>
  <c r="D751" i="8"/>
  <c r="D752" i="8"/>
  <c r="D753" i="8"/>
  <c r="D754" i="8"/>
  <c r="D755" i="8"/>
  <c r="D756" i="8"/>
  <c r="D757" i="8"/>
  <c r="D758" i="8"/>
  <c r="D759" i="8"/>
  <c r="D760" i="8"/>
  <c r="D761" i="8"/>
  <c r="D762" i="8"/>
  <c r="D763" i="8"/>
  <c r="D764" i="8"/>
  <c r="D765" i="8"/>
  <c r="D766" i="8"/>
  <c r="D767" i="8"/>
  <c r="D768" i="8"/>
  <c r="D769" i="8"/>
  <c r="D770" i="8"/>
  <c r="D771" i="8"/>
  <c r="D772" i="8"/>
  <c r="D773" i="8"/>
  <c r="D774" i="8"/>
  <c r="D775" i="8"/>
  <c r="D776" i="8"/>
  <c r="D777" i="8"/>
  <c r="D778" i="8"/>
  <c r="D779" i="8"/>
  <c r="D780" i="8"/>
  <c r="D781" i="8"/>
  <c r="D782" i="8"/>
  <c r="D783" i="8"/>
  <c r="D784" i="8"/>
  <c r="D785" i="8"/>
  <c r="D786" i="8"/>
  <c r="D787" i="8"/>
  <c r="D788" i="8"/>
  <c r="D789" i="8"/>
  <c r="D790" i="8"/>
  <c r="D791" i="8"/>
  <c r="D792" i="8"/>
  <c r="D793" i="8"/>
  <c r="D794" i="8"/>
  <c r="D795" i="8"/>
  <c r="D796" i="8"/>
  <c r="D797" i="8"/>
  <c r="D798" i="8"/>
  <c r="D799" i="8"/>
  <c r="D800" i="8"/>
  <c r="D801" i="8"/>
  <c r="D802" i="8"/>
  <c r="D803" i="8"/>
  <c r="D804" i="8"/>
  <c r="D805" i="8"/>
  <c r="D806" i="8"/>
  <c r="D807" i="8"/>
  <c r="D808" i="8"/>
  <c r="D809" i="8"/>
  <c r="D810" i="8"/>
  <c r="D811" i="8"/>
  <c r="D812" i="8"/>
  <c r="D813" i="8"/>
  <c r="D814" i="8"/>
  <c r="D815" i="8"/>
  <c r="D816" i="8"/>
  <c r="D817" i="8"/>
  <c r="D818" i="8"/>
  <c r="D819" i="8"/>
  <c r="D820" i="8"/>
  <c r="D821" i="8"/>
  <c r="D822" i="8"/>
  <c r="D823" i="8"/>
  <c r="D824" i="8"/>
  <c r="D825" i="8"/>
  <c r="D826" i="8"/>
  <c r="D827" i="8"/>
  <c r="D828" i="8"/>
  <c r="D829" i="8"/>
  <c r="D830" i="8"/>
  <c r="D831" i="8"/>
  <c r="D832" i="8"/>
  <c r="D833" i="8"/>
  <c r="D834" i="8"/>
  <c r="D835" i="8"/>
  <c r="D836" i="8"/>
  <c r="D837" i="8"/>
  <c r="D838" i="8"/>
  <c r="D839" i="8"/>
  <c r="D840" i="8"/>
  <c r="D841" i="8"/>
  <c r="D842" i="8"/>
  <c r="D843" i="8"/>
  <c r="D844" i="8"/>
  <c r="D845" i="8"/>
  <c r="D846" i="8"/>
  <c r="D847" i="8"/>
  <c r="D848" i="8"/>
  <c r="D849" i="8"/>
  <c r="D850" i="8"/>
  <c r="D851" i="8"/>
  <c r="D852" i="8"/>
  <c r="D853" i="8"/>
  <c r="D854" i="8"/>
  <c r="D855" i="8"/>
  <c r="D856" i="8"/>
  <c r="D857" i="8"/>
  <c r="D858" i="8"/>
  <c r="D859" i="8"/>
  <c r="D860" i="8"/>
  <c r="D861" i="8"/>
  <c r="D862" i="8"/>
  <c r="D863" i="8"/>
  <c r="D864" i="8"/>
  <c r="D865" i="8"/>
  <c r="D866" i="8"/>
  <c r="D867" i="8"/>
  <c r="D868" i="8"/>
  <c r="D869" i="8"/>
  <c r="D870" i="8"/>
  <c r="D871" i="8"/>
  <c r="D872" i="8"/>
  <c r="D873" i="8"/>
  <c r="D874" i="8"/>
  <c r="D875" i="8"/>
  <c r="D876" i="8"/>
  <c r="D877" i="8"/>
  <c r="D878" i="8"/>
  <c r="D879" i="8"/>
  <c r="D880" i="8"/>
  <c r="D881" i="8"/>
  <c r="D882" i="8"/>
  <c r="D883" i="8"/>
  <c r="D884" i="8"/>
  <c r="D885" i="8"/>
  <c r="D886" i="8"/>
  <c r="D887" i="8"/>
  <c r="D888" i="8"/>
  <c r="D889" i="8"/>
  <c r="D890" i="8"/>
  <c r="D891" i="8"/>
  <c r="D892" i="8"/>
  <c r="D893" i="8"/>
  <c r="D894" i="8"/>
  <c r="D895" i="8"/>
  <c r="D896" i="8"/>
  <c r="D897" i="8"/>
  <c r="D898" i="8"/>
  <c r="D899" i="8"/>
  <c r="D900" i="8"/>
  <c r="D901" i="8"/>
  <c r="D902" i="8"/>
  <c r="D903" i="8"/>
  <c r="D904" i="8"/>
  <c r="D905" i="8"/>
  <c r="D906" i="8"/>
  <c r="D907" i="8"/>
  <c r="D908" i="8"/>
  <c r="D909" i="8"/>
  <c r="D910" i="8"/>
  <c r="D911" i="8"/>
  <c r="D912" i="8"/>
  <c r="D913" i="8"/>
  <c r="D914" i="8"/>
  <c r="D915" i="8"/>
  <c r="D916" i="8"/>
  <c r="D917" i="8"/>
  <c r="D918" i="8"/>
  <c r="D919" i="8"/>
  <c r="D920" i="8"/>
  <c r="D921" i="8"/>
  <c r="D922" i="8"/>
  <c r="D923" i="8"/>
  <c r="D924" i="8"/>
  <c r="D925" i="8"/>
  <c r="D926" i="8"/>
  <c r="D927" i="8"/>
  <c r="D928" i="8"/>
  <c r="D929" i="8"/>
  <c r="D930" i="8"/>
  <c r="D931" i="8"/>
  <c r="D932" i="8"/>
  <c r="D933" i="8"/>
  <c r="D934" i="8"/>
  <c r="D935" i="8"/>
  <c r="D936" i="8"/>
  <c r="D937" i="8"/>
  <c r="D938" i="8"/>
  <c r="D939" i="8"/>
  <c r="D940" i="8"/>
  <c r="D941" i="8"/>
  <c r="D942" i="8"/>
  <c r="D943" i="8"/>
  <c r="D944" i="8"/>
  <c r="D945" i="8"/>
  <c r="D946" i="8"/>
  <c r="D947" i="8"/>
  <c r="D948" i="8"/>
  <c r="D949" i="8"/>
  <c r="D950" i="8"/>
  <c r="D951" i="8"/>
  <c r="D952" i="8"/>
  <c r="D953" i="8"/>
  <c r="D954" i="8"/>
  <c r="D955" i="8"/>
  <c r="D956" i="8"/>
  <c r="D957" i="8"/>
  <c r="D958" i="8"/>
  <c r="D959" i="8"/>
  <c r="D960" i="8"/>
  <c r="D961" i="8"/>
  <c r="D962" i="8"/>
  <c r="D963" i="8"/>
  <c r="D964" i="8"/>
  <c r="D965" i="8"/>
  <c r="D966" i="8"/>
  <c r="D967" i="8"/>
  <c r="D968" i="8"/>
  <c r="D969" i="8"/>
  <c r="D970" i="8"/>
  <c r="D971" i="8"/>
  <c r="D972" i="8"/>
  <c r="D973" i="8"/>
  <c r="D974" i="8"/>
  <c r="D975" i="8"/>
  <c r="D976" i="8"/>
  <c r="D977" i="8"/>
  <c r="D978" i="8"/>
  <c r="D979" i="8"/>
  <c r="D980" i="8"/>
  <c r="D981" i="8"/>
  <c r="D982" i="8"/>
  <c r="D983" i="8"/>
  <c r="D984" i="8"/>
  <c r="D985" i="8"/>
  <c r="D986" i="8"/>
  <c r="D987" i="8"/>
  <c r="D988" i="8"/>
  <c r="D989" i="8"/>
  <c r="D990" i="8"/>
  <c r="D991" i="8"/>
  <c r="D992" i="8"/>
  <c r="D993" i="8"/>
  <c r="D994" i="8"/>
  <c r="D995" i="8"/>
  <c r="D996" i="8"/>
  <c r="D997" i="8"/>
  <c r="D998" i="8"/>
  <c r="D999" i="8"/>
  <c r="D1000" i="8"/>
  <c r="D1001" i="8"/>
  <c r="D1002" i="8"/>
  <c r="D1003" i="8"/>
  <c r="D1004" i="8"/>
  <c r="D1005" i="8"/>
  <c r="D1006" i="8"/>
  <c r="D1007" i="8"/>
  <c r="D1008" i="8"/>
  <c r="D1009" i="8"/>
  <c r="D10" i="8"/>
  <c r="C21" i="7"/>
  <c r="C22" i="7"/>
  <c r="C23" i="7"/>
  <c r="C24" i="7"/>
  <c r="C25" i="7"/>
  <c r="C26" i="7"/>
  <c r="C27" i="7"/>
  <c r="C28" i="7"/>
  <c r="C29" i="7"/>
  <c r="C30" i="7"/>
  <c r="C31" i="7"/>
  <c r="C32" i="7"/>
  <c r="C33" i="7"/>
  <c r="C34" i="7"/>
  <c r="C35" i="7"/>
  <c r="C36" i="7"/>
  <c r="C37" i="7"/>
  <c r="C38" i="7"/>
  <c r="C39" i="7"/>
  <c r="C40" i="7"/>
  <c r="C41" i="7"/>
  <c r="C42" i="7"/>
  <c r="C43" i="7"/>
  <c r="C44" i="7"/>
  <c r="C45" i="7"/>
  <c r="C46" i="7"/>
  <c r="C47" i="7"/>
  <c r="C48" i="7"/>
  <c r="C49" i="7"/>
  <c r="C50" i="7"/>
  <c r="C51" i="7"/>
  <c r="C52" i="7"/>
  <c r="C53" i="7"/>
  <c r="C54" i="7"/>
  <c r="C55" i="7"/>
  <c r="C56" i="7"/>
  <c r="C57" i="7"/>
  <c r="C58" i="7"/>
  <c r="C59" i="7"/>
  <c r="C60" i="7"/>
  <c r="C61" i="7"/>
  <c r="C62" i="7"/>
  <c r="C63" i="7"/>
  <c r="C64" i="7"/>
  <c r="C65" i="7"/>
  <c r="C66" i="7"/>
  <c r="C67" i="7"/>
  <c r="C68" i="7"/>
  <c r="C69" i="7"/>
  <c r="C70" i="7"/>
  <c r="C71" i="7"/>
  <c r="C72" i="7"/>
  <c r="C73" i="7"/>
  <c r="C74" i="7"/>
  <c r="C75" i="7"/>
  <c r="C76" i="7"/>
  <c r="C77" i="7"/>
  <c r="C78" i="7"/>
  <c r="C79" i="7"/>
  <c r="C80" i="7"/>
  <c r="C81" i="7"/>
  <c r="C82" i="7"/>
  <c r="C83" i="7"/>
  <c r="C84" i="7"/>
  <c r="C85" i="7"/>
  <c r="C86" i="7"/>
  <c r="C87" i="7"/>
  <c r="C88" i="7"/>
  <c r="C89" i="7"/>
  <c r="C90" i="7"/>
  <c r="C91" i="7"/>
  <c r="C92" i="7"/>
  <c r="C93" i="7"/>
  <c r="C94" i="7"/>
  <c r="C95" i="7"/>
  <c r="C96" i="7"/>
  <c r="C97" i="7"/>
  <c r="C98" i="7"/>
  <c r="C99" i="7"/>
  <c r="C100" i="7"/>
  <c r="C101" i="7"/>
  <c r="C102" i="7"/>
  <c r="C103" i="7"/>
  <c r="C104" i="7"/>
  <c r="C105" i="7"/>
  <c r="C106" i="7"/>
  <c r="C107" i="7"/>
  <c r="C108" i="7"/>
  <c r="C109" i="7"/>
  <c r="C110" i="7"/>
  <c r="C111" i="7"/>
  <c r="C112" i="7"/>
  <c r="C113" i="7"/>
  <c r="C114" i="7"/>
  <c r="C115" i="7"/>
  <c r="C116" i="7"/>
  <c r="C117" i="7"/>
  <c r="C118" i="7"/>
  <c r="C119" i="7"/>
  <c r="C120" i="7"/>
  <c r="C121" i="7"/>
  <c r="C122" i="7"/>
  <c r="C123" i="7"/>
  <c r="C124" i="7"/>
  <c r="C125" i="7"/>
  <c r="C126" i="7"/>
  <c r="C127" i="7"/>
  <c r="C128" i="7"/>
  <c r="C129" i="7"/>
  <c r="C130" i="7"/>
  <c r="C131" i="7"/>
  <c r="C132" i="7"/>
  <c r="C133" i="7"/>
  <c r="C134" i="7"/>
  <c r="C135" i="7"/>
  <c r="C136" i="7"/>
  <c r="C137" i="7"/>
  <c r="C138" i="7"/>
  <c r="C139" i="7"/>
  <c r="C140" i="7"/>
  <c r="C141" i="7"/>
  <c r="C142" i="7"/>
  <c r="C143" i="7"/>
  <c r="C144" i="7"/>
  <c r="C145" i="7"/>
  <c r="C146" i="7"/>
  <c r="C147" i="7"/>
  <c r="C148" i="7"/>
  <c r="C149" i="7"/>
  <c r="C150" i="7"/>
  <c r="C151" i="7"/>
  <c r="C152" i="7"/>
  <c r="C153" i="7"/>
  <c r="C154" i="7"/>
  <c r="C155" i="7"/>
  <c r="C156" i="7"/>
  <c r="C157" i="7"/>
  <c r="C158" i="7"/>
  <c r="C159" i="7"/>
  <c r="C160" i="7"/>
  <c r="C161" i="7"/>
  <c r="C162" i="7"/>
  <c r="C163" i="7"/>
  <c r="C164" i="7"/>
  <c r="C165" i="7"/>
  <c r="C166" i="7"/>
  <c r="C167" i="7"/>
  <c r="C168" i="7"/>
  <c r="C169" i="7"/>
  <c r="C170" i="7"/>
  <c r="C171" i="7"/>
  <c r="C172" i="7"/>
  <c r="C173" i="7"/>
  <c r="C174" i="7"/>
  <c r="C175" i="7"/>
  <c r="C176" i="7"/>
  <c r="C177" i="7"/>
  <c r="C178" i="7"/>
  <c r="C179" i="7"/>
  <c r="C180" i="7"/>
  <c r="C181" i="7"/>
  <c r="C182" i="7"/>
  <c r="C183" i="7"/>
  <c r="C184" i="7"/>
  <c r="C185" i="7"/>
  <c r="C186" i="7"/>
  <c r="C187" i="7"/>
  <c r="C188" i="7"/>
  <c r="C189" i="7"/>
  <c r="C190" i="7"/>
  <c r="C191" i="7"/>
  <c r="C192" i="7"/>
  <c r="C193" i="7"/>
  <c r="C194" i="7"/>
  <c r="C195" i="7"/>
  <c r="C196" i="7"/>
  <c r="C197" i="7"/>
  <c r="C198" i="7"/>
  <c r="C199" i="7"/>
  <c r="C200" i="7"/>
  <c r="C201" i="7"/>
  <c r="C202" i="7"/>
  <c r="C203" i="7"/>
  <c r="C204" i="7"/>
  <c r="C205" i="7"/>
  <c r="C206" i="7"/>
  <c r="C207" i="7"/>
  <c r="C208" i="7"/>
  <c r="C209" i="7"/>
  <c r="C210" i="7"/>
  <c r="C211" i="7"/>
  <c r="C212" i="7"/>
  <c r="C213" i="7"/>
  <c r="C214" i="7"/>
  <c r="C215" i="7"/>
  <c r="C216" i="7"/>
  <c r="C217" i="7"/>
  <c r="C218" i="7"/>
  <c r="C219" i="7"/>
  <c r="C220" i="7"/>
  <c r="C221" i="7"/>
  <c r="C222" i="7"/>
  <c r="C223" i="7"/>
  <c r="C224" i="7"/>
  <c r="C225" i="7"/>
  <c r="C226" i="7"/>
  <c r="C227" i="7"/>
  <c r="C228" i="7"/>
  <c r="C229" i="7"/>
  <c r="C230" i="7"/>
  <c r="C231" i="7"/>
  <c r="C232" i="7"/>
  <c r="C233" i="7"/>
  <c r="C234" i="7"/>
  <c r="C235" i="7"/>
  <c r="C236" i="7"/>
  <c r="C237" i="7"/>
  <c r="C238" i="7"/>
  <c r="C239" i="7"/>
  <c r="C240" i="7"/>
  <c r="C241" i="7"/>
  <c r="C242" i="7"/>
  <c r="C243" i="7"/>
  <c r="C244" i="7"/>
  <c r="C245" i="7"/>
  <c r="C246" i="7"/>
  <c r="C247" i="7"/>
  <c r="C248" i="7"/>
  <c r="C249" i="7"/>
  <c r="C250" i="7"/>
  <c r="C251" i="7"/>
  <c r="C252" i="7"/>
  <c r="C253" i="7"/>
  <c r="C254" i="7"/>
  <c r="C255" i="7"/>
  <c r="C256" i="7"/>
  <c r="C257" i="7"/>
  <c r="C258" i="7"/>
  <c r="C259" i="7"/>
  <c r="C260" i="7"/>
  <c r="C261" i="7"/>
  <c r="C262" i="7"/>
  <c r="C263" i="7"/>
  <c r="C264" i="7"/>
  <c r="C265" i="7"/>
  <c r="C266" i="7"/>
  <c r="C267" i="7"/>
  <c r="C268" i="7"/>
  <c r="C269" i="7"/>
  <c r="C270" i="7"/>
  <c r="C271" i="7"/>
  <c r="C272" i="7"/>
  <c r="C273" i="7"/>
  <c r="C274" i="7"/>
  <c r="C275" i="7"/>
  <c r="C276" i="7"/>
  <c r="C277" i="7"/>
  <c r="C278" i="7"/>
  <c r="C279" i="7"/>
  <c r="C280" i="7"/>
  <c r="C281" i="7"/>
  <c r="C282" i="7"/>
  <c r="C283" i="7"/>
  <c r="C284" i="7"/>
  <c r="C285" i="7"/>
  <c r="C286" i="7"/>
  <c r="C287" i="7"/>
  <c r="C288" i="7"/>
  <c r="C289" i="7"/>
  <c r="C290" i="7"/>
  <c r="C291" i="7"/>
  <c r="C292" i="7"/>
  <c r="C293" i="7"/>
  <c r="C294" i="7"/>
  <c r="C295" i="7"/>
  <c r="C296" i="7"/>
  <c r="C297" i="7"/>
  <c r="C298" i="7"/>
  <c r="C299" i="7"/>
  <c r="C300" i="7"/>
  <c r="C301" i="7"/>
  <c r="C302" i="7"/>
  <c r="C303" i="7"/>
  <c r="C304" i="7"/>
  <c r="C305" i="7"/>
  <c r="C306" i="7"/>
  <c r="C307" i="7"/>
  <c r="C308" i="7"/>
  <c r="C309" i="7"/>
  <c r="C310" i="7"/>
  <c r="C311" i="7"/>
  <c r="C312" i="7"/>
  <c r="C313" i="7"/>
  <c r="C314" i="7"/>
  <c r="C315" i="7"/>
  <c r="C316" i="7"/>
  <c r="C317" i="7"/>
  <c r="C318" i="7"/>
  <c r="C319" i="7"/>
  <c r="C320" i="7"/>
  <c r="C321" i="7"/>
  <c r="C322" i="7"/>
  <c r="C323" i="7"/>
  <c r="C324" i="7"/>
  <c r="C325" i="7"/>
  <c r="C326" i="7"/>
  <c r="C327" i="7"/>
  <c r="C328" i="7"/>
  <c r="C329" i="7"/>
  <c r="C330" i="7"/>
  <c r="C331" i="7"/>
  <c r="C332" i="7"/>
  <c r="C333" i="7"/>
  <c r="C334" i="7"/>
  <c r="C335" i="7"/>
  <c r="C336" i="7"/>
  <c r="C337" i="7"/>
  <c r="C338" i="7"/>
  <c r="C339" i="7"/>
  <c r="C340" i="7"/>
  <c r="C341" i="7"/>
  <c r="C342" i="7"/>
  <c r="C343" i="7"/>
  <c r="C344" i="7"/>
  <c r="C345" i="7"/>
  <c r="C346" i="7"/>
  <c r="C347" i="7"/>
  <c r="C348" i="7"/>
  <c r="C349" i="7"/>
  <c r="C350" i="7"/>
  <c r="C351" i="7"/>
  <c r="C352" i="7"/>
  <c r="C353" i="7"/>
  <c r="C354" i="7"/>
  <c r="C355" i="7"/>
  <c r="C356" i="7"/>
  <c r="C357" i="7"/>
  <c r="C358" i="7"/>
  <c r="C359" i="7"/>
  <c r="C360" i="7"/>
  <c r="C361" i="7"/>
  <c r="C362" i="7"/>
  <c r="C363" i="7"/>
  <c r="C364" i="7"/>
  <c r="C365" i="7"/>
  <c r="C366" i="7"/>
  <c r="C367" i="7"/>
  <c r="C368" i="7"/>
  <c r="C369" i="7"/>
  <c r="C370" i="7"/>
  <c r="C371" i="7"/>
  <c r="C372" i="7"/>
  <c r="C373" i="7"/>
  <c r="C374" i="7"/>
  <c r="C375" i="7"/>
  <c r="C376" i="7"/>
  <c r="C377" i="7"/>
  <c r="C378" i="7"/>
  <c r="C379" i="7"/>
  <c r="C380" i="7"/>
  <c r="C381" i="7"/>
  <c r="C382" i="7"/>
  <c r="C383" i="7"/>
  <c r="C384" i="7"/>
  <c r="C385" i="7"/>
  <c r="C386" i="7"/>
  <c r="C387" i="7"/>
  <c r="C388" i="7"/>
  <c r="C389" i="7"/>
  <c r="C390" i="7"/>
  <c r="C391" i="7"/>
  <c r="C392" i="7"/>
  <c r="C393" i="7"/>
  <c r="C394" i="7"/>
  <c r="C395" i="7"/>
  <c r="C396" i="7"/>
  <c r="C397" i="7"/>
  <c r="C398" i="7"/>
  <c r="C399" i="7"/>
  <c r="C400" i="7"/>
  <c r="C401" i="7"/>
  <c r="C402" i="7"/>
  <c r="C403" i="7"/>
  <c r="C404" i="7"/>
  <c r="C405" i="7"/>
  <c r="C406" i="7"/>
  <c r="C407" i="7"/>
  <c r="C408" i="7"/>
  <c r="C409" i="7"/>
  <c r="C410" i="7"/>
  <c r="C411" i="7"/>
  <c r="C412" i="7"/>
  <c r="C413" i="7"/>
  <c r="C414" i="7"/>
  <c r="C415" i="7"/>
  <c r="C416" i="7"/>
  <c r="C417" i="7"/>
  <c r="C418" i="7"/>
  <c r="C419" i="7"/>
  <c r="C420" i="7"/>
  <c r="C421" i="7"/>
  <c r="C422" i="7"/>
  <c r="C423" i="7"/>
  <c r="C424" i="7"/>
  <c r="C425" i="7"/>
  <c r="C426" i="7"/>
  <c r="C427" i="7"/>
  <c r="C428" i="7"/>
  <c r="C429" i="7"/>
  <c r="C430" i="7"/>
  <c r="C431" i="7"/>
  <c r="C432" i="7"/>
  <c r="C433" i="7"/>
  <c r="C434" i="7"/>
  <c r="C435" i="7"/>
  <c r="C436" i="7"/>
  <c r="C437" i="7"/>
  <c r="C438" i="7"/>
  <c r="C439" i="7"/>
  <c r="C440" i="7"/>
  <c r="C441" i="7"/>
  <c r="C442" i="7"/>
  <c r="C443" i="7"/>
  <c r="C444" i="7"/>
  <c r="C445" i="7"/>
  <c r="C446" i="7"/>
  <c r="C447" i="7"/>
  <c r="C448" i="7"/>
  <c r="C449" i="7"/>
  <c r="C450" i="7"/>
  <c r="C451" i="7"/>
  <c r="C452" i="7"/>
  <c r="C453" i="7"/>
  <c r="C454" i="7"/>
  <c r="C455" i="7"/>
  <c r="C456" i="7"/>
  <c r="C457" i="7"/>
  <c r="C458" i="7"/>
  <c r="C459" i="7"/>
  <c r="C460" i="7"/>
  <c r="C461" i="7"/>
  <c r="C462" i="7"/>
  <c r="C463" i="7"/>
  <c r="C464" i="7"/>
  <c r="C465" i="7"/>
  <c r="C466" i="7"/>
  <c r="C467" i="7"/>
  <c r="C468" i="7"/>
  <c r="C469" i="7"/>
  <c r="C470" i="7"/>
  <c r="C471" i="7"/>
  <c r="C472" i="7"/>
  <c r="C473" i="7"/>
  <c r="C474" i="7"/>
  <c r="C475" i="7"/>
  <c r="C476" i="7"/>
  <c r="C477" i="7"/>
  <c r="C478" i="7"/>
  <c r="C479" i="7"/>
  <c r="C480" i="7"/>
  <c r="C481" i="7"/>
  <c r="C482" i="7"/>
  <c r="C483" i="7"/>
  <c r="C484" i="7"/>
  <c r="C485" i="7"/>
  <c r="C486" i="7"/>
  <c r="C487" i="7"/>
  <c r="C488" i="7"/>
  <c r="C489" i="7"/>
  <c r="C490" i="7"/>
  <c r="C491" i="7"/>
  <c r="C492" i="7"/>
  <c r="C493" i="7"/>
  <c r="C494" i="7"/>
  <c r="C495" i="7"/>
  <c r="C496" i="7"/>
  <c r="C497" i="7"/>
  <c r="C498" i="7"/>
  <c r="C499" i="7"/>
  <c r="C500" i="7"/>
  <c r="C501" i="7"/>
  <c r="C502" i="7"/>
  <c r="C503" i="7"/>
  <c r="C504" i="7"/>
  <c r="C505" i="7"/>
  <c r="C506" i="7"/>
  <c r="C507" i="7"/>
  <c r="C508" i="7"/>
  <c r="C509" i="7"/>
  <c r="C510" i="7"/>
  <c r="C511" i="7"/>
  <c r="C512" i="7"/>
  <c r="C513" i="7"/>
  <c r="C514" i="7"/>
  <c r="C515" i="7"/>
  <c r="C516" i="7"/>
  <c r="C517" i="7"/>
  <c r="C518" i="7"/>
  <c r="C519" i="7"/>
  <c r="C520" i="7"/>
  <c r="C521" i="7"/>
  <c r="C522" i="7"/>
  <c r="C523" i="7"/>
  <c r="C524" i="7"/>
  <c r="C525" i="7"/>
  <c r="C526" i="7"/>
  <c r="C527" i="7"/>
  <c r="C528" i="7"/>
  <c r="C529" i="7"/>
  <c r="C530" i="7"/>
  <c r="C531" i="7"/>
  <c r="C532" i="7"/>
  <c r="C533" i="7"/>
  <c r="C534" i="7"/>
  <c r="C535" i="7"/>
  <c r="C536" i="7"/>
  <c r="C537" i="7"/>
  <c r="C538" i="7"/>
  <c r="C539" i="7"/>
  <c r="C540" i="7"/>
  <c r="C541" i="7"/>
  <c r="C542" i="7"/>
  <c r="C543" i="7"/>
  <c r="C544" i="7"/>
  <c r="C545" i="7"/>
  <c r="C546" i="7"/>
  <c r="C547" i="7"/>
  <c r="C548" i="7"/>
  <c r="C549" i="7"/>
  <c r="C550" i="7"/>
  <c r="C551" i="7"/>
  <c r="C552" i="7"/>
  <c r="C553" i="7"/>
  <c r="C554" i="7"/>
  <c r="C555" i="7"/>
  <c r="C556" i="7"/>
  <c r="C557" i="7"/>
  <c r="C558" i="7"/>
  <c r="C559" i="7"/>
  <c r="C560" i="7"/>
  <c r="C561" i="7"/>
  <c r="C562" i="7"/>
  <c r="C563" i="7"/>
  <c r="C564" i="7"/>
  <c r="C565" i="7"/>
  <c r="C566" i="7"/>
  <c r="C567" i="7"/>
  <c r="C568" i="7"/>
  <c r="C569" i="7"/>
  <c r="C570" i="7"/>
  <c r="C571" i="7"/>
  <c r="C572" i="7"/>
  <c r="C573" i="7"/>
  <c r="C574" i="7"/>
  <c r="C575" i="7"/>
  <c r="C576" i="7"/>
  <c r="C577" i="7"/>
  <c r="C578" i="7"/>
  <c r="C579" i="7"/>
  <c r="C580" i="7"/>
  <c r="C581" i="7"/>
  <c r="C582" i="7"/>
  <c r="C583" i="7"/>
  <c r="C584" i="7"/>
  <c r="C585" i="7"/>
  <c r="C586" i="7"/>
  <c r="C587" i="7"/>
  <c r="C588" i="7"/>
  <c r="C589" i="7"/>
  <c r="C590" i="7"/>
  <c r="C591" i="7"/>
  <c r="C592" i="7"/>
  <c r="C593" i="7"/>
  <c r="C594" i="7"/>
  <c r="C595" i="7"/>
  <c r="C596" i="7"/>
  <c r="C597" i="7"/>
  <c r="C598" i="7"/>
  <c r="C599" i="7"/>
  <c r="C600" i="7"/>
  <c r="C601" i="7"/>
  <c r="C602" i="7"/>
  <c r="C603" i="7"/>
  <c r="C604" i="7"/>
  <c r="C605" i="7"/>
  <c r="C606" i="7"/>
  <c r="C607" i="7"/>
  <c r="C608" i="7"/>
  <c r="C609" i="7"/>
  <c r="C610" i="7"/>
  <c r="C611" i="7"/>
  <c r="C612" i="7"/>
  <c r="C613" i="7"/>
  <c r="C614" i="7"/>
  <c r="C615" i="7"/>
  <c r="C616" i="7"/>
  <c r="C617" i="7"/>
  <c r="C618" i="7"/>
  <c r="C619" i="7"/>
  <c r="C620" i="7"/>
  <c r="C621" i="7"/>
  <c r="C622" i="7"/>
  <c r="C623" i="7"/>
  <c r="C624" i="7"/>
  <c r="C625" i="7"/>
  <c r="C626" i="7"/>
  <c r="C627" i="7"/>
  <c r="C628" i="7"/>
  <c r="C629" i="7"/>
  <c r="C630" i="7"/>
  <c r="C631" i="7"/>
  <c r="C632" i="7"/>
  <c r="C633" i="7"/>
  <c r="C634" i="7"/>
  <c r="C635" i="7"/>
  <c r="C636" i="7"/>
  <c r="C637" i="7"/>
  <c r="C638" i="7"/>
  <c r="C639" i="7"/>
  <c r="C640" i="7"/>
  <c r="C641" i="7"/>
  <c r="C642" i="7"/>
  <c r="C643" i="7"/>
  <c r="C644" i="7"/>
  <c r="C645" i="7"/>
  <c r="C646" i="7"/>
  <c r="C647" i="7"/>
  <c r="C648" i="7"/>
  <c r="C649" i="7"/>
  <c r="C650" i="7"/>
  <c r="C651" i="7"/>
  <c r="C652" i="7"/>
  <c r="C653" i="7"/>
  <c r="C654" i="7"/>
  <c r="C655" i="7"/>
  <c r="C656" i="7"/>
  <c r="C657" i="7"/>
  <c r="C658" i="7"/>
  <c r="C659" i="7"/>
  <c r="C660" i="7"/>
  <c r="C661" i="7"/>
  <c r="C662" i="7"/>
  <c r="C663" i="7"/>
  <c r="C664" i="7"/>
  <c r="C665" i="7"/>
  <c r="C666" i="7"/>
  <c r="C667" i="7"/>
  <c r="C668" i="7"/>
  <c r="C669" i="7"/>
  <c r="C670" i="7"/>
  <c r="C671" i="7"/>
  <c r="C672" i="7"/>
  <c r="C673" i="7"/>
  <c r="C674" i="7"/>
  <c r="C675" i="7"/>
  <c r="C676" i="7"/>
  <c r="C677" i="7"/>
  <c r="C678" i="7"/>
  <c r="C679" i="7"/>
  <c r="C680" i="7"/>
  <c r="C681" i="7"/>
  <c r="C682" i="7"/>
  <c r="C683" i="7"/>
  <c r="C684" i="7"/>
  <c r="C685" i="7"/>
  <c r="C686" i="7"/>
  <c r="C687" i="7"/>
  <c r="C688" i="7"/>
  <c r="C689" i="7"/>
  <c r="C690" i="7"/>
  <c r="C691" i="7"/>
  <c r="C692" i="7"/>
  <c r="C693" i="7"/>
  <c r="C694" i="7"/>
  <c r="C695" i="7"/>
  <c r="C696" i="7"/>
  <c r="C697" i="7"/>
  <c r="C698" i="7"/>
  <c r="C699" i="7"/>
  <c r="C700" i="7"/>
  <c r="C701" i="7"/>
  <c r="C702" i="7"/>
  <c r="C703" i="7"/>
  <c r="C704" i="7"/>
  <c r="C705" i="7"/>
  <c r="C706" i="7"/>
  <c r="C707" i="7"/>
  <c r="C708" i="7"/>
  <c r="C709" i="7"/>
  <c r="C710" i="7"/>
  <c r="C711" i="7"/>
  <c r="C712" i="7"/>
  <c r="C713" i="7"/>
  <c r="C714" i="7"/>
  <c r="C715" i="7"/>
  <c r="C716" i="7"/>
  <c r="C717" i="7"/>
  <c r="C718" i="7"/>
  <c r="C719" i="7"/>
  <c r="C720" i="7"/>
  <c r="C721" i="7"/>
  <c r="C722" i="7"/>
  <c r="C723" i="7"/>
  <c r="C724" i="7"/>
  <c r="C725" i="7"/>
  <c r="C726" i="7"/>
  <c r="C727" i="7"/>
  <c r="C728" i="7"/>
  <c r="C729" i="7"/>
  <c r="C730" i="7"/>
  <c r="C731" i="7"/>
  <c r="C732" i="7"/>
  <c r="C733" i="7"/>
  <c r="C734" i="7"/>
  <c r="C735" i="7"/>
  <c r="C736" i="7"/>
  <c r="C737" i="7"/>
  <c r="C738" i="7"/>
  <c r="C739" i="7"/>
  <c r="C740" i="7"/>
  <c r="C741" i="7"/>
  <c r="C742" i="7"/>
  <c r="C743" i="7"/>
  <c r="C744" i="7"/>
  <c r="C745" i="7"/>
  <c r="C746" i="7"/>
  <c r="C747" i="7"/>
  <c r="C748" i="7"/>
  <c r="C749" i="7"/>
  <c r="C750" i="7"/>
  <c r="C751" i="7"/>
  <c r="C752" i="7"/>
  <c r="C753" i="7"/>
  <c r="C754" i="7"/>
  <c r="C755" i="7"/>
  <c r="C756" i="7"/>
  <c r="C757" i="7"/>
  <c r="C758" i="7"/>
  <c r="C759" i="7"/>
  <c r="C760" i="7"/>
  <c r="C761" i="7"/>
  <c r="C762" i="7"/>
  <c r="C763" i="7"/>
  <c r="C764" i="7"/>
  <c r="C765" i="7"/>
  <c r="C766" i="7"/>
  <c r="C767" i="7"/>
  <c r="C768" i="7"/>
  <c r="C769" i="7"/>
  <c r="C770" i="7"/>
  <c r="C771" i="7"/>
  <c r="C772" i="7"/>
  <c r="C773" i="7"/>
  <c r="C774" i="7"/>
  <c r="C775" i="7"/>
  <c r="C776" i="7"/>
  <c r="C777" i="7"/>
  <c r="C778" i="7"/>
  <c r="C779" i="7"/>
  <c r="C780" i="7"/>
  <c r="C781" i="7"/>
  <c r="C782" i="7"/>
  <c r="C783" i="7"/>
  <c r="C784" i="7"/>
  <c r="C785" i="7"/>
  <c r="C786" i="7"/>
  <c r="C787" i="7"/>
  <c r="C788" i="7"/>
  <c r="C789" i="7"/>
  <c r="C790" i="7"/>
  <c r="C791" i="7"/>
  <c r="C792" i="7"/>
  <c r="C793" i="7"/>
  <c r="C794" i="7"/>
  <c r="C795" i="7"/>
  <c r="C796" i="7"/>
  <c r="C797" i="7"/>
  <c r="C798" i="7"/>
  <c r="C799" i="7"/>
  <c r="C800" i="7"/>
  <c r="C801" i="7"/>
  <c r="C802" i="7"/>
  <c r="C803" i="7"/>
  <c r="C804" i="7"/>
  <c r="C805" i="7"/>
  <c r="C806" i="7"/>
  <c r="C807" i="7"/>
  <c r="C808" i="7"/>
  <c r="C809" i="7"/>
  <c r="C810" i="7"/>
  <c r="C811" i="7"/>
  <c r="C812" i="7"/>
  <c r="C813" i="7"/>
  <c r="C814" i="7"/>
  <c r="C815" i="7"/>
  <c r="C816" i="7"/>
  <c r="C817" i="7"/>
  <c r="C818" i="7"/>
  <c r="C819" i="7"/>
  <c r="C820" i="7"/>
  <c r="C821" i="7"/>
  <c r="C822" i="7"/>
  <c r="C823" i="7"/>
  <c r="C824" i="7"/>
  <c r="C825" i="7"/>
  <c r="C826" i="7"/>
  <c r="C827" i="7"/>
  <c r="C828" i="7"/>
  <c r="C829" i="7"/>
  <c r="C830" i="7"/>
  <c r="C831" i="7"/>
  <c r="C832" i="7"/>
  <c r="C833" i="7"/>
  <c r="C834" i="7"/>
  <c r="C835" i="7"/>
  <c r="C836" i="7"/>
  <c r="C837" i="7"/>
  <c r="C838" i="7"/>
  <c r="C839" i="7"/>
  <c r="C840" i="7"/>
  <c r="C841" i="7"/>
  <c r="C842" i="7"/>
  <c r="C843" i="7"/>
  <c r="C844" i="7"/>
  <c r="C845" i="7"/>
  <c r="C846" i="7"/>
  <c r="C847" i="7"/>
  <c r="C848" i="7"/>
  <c r="C849" i="7"/>
  <c r="C850" i="7"/>
  <c r="C851" i="7"/>
  <c r="C852" i="7"/>
  <c r="C853" i="7"/>
  <c r="C854" i="7"/>
  <c r="C855" i="7"/>
  <c r="C856" i="7"/>
  <c r="C857" i="7"/>
  <c r="C858" i="7"/>
  <c r="C859" i="7"/>
  <c r="C860" i="7"/>
  <c r="C861" i="7"/>
  <c r="C862" i="7"/>
  <c r="C863" i="7"/>
  <c r="C864" i="7"/>
  <c r="C865" i="7"/>
  <c r="C866" i="7"/>
  <c r="C867" i="7"/>
  <c r="C868" i="7"/>
  <c r="C869" i="7"/>
  <c r="C870" i="7"/>
  <c r="C871" i="7"/>
  <c r="C872" i="7"/>
  <c r="C873" i="7"/>
  <c r="C874" i="7"/>
  <c r="C875" i="7"/>
  <c r="C876" i="7"/>
  <c r="C877" i="7"/>
  <c r="C878" i="7"/>
  <c r="C879" i="7"/>
  <c r="C880" i="7"/>
  <c r="C881" i="7"/>
  <c r="C882" i="7"/>
  <c r="C883" i="7"/>
  <c r="C884" i="7"/>
  <c r="C885" i="7"/>
  <c r="C886" i="7"/>
  <c r="C887" i="7"/>
  <c r="C888" i="7"/>
  <c r="C889" i="7"/>
  <c r="C890" i="7"/>
  <c r="C891" i="7"/>
  <c r="C892" i="7"/>
  <c r="C893" i="7"/>
  <c r="C894" i="7"/>
  <c r="C895" i="7"/>
  <c r="C896" i="7"/>
  <c r="C897" i="7"/>
  <c r="C898" i="7"/>
  <c r="C899" i="7"/>
  <c r="C900" i="7"/>
  <c r="C901" i="7"/>
  <c r="C902" i="7"/>
  <c r="C903" i="7"/>
  <c r="C904" i="7"/>
  <c r="C905" i="7"/>
  <c r="C906" i="7"/>
  <c r="C907" i="7"/>
  <c r="C908" i="7"/>
  <c r="C909" i="7"/>
  <c r="C910" i="7"/>
  <c r="C911" i="7"/>
  <c r="C912" i="7"/>
  <c r="C913" i="7"/>
  <c r="C914" i="7"/>
  <c r="C915" i="7"/>
  <c r="C916" i="7"/>
  <c r="C917" i="7"/>
  <c r="C918" i="7"/>
  <c r="C919" i="7"/>
  <c r="C920" i="7"/>
  <c r="C921" i="7"/>
  <c r="C922" i="7"/>
  <c r="C923" i="7"/>
  <c r="C924" i="7"/>
  <c r="C925" i="7"/>
  <c r="C926" i="7"/>
  <c r="C927" i="7"/>
  <c r="C928" i="7"/>
  <c r="C929" i="7"/>
  <c r="C930" i="7"/>
  <c r="C931" i="7"/>
  <c r="C932" i="7"/>
  <c r="C933" i="7"/>
  <c r="C934" i="7"/>
  <c r="C935" i="7"/>
  <c r="C936" i="7"/>
  <c r="C937" i="7"/>
  <c r="C938" i="7"/>
  <c r="C939" i="7"/>
  <c r="C940" i="7"/>
  <c r="C941" i="7"/>
  <c r="C942" i="7"/>
  <c r="C943" i="7"/>
  <c r="C944" i="7"/>
  <c r="C945" i="7"/>
  <c r="C946" i="7"/>
  <c r="C947" i="7"/>
  <c r="C948" i="7"/>
  <c r="C949" i="7"/>
  <c r="C950" i="7"/>
  <c r="C951" i="7"/>
  <c r="C952" i="7"/>
  <c r="C953" i="7"/>
  <c r="C954" i="7"/>
  <c r="C955" i="7"/>
  <c r="C956" i="7"/>
  <c r="C957" i="7"/>
  <c r="C958" i="7"/>
  <c r="C959" i="7"/>
  <c r="C960" i="7"/>
  <c r="C961" i="7"/>
  <c r="C962" i="7"/>
  <c r="C963" i="7"/>
  <c r="C964" i="7"/>
  <c r="C965" i="7"/>
  <c r="C966" i="7"/>
  <c r="C967" i="7"/>
  <c r="C968" i="7"/>
  <c r="C969" i="7"/>
  <c r="C970" i="7"/>
  <c r="C971" i="7"/>
  <c r="C972" i="7"/>
  <c r="C973" i="7"/>
  <c r="C974" i="7"/>
  <c r="C975" i="7"/>
  <c r="C976" i="7"/>
  <c r="C977" i="7"/>
  <c r="C978" i="7"/>
  <c r="C979" i="7"/>
  <c r="C980" i="7"/>
  <c r="C981" i="7"/>
  <c r="C982" i="7"/>
  <c r="C983" i="7"/>
  <c r="C984" i="7"/>
  <c r="C985" i="7"/>
  <c r="C986" i="7"/>
  <c r="C987" i="7"/>
  <c r="C988" i="7"/>
  <c r="C989" i="7"/>
  <c r="C990" i="7"/>
  <c r="C991" i="7"/>
  <c r="C992" i="7"/>
  <c r="C993" i="7"/>
  <c r="C994" i="7"/>
  <c r="C995" i="7"/>
  <c r="C996" i="7"/>
  <c r="C997" i="7"/>
  <c r="C998" i="7"/>
  <c r="C999" i="7"/>
  <c r="C1000" i="7"/>
  <c r="C1001" i="7"/>
  <c r="C1002" i="7"/>
  <c r="C1003" i="7"/>
  <c r="C1004" i="7"/>
  <c r="C1005" i="7"/>
  <c r="C1006" i="7"/>
  <c r="C1007" i="7"/>
  <c r="C1008" i="7"/>
  <c r="C1009" i="7"/>
  <c r="C1010" i="7"/>
  <c r="C1011" i="7"/>
  <c r="C1012" i="7"/>
  <c r="C1013" i="7"/>
  <c r="C1014" i="7"/>
  <c r="C1015" i="7"/>
  <c r="C1016" i="7"/>
  <c r="C1017" i="7"/>
  <c r="C1018" i="7"/>
  <c r="C1019" i="7"/>
  <c r="C20" i="7"/>
  <c r="C15" i="6"/>
  <c r="C16" i="6"/>
  <c r="C17" i="6"/>
  <c r="C18" i="6"/>
  <c r="C19" i="6"/>
  <c r="C20" i="6"/>
  <c r="C21" i="6"/>
  <c r="C22" i="6"/>
  <c r="C23" i="6"/>
  <c r="C24" i="6"/>
  <c r="C25" i="6"/>
  <c r="C26" i="6"/>
  <c r="C27" i="6"/>
  <c r="C28" i="6"/>
  <c r="C29" i="6"/>
  <c r="C30" i="6"/>
  <c r="C31" i="6"/>
  <c r="C32" i="6"/>
  <c r="C33" i="6"/>
  <c r="C34" i="6"/>
  <c r="C35" i="6"/>
  <c r="C36" i="6"/>
  <c r="C37" i="6"/>
  <c r="C38" i="6"/>
  <c r="C39" i="6"/>
  <c r="C40" i="6"/>
  <c r="C41" i="6"/>
  <c r="C42" i="6"/>
  <c r="C43" i="6"/>
  <c r="C44" i="6"/>
  <c r="C45" i="6"/>
  <c r="C46" i="6"/>
  <c r="C47" i="6"/>
  <c r="C48" i="6"/>
  <c r="C49" i="6"/>
  <c r="C50" i="6"/>
  <c r="C51" i="6"/>
  <c r="C52" i="6"/>
  <c r="C53" i="6"/>
  <c r="C54" i="6"/>
  <c r="C55" i="6"/>
  <c r="C56" i="6"/>
  <c r="C57" i="6"/>
  <c r="C58" i="6"/>
  <c r="C59" i="6"/>
  <c r="C60" i="6"/>
  <c r="C61" i="6"/>
  <c r="C62" i="6"/>
  <c r="C63" i="6"/>
  <c r="C64" i="6"/>
  <c r="C65" i="6"/>
  <c r="C66" i="6"/>
  <c r="C67" i="6"/>
  <c r="C68" i="6"/>
  <c r="C69" i="6"/>
  <c r="C70" i="6"/>
  <c r="C71" i="6"/>
  <c r="C72" i="6"/>
  <c r="C73" i="6"/>
  <c r="C74" i="6"/>
  <c r="C75" i="6"/>
  <c r="C76" i="6"/>
  <c r="C77" i="6"/>
  <c r="C78" i="6"/>
  <c r="C79" i="6"/>
  <c r="C80" i="6"/>
  <c r="C81" i="6"/>
  <c r="C82" i="6"/>
  <c r="C83" i="6"/>
  <c r="C84" i="6"/>
  <c r="C85" i="6"/>
  <c r="C86" i="6"/>
  <c r="C87" i="6"/>
  <c r="C88" i="6"/>
  <c r="C89" i="6"/>
  <c r="C90" i="6"/>
  <c r="C91" i="6"/>
  <c r="C92" i="6"/>
  <c r="C93" i="6"/>
  <c r="C94" i="6"/>
  <c r="C95" i="6"/>
  <c r="C96" i="6"/>
  <c r="C97" i="6"/>
  <c r="C98" i="6"/>
  <c r="C99" i="6"/>
  <c r="C100" i="6"/>
  <c r="C101" i="6"/>
  <c r="C102" i="6"/>
  <c r="C103" i="6"/>
  <c r="C104" i="6"/>
  <c r="C105" i="6"/>
  <c r="C106" i="6"/>
  <c r="C107" i="6"/>
  <c r="C108" i="6"/>
  <c r="C109" i="6"/>
  <c r="C110" i="6"/>
  <c r="C111" i="6"/>
  <c r="C112" i="6"/>
  <c r="C113" i="6"/>
  <c r="C114" i="6"/>
  <c r="C115" i="6"/>
  <c r="C116" i="6"/>
  <c r="C117" i="6"/>
  <c r="C118" i="6"/>
  <c r="C119" i="6"/>
  <c r="C120" i="6"/>
  <c r="C121" i="6"/>
  <c r="C122" i="6"/>
  <c r="C123" i="6"/>
  <c r="C124" i="6"/>
  <c r="C125" i="6"/>
  <c r="C126" i="6"/>
  <c r="C127" i="6"/>
  <c r="C128" i="6"/>
  <c r="C129" i="6"/>
  <c r="C130" i="6"/>
  <c r="C131" i="6"/>
  <c r="C132" i="6"/>
  <c r="C133" i="6"/>
  <c r="C134" i="6"/>
  <c r="C135" i="6"/>
  <c r="C136" i="6"/>
  <c r="C137" i="6"/>
  <c r="C138" i="6"/>
  <c r="C139" i="6"/>
  <c r="C140" i="6"/>
  <c r="C141" i="6"/>
  <c r="C142" i="6"/>
  <c r="C143" i="6"/>
  <c r="C144" i="6"/>
  <c r="C145" i="6"/>
  <c r="C146" i="6"/>
  <c r="C147" i="6"/>
  <c r="C148" i="6"/>
  <c r="C149" i="6"/>
  <c r="C150" i="6"/>
  <c r="C151" i="6"/>
  <c r="C152" i="6"/>
  <c r="C153" i="6"/>
  <c r="C154" i="6"/>
  <c r="C155" i="6"/>
  <c r="C156" i="6"/>
  <c r="C157" i="6"/>
  <c r="C158" i="6"/>
  <c r="C159" i="6"/>
  <c r="C160" i="6"/>
  <c r="C161" i="6"/>
  <c r="C162" i="6"/>
  <c r="C163" i="6"/>
  <c r="C164" i="6"/>
  <c r="C165" i="6"/>
  <c r="C166" i="6"/>
  <c r="C167" i="6"/>
  <c r="C168" i="6"/>
  <c r="C169" i="6"/>
  <c r="C170" i="6"/>
  <c r="C171" i="6"/>
  <c r="C172" i="6"/>
  <c r="C173" i="6"/>
  <c r="C174" i="6"/>
  <c r="C175" i="6"/>
  <c r="C176" i="6"/>
  <c r="C177" i="6"/>
  <c r="C178" i="6"/>
  <c r="C179" i="6"/>
  <c r="C180" i="6"/>
  <c r="C181" i="6"/>
  <c r="C182" i="6"/>
  <c r="C183" i="6"/>
  <c r="C184" i="6"/>
  <c r="C185" i="6"/>
  <c r="C186" i="6"/>
  <c r="C187" i="6"/>
  <c r="C188" i="6"/>
  <c r="C189" i="6"/>
  <c r="C190" i="6"/>
  <c r="C191" i="6"/>
  <c r="C192" i="6"/>
  <c r="C193" i="6"/>
  <c r="C194" i="6"/>
  <c r="C195" i="6"/>
  <c r="C196" i="6"/>
  <c r="C197" i="6"/>
  <c r="C198" i="6"/>
  <c r="C199" i="6"/>
  <c r="C200" i="6"/>
  <c r="C201" i="6"/>
  <c r="C202" i="6"/>
  <c r="C203" i="6"/>
  <c r="C204" i="6"/>
  <c r="C205" i="6"/>
  <c r="C206" i="6"/>
  <c r="C207" i="6"/>
  <c r="C208" i="6"/>
  <c r="C209" i="6"/>
  <c r="C210" i="6"/>
  <c r="C211" i="6"/>
  <c r="C212" i="6"/>
  <c r="C213" i="6"/>
  <c r="C214" i="6"/>
  <c r="C215" i="6"/>
  <c r="C216" i="6"/>
  <c r="C217" i="6"/>
  <c r="C218" i="6"/>
  <c r="C219" i="6"/>
  <c r="C220" i="6"/>
  <c r="C221" i="6"/>
  <c r="C222" i="6"/>
  <c r="C223" i="6"/>
  <c r="C224" i="6"/>
  <c r="C225" i="6"/>
  <c r="C226" i="6"/>
  <c r="C227" i="6"/>
  <c r="C228" i="6"/>
  <c r="C229" i="6"/>
  <c r="C230" i="6"/>
  <c r="C231" i="6"/>
  <c r="C232" i="6"/>
  <c r="C233" i="6"/>
  <c r="C234" i="6"/>
  <c r="C235" i="6"/>
  <c r="C236" i="6"/>
  <c r="C237" i="6"/>
  <c r="C238" i="6"/>
  <c r="C239" i="6"/>
  <c r="C240" i="6"/>
  <c r="C241" i="6"/>
  <c r="C242" i="6"/>
  <c r="C243" i="6"/>
  <c r="C244" i="6"/>
  <c r="C245" i="6"/>
  <c r="C246" i="6"/>
  <c r="C247" i="6"/>
  <c r="C248" i="6"/>
  <c r="C249" i="6"/>
  <c r="C250" i="6"/>
  <c r="C251" i="6"/>
  <c r="C252" i="6"/>
  <c r="C253" i="6"/>
  <c r="C254" i="6"/>
  <c r="C255" i="6"/>
  <c r="C256" i="6"/>
  <c r="C257" i="6"/>
  <c r="C258" i="6"/>
  <c r="C259" i="6"/>
  <c r="C260" i="6"/>
  <c r="C261" i="6"/>
  <c r="C262" i="6"/>
  <c r="C263" i="6"/>
  <c r="C264" i="6"/>
  <c r="C265" i="6"/>
  <c r="C266" i="6"/>
  <c r="C267" i="6"/>
  <c r="C268" i="6"/>
  <c r="C269" i="6"/>
  <c r="C270" i="6"/>
  <c r="C271" i="6"/>
  <c r="C272" i="6"/>
  <c r="C273" i="6"/>
  <c r="C274" i="6"/>
  <c r="C275" i="6"/>
  <c r="C276" i="6"/>
  <c r="C277" i="6"/>
  <c r="C278" i="6"/>
  <c r="C279" i="6"/>
  <c r="C280" i="6"/>
  <c r="C281" i="6"/>
  <c r="C282" i="6"/>
  <c r="C283" i="6"/>
  <c r="C284" i="6"/>
  <c r="C285" i="6"/>
  <c r="C286" i="6"/>
  <c r="C287" i="6"/>
  <c r="C288" i="6"/>
  <c r="C289" i="6"/>
  <c r="C290" i="6"/>
  <c r="C291" i="6"/>
  <c r="C292" i="6"/>
  <c r="C293" i="6"/>
  <c r="C294" i="6"/>
  <c r="C295" i="6"/>
  <c r="C296" i="6"/>
  <c r="C297" i="6"/>
  <c r="C298" i="6"/>
  <c r="C299" i="6"/>
  <c r="C300" i="6"/>
  <c r="C301" i="6"/>
  <c r="C302" i="6"/>
  <c r="C303" i="6"/>
  <c r="C304" i="6"/>
  <c r="C305" i="6"/>
  <c r="C306" i="6"/>
  <c r="C307" i="6"/>
  <c r="C308" i="6"/>
  <c r="C309" i="6"/>
  <c r="C310" i="6"/>
  <c r="C311" i="6"/>
  <c r="C312" i="6"/>
  <c r="C313" i="6"/>
  <c r="C314" i="6"/>
  <c r="C315" i="6"/>
  <c r="C316" i="6"/>
  <c r="C317" i="6"/>
  <c r="C318" i="6"/>
  <c r="C319" i="6"/>
  <c r="C320" i="6"/>
  <c r="C321" i="6"/>
  <c r="C322" i="6"/>
  <c r="C323" i="6"/>
  <c r="C324" i="6"/>
  <c r="C325" i="6"/>
  <c r="C326" i="6"/>
  <c r="C327" i="6"/>
  <c r="C328" i="6"/>
  <c r="C329" i="6"/>
  <c r="C330" i="6"/>
  <c r="C331" i="6"/>
  <c r="C332" i="6"/>
  <c r="C333" i="6"/>
  <c r="C334" i="6"/>
  <c r="C335" i="6"/>
  <c r="C336" i="6"/>
  <c r="C337" i="6"/>
  <c r="C338" i="6"/>
  <c r="C339" i="6"/>
  <c r="C340" i="6"/>
  <c r="C341" i="6"/>
  <c r="C342" i="6"/>
  <c r="C343" i="6"/>
  <c r="C344" i="6"/>
  <c r="C345" i="6"/>
  <c r="C346" i="6"/>
  <c r="C347" i="6"/>
  <c r="C348" i="6"/>
  <c r="C349" i="6"/>
  <c r="C350" i="6"/>
  <c r="C351" i="6"/>
  <c r="C352" i="6"/>
  <c r="C353" i="6"/>
  <c r="C354" i="6"/>
  <c r="C355" i="6"/>
  <c r="C356" i="6"/>
  <c r="C357" i="6"/>
  <c r="C358" i="6"/>
  <c r="C359" i="6"/>
  <c r="C360" i="6"/>
  <c r="C361" i="6"/>
  <c r="C362" i="6"/>
  <c r="C363" i="6"/>
  <c r="C364" i="6"/>
  <c r="C365" i="6"/>
  <c r="C366" i="6"/>
  <c r="C367" i="6"/>
  <c r="C368" i="6"/>
  <c r="C369" i="6"/>
  <c r="C370" i="6"/>
  <c r="C371" i="6"/>
  <c r="C372" i="6"/>
  <c r="C373" i="6"/>
  <c r="C374" i="6"/>
  <c r="C375" i="6"/>
  <c r="C376" i="6"/>
  <c r="C377" i="6"/>
  <c r="C378" i="6"/>
  <c r="C379" i="6"/>
  <c r="C380" i="6"/>
  <c r="C381" i="6"/>
  <c r="C382" i="6"/>
  <c r="C383" i="6"/>
  <c r="C384" i="6"/>
  <c r="C385" i="6"/>
  <c r="C386" i="6"/>
  <c r="C387" i="6"/>
  <c r="C388" i="6"/>
  <c r="C389" i="6"/>
  <c r="C390" i="6"/>
  <c r="C391" i="6"/>
  <c r="C392" i="6"/>
  <c r="C393" i="6"/>
  <c r="C394" i="6"/>
  <c r="C395" i="6"/>
  <c r="C396" i="6"/>
  <c r="C397" i="6"/>
  <c r="C398" i="6"/>
  <c r="C399" i="6"/>
  <c r="C400" i="6"/>
  <c r="C401" i="6"/>
  <c r="C402" i="6"/>
  <c r="C403" i="6"/>
  <c r="C404" i="6"/>
  <c r="C405" i="6"/>
  <c r="C406" i="6"/>
  <c r="C407" i="6"/>
  <c r="C408" i="6"/>
  <c r="C409" i="6"/>
  <c r="C410" i="6"/>
  <c r="C411" i="6"/>
  <c r="C412" i="6"/>
  <c r="C413" i="6"/>
  <c r="C414" i="6"/>
  <c r="C415" i="6"/>
  <c r="C416" i="6"/>
  <c r="C417" i="6"/>
  <c r="C418" i="6"/>
  <c r="C419" i="6"/>
  <c r="C420" i="6"/>
  <c r="C421" i="6"/>
  <c r="C422" i="6"/>
  <c r="C423" i="6"/>
  <c r="C424" i="6"/>
  <c r="C425" i="6"/>
  <c r="C426" i="6"/>
  <c r="C427" i="6"/>
  <c r="C428" i="6"/>
  <c r="C429" i="6"/>
  <c r="C430" i="6"/>
  <c r="C431" i="6"/>
  <c r="C432" i="6"/>
  <c r="C433" i="6"/>
  <c r="C434" i="6"/>
  <c r="C435" i="6"/>
  <c r="C436" i="6"/>
  <c r="C437" i="6"/>
  <c r="C438" i="6"/>
  <c r="C439" i="6"/>
  <c r="C440" i="6"/>
  <c r="C441" i="6"/>
  <c r="C442" i="6"/>
  <c r="C443" i="6"/>
  <c r="C444" i="6"/>
  <c r="C445" i="6"/>
  <c r="C446" i="6"/>
  <c r="C447" i="6"/>
  <c r="C448" i="6"/>
  <c r="C449" i="6"/>
  <c r="C450" i="6"/>
  <c r="C451" i="6"/>
  <c r="C452" i="6"/>
  <c r="C453" i="6"/>
  <c r="C454" i="6"/>
  <c r="C455" i="6"/>
  <c r="C456" i="6"/>
  <c r="C457" i="6"/>
  <c r="C458" i="6"/>
  <c r="C459" i="6"/>
  <c r="C460" i="6"/>
  <c r="C461" i="6"/>
  <c r="C462" i="6"/>
  <c r="C463" i="6"/>
  <c r="C464" i="6"/>
  <c r="C465" i="6"/>
  <c r="C466" i="6"/>
  <c r="C467" i="6"/>
  <c r="C468" i="6"/>
  <c r="C469" i="6"/>
  <c r="C470" i="6"/>
  <c r="C471" i="6"/>
  <c r="C472" i="6"/>
  <c r="C473" i="6"/>
  <c r="C474" i="6"/>
  <c r="C475" i="6"/>
  <c r="C476" i="6"/>
  <c r="C477" i="6"/>
  <c r="C478" i="6"/>
  <c r="C479" i="6"/>
  <c r="C480" i="6"/>
  <c r="C481" i="6"/>
  <c r="C482" i="6"/>
  <c r="C483" i="6"/>
  <c r="C484" i="6"/>
  <c r="C485" i="6"/>
  <c r="C486" i="6"/>
  <c r="C487" i="6"/>
  <c r="C488" i="6"/>
  <c r="C489" i="6"/>
  <c r="C490" i="6"/>
  <c r="C491" i="6"/>
  <c r="C492" i="6"/>
  <c r="C493" i="6"/>
  <c r="C494" i="6"/>
  <c r="C495" i="6"/>
  <c r="C496" i="6"/>
  <c r="C497" i="6"/>
  <c r="C498" i="6"/>
  <c r="C499" i="6"/>
  <c r="C500" i="6"/>
  <c r="C501" i="6"/>
  <c r="C502" i="6"/>
  <c r="C503" i="6"/>
  <c r="C504" i="6"/>
  <c r="C505" i="6"/>
  <c r="C506" i="6"/>
  <c r="C507" i="6"/>
  <c r="C508" i="6"/>
  <c r="C509" i="6"/>
  <c r="C510" i="6"/>
  <c r="C511" i="6"/>
  <c r="C512" i="6"/>
  <c r="C513" i="6"/>
  <c r="C514" i="6"/>
  <c r="C515" i="6"/>
  <c r="C516" i="6"/>
  <c r="C517" i="6"/>
  <c r="C518" i="6"/>
  <c r="C519" i="6"/>
  <c r="C520" i="6"/>
  <c r="C521" i="6"/>
  <c r="C522" i="6"/>
  <c r="C523" i="6"/>
  <c r="C524" i="6"/>
  <c r="C525" i="6"/>
  <c r="C526" i="6"/>
  <c r="C527" i="6"/>
  <c r="C528" i="6"/>
  <c r="C529" i="6"/>
  <c r="C530" i="6"/>
  <c r="C531" i="6"/>
  <c r="C532" i="6"/>
  <c r="C533" i="6"/>
  <c r="C534" i="6"/>
  <c r="C535" i="6"/>
  <c r="C536" i="6"/>
  <c r="C537" i="6"/>
  <c r="C538" i="6"/>
  <c r="C539" i="6"/>
  <c r="C540" i="6"/>
  <c r="C541" i="6"/>
  <c r="C542" i="6"/>
  <c r="C543" i="6"/>
  <c r="C544" i="6"/>
  <c r="C545" i="6"/>
  <c r="C546" i="6"/>
  <c r="C547" i="6"/>
  <c r="C548" i="6"/>
  <c r="C549" i="6"/>
  <c r="C550" i="6"/>
  <c r="C551" i="6"/>
  <c r="C552" i="6"/>
  <c r="C553" i="6"/>
  <c r="C554" i="6"/>
  <c r="C555" i="6"/>
  <c r="C556" i="6"/>
  <c r="C557" i="6"/>
  <c r="C558" i="6"/>
  <c r="C559" i="6"/>
  <c r="C560" i="6"/>
  <c r="C561" i="6"/>
  <c r="C562" i="6"/>
  <c r="C563" i="6"/>
  <c r="C564" i="6"/>
  <c r="C565" i="6"/>
  <c r="C566" i="6"/>
  <c r="C567" i="6"/>
  <c r="C568" i="6"/>
  <c r="C569" i="6"/>
  <c r="C570" i="6"/>
  <c r="C571" i="6"/>
  <c r="C572" i="6"/>
  <c r="C573" i="6"/>
  <c r="C574" i="6"/>
  <c r="C575" i="6"/>
  <c r="C576" i="6"/>
  <c r="C577" i="6"/>
  <c r="C578" i="6"/>
  <c r="C579" i="6"/>
  <c r="C580" i="6"/>
  <c r="C581" i="6"/>
  <c r="C582" i="6"/>
  <c r="C583" i="6"/>
  <c r="C584" i="6"/>
  <c r="C585" i="6"/>
  <c r="C586" i="6"/>
  <c r="C587" i="6"/>
  <c r="C588" i="6"/>
  <c r="C589" i="6"/>
  <c r="C590" i="6"/>
  <c r="C591" i="6"/>
  <c r="C592" i="6"/>
  <c r="C593" i="6"/>
  <c r="C594" i="6"/>
  <c r="C595" i="6"/>
  <c r="C596" i="6"/>
  <c r="C597" i="6"/>
  <c r="C598" i="6"/>
  <c r="C599" i="6"/>
  <c r="C600" i="6"/>
  <c r="C601" i="6"/>
  <c r="C602" i="6"/>
  <c r="C603" i="6"/>
  <c r="C604" i="6"/>
  <c r="C605" i="6"/>
  <c r="C606" i="6"/>
  <c r="C607" i="6"/>
  <c r="C608" i="6"/>
  <c r="C609" i="6"/>
  <c r="C610" i="6"/>
  <c r="C611" i="6"/>
  <c r="C612" i="6"/>
  <c r="C613" i="6"/>
  <c r="C614" i="6"/>
  <c r="C615" i="6"/>
  <c r="C616" i="6"/>
  <c r="C617" i="6"/>
  <c r="C618" i="6"/>
  <c r="C619" i="6"/>
  <c r="C620" i="6"/>
  <c r="C621" i="6"/>
  <c r="C622" i="6"/>
  <c r="C623" i="6"/>
  <c r="C624" i="6"/>
  <c r="C625" i="6"/>
  <c r="C626" i="6"/>
  <c r="C627" i="6"/>
  <c r="C628" i="6"/>
  <c r="C629" i="6"/>
  <c r="C630" i="6"/>
  <c r="C631" i="6"/>
  <c r="C632" i="6"/>
  <c r="C633" i="6"/>
  <c r="C634" i="6"/>
  <c r="C635" i="6"/>
  <c r="C636" i="6"/>
  <c r="C637" i="6"/>
  <c r="C638" i="6"/>
  <c r="C639" i="6"/>
  <c r="C640" i="6"/>
  <c r="C641" i="6"/>
  <c r="C642" i="6"/>
  <c r="C643" i="6"/>
  <c r="C644" i="6"/>
  <c r="C645" i="6"/>
  <c r="C646" i="6"/>
  <c r="C647" i="6"/>
  <c r="C648" i="6"/>
  <c r="C649" i="6"/>
  <c r="C650" i="6"/>
  <c r="C651" i="6"/>
  <c r="C652" i="6"/>
  <c r="C653" i="6"/>
  <c r="C654" i="6"/>
  <c r="C655" i="6"/>
  <c r="C656" i="6"/>
  <c r="C657" i="6"/>
  <c r="C658" i="6"/>
  <c r="C659" i="6"/>
  <c r="C660" i="6"/>
  <c r="C661" i="6"/>
  <c r="C662" i="6"/>
  <c r="C663" i="6"/>
  <c r="C664" i="6"/>
  <c r="C665" i="6"/>
  <c r="C666" i="6"/>
  <c r="C667" i="6"/>
  <c r="C668" i="6"/>
  <c r="C669" i="6"/>
  <c r="C670" i="6"/>
  <c r="C671" i="6"/>
  <c r="C672" i="6"/>
  <c r="C673" i="6"/>
  <c r="C674" i="6"/>
  <c r="C675" i="6"/>
  <c r="C676" i="6"/>
  <c r="C677" i="6"/>
  <c r="C678" i="6"/>
  <c r="C679" i="6"/>
  <c r="C680" i="6"/>
  <c r="C681" i="6"/>
  <c r="C682" i="6"/>
  <c r="C683" i="6"/>
  <c r="C684" i="6"/>
  <c r="C685" i="6"/>
  <c r="C686" i="6"/>
  <c r="C687" i="6"/>
  <c r="C688" i="6"/>
  <c r="C689" i="6"/>
  <c r="C690" i="6"/>
  <c r="C691" i="6"/>
  <c r="C692" i="6"/>
  <c r="C693" i="6"/>
  <c r="C694" i="6"/>
  <c r="C695" i="6"/>
  <c r="C696" i="6"/>
  <c r="C697" i="6"/>
  <c r="C698" i="6"/>
  <c r="C699" i="6"/>
  <c r="C700" i="6"/>
  <c r="C701" i="6"/>
  <c r="C702" i="6"/>
  <c r="C703" i="6"/>
  <c r="C704" i="6"/>
  <c r="C705" i="6"/>
  <c r="C706" i="6"/>
  <c r="C707" i="6"/>
  <c r="C708" i="6"/>
  <c r="C709" i="6"/>
  <c r="C710" i="6"/>
  <c r="C711" i="6"/>
  <c r="C712" i="6"/>
  <c r="C713" i="6"/>
  <c r="C714" i="6"/>
  <c r="C715" i="6"/>
  <c r="C716" i="6"/>
  <c r="C717" i="6"/>
  <c r="C718" i="6"/>
  <c r="C719" i="6"/>
  <c r="C720" i="6"/>
  <c r="C721" i="6"/>
  <c r="C722" i="6"/>
  <c r="C723" i="6"/>
  <c r="C724" i="6"/>
  <c r="C725" i="6"/>
  <c r="C726" i="6"/>
  <c r="C727" i="6"/>
  <c r="C728" i="6"/>
  <c r="C729" i="6"/>
  <c r="C730" i="6"/>
  <c r="C731" i="6"/>
  <c r="C732" i="6"/>
  <c r="C733" i="6"/>
  <c r="C734" i="6"/>
  <c r="C735" i="6"/>
  <c r="C736" i="6"/>
  <c r="C737" i="6"/>
  <c r="C738" i="6"/>
  <c r="C739" i="6"/>
  <c r="C740" i="6"/>
  <c r="C741" i="6"/>
  <c r="C742" i="6"/>
  <c r="C743" i="6"/>
  <c r="C744" i="6"/>
  <c r="C745" i="6"/>
  <c r="C746" i="6"/>
  <c r="C747" i="6"/>
  <c r="C748" i="6"/>
  <c r="C749" i="6"/>
  <c r="C750" i="6"/>
  <c r="C751" i="6"/>
  <c r="C752" i="6"/>
  <c r="C753" i="6"/>
  <c r="C754" i="6"/>
  <c r="C755" i="6"/>
  <c r="C756" i="6"/>
  <c r="C757" i="6"/>
  <c r="C758" i="6"/>
  <c r="C759" i="6"/>
  <c r="C760" i="6"/>
  <c r="C761" i="6"/>
  <c r="C762" i="6"/>
  <c r="C763" i="6"/>
  <c r="C764" i="6"/>
  <c r="C765" i="6"/>
  <c r="C766" i="6"/>
  <c r="C767" i="6"/>
  <c r="C768" i="6"/>
  <c r="C769" i="6"/>
  <c r="C770" i="6"/>
  <c r="C771" i="6"/>
  <c r="C772" i="6"/>
  <c r="C773" i="6"/>
  <c r="C774" i="6"/>
  <c r="C775" i="6"/>
  <c r="C776" i="6"/>
  <c r="C777" i="6"/>
  <c r="C778" i="6"/>
  <c r="C779" i="6"/>
  <c r="C780" i="6"/>
  <c r="C781" i="6"/>
  <c r="C782" i="6"/>
  <c r="C783" i="6"/>
  <c r="C784" i="6"/>
  <c r="C785" i="6"/>
  <c r="C786" i="6"/>
  <c r="C787" i="6"/>
  <c r="C788" i="6"/>
  <c r="C789" i="6"/>
  <c r="C790" i="6"/>
  <c r="C791" i="6"/>
  <c r="C792" i="6"/>
  <c r="C793" i="6"/>
  <c r="C794" i="6"/>
  <c r="C795" i="6"/>
  <c r="C796" i="6"/>
  <c r="C797" i="6"/>
  <c r="C798" i="6"/>
  <c r="C799" i="6"/>
  <c r="C800" i="6"/>
  <c r="C801" i="6"/>
  <c r="C802" i="6"/>
  <c r="C803" i="6"/>
  <c r="C804" i="6"/>
  <c r="C805" i="6"/>
  <c r="C806" i="6"/>
  <c r="C807" i="6"/>
  <c r="C808" i="6"/>
  <c r="C809" i="6"/>
  <c r="C810" i="6"/>
  <c r="C811" i="6"/>
  <c r="C812" i="6"/>
  <c r="C813" i="6"/>
  <c r="C814" i="6"/>
  <c r="C815" i="6"/>
  <c r="C816" i="6"/>
  <c r="C817" i="6"/>
  <c r="C818" i="6"/>
  <c r="C819" i="6"/>
  <c r="C820" i="6"/>
  <c r="C821" i="6"/>
  <c r="C822" i="6"/>
  <c r="C823" i="6"/>
  <c r="C824" i="6"/>
  <c r="C825" i="6"/>
  <c r="C826" i="6"/>
  <c r="C827" i="6"/>
  <c r="C828" i="6"/>
  <c r="C829" i="6"/>
  <c r="C830" i="6"/>
  <c r="C831" i="6"/>
  <c r="C832" i="6"/>
  <c r="C833" i="6"/>
  <c r="C834" i="6"/>
  <c r="C835" i="6"/>
  <c r="C836" i="6"/>
  <c r="C837" i="6"/>
  <c r="C838" i="6"/>
  <c r="C839" i="6"/>
  <c r="C840" i="6"/>
  <c r="C841" i="6"/>
  <c r="C842" i="6"/>
  <c r="C843" i="6"/>
  <c r="C844" i="6"/>
  <c r="C845" i="6"/>
  <c r="C846" i="6"/>
  <c r="C847" i="6"/>
  <c r="C848" i="6"/>
  <c r="C849" i="6"/>
  <c r="C850" i="6"/>
  <c r="C851" i="6"/>
  <c r="C852" i="6"/>
  <c r="C853" i="6"/>
  <c r="C854" i="6"/>
  <c r="C855" i="6"/>
  <c r="C856" i="6"/>
  <c r="C857" i="6"/>
  <c r="C858" i="6"/>
  <c r="C859" i="6"/>
  <c r="C860" i="6"/>
  <c r="C861" i="6"/>
  <c r="C862" i="6"/>
  <c r="C863" i="6"/>
  <c r="C864" i="6"/>
  <c r="C865" i="6"/>
  <c r="C866" i="6"/>
  <c r="C867" i="6"/>
  <c r="C868" i="6"/>
  <c r="C869" i="6"/>
  <c r="C870" i="6"/>
  <c r="C871" i="6"/>
  <c r="C872" i="6"/>
  <c r="C873" i="6"/>
  <c r="C874" i="6"/>
  <c r="C875" i="6"/>
  <c r="C876" i="6"/>
  <c r="C877" i="6"/>
  <c r="C878" i="6"/>
  <c r="C879" i="6"/>
  <c r="C880" i="6"/>
  <c r="C881" i="6"/>
  <c r="C882" i="6"/>
  <c r="C883" i="6"/>
  <c r="C884" i="6"/>
  <c r="C885" i="6"/>
  <c r="C886" i="6"/>
  <c r="C887" i="6"/>
  <c r="C888" i="6"/>
  <c r="C889" i="6"/>
  <c r="C890" i="6"/>
  <c r="C891" i="6"/>
  <c r="C892" i="6"/>
  <c r="C893" i="6"/>
  <c r="C894" i="6"/>
  <c r="C895" i="6"/>
  <c r="C896" i="6"/>
  <c r="C897" i="6"/>
  <c r="C898" i="6"/>
  <c r="C899" i="6"/>
  <c r="C900" i="6"/>
  <c r="C901" i="6"/>
  <c r="C902" i="6"/>
  <c r="C903" i="6"/>
  <c r="C904" i="6"/>
  <c r="C905" i="6"/>
  <c r="C906" i="6"/>
  <c r="C907" i="6"/>
  <c r="C908" i="6"/>
  <c r="C909" i="6"/>
  <c r="C910" i="6"/>
  <c r="C911" i="6"/>
  <c r="C912" i="6"/>
  <c r="C913" i="6"/>
  <c r="C914" i="6"/>
  <c r="C915" i="6"/>
  <c r="C916" i="6"/>
  <c r="C917" i="6"/>
  <c r="C918" i="6"/>
  <c r="C919" i="6"/>
  <c r="C920" i="6"/>
  <c r="C921" i="6"/>
  <c r="C922" i="6"/>
  <c r="C923" i="6"/>
  <c r="C924" i="6"/>
  <c r="C925" i="6"/>
  <c r="C926" i="6"/>
  <c r="C927" i="6"/>
  <c r="C928" i="6"/>
  <c r="C929" i="6"/>
  <c r="C930" i="6"/>
  <c r="C931" i="6"/>
  <c r="C932" i="6"/>
  <c r="C933" i="6"/>
  <c r="C934" i="6"/>
  <c r="C935" i="6"/>
  <c r="C936" i="6"/>
  <c r="C937" i="6"/>
  <c r="C938" i="6"/>
  <c r="C939" i="6"/>
  <c r="C940" i="6"/>
  <c r="C941" i="6"/>
  <c r="C942" i="6"/>
  <c r="C943" i="6"/>
  <c r="C944" i="6"/>
  <c r="C945" i="6"/>
  <c r="C946" i="6"/>
  <c r="C947" i="6"/>
  <c r="C948" i="6"/>
  <c r="C949" i="6"/>
  <c r="C950" i="6"/>
  <c r="C951" i="6"/>
  <c r="C952" i="6"/>
  <c r="C953" i="6"/>
  <c r="C954" i="6"/>
  <c r="C955" i="6"/>
  <c r="C956" i="6"/>
  <c r="C957" i="6"/>
  <c r="C958" i="6"/>
  <c r="C959" i="6"/>
  <c r="C960" i="6"/>
  <c r="C961" i="6"/>
  <c r="C962" i="6"/>
  <c r="C963" i="6"/>
  <c r="C964" i="6"/>
  <c r="C965" i="6"/>
  <c r="C966" i="6"/>
  <c r="C967" i="6"/>
  <c r="C968" i="6"/>
  <c r="C969" i="6"/>
  <c r="C970" i="6"/>
  <c r="C971" i="6"/>
  <c r="C972" i="6"/>
  <c r="C973" i="6"/>
  <c r="C974" i="6"/>
  <c r="C975" i="6"/>
  <c r="C976" i="6"/>
  <c r="C977" i="6"/>
  <c r="C978" i="6"/>
  <c r="C979" i="6"/>
  <c r="C980" i="6"/>
  <c r="C981" i="6"/>
  <c r="C982" i="6"/>
  <c r="C983" i="6"/>
  <c r="C984" i="6"/>
  <c r="C985" i="6"/>
  <c r="C986" i="6"/>
  <c r="C987" i="6"/>
  <c r="C988" i="6"/>
  <c r="C989" i="6"/>
  <c r="C990" i="6"/>
  <c r="C991" i="6"/>
  <c r="C992" i="6"/>
  <c r="C993" i="6"/>
  <c r="C994" i="6"/>
  <c r="C995" i="6"/>
  <c r="C996" i="6"/>
  <c r="C997" i="6"/>
  <c r="C998" i="6"/>
  <c r="C999" i="6"/>
  <c r="C1000" i="6"/>
  <c r="C1001" i="6"/>
  <c r="C1002" i="6"/>
  <c r="C1003" i="6"/>
  <c r="C1004" i="6"/>
  <c r="C1005" i="6"/>
  <c r="C1006" i="6"/>
  <c r="C1007" i="6"/>
  <c r="C1008" i="6"/>
  <c r="C1009" i="6"/>
  <c r="C1010" i="6"/>
  <c r="C1011" i="6"/>
  <c r="C1012" i="6"/>
  <c r="C1013" i="6"/>
  <c r="C14" i="6"/>
  <c r="E2" i="1" a="1"/>
  <c r="E2" i="1" s="1"/>
  <c r="D21" i="7"/>
  <c r="D22" i="7"/>
  <c r="D23" i="7"/>
  <c r="D24" i="7"/>
  <c r="D25" i="7"/>
  <c r="D26" i="7"/>
  <c r="D27" i="7"/>
  <c r="D28" i="7"/>
  <c r="D29" i="7"/>
  <c r="D30" i="7"/>
  <c r="D31" i="7"/>
  <c r="D32" i="7"/>
  <c r="D33" i="7"/>
  <c r="D34" i="7"/>
  <c r="D35" i="7"/>
  <c r="D36" i="7"/>
  <c r="D37" i="7"/>
  <c r="D38" i="7"/>
  <c r="D39" i="7"/>
  <c r="D40" i="7"/>
  <c r="D41" i="7"/>
  <c r="D42" i="7"/>
  <c r="D43" i="7"/>
  <c r="D44" i="7"/>
  <c r="D45" i="7"/>
  <c r="D46" i="7"/>
  <c r="D47" i="7"/>
  <c r="D48" i="7"/>
  <c r="D49" i="7"/>
  <c r="D50" i="7"/>
  <c r="D51" i="7"/>
  <c r="D52" i="7"/>
  <c r="D53" i="7"/>
  <c r="D54" i="7"/>
  <c r="D55" i="7"/>
  <c r="D56" i="7"/>
  <c r="D57" i="7"/>
  <c r="D58" i="7"/>
  <c r="D59" i="7"/>
  <c r="D60" i="7"/>
  <c r="D61" i="7"/>
  <c r="D62" i="7"/>
  <c r="D63" i="7"/>
  <c r="D64" i="7"/>
  <c r="D65" i="7"/>
  <c r="D66" i="7"/>
  <c r="D67" i="7"/>
  <c r="D68" i="7"/>
  <c r="D69" i="7"/>
  <c r="D70" i="7"/>
  <c r="D71" i="7"/>
  <c r="D72" i="7"/>
  <c r="D73" i="7"/>
  <c r="D74" i="7"/>
  <c r="D75" i="7"/>
  <c r="D76" i="7"/>
  <c r="D77" i="7"/>
  <c r="D78" i="7"/>
  <c r="D79" i="7"/>
  <c r="D80" i="7"/>
  <c r="D81" i="7"/>
  <c r="D82" i="7"/>
  <c r="D83" i="7"/>
  <c r="D84" i="7"/>
  <c r="D85" i="7"/>
  <c r="D86" i="7"/>
  <c r="D87" i="7"/>
  <c r="D88" i="7"/>
  <c r="D89" i="7"/>
  <c r="D90" i="7"/>
  <c r="D91" i="7"/>
  <c r="D92" i="7"/>
  <c r="D93" i="7"/>
  <c r="D94" i="7"/>
  <c r="D95" i="7"/>
  <c r="D96" i="7"/>
  <c r="D97" i="7"/>
  <c r="D98" i="7"/>
  <c r="D99" i="7"/>
  <c r="D100" i="7"/>
  <c r="D101" i="7"/>
  <c r="D102" i="7"/>
  <c r="D103" i="7"/>
  <c r="D104" i="7"/>
  <c r="D105" i="7"/>
  <c r="D106" i="7"/>
  <c r="D107" i="7"/>
  <c r="D108" i="7"/>
  <c r="D109" i="7"/>
  <c r="D110" i="7"/>
  <c r="D111" i="7"/>
  <c r="D112" i="7"/>
  <c r="D113" i="7"/>
  <c r="D114" i="7"/>
  <c r="D115" i="7"/>
  <c r="D116" i="7"/>
  <c r="D117" i="7"/>
  <c r="D118" i="7"/>
  <c r="D119" i="7"/>
  <c r="D120" i="7"/>
  <c r="D121" i="7"/>
  <c r="D122" i="7"/>
  <c r="D123" i="7"/>
  <c r="D124" i="7"/>
  <c r="D125" i="7"/>
  <c r="D126" i="7"/>
  <c r="D127" i="7"/>
  <c r="D128" i="7"/>
  <c r="D129" i="7"/>
  <c r="D130" i="7"/>
  <c r="D131" i="7"/>
  <c r="D132" i="7"/>
  <c r="D133" i="7"/>
  <c r="D134" i="7"/>
  <c r="D135" i="7"/>
  <c r="D136" i="7"/>
  <c r="D137" i="7"/>
  <c r="D138" i="7"/>
  <c r="D139" i="7"/>
  <c r="D140" i="7"/>
  <c r="D141" i="7"/>
  <c r="D142" i="7"/>
  <c r="D143" i="7"/>
  <c r="D144" i="7"/>
  <c r="D145" i="7"/>
  <c r="D146" i="7"/>
  <c r="D147" i="7"/>
  <c r="D148" i="7"/>
  <c r="D149" i="7"/>
  <c r="D150" i="7"/>
  <c r="D151" i="7"/>
  <c r="D152" i="7"/>
  <c r="D153" i="7"/>
  <c r="D154" i="7"/>
  <c r="D155" i="7"/>
  <c r="D156" i="7"/>
  <c r="D157" i="7"/>
  <c r="D158" i="7"/>
  <c r="D159" i="7"/>
  <c r="D160" i="7"/>
  <c r="D161" i="7"/>
  <c r="D162" i="7"/>
  <c r="D163" i="7"/>
  <c r="D164" i="7"/>
  <c r="D165" i="7"/>
  <c r="D166" i="7"/>
  <c r="D167" i="7"/>
  <c r="D168" i="7"/>
  <c r="D169" i="7"/>
  <c r="D170" i="7"/>
  <c r="D171" i="7"/>
  <c r="D172" i="7"/>
  <c r="D173" i="7"/>
  <c r="D174" i="7"/>
  <c r="D175" i="7"/>
  <c r="D176" i="7"/>
  <c r="D177" i="7"/>
  <c r="D178" i="7"/>
  <c r="D179" i="7"/>
  <c r="D180" i="7"/>
  <c r="D181" i="7"/>
  <c r="D182" i="7"/>
  <c r="D183" i="7"/>
  <c r="D184" i="7"/>
  <c r="D185" i="7"/>
  <c r="D186" i="7"/>
  <c r="D187" i="7"/>
  <c r="D188" i="7"/>
  <c r="D189" i="7"/>
  <c r="D190" i="7"/>
  <c r="D191" i="7"/>
  <c r="D192" i="7"/>
  <c r="D193" i="7"/>
  <c r="D194" i="7"/>
  <c r="D195" i="7"/>
  <c r="D196" i="7"/>
  <c r="D197" i="7"/>
  <c r="D198" i="7"/>
  <c r="D199" i="7"/>
  <c r="D200" i="7"/>
  <c r="D201" i="7"/>
  <c r="D202" i="7"/>
  <c r="D203" i="7"/>
  <c r="D204" i="7"/>
  <c r="D205" i="7"/>
  <c r="D206" i="7"/>
  <c r="D207" i="7"/>
  <c r="D208" i="7"/>
  <c r="D209" i="7"/>
  <c r="D210" i="7"/>
  <c r="D211" i="7"/>
  <c r="D212" i="7"/>
  <c r="D213" i="7"/>
  <c r="D214" i="7"/>
  <c r="D215" i="7"/>
  <c r="D216" i="7"/>
  <c r="D217" i="7"/>
  <c r="D218" i="7"/>
  <c r="D219" i="7"/>
  <c r="D220" i="7"/>
  <c r="D221" i="7"/>
  <c r="D222" i="7"/>
  <c r="D223" i="7"/>
  <c r="D224" i="7"/>
  <c r="D225" i="7"/>
  <c r="D226" i="7"/>
  <c r="D227" i="7"/>
  <c r="D228" i="7"/>
  <c r="D229" i="7"/>
  <c r="D230" i="7"/>
  <c r="D231" i="7"/>
  <c r="D232" i="7"/>
  <c r="D233" i="7"/>
  <c r="D234" i="7"/>
  <c r="D235" i="7"/>
  <c r="D236" i="7"/>
  <c r="D237" i="7"/>
  <c r="D238" i="7"/>
  <c r="D239" i="7"/>
  <c r="D240" i="7"/>
  <c r="D241" i="7"/>
  <c r="D242" i="7"/>
  <c r="D243" i="7"/>
  <c r="D244" i="7"/>
  <c r="D245" i="7"/>
  <c r="D246" i="7"/>
  <c r="D247" i="7"/>
  <c r="D248" i="7"/>
  <c r="D249" i="7"/>
  <c r="D250" i="7"/>
  <c r="D251" i="7"/>
  <c r="D252" i="7"/>
  <c r="D253" i="7"/>
  <c r="D254" i="7"/>
  <c r="D255" i="7"/>
  <c r="D256" i="7"/>
  <c r="D257" i="7"/>
  <c r="D258" i="7"/>
  <c r="D259" i="7"/>
  <c r="D260" i="7"/>
  <c r="D261" i="7"/>
  <c r="D262" i="7"/>
  <c r="D263" i="7"/>
  <c r="D264" i="7"/>
  <c r="D265" i="7"/>
  <c r="D266" i="7"/>
  <c r="D267" i="7"/>
  <c r="D268" i="7"/>
  <c r="D269" i="7"/>
  <c r="D270" i="7"/>
  <c r="D271" i="7"/>
  <c r="D272" i="7"/>
  <c r="D273" i="7"/>
  <c r="D274" i="7"/>
  <c r="D275" i="7"/>
  <c r="D276" i="7"/>
  <c r="D277" i="7"/>
  <c r="D278" i="7"/>
  <c r="D279" i="7"/>
  <c r="D280" i="7"/>
  <c r="D281" i="7"/>
  <c r="D282" i="7"/>
  <c r="D283" i="7"/>
  <c r="D284" i="7"/>
  <c r="D285" i="7"/>
  <c r="D286" i="7"/>
  <c r="D287" i="7"/>
  <c r="D288" i="7"/>
  <c r="D289" i="7"/>
  <c r="D290" i="7"/>
  <c r="D291" i="7"/>
  <c r="D292" i="7"/>
  <c r="D293" i="7"/>
  <c r="D294" i="7"/>
  <c r="D295" i="7"/>
  <c r="D296" i="7"/>
  <c r="D297" i="7"/>
  <c r="D298" i="7"/>
  <c r="D299" i="7"/>
  <c r="D300" i="7"/>
  <c r="D301" i="7"/>
  <c r="D302" i="7"/>
  <c r="D303" i="7"/>
  <c r="D304" i="7"/>
  <c r="D305" i="7"/>
  <c r="D306" i="7"/>
  <c r="D307" i="7"/>
  <c r="D308" i="7"/>
  <c r="D309" i="7"/>
  <c r="D310" i="7"/>
  <c r="D311" i="7"/>
  <c r="D312" i="7"/>
  <c r="D313" i="7"/>
  <c r="D314" i="7"/>
  <c r="D315" i="7"/>
  <c r="D316" i="7"/>
  <c r="D317" i="7"/>
  <c r="D318" i="7"/>
  <c r="D319" i="7"/>
  <c r="D320" i="7"/>
  <c r="D321" i="7"/>
  <c r="D322" i="7"/>
  <c r="D323" i="7"/>
  <c r="D324" i="7"/>
  <c r="D325" i="7"/>
  <c r="D326" i="7"/>
  <c r="D327" i="7"/>
  <c r="D328" i="7"/>
  <c r="D329" i="7"/>
  <c r="D330" i="7"/>
  <c r="D331" i="7"/>
  <c r="D332" i="7"/>
  <c r="D333" i="7"/>
  <c r="D334" i="7"/>
  <c r="D335" i="7"/>
  <c r="D336" i="7"/>
  <c r="D337" i="7"/>
  <c r="D338" i="7"/>
  <c r="D339" i="7"/>
  <c r="D340" i="7"/>
  <c r="D341" i="7"/>
  <c r="D342" i="7"/>
  <c r="D343" i="7"/>
  <c r="D344" i="7"/>
  <c r="D345" i="7"/>
  <c r="D346" i="7"/>
  <c r="D347" i="7"/>
  <c r="D348" i="7"/>
  <c r="D349" i="7"/>
  <c r="D350" i="7"/>
  <c r="D351" i="7"/>
  <c r="D352" i="7"/>
  <c r="D353" i="7"/>
  <c r="D354" i="7"/>
  <c r="D355" i="7"/>
  <c r="D356" i="7"/>
  <c r="D357" i="7"/>
  <c r="D358" i="7"/>
  <c r="D359" i="7"/>
  <c r="D360" i="7"/>
  <c r="D361" i="7"/>
  <c r="D362" i="7"/>
  <c r="D363" i="7"/>
  <c r="D364" i="7"/>
  <c r="D365" i="7"/>
  <c r="D366" i="7"/>
  <c r="D367" i="7"/>
  <c r="D368" i="7"/>
  <c r="D369" i="7"/>
  <c r="D370" i="7"/>
  <c r="D371" i="7"/>
  <c r="D372" i="7"/>
  <c r="D373" i="7"/>
  <c r="D374" i="7"/>
  <c r="D375" i="7"/>
  <c r="D376" i="7"/>
  <c r="D377" i="7"/>
  <c r="D378" i="7"/>
  <c r="D379" i="7"/>
  <c r="D380" i="7"/>
  <c r="D381" i="7"/>
  <c r="D382" i="7"/>
  <c r="D383" i="7"/>
  <c r="D384" i="7"/>
  <c r="D385" i="7"/>
  <c r="D386" i="7"/>
  <c r="D387" i="7"/>
  <c r="D388" i="7"/>
  <c r="D389" i="7"/>
  <c r="D390" i="7"/>
  <c r="D391" i="7"/>
  <c r="D392" i="7"/>
  <c r="D393" i="7"/>
  <c r="D394" i="7"/>
  <c r="D395" i="7"/>
  <c r="D396" i="7"/>
  <c r="D397" i="7"/>
  <c r="D398" i="7"/>
  <c r="D399" i="7"/>
  <c r="D400" i="7"/>
  <c r="D401" i="7"/>
  <c r="D402" i="7"/>
  <c r="D403" i="7"/>
  <c r="D404" i="7"/>
  <c r="D405" i="7"/>
  <c r="D406" i="7"/>
  <c r="D407" i="7"/>
  <c r="D408" i="7"/>
  <c r="D409" i="7"/>
  <c r="D410" i="7"/>
  <c r="D411" i="7"/>
  <c r="D412" i="7"/>
  <c r="D413" i="7"/>
  <c r="D414" i="7"/>
  <c r="D415" i="7"/>
  <c r="D416" i="7"/>
  <c r="D417" i="7"/>
  <c r="D418" i="7"/>
  <c r="D419" i="7"/>
  <c r="D420" i="7"/>
  <c r="D421" i="7"/>
  <c r="D422" i="7"/>
  <c r="D423" i="7"/>
  <c r="D424" i="7"/>
  <c r="D425" i="7"/>
  <c r="D426" i="7"/>
  <c r="D427" i="7"/>
  <c r="D428" i="7"/>
  <c r="D429" i="7"/>
  <c r="D430" i="7"/>
  <c r="D431" i="7"/>
  <c r="D432" i="7"/>
  <c r="D433" i="7"/>
  <c r="D434" i="7"/>
  <c r="D435" i="7"/>
  <c r="D436" i="7"/>
  <c r="D437" i="7"/>
  <c r="D438" i="7"/>
  <c r="D439" i="7"/>
  <c r="D440" i="7"/>
  <c r="D441" i="7"/>
  <c r="D442" i="7"/>
  <c r="D443" i="7"/>
  <c r="D444" i="7"/>
  <c r="D445" i="7"/>
  <c r="D446" i="7"/>
  <c r="D447" i="7"/>
  <c r="D448" i="7"/>
  <c r="D449" i="7"/>
  <c r="D450" i="7"/>
  <c r="D451" i="7"/>
  <c r="D452" i="7"/>
  <c r="D453" i="7"/>
  <c r="D454" i="7"/>
  <c r="D455" i="7"/>
  <c r="D456" i="7"/>
  <c r="D457" i="7"/>
  <c r="D458" i="7"/>
  <c r="D459" i="7"/>
  <c r="D460" i="7"/>
  <c r="D461" i="7"/>
  <c r="D462" i="7"/>
  <c r="D463" i="7"/>
  <c r="D464" i="7"/>
  <c r="D465" i="7"/>
  <c r="D466" i="7"/>
  <c r="D467" i="7"/>
  <c r="D468" i="7"/>
  <c r="D469" i="7"/>
  <c r="D470" i="7"/>
  <c r="D471" i="7"/>
  <c r="D472" i="7"/>
  <c r="D473" i="7"/>
  <c r="D474" i="7"/>
  <c r="D475" i="7"/>
  <c r="D476" i="7"/>
  <c r="D477" i="7"/>
  <c r="D478" i="7"/>
  <c r="D479" i="7"/>
  <c r="D480" i="7"/>
  <c r="D481" i="7"/>
  <c r="D482" i="7"/>
  <c r="D483" i="7"/>
  <c r="D484" i="7"/>
  <c r="D485" i="7"/>
  <c r="D486" i="7"/>
  <c r="D487" i="7"/>
  <c r="D488" i="7"/>
  <c r="D489" i="7"/>
  <c r="D490" i="7"/>
  <c r="D491" i="7"/>
  <c r="D492" i="7"/>
  <c r="D493" i="7"/>
  <c r="D494" i="7"/>
  <c r="D495" i="7"/>
  <c r="D496" i="7"/>
  <c r="D497" i="7"/>
  <c r="D498" i="7"/>
  <c r="D499" i="7"/>
  <c r="D500" i="7"/>
  <c r="D501" i="7"/>
  <c r="D502" i="7"/>
  <c r="D503" i="7"/>
  <c r="D504" i="7"/>
  <c r="D505" i="7"/>
  <c r="D506" i="7"/>
  <c r="D507" i="7"/>
  <c r="D508" i="7"/>
  <c r="D509" i="7"/>
  <c r="D510" i="7"/>
  <c r="D511" i="7"/>
  <c r="D512" i="7"/>
  <c r="D513" i="7"/>
  <c r="D514" i="7"/>
  <c r="D515" i="7"/>
  <c r="D516" i="7"/>
  <c r="D517" i="7"/>
  <c r="D518" i="7"/>
  <c r="D519" i="7"/>
  <c r="D520" i="7"/>
  <c r="D521" i="7"/>
  <c r="D522" i="7"/>
  <c r="D523" i="7"/>
  <c r="D524" i="7"/>
  <c r="D525" i="7"/>
  <c r="D526" i="7"/>
  <c r="D527" i="7"/>
  <c r="D528" i="7"/>
  <c r="D529" i="7"/>
  <c r="D530" i="7"/>
  <c r="D531" i="7"/>
  <c r="D532" i="7"/>
  <c r="D533" i="7"/>
  <c r="D534" i="7"/>
  <c r="D535" i="7"/>
  <c r="D536" i="7"/>
  <c r="D537" i="7"/>
  <c r="D538" i="7"/>
  <c r="D539" i="7"/>
  <c r="D540" i="7"/>
  <c r="D541" i="7"/>
  <c r="D542" i="7"/>
  <c r="D543" i="7"/>
  <c r="D544" i="7"/>
  <c r="D545" i="7"/>
  <c r="D546" i="7"/>
  <c r="D547" i="7"/>
  <c r="D548" i="7"/>
  <c r="D549" i="7"/>
  <c r="D550" i="7"/>
  <c r="D551" i="7"/>
  <c r="D552" i="7"/>
  <c r="D553" i="7"/>
  <c r="D554" i="7"/>
  <c r="D555" i="7"/>
  <c r="D556" i="7"/>
  <c r="D557" i="7"/>
  <c r="D558" i="7"/>
  <c r="D559" i="7"/>
  <c r="D560" i="7"/>
  <c r="D561" i="7"/>
  <c r="D562" i="7"/>
  <c r="D563" i="7"/>
  <c r="D564" i="7"/>
  <c r="D565" i="7"/>
  <c r="D566" i="7"/>
  <c r="D567" i="7"/>
  <c r="D568" i="7"/>
  <c r="D569" i="7"/>
  <c r="D570" i="7"/>
  <c r="D571" i="7"/>
  <c r="D572" i="7"/>
  <c r="D573" i="7"/>
  <c r="D574" i="7"/>
  <c r="D575" i="7"/>
  <c r="D576" i="7"/>
  <c r="D577" i="7"/>
  <c r="D578" i="7"/>
  <c r="D579" i="7"/>
  <c r="D580" i="7"/>
  <c r="D581" i="7"/>
  <c r="D582" i="7"/>
  <c r="D583" i="7"/>
  <c r="D584" i="7"/>
  <c r="D585" i="7"/>
  <c r="D586" i="7"/>
  <c r="D587" i="7"/>
  <c r="D588" i="7"/>
  <c r="D589" i="7"/>
  <c r="D590" i="7"/>
  <c r="D591" i="7"/>
  <c r="D592" i="7"/>
  <c r="D593" i="7"/>
  <c r="D594" i="7"/>
  <c r="D595" i="7"/>
  <c r="D596" i="7"/>
  <c r="D597" i="7"/>
  <c r="D598" i="7"/>
  <c r="D599" i="7"/>
  <c r="D600" i="7"/>
  <c r="D601" i="7"/>
  <c r="D602" i="7"/>
  <c r="D603" i="7"/>
  <c r="D604" i="7"/>
  <c r="D605" i="7"/>
  <c r="D606" i="7"/>
  <c r="D607" i="7"/>
  <c r="D608" i="7"/>
  <c r="D609" i="7"/>
  <c r="D610" i="7"/>
  <c r="D611" i="7"/>
  <c r="D612" i="7"/>
  <c r="D613" i="7"/>
  <c r="D614" i="7"/>
  <c r="D615" i="7"/>
  <c r="D616" i="7"/>
  <c r="D617" i="7"/>
  <c r="D618" i="7"/>
  <c r="D619" i="7"/>
  <c r="D620" i="7"/>
  <c r="D621" i="7"/>
  <c r="D622" i="7"/>
  <c r="D623" i="7"/>
  <c r="D624" i="7"/>
  <c r="D625" i="7"/>
  <c r="D626" i="7"/>
  <c r="D627" i="7"/>
  <c r="D628" i="7"/>
  <c r="D629" i="7"/>
  <c r="D630" i="7"/>
  <c r="D631" i="7"/>
  <c r="D632" i="7"/>
  <c r="D633" i="7"/>
  <c r="D634" i="7"/>
  <c r="D635" i="7"/>
  <c r="D636" i="7"/>
  <c r="D637" i="7"/>
  <c r="D638" i="7"/>
  <c r="D639" i="7"/>
  <c r="D640" i="7"/>
  <c r="D641" i="7"/>
  <c r="D642" i="7"/>
  <c r="D643" i="7"/>
  <c r="D644" i="7"/>
  <c r="D645" i="7"/>
  <c r="D646" i="7"/>
  <c r="D647" i="7"/>
  <c r="D648" i="7"/>
  <c r="D649" i="7"/>
  <c r="D650" i="7"/>
  <c r="D651" i="7"/>
  <c r="D652" i="7"/>
  <c r="D653" i="7"/>
  <c r="D654" i="7"/>
  <c r="D655" i="7"/>
  <c r="D656" i="7"/>
  <c r="D657" i="7"/>
  <c r="D658" i="7"/>
  <c r="D659" i="7"/>
  <c r="D660" i="7"/>
  <c r="D661" i="7"/>
  <c r="D662" i="7"/>
  <c r="D663" i="7"/>
  <c r="D664" i="7"/>
  <c r="D665" i="7"/>
  <c r="D666" i="7"/>
  <c r="D667" i="7"/>
  <c r="D668" i="7"/>
  <c r="D669" i="7"/>
  <c r="D670" i="7"/>
  <c r="D671" i="7"/>
  <c r="D672" i="7"/>
  <c r="D673" i="7"/>
  <c r="D674" i="7"/>
  <c r="D675" i="7"/>
  <c r="D676" i="7"/>
  <c r="D677" i="7"/>
  <c r="D678" i="7"/>
  <c r="D679" i="7"/>
  <c r="D680" i="7"/>
  <c r="D681" i="7"/>
  <c r="D682" i="7"/>
  <c r="D683" i="7"/>
  <c r="D684" i="7"/>
  <c r="D685" i="7"/>
  <c r="D686" i="7"/>
  <c r="D687" i="7"/>
  <c r="D688" i="7"/>
  <c r="D689" i="7"/>
  <c r="D690" i="7"/>
  <c r="D691" i="7"/>
  <c r="D692" i="7"/>
  <c r="D693" i="7"/>
  <c r="D694" i="7"/>
  <c r="D695" i="7"/>
  <c r="D696" i="7"/>
  <c r="D697" i="7"/>
  <c r="D698" i="7"/>
  <c r="D699" i="7"/>
  <c r="D700" i="7"/>
  <c r="D701" i="7"/>
  <c r="D702" i="7"/>
  <c r="D703" i="7"/>
  <c r="D704" i="7"/>
  <c r="D705" i="7"/>
  <c r="D706" i="7"/>
  <c r="D707" i="7"/>
  <c r="D708" i="7"/>
  <c r="D709" i="7"/>
  <c r="D710" i="7"/>
  <c r="D711" i="7"/>
  <c r="D712" i="7"/>
  <c r="D713" i="7"/>
  <c r="D714" i="7"/>
  <c r="D715" i="7"/>
  <c r="D716" i="7"/>
  <c r="D717" i="7"/>
  <c r="D718" i="7"/>
  <c r="D719" i="7"/>
  <c r="D720" i="7"/>
  <c r="D721" i="7"/>
  <c r="D722" i="7"/>
  <c r="D723" i="7"/>
  <c r="D724" i="7"/>
  <c r="D725" i="7"/>
  <c r="D726" i="7"/>
  <c r="D727" i="7"/>
  <c r="D728" i="7"/>
  <c r="D729" i="7"/>
  <c r="D730" i="7"/>
  <c r="D731" i="7"/>
  <c r="D732" i="7"/>
  <c r="D733" i="7"/>
  <c r="D734" i="7"/>
  <c r="D735" i="7"/>
  <c r="D736" i="7"/>
  <c r="D737" i="7"/>
  <c r="D738" i="7"/>
  <c r="D739" i="7"/>
  <c r="D740" i="7"/>
  <c r="D741" i="7"/>
  <c r="D742" i="7"/>
  <c r="D743" i="7"/>
  <c r="D744" i="7"/>
  <c r="D745" i="7"/>
  <c r="D746" i="7"/>
  <c r="D747" i="7"/>
  <c r="D748" i="7"/>
  <c r="D749" i="7"/>
  <c r="D750" i="7"/>
  <c r="D751" i="7"/>
  <c r="D752" i="7"/>
  <c r="D753" i="7"/>
  <c r="D754" i="7"/>
  <c r="D755" i="7"/>
  <c r="D756" i="7"/>
  <c r="D757" i="7"/>
  <c r="D758" i="7"/>
  <c r="D759" i="7"/>
  <c r="D760" i="7"/>
  <c r="D761" i="7"/>
  <c r="D762" i="7"/>
  <c r="D763" i="7"/>
  <c r="D764" i="7"/>
  <c r="D765" i="7"/>
  <c r="D766" i="7"/>
  <c r="D767" i="7"/>
  <c r="D768" i="7"/>
  <c r="D769" i="7"/>
  <c r="D770" i="7"/>
  <c r="D771" i="7"/>
  <c r="D772" i="7"/>
  <c r="D773" i="7"/>
  <c r="D774" i="7"/>
  <c r="D775" i="7"/>
  <c r="D776" i="7"/>
  <c r="D777" i="7"/>
  <c r="D778" i="7"/>
  <c r="D779" i="7"/>
  <c r="D780" i="7"/>
  <c r="D781" i="7"/>
  <c r="D782" i="7"/>
  <c r="D783" i="7"/>
  <c r="D784" i="7"/>
  <c r="D785" i="7"/>
  <c r="D786" i="7"/>
  <c r="D787" i="7"/>
  <c r="D788" i="7"/>
  <c r="D789" i="7"/>
  <c r="D790" i="7"/>
  <c r="D791" i="7"/>
  <c r="D792" i="7"/>
  <c r="D793" i="7"/>
  <c r="D794" i="7"/>
  <c r="D795" i="7"/>
  <c r="D796" i="7"/>
  <c r="D797" i="7"/>
  <c r="D798" i="7"/>
  <c r="D799" i="7"/>
  <c r="D800" i="7"/>
  <c r="D801" i="7"/>
  <c r="D802" i="7"/>
  <c r="D803" i="7"/>
  <c r="D804" i="7"/>
  <c r="D805" i="7"/>
  <c r="D806" i="7"/>
  <c r="D807" i="7"/>
  <c r="D808" i="7"/>
  <c r="D809" i="7"/>
  <c r="D810" i="7"/>
  <c r="D811" i="7"/>
  <c r="D812" i="7"/>
  <c r="D813" i="7"/>
  <c r="D814" i="7"/>
  <c r="D815" i="7"/>
  <c r="D816" i="7"/>
  <c r="D817" i="7"/>
  <c r="D818" i="7"/>
  <c r="D819" i="7"/>
  <c r="D820" i="7"/>
  <c r="D821" i="7"/>
  <c r="D822" i="7"/>
  <c r="D823" i="7"/>
  <c r="D824" i="7"/>
  <c r="D825" i="7"/>
  <c r="D826" i="7"/>
  <c r="D827" i="7"/>
  <c r="D828" i="7"/>
  <c r="D829" i="7"/>
  <c r="D830" i="7"/>
  <c r="D831" i="7"/>
  <c r="D832" i="7"/>
  <c r="D833" i="7"/>
  <c r="D834" i="7"/>
  <c r="D835" i="7"/>
  <c r="D836" i="7"/>
  <c r="D837" i="7"/>
  <c r="D838" i="7"/>
  <c r="D839" i="7"/>
  <c r="D840" i="7"/>
  <c r="D841" i="7"/>
  <c r="D842" i="7"/>
  <c r="D843" i="7"/>
  <c r="D844" i="7"/>
  <c r="D845" i="7"/>
  <c r="D846" i="7"/>
  <c r="D847" i="7"/>
  <c r="D848" i="7"/>
  <c r="D849" i="7"/>
  <c r="D850" i="7"/>
  <c r="D851" i="7"/>
  <c r="D852" i="7"/>
  <c r="D853" i="7"/>
  <c r="D854" i="7"/>
  <c r="D855" i="7"/>
  <c r="D856" i="7"/>
  <c r="D857" i="7"/>
  <c r="D858" i="7"/>
  <c r="D859" i="7"/>
  <c r="D860" i="7"/>
  <c r="D861" i="7"/>
  <c r="D862" i="7"/>
  <c r="D863" i="7"/>
  <c r="D864" i="7"/>
  <c r="D865" i="7"/>
  <c r="D866" i="7"/>
  <c r="D867" i="7"/>
  <c r="D868" i="7"/>
  <c r="D869" i="7"/>
  <c r="D870" i="7"/>
  <c r="D871" i="7"/>
  <c r="D872" i="7"/>
  <c r="D873" i="7"/>
  <c r="D874" i="7"/>
  <c r="D875" i="7"/>
  <c r="D876" i="7"/>
  <c r="D877" i="7"/>
  <c r="D878" i="7"/>
  <c r="D879" i="7"/>
  <c r="D880" i="7"/>
  <c r="D881" i="7"/>
  <c r="D882" i="7"/>
  <c r="D883" i="7"/>
  <c r="D884" i="7"/>
  <c r="D885" i="7"/>
  <c r="D886" i="7"/>
  <c r="D887" i="7"/>
  <c r="D888" i="7"/>
  <c r="D889" i="7"/>
  <c r="D890" i="7"/>
  <c r="D891" i="7"/>
  <c r="D892" i="7"/>
  <c r="D893" i="7"/>
  <c r="D894" i="7"/>
  <c r="D895" i="7"/>
  <c r="D896" i="7"/>
  <c r="D897" i="7"/>
  <c r="D898" i="7"/>
  <c r="D899" i="7"/>
  <c r="D900" i="7"/>
  <c r="D901" i="7"/>
  <c r="D902" i="7"/>
  <c r="D903" i="7"/>
  <c r="D904" i="7"/>
  <c r="D905" i="7"/>
  <c r="D906" i="7"/>
  <c r="D907" i="7"/>
  <c r="D908" i="7"/>
  <c r="D909" i="7"/>
  <c r="D910" i="7"/>
  <c r="D911" i="7"/>
  <c r="D912" i="7"/>
  <c r="D913" i="7"/>
  <c r="D914" i="7"/>
  <c r="D915" i="7"/>
  <c r="D916" i="7"/>
  <c r="D917" i="7"/>
  <c r="D918" i="7"/>
  <c r="D919" i="7"/>
  <c r="D920" i="7"/>
  <c r="D921" i="7"/>
  <c r="D922" i="7"/>
  <c r="D923" i="7"/>
  <c r="D924" i="7"/>
  <c r="D925" i="7"/>
  <c r="D926" i="7"/>
  <c r="D927" i="7"/>
  <c r="D928" i="7"/>
  <c r="D929" i="7"/>
  <c r="D930" i="7"/>
  <c r="D931" i="7"/>
  <c r="D932" i="7"/>
  <c r="D933" i="7"/>
  <c r="D934" i="7"/>
  <c r="D935" i="7"/>
  <c r="D936" i="7"/>
  <c r="D937" i="7"/>
  <c r="D938" i="7"/>
  <c r="D939" i="7"/>
  <c r="D940" i="7"/>
  <c r="D941" i="7"/>
  <c r="D942" i="7"/>
  <c r="D943" i="7"/>
  <c r="D944" i="7"/>
  <c r="D945" i="7"/>
  <c r="D946" i="7"/>
  <c r="D947" i="7"/>
  <c r="D948" i="7"/>
  <c r="D949" i="7"/>
  <c r="D950" i="7"/>
  <c r="D951" i="7"/>
  <c r="D952" i="7"/>
  <c r="D953" i="7"/>
  <c r="D954" i="7"/>
  <c r="D955" i="7"/>
  <c r="D956" i="7"/>
  <c r="D957" i="7"/>
  <c r="D958" i="7"/>
  <c r="D959" i="7"/>
  <c r="D960" i="7"/>
  <c r="D961" i="7"/>
  <c r="D962" i="7"/>
  <c r="D963" i="7"/>
  <c r="D964" i="7"/>
  <c r="D965" i="7"/>
  <c r="D966" i="7"/>
  <c r="D967" i="7"/>
  <c r="D968" i="7"/>
  <c r="D969" i="7"/>
  <c r="D970" i="7"/>
  <c r="D971" i="7"/>
  <c r="D972" i="7"/>
  <c r="D973" i="7"/>
  <c r="D974" i="7"/>
  <c r="D975" i="7"/>
  <c r="D976" i="7"/>
  <c r="D977" i="7"/>
  <c r="D978" i="7"/>
  <c r="D979" i="7"/>
  <c r="D980" i="7"/>
  <c r="D981" i="7"/>
  <c r="D982" i="7"/>
  <c r="D983" i="7"/>
  <c r="D984" i="7"/>
  <c r="D985" i="7"/>
  <c r="D986" i="7"/>
  <c r="D987" i="7"/>
  <c r="D988" i="7"/>
  <c r="D989" i="7"/>
  <c r="D990" i="7"/>
  <c r="D991" i="7"/>
  <c r="D992" i="7"/>
  <c r="D993" i="7"/>
  <c r="D994" i="7"/>
  <c r="D995" i="7"/>
  <c r="D996" i="7"/>
  <c r="D997" i="7"/>
  <c r="D998" i="7"/>
  <c r="D999" i="7"/>
  <c r="D1000" i="7"/>
  <c r="D1001" i="7"/>
  <c r="D1002" i="7"/>
  <c r="D1003" i="7"/>
  <c r="D1004" i="7"/>
  <c r="D1005" i="7"/>
  <c r="D1006" i="7"/>
  <c r="D1007" i="7"/>
  <c r="D1008" i="7"/>
  <c r="D1009" i="7"/>
  <c r="D1010" i="7"/>
  <c r="D1011" i="7"/>
  <c r="D1012" i="7"/>
  <c r="D1013" i="7"/>
  <c r="D1014" i="7"/>
  <c r="D1015" i="7"/>
  <c r="D1016" i="7"/>
  <c r="D1017" i="7"/>
  <c r="D1018" i="7"/>
  <c r="D1019" i="7"/>
  <c r="D20" i="7"/>
  <c r="D15" i="6"/>
  <c r="D16" i="6"/>
  <c r="D17" i="6"/>
  <c r="D18" i="6"/>
  <c r="D19" i="6"/>
  <c r="D20" i="6"/>
  <c r="D21" i="6"/>
  <c r="D22" i="6"/>
  <c r="D23" i="6"/>
  <c r="D24" i="6"/>
  <c r="D25" i="6"/>
  <c r="D26" i="6"/>
  <c r="D27" i="6"/>
  <c r="D28" i="6"/>
  <c r="D29" i="6"/>
  <c r="D30" i="6"/>
  <c r="D31" i="6"/>
  <c r="D32" i="6"/>
  <c r="D33" i="6"/>
  <c r="D34" i="6"/>
  <c r="D35" i="6"/>
  <c r="D36" i="6"/>
  <c r="D37" i="6"/>
  <c r="D38" i="6"/>
  <c r="D39" i="6"/>
  <c r="D40" i="6"/>
  <c r="D41" i="6"/>
  <c r="D42" i="6"/>
  <c r="D43" i="6"/>
  <c r="D44" i="6"/>
  <c r="D45" i="6"/>
  <c r="D46" i="6"/>
  <c r="D47" i="6"/>
  <c r="D48" i="6"/>
  <c r="D49" i="6"/>
  <c r="D50" i="6"/>
  <c r="D51" i="6"/>
  <c r="D52" i="6"/>
  <c r="D53" i="6"/>
  <c r="D54" i="6"/>
  <c r="D55" i="6"/>
  <c r="D56" i="6"/>
  <c r="D57" i="6"/>
  <c r="D58" i="6"/>
  <c r="D59" i="6"/>
  <c r="D60" i="6"/>
  <c r="D61" i="6"/>
  <c r="D62" i="6"/>
  <c r="D63" i="6"/>
  <c r="D64" i="6"/>
  <c r="D65" i="6"/>
  <c r="D66" i="6"/>
  <c r="D67" i="6"/>
  <c r="D68" i="6"/>
  <c r="D69" i="6"/>
  <c r="D70" i="6"/>
  <c r="D71" i="6"/>
  <c r="D72" i="6"/>
  <c r="D73" i="6"/>
  <c r="D74" i="6"/>
  <c r="D75" i="6"/>
  <c r="D76" i="6"/>
  <c r="D77" i="6"/>
  <c r="D78" i="6"/>
  <c r="D79" i="6"/>
  <c r="D80" i="6"/>
  <c r="D81" i="6"/>
  <c r="D82" i="6"/>
  <c r="D83" i="6"/>
  <c r="D84" i="6"/>
  <c r="D85" i="6"/>
  <c r="D86" i="6"/>
  <c r="D87" i="6"/>
  <c r="D88" i="6"/>
  <c r="D89" i="6"/>
  <c r="D90" i="6"/>
  <c r="D91" i="6"/>
  <c r="D92" i="6"/>
  <c r="D93" i="6"/>
  <c r="D94" i="6"/>
  <c r="D95" i="6"/>
  <c r="D96" i="6"/>
  <c r="D97" i="6"/>
  <c r="D98" i="6"/>
  <c r="D99" i="6"/>
  <c r="D100" i="6"/>
  <c r="D101" i="6"/>
  <c r="D102" i="6"/>
  <c r="D103" i="6"/>
  <c r="D104" i="6"/>
  <c r="D105" i="6"/>
  <c r="D106" i="6"/>
  <c r="D107" i="6"/>
  <c r="D108" i="6"/>
  <c r="D109" i="6"/>
  <c r="D110" i="6"/>
  <c r="D111" i="6"/>
  <c r="D112" i="6"/>
  <c r="D113" i="6"/>
  <c r="D114" i="6"/>
  <c r="D115" i="6"/>
  <c r="D116" i="6"/>
  <c r="D117" i="6"/>
  <c r="D118" i="6"/>
  <c r="D119" i="6"/>
  <c r="D120" i="6"/>
  <c r="D121" i="6"/>
  <c r="D122" i="6"/>
  <c r="D123" i="6"/>
  <c r="D124" i="6"/>
  <c r="D125" i="6"/>
  <c r="D126" i="6"/>
  <c r="D127" i="6"/>
  <c r="D128" i="6"/>
  <c r="D129" i="6"/>
  <c r="D130" i="6"/>
  <c r="D131" i="6"/>
  <c r="D132" i="6"/>
  <c r="D133" i="6"/>
  <c r="D134" i="6"/>
  <c r="D135" i="6"/>
  <c r="D136" i="6"/>
  <c r="D137" i="6"/>
  <c r="D138" i="6"/>
  <c r="D139" i="6"/>
  <c r="D140" i="6"/>
  <c r="D141" i="6"/>
  <c r="D142" i="6"/>
  <c r="D143" i="6"/>
  <c r="D144" i="6"/>
  <c r="D145" i="6"/>
  <c r="D146" i="6"/>
  <c r="D147" i="6"/>
  <c r="D148" i="6"/>
  <c r="D149" i="6"/>
  <c r="D150" i="6"/>
  <c r="D151" i="6"/>
  <c r="D152" i="6"/>
  <c r="D153" i="6"/>
  <c r="D154" i="6"/>
  <c r="D155" i="6"/>
  <c r="D156" i="6"/>
  <c r="D157" i="6"/>
  <c r="D158" i="6"/>
  <c r="D159" i="6"/>
  <c r="D160" i="6"/>
  <c r="D161" i="6"/>
  <c r="D162" i="6"/>
  <c r="D163" i="6"/>
  <c r="D164" i="6"/>
  <c r="D165" i="6"/>
  <c r="D166" i="6"/>
  <c r="D167" i="6"/>
  <c r="D168" i="6"/>
  <c r="D169" i="6"/>
  <c r="D170" i="6"/>
  <c r="D171" i="6"/>
  <c r="D172" i="6"/>
  <c r="D173" i="6"/>
  <c r="D174" i="6"/>
  <c r="D175" i="6"/>
  <c r="D176" i="6"/>
  <c r="D177" i="6"/>
  <c r="D178" i="6"/>
  <c r="D179" i="6"/>
  <c r="D180" i="6"/>
  <c r="D181" i="6"/>
  <c r="D182" i="6"/>
  <c r="D183" i="6"/>
  <c r="D184" i="6"/>
  <c r="D185" i="6"/>
  <c r="D186" i="6"/>
  <c r="D187" i="6"/>
  <c r="D188" i="6"/>
  <c r="D189" i="6"/>
  <c r="D190" i="6"/>
  <c r="D191" i="6"/>
  <c r="D192" i="6"/>
  <c r="D193" i="6"/>
  <c r="D194" i="6"/>
  <c r="D195" i="6"/>
  <c r="D196" i="6"/>
  <c r="D197" i="6"/>
  <c r="D198" i="6"/>
  <c r="D199" i="6"/>
  <c r="D200" i="6"/>
  <c r="D201" i="6"/>
  <c r="D202" i="6"/>
  <c r="D203" i="6"/>
  <c r="D204" i="6"/>
  <c r="D205" i="6"/>
  <c r="D206" i="6"/>
  <c r="D207" i="6"/>
  <c r="D208" i="6"/>
  <c r="D209" i="6"/>
  <c r="D210" i="6"/>
  <c r="D211" i="6"/>
  <c r="D212" i="6"/>
  <c r="D213" i="6"/>
  <c r="D214" i="6"/>
  <c r="D215" i="6"/>
  <c r="D216" i="6"/>
  <c r="D217" i="6"/>
  <c r="D218" i="6"/>
  <c r="D219" i="6"/>
  <c r="D220" i="6"/>
  <c r="D221" i="6"/>
  <c r="D222" i="6"/>
  <c r="D223" i="6"/>
  <c r="D224" i="6"/>
  <c r="D225" i="6"/>
  <c r="D226" i="6"/>
  <c r="D227" i="6"/>
  <c r="D228" i="6"/>
  <c r="D229" i="6"/>
  <c r="D230" i="6"/>
  <c r="D231" i="6"/>
  <c r="D232" i="6"/>
  <c r="D233" i="6"/>
  <c r="D234" i="6"/>
  <c r="D235" i="6"/>
  <c r="D236" i="6"/>
  <c r="D237" i="6"/>
  <c r="D238" i="6"/>
  <c r="D239" i="6"/>
  <c r="D240" i="6"/>
  <c r="D241" i="6"/>
  <c r="D242" i="6"/>
  <c r="D243" i="6"/>
  <c r="D244" i="6"/>
  <c r="D245" i="6"/>
  <c r="D246" i="6"/>
  <c r="D247" i="6"/>
  <c r="D248" i="6"/>
  <c r="D249" i="6"/>
  <c r="D250" i="6"/>
  <c r="D251" i="6"/>
  <c r="D252" i="6"/>
  <c r="D253" i="6"/>
  <c r="D254" i="6"/>
  <c r="D255" i="6"/>
  <c r="D256" i="6"/>
  <c r="D257" i="6"/>
  <c r="D258" i="6"/>
  <c r="D259" i="6"/>
  <c r="D260" i="6"/>
  <c r="D261" i="6"/>
  <c r="D262" i="6"/>
  <c r="D263" i="6"/>
  <c r="D264" i="6"/>
  <c r="D265" i="6"/>
  <c r="D266" i="6"/>
  <c r="D267" i="6"/>
  <c r="D268" i="6"/>
  <c r="D269" i="6"/>
  <c r="D270" i="6"/>
  <c r="D271" i="6"/>
  <c r="D272" i="6"/>
  <c r="D273" i="6"/>
  <c r="D274" i="6"/>
  <c r="D275" i="6"/>
  <c r="D276" i="6"/>
  <c r="D277" i="6"/>
  <c r="D278" i="6"/>
  <c r="D279" i="6"/>
  <c r="D280" i="6"/>
  <c r="D281" i="6"/>
  <c r="D282" i="6"/>
  <c r="D283" i="6"/>
  <c r="D284" i="6"/>
  <c r="D285" i="6"/>
  <c r="D286" i="6"/>
  <c r="D287" i="6"/>
  <c r="D288" i="6"/>
  <c r="D289" i="6"/>
  <c r="D290" i="6"/>
  <c r="D291" i="6"/>
  <c r="D292" i="6"/>
  <c r="D293" i="6"/>
  <c r="D294" i="6"/>
  <c r="D295" i="6"/>
  <c r="D296" i="6"/>
  <c r="D297" i="6"/>
  <c r="D298" i="6"/>
  <c r="D299" i="6"/>
  <c r="D300" i="6"/>
  <c r="D301" i="6"/>
  <c r="D302" i="6"/>
  <c r="D303" i="6"/>
  <c r="D304" i="6"/>
  <c r="D305" i="6"/>
  <c r="D306" i="6"/>
  <c r="D307" i="6"/>
  <c r="D308" i="6"/>
  <c r="D309" i="6"/>
  <c r="D310" i="6"/>
  <c r="D311" i="6"/>
  <c r="D312" i="6"/>
  <c r="D313" i="6"/>
  <c r="D314" i="6"/>
  <c r="D315" i="6"/>
  <c r="D316" i="6"/>
  <c r="D317" i="6"/>
  <c r="D318" i="6"/>
  <c r="D319" i="6"/>
  <c r="D320" i="6"/>
  <c r="D321" i="6"/>
  <c r="D322" i="6"/>
  <c r="D323" i="6"/>
  <c r="D324" i="6"/>
  <c r="D325" i="6"/>
  <c r="D326" i="6"/>
  <c r="D327" i="6"/>
  <c r="D328" i="6"/>
  <c r="D329" i="6"/>
  <c r="D330" i="6"/>
  <c r="D331" i="6"/>
  <c r="D332" i="6"/>
  <c r="D333" i="6"/>
  <c r="D334" i="6"/>
  <c r="D335" i="6"/>
  <c r="D336" i="6"/>
  <c r="D337" i="6"/>
  <c r="D338" i="6"/>
  <c r="D339" i="6"/>
  <c r="D340" i="6"/>
  <c r="D341" i="6"/>
  <c r="D342" i="6"/>
  <c r="D343" i="6"/>
  <c r="D344" i="6"/>
  <c r="D345" i="6"/>
  <c r="D346" i="6"/>
  <c r="D347" i="6"/>
  <c r="D348" i="6"/>
  <c r="D349" i="6"/>
  <c r="D350" i="6"/>
  <c r="D351" i="6"/>
  <c r="D352" i="6"/>
  <c r="D353" i="6"/>
  <c r="D354" i="6"/>
  <c r="D355" i="6"/>
  <c r="D356" i="6"/>
  <c r="D357" i="6"/>
  <c r="D358" i="6"/>
  <c r="D359" i="6"/>
  <c r="D360" i="6"/>
  <c r="D361" i="6"/>
  <c r="D362" i="6"/>
  <c r="D363" i="6"/>
  <c r="D364" i="6"/>
  <c r="D365" i="6"/>
  <c r="D366" i="6"/>
  <c r="D367" i="6"/>
  <c r="D368" i="6"/>
  <c r="D369" i="6"/>
  <c r="D370" i="6"/>
  <c r="D371" i="6"/>
  <c r="D372" i="6"/>
  <c r="D373" i="6"/>
  <c r="D374" i="6"/>
  <c r="D375" i="6"/>
  <c r="D376" i="6"/>
  <c r="D377" i="6"/>
  <c r="D378" i="6"/>
  <c r="D379" i="6"/>
  <c r="D380" i="6"/>
  <c r="D381" i="6"/>
  <c r="D382" i="6"/>
  <c r="D383" i="6"/>
  <c r="D384" i="6"/>
  <c r="D385" i="6"/>
  <c r="D386" i="6"/>
  <c r="D387" i="6"/>
  <c r="D388" i="6"/>
  <c r="D389" i="6"/>
  <c r="D390" i="6"/>
  <c r="D391" i="6"/>
  <c r="D392" i="6"/>
  <c r="D393" i="6"/>
  <c r="D394" i="6"/>
  <c r="D395" i="6"/>
  <c r="D396" i="6"/>
  <c r="D397" i="6"/>
  <c r="D398" i="6"/>
  <c r="D399" i="6"/>
  <c r="D400" i="6"/>
  <c r="D401" i="6"/>
  <c r="D402" i="6"/>
  <c r="D403" i="6"/>
  <c r="D404" i="6"/>
  <c r="D405" i="6"/>
  <c r="D406" i="6"/>
  <c r="D407" i="6"/>
  <c r="D408" i="6"/>
  <c r="D409" i="6"/>
  <c r="D410" i="6"/>
  <c r="D411" i="6"/>
  <c r="D412" i="6"/>
  <c r="D413" i="6"/>
  <c r="D414" i="6"/>
  <c r="D415" i="6"/>
  <c r="D416" i="6"/>
  <c r="D417" i="6"/>
  <c r="D418" i="6"/>
  <c r="D419" i="6"/>
  <c r="D420" i="6"/>
  <c r="D421" i="6"/>
  <c r="D422" i="6"/>
  <c r="D423" i="6"/>
  <c r="D424" i="6"/>
  <c r="D425" i="6"/>
  <c r="D426" i="6"/>
  <c r="D427" i="6"/>
  <c r="D428" i="6"/>
  <c r="D429" i="6"/>
  <c r="D430" i="6"/>
  <c r="D431" i="6"/>
  <c r="D432" i="6"/>
  <c r="D433" i="6"/>
  <c r="D434" i="6"/>
  <c r="D435" i="6"/>
  <c r="D436" i="6"/>
  <c r="D437" i="6"/>
  <c r="D438" i="6"/>
  <c r="D439" i="6"/>
  <c r="D440" i="6"/>
  <c r="D441" i="6"/>
  <c r="D442" i="6"/>
  <c r="D443" i="6"/>
  <c r="D444" i="6"/>
  <c r="D445" i="6"/>
  <c r="D446" i="6"/>
  <c r="D447" i="6"/>
  <c r="D448" i="6"/>
  <c r="D449" i="6"/>
  <c r="D450" i="6"/>
  <c r="D451" i="6"/>
  <c r="D452" i="6"/>
  <c r="D453" i="6"/>
  <c r="D454" i="6"/>
  <c r="D455" i="6"/>
  <c r="D456" i="6"/>
  <c r="D457" i="6"/>
  <c r="D458" i="6"/>
  <c r="D459" i="6"/>
  <c r="D460" i="6"/>
  <c r="D461" i="6"/>
  <c r="D462" i="6"/>
  <c r="D463" i="6"/>
  <c r="D464" i="6"/>
  <c r="D465" i="6"/>
  <c r="D466" i="6"/>
  <c r="D467" i="6"/>
  <c r="D468" i="6"/>
  <c r="D469" i="6"/>
  <c r="D470" i="6"/>
  <c r="D471" i="6"/>
  <c r="D472" i="6"/>
  <c r="D473" i="6"/>
  <c r="D474" i="6"/>
  <c r="D475" i="6"/>
  <c r="D476" i="6"/>
  <c r="D477" i="6"/>
  <c r="D478" i="6"/>
  <c r="D479" i="6"/>
  <c r="D480" i="6"/>
  <c r="D481" i="6"/>
  <c r="D482" i="6"/>
  <c r="D483" i="6"/>
  <c r="D484" i="6"/>
  <c r="D485" i="6"/>
  <c r="D486" i="6"/>
  <c r="D487" i="6"/>
  <c r="D488" i="6"/>
  <c r="D489" i="6"/>
  <c r="D490" i="6"/>
  <c r="D491" i="6"/>
  <c r="D492" i="6"/>
  <c r="D493" i="6"/>
  <c r="D494" i="6"/>
  <c r="D495" i="6"/>
  <c r="D496" i="6"/>
  <c r="D497" i="6"/>
  <c r="D498" i="6"/>
  <c r="D499" i="6"/>
  <c r="D500" i="6"/>
  <c r="D501" i="6"/>
  <c r="D502" i="6"/>
  <c r="D503" i="6"/>
  <c r="D504" i="6"/>
  <c r="D505" i="6"/>
  <c r="D506" i="6"/>
  <c r="D507" i="6"/>
  <c r="D508" i="6"/>
  <c r="D509" i="6"/>
  <c r="D510" i="6"/>
  <c r="D511" i="6"/>
  <c r="D512" i="6"/>
  <c r="D513" i="6"/>
  <c r="D514" i="6"/>
  <c r="D515" i="6"/>
  <c r="D516" i="6"/>
  <c r="D517" i="6"/>
  <c r="D518" i="6"/>
  <c r="D519" i="6"/>
  <c r="D520" i="6"/>
  <c r="D521" i="6"/>
  <c r="D522" i="6"/>
  <c r="D523" i="6"/>
  <c r="D524" i="6"/>
  <c r="D525" i="6"/>
  <c r="D526" i="6"/>
  <c r="D527" i="6"/>
  <c r="D528" i="6"/>
  <c r="D529" i="6"/>
  <c r="D530" i="6"/>
  <c r="D531" i="6"/>
  <c r="D532" i="6"/>
  <c r="D533" i="6"/>
  <c r="D534" i="6"/>
  <c r="D535" i="6"/>
  <c r="D536" i="6"/>
  <c r="D537" i="6"/>
  <c r="D538" i="6"/>
  <c r="D539" i="6"/>
  <c r="D540" i="6"/>
  <c r="D541" i="6"/>
  <c r="D542" i="6"/>
  <c r="D543" i="6"/>
  <c r="D544" i="6"/>
  <c r="D545" i="6"/>
  <c r="D546" i="6"/>
  <c r="D547" i="6"/>
  <c r="D548" i="6"/>
  <c r="D549" i="6"/>
  <c r="D550" i="6"/>
  <c r="D551" i="6"/>
  <c r="D552" i="6"/>
  <c r="D553" i="6"/>
  <c r="D554" i="6"/>
  <c r="D555" i="6"/>
  <c r="D556" i="6"/>
  <c r="D557" i="6"/>
  <c r="D558" i="6"/>
  <c r="D559" i="6"/>
  <c r="D560" i="6"/>
  <c r="D561" i="6"/>
  <c r="D562" i="6"/>
  <c r="D563" i="6"/>
  <c r="D564" i="6"/>
  <c r="D565" i="6"/>
  <c r="D566" i="6"/>
  <c r="D567" i="6"/>
  <c r="D568" i="6"/>
  <c r="D569" i="6"/>
  <c r="D570" i="6"/>
  <c r="D571" i="6"/>
  <c r="D572" i="6"/>
  <c r="D573" i="6"/>
  <c r="D574" i="6"/>
  <c r="D575" i="6"/>
  <c r="D576" i="6"/>
  <c r="D577" i="6"/>
  <c r="D578" i="6"/>
  <c r="D579" i="6"/>
  <c r="D580" i="6"/>
  <c r="D581" i="6"/>
  <c r="D582" i="6"/>
  <c r="D583" i="6"/>
  <c r="D584" i="6"/>
  <c r="D585" i="6"/>
  <c r="D586" i="6"/>
  <c r="D587" i="6"/>
  <c r="D588" i="6"/>
  <c r="D589" i="6"/>
  <c r="D590" i="6"/>
  <c r="D591" i="6"/>
  <c r="D592" i="6"/>
  <c r="D593" i="6"/>
  <c r="D594" i="6"/>
  <c r="D595" i="6"/>
  <c r="D596" i="6"/>
  <c r="D597" i="6"/>
  <c r="D598" i="6"/>
  <c r="D599" i="6"/>
  <c r="D600" i="6"/>
  <c r="D601" i="6"/>
  <c r="D602" i="6"/>
  <c r="D603" i="6"/>
  <c r="D604" i="6"/>
  <c r="D605" i="6"/>
  <c r="D606" i="6"/>
  <c r="D607" i="6"/>
  <c r="D608" i="6"/>
  <c r="D609" i="6"/>
  <c r="D610" i="6"/>
  <c r="D611" i="6"/>
  <c r="D612" i="6"/>
  <c r="D613" i="6"/>
  <c r="D614" i="6"/>
  <c r="D615" i="6"/>
  <c r="D616" i="6"/>
  <c r="D617" i="6"/>
  <c r="D618" i="6"/>
  <c r="D619" i="6"/>
  <c r="D620" i="6"/>
  <c r="D621" i="6"/>
  <c r="D622" i="6"/>
  <c r="D623" i="6"/>
  <c r="D624" i="6"/>
  <c r="D625" i="6"/>
  <c r="D626" i="6"/>
  <c r="D627" i="6"/>
  <c r="D628" i="6"/>
  <c r="D629" i="6"/>
  <c r="D630" i="6"/>
  <c r="D631" i="6"/>
  <c r="D632" i="6"/>
  <c r="D633" i="6"/>
  <c r="D634" i="6"/>
  <c r="D635" i="6"/>
  <c r="D636" i="6"/>
  <c r="D637" i="6"/>
  <c r="D638" i="6"/>
  <c r="D639" i="6"/>
  <c r="D640" i="6"/>
  <c r="D641" i="6"/>
  <c r="D642" i="6"/>
  <c r="D643" i="6"/>
  <c r="D644" i="6"/>
  <c r="D645" i="6"/>
  <c r="D646" i="6"/>
  <c r="D647" i="6"/>
  <c r="D648" i="6"/>
  <c r="D649" i="6"/>
  <c r="D650" i="6"/>
  <c r="D651" i="6"/>
  <c r="D652" i="6"/>
  <c r="D653" i="6"/>
  <c r="D654" i="6"/>
  <c r="D655" i="6"/>
  <c r="D656" i="6"/>
  <c r="D657" i="6"/>
  <c r="D658" i="6"/>
  <c r="D659" i="6"/>
  <c r="D660" i="6"/>
  <c r="D661" i="6"/>
  <c r="D662" i="6"/>
  <c r="D663" i="6"/>
  <c r="D664" i="6"/>
  <c r="D665" i="6"/>
  <c r="D666" i="6"/>
  <c r="D667" i="6"/>
  <c r="D668" i="6"/>
  <c r="D669" i="6"/>
  <c r="D670" i="6"/>
  <c r="D671" i="6"/>
  <c r="D672" i="6"/>
  <c r="D673" i="6"/>
  <c r="D674" i="6"/>
  <c r="D675" i="6"/>
  <c r="D676" i="6"/>
  <c r="D677" i="6"/>
  <c r="D678" i="6"/>
  <c r="D679" i="6"/>
  <c r="D680" i="6"/>
  <c r="D681" i="6"/>
  <c r="D682" i="6"/>
  <c r="D683" i="6"/>
  <c r="D684" i="6"/>
  <c r="D685" i="6"/>
  <c r="D686" i="6"/>
  <c r="D687" i="6"/>
  <c r="D688" i="6"/>
  <c r="D689" i="6"/>
  <c r="D690" i="6"/>
  <c r="D691" i="6"/>
  <c r="D692" i="6"/>
  <c r="D693" i="6"/>
  <c r="D694" i="6"/>
  <c r="D695" i="6"/>
  <c r="D696" i="6"/>
  <c r="D697" i="6"/>
  <c r="D698" i="6"/>
  <c r="D699" i="6"/>
  <c r="D700" i="6"/>
  <c r="D701" i="6"/>
  <c r="D702" i="6"/>
  <c r="D703" i="6"/>
  <c r="D704" i="6"/>
  <c r="D705" i="6"/>
  <c r="D706" i="6"/>
  <c r="D707" i="6"/>
  <c r="D708" i="6"/>
  <c r="D709" i="6"/>
  <c r="D710" i="6"/>
  <c r="D711" i="6"/>
  <c r="D712" i="6"/>
  <c r="D713" i="6"/>
  <c r="D714" i="6"/>
  <c r="D715" i="6"/>
  <c r="D716" i="6"/>
  <c r="D717" i="6"/>
  <c r="D718" i="6"/>
  <c r="D719" i="6"/>
  <c r="D720" i="6"/>
  <c r="D721" i="6"/>
  <c r="D722" i="6"/>
  <c r="D723" i="6"/>
  <c r="D724" i="6"/>
  <c r="D725" i="6"/>
  <c r="D726" i="6"/>
  <c r="D727" i="6"/>
  <c r="D728" i="6"/>
  <c r="D729" i="6"/>
  <c r="D730" i="6"/>
  <c r="D731" i="6"/>
  <c r="D732" i="6"/>
  <c r="D733" i="6"/>
  <c r="D734" i="6"/>
  <c r="D735" i="6"/>
  <c r="D736" i="6"/>
  <c r="D737" i="6"/>
  <c r="D738" i="6"/>
  <c r="D739" i="6"/>
  <c r="D740" i="6"/>
  <c r="D741" i="6"/>
  <c r="D742" i="6"/>
  <c r="D743" i="6"/>
  <c r="D744" i="6"/>
  <c r="D745" i="6"/>
  <c r="D746" i="6"/>
  <c r="D747" i="6"/>
  <c r="D748" i="6"/>
  <c r="D749" i="6"/>
  <c r="D750" i="6"/>
  <c r="D751" i="6"/>
  <c r="D752" i="6"/>
  <c r="D753" i="6"/>
  <c r="D754" i="6"/>
  <c r="D755" i="6"/>
  <c r="D756" i="6"/>
  <c r="D757" i="6"/>
  <c r="D758" i="6"/>
  <c r="D759" i="6"/>
  <c r="D760" i="6"/>
  <c r="D761" i="6"/>
  <c r="D762" i="6"/>
  <c r="D763" i="6"/>
  <c r="D764" i="6"/>
  <c r="D765" i="6"/>
  <c r="D766" i="6"/>
  <c r="D767" i="6"/>
  <c r="D768" i="6"/>
  <c r="D769" i="6"/>
  <c r="D770" i="6"/>
  <c r="D771" i="6"/>
  <c r="D772" i="6"/>
  <c r="D773" i="6"/>
  <c r="D774" i="6"/>
  <c r="D775" i="6"/>
  <c r="D776" i="6"/>
  <c r="D777" i="6"/>
  <c r="D778" i="6"/>
  <c r="D779" i="6"/>
  <c r="D780" i="6"/>
  <c r="D781" i="6"/>
  <c r="D782" i="6"/>
  <c r="D783" i="6"/>
  <c r="D784" i="6"/>
  <c r="D785" i="6"/>
  <c r="D786" i="6"/>
  <c r="D787" i="6"/>
  <c r="D788" i="6"/>
  <c r="D789" i="6"/>
  <c r="D790" i="6"/>
  <c r="D791" i="6"/>
  <c r="D792" i="6"/>
  <c r="D793" i="6"/>
  <c r="D794" i="6"/>
  <c r="D795" i="6"/>
  <c r="D796" i="6"/>
  <c r="D797" i="6"/>
  <c r="D798" i="6"/>
  <c r="D799" i="6"/>
  <c r="D800" i="6"/>
  <c r="D801" i="6"/>
  <c r="D802" i="6"/>
  <c r="D803" i="6"/>
  <c r="D804" i="6"/>
  <c r="D805" i="6"/>
  <c r="D806" i="6"/>
  <c r="D807" i="6"/>
  <c r="D808" i="6"/>
  <c r="D809" i="6"/>
  <c r="D810" i="6"/>
  <c r="D811" i="6"/>
  <c r="D812" i="6"/>
  <c r="D813" i="6"/>
  <c r="D814" i="6"/>
  <c r="D815" i="6"/>
  <c r="D816" i="6"/>
  <c r="D817" i="6"/>
  <c r="D818" i="6"/>
  <c r="D819" i="6"/>
  <c r="D820" i="6"/>
  <c r="D821" i="6"/>
  <c r="D822" i="6"/>
  <c r="D823" i="6"/>
  <c r="D824" i="6"/>
  <c r="D825" i="6"/>
  <c r="D826" i="6"/>
  <c r="D827" i="6"/>
  <c r="D828" i="6"/>
  <c r="D829" i="6"/>
  <c r="D830" i="6"/>
  <c r="D831" i="6"/>
  <c r="D832" i="6"/>
  <c r="D833" i="6"/>
  <c r="D834" i="6"/>
  <c r="D835" i="6"/>
  <c r="D836" i="6"/>
  <c r="D837" i="6"/>
  <c r="D838" i="6"/>
  <c r="D839" i="6"/>
  <c r="D840" i="6"/>
  <c r="D841" i="6"/>
  <c r="D842" i="6"/>
  <c r="D843" i="6"/>
  <c r="D844" i="6"/>
  <c r="D845" i="6"/>
  <c r="D846" i="6"/>
  <c r="D847" i="6"/>
  <c r="D848" i="6"/>
  <c r="D849" i="6"/>
  <c r="D850" i="6"/>
  <c r="D851" i="6"/>
  <c r="D852" i="6"/>
  <c r="D853" i="6"/>
  <c r="D854" i="6"/>
  <c r="D855" i="6"/>
  <c r="D856" i="6"/>
  <c r="D857" i="6"/>
  <c r="D858" i="6"/>
  <c r="D859" i="6"/>
  <c r="D860" i="6"/>
  <c r="D861" i="6"/>
  <c r="D862" i="6"/>
  <c r="D863" i="6"/>
  <c r="D864" i="6"/>
  <c r="D865" i="6"/>
  <c r="D866" i="6"/>
  <c r="D867" i="6"/>
  <c r="D868" i="6"/>
  <c r="D869" i="6"/>
  <c r="D870" i="6"/>
  <c r="D871" i="6"/>
  <c r="D872" i="6"/>
  <c r="D873" i="6"/>
  <c r="D874" i="6"/>
  <c r="D875" i="6"/>
  <c r="D876" i="6"/>
  <c r="D877" i="6"/>
  <c r="D878" i="6"/>
  <c r="D879" i="6"/>
  <c r="D880" i="6"/>
  <c r="D881" i="6"/>
  <c r="D882" i="6"/>
  <c r="D883" i="6"/>
  <c r="D884" i="6"/>
  <c r="D885" i="6"/>
  <c r="D886" i="6"/>
  <c r="D887" i="6"/>
  <c r="D888" i="6"/>
  <c r="D889" i="6"/>
  <c r="D890" i="6"/>
  <c r="D891" i="6"/>
  <c r="D892" i="6"/>
  <c r="D893" i="6"/>
  <c r="D894" i="6"/>
  <c r="D895" i="6"/>
  <c r="D896" i="6"/>
  <c r="D897" i="6"/>
  <c r="D898" i="6"/>
  <c r="D899" i="6"/>
  <c r="D900" i="6"/>
  <c r="D901" i="6"/>
  <c r="D902" i="6"/>
  <c r="D903" i="6"/>
  <c r="D904" i="6"/>
  <c r="D905" i="6"/>
  <c r="D906" i="6"/>
  <c r="D907" i="6"/>
  <c r="D908" i="6"/>
  <c r="D909" i="6"/>
  <c r="D910" i="6"/>
  <c r="D911" i="6"/>
  <c r="D912" i="6"/>
  <c r="D913" i="6"/>
  <c r="D914" i="6"/>
  <c r="D915" i="6"/>
  <c r="D916" i="6"/>
  <c r="D917" i="6"/>
  <c r="D918" i="6"/>
  <c r="D919" i="6"/>
  <c r="D920" i="6"/>
  <c r="D921" i="6"/>
  <c r="D922" i="6"/>
  <c r="D923" i="6"/>
  <c r="D924" i="6"/>
  <c r="D925" i="6"/>
  <c r="D926" i="6"/>
  <c r="D927" i="6"/>
  <c r="D928" i="6"/>
  <c r="D929" i="6"/>
  <c r="D930" i="6"/>
  <c r="D931" i="6"/>
  <c r="D932" i="6"/>
  <c r="D933" i="6"/>
  <c r="D934" i="6"/>
  <c r="D935" i="6"/>
  <c r="D936" i="6"/>
  <c r="D937" i="6"/>
  <c r="D938" i="6"/>
  <c r="D939" i="6"/>
  <c r="D940" i="6"/>
  <c r="D941" i="6"/>
  <c r="D942" i="6"/>
  <c r="D943" i="6"/>
  <c r="D944" i="6"/>
  <c r="D945" i="6"/>
  <c r="D946" i="6"/>
  <c r="D947" i="6"/>
  <c r="D948" i="6"/>
  <c r="D949" i="6"/>
  <c r="D950" i="6"/>
  <c r="D951" i="6"/>
  <c r="D952" i="6"/>
  <c r="D953" i="6"/>
  <c r="D954" i="6"/>
  <c r="D955" i="6"/>
  <c r="D956" i="6"/>
  <c r="D957" i="6"/>
  <c r="D958" i="6"/>
  <c r="D959" i="6"/>
  <c r="D960" i="6"/>
  <c r="D961" i="6"/>
  <c r="D962" i="6"/>
  <c r="D963" i="6"/>
  <c r="D964" i="6"/>
  <c r="D965" i="6"/>
  <c r="D966" i="6"/>
  <c r="D967" i="6"/>
  <c r="D968" i="6"/>
  <c r="D969" i="6"/>
  <c r="D970" i="6"/>
  <c r="D971" i="6"/>
  <c r="D972" i="6"/>
  <c r="D973" i="6"/>
  <c r="D974" i="6"/>
  <c r="D975" i="6"/>
  <c r="D976" i="6"/>
  <c r="D977" i="6"/>
  <c r="D978" i="6"/>
  <c r="D979" i="6"/>
  <c r="D980" i="6"/>
  <c r="D981" i="6"/>
  <c r="D982" i="6"/>
  <c r="D983" i="6"/>
  <c r="D984" i="6"/>
  <c r="D985" i="6"/>
  <c r="D986" i="6"/>
  <c r="D987" i="6"/>
  <c r="D988" i="6"/>
  <c r="D989" i="6"/>
  <c r="D990" i="6"/>
  <c r="D991" i="6"/>
  <c r="D992" i="6"/>
  <c r="D993" i="6"/>
  <c r="D994" i="6"/>
  <c r="D995" i="6"/>
  <c r="D996" i="6"/>
  <c r="D997" i="6"/>
  <c r="D998" i="6"/>
  <c r="D999" i="6"/>
  <c r="D1000" i="6"/>
  <c r="D1001" i="6"/>
  <c r="D1002" i="6"/>
  <c r="D1003" i="6"/>
  <c r="D1004" i="6"/>
  <c r="D1005" i="6"/>
  <c r="D1006" i="6"/>
  <c r="D1007" i="6"/>
  <c r="D1008" i="6"/>
  <c r="D1009" i="6"/>
  <c r="D1010" i="6"/>
  <c r="D1011" i="6"/>
  <c r="D1012" i="6"/>
  <c r="D1013" i="6"/>
  <c r="D14" i="6"/>
  <c r="C10" i="8" l="1" a="1"/>
  <c r="C10" i="8"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<sst xmlns="http://schemas.openxmlformats.org/spreadsheetml/2006/main" count="775" uniqueCount="349">
  <si>
    <t>SI (N-m)</t>
  </si>
  <si>
    <t>Unitweight</t>
  </si>
  <si>
    <t>Concrete</t>
  </si>
  <si>
    <t>Rebar</t>
  </si>
  <si>
    <t>Default Units</t>
  </si>
  <si>
    <t>Value</t>
  </si>
  <si>
    <t>Nonlinear Analysis</t>
  </si>
  <si>
    <t>P-Delta</t>
  </si>
  <si>
    <t>Material Type</t>
  </si>
  <si>
    <t>Steel</t>
  </si>
  <si>
    <t>Material Name</t>
  </si>
  <si>
    <t>fc</t>
  </si>
  <si>
    <t>fy</t>
  </si>
  <si>
    <t>fu</t>
  </si>
  <si>
    <t>E</t>
  </si>
  <si>
    <t>nu</t>
  </si>
  <si>
    <t>RC30</t>
  </si>
  <si>
    <t>Rebar420</t>
  </si>
  <si>
    <t>Base Material</t>
  </si>
  <si>
    <t>Material Model</t>
  </si>
  <si>
    <t>epsc</t>
  </si>
  <si>
    <t>epscu</t>
  </si>
  <si>
    <t>fct</t>
  </si>
  <si>
    <t>et</t>
  </si>
  <si>
    <t>beta</t>
  </si>
  <si>
    <t>RC Unconfined</t>
  </si>
  <si>
    <t>RC Confined</t>
  </si>
  <si>
    <t>eu</t>
  </si>
  <si>
    <t>b</t>
  </si>
  <si>
    <t>R0</t>
  </si>
  <si>
    <t>cR1</t>
  </si>
  <si>
    <t>cR2</t>
  </si>
  <si>
    <t>Rebar420NL</t>
  </si>
  <si>
    <t>NL Material Name</t>
  </si>
  <si>
    <t>Base NL Material</t>
  </si>
  <si>
    <t>RebarMinMax</t>
  </si>
  <si>
    <t>K0</t>
  </si>
  <si>
    <t>as_Pos</t>
  </si>
  <si>
    <t>as_Neg</t>
  </si>
  <si>
    <t>My_Pos</t>
  </si>
  <si>
    <t>My_Neg</t>
  </si>
  <si>
    <t>Mu_Pos</t>
  </si>
  <si>
    <t>Mu_Neg</t>
  </si>
  <si>
    <t>Fpr_Pos</t>
  </si>
  <si>
    <t>Fpr_Neg</t>
  </si>
  <si>
    <t>A_pinch</t>
  </si>
  <si>
    <t>Lamda_S</t>
  </si>
  <si>
    <t>Lamda_C</t>
  </si>
  <si>
    <t>Lamda_A</t>
  </si>
  <si>
    <t>Lamda_K</t>
  </si>
  <si>
    <t>c_S</t>
  </si>
  <si>
    <t>c_C</t>
  </si>
  <si>
    <t>c_A</t>
  </si>
  <si>
    <t>c_K</t>
  </si>
  <si>
    <t>theta_p_Pos</t>
  </si>
  <si>
    <t>theta_p_Neg</t>
  </si>
  <si>
    <t>theta_pc_Pos</t>
  </si>
  <si>
    <t>theta_pc_Neg</t>
  </si>
  <si>
    <t>Res_Pos</t>
  </si>
  <si>
    <t>Res_Neg</t>
  </si>
  <si>
    <t>theta_u_Pos</t>
  </si>
  <si>
    <t>theta_u_Neg</t>
  </si>
  <si>
    <t>D_Pos</t>
  </si>
  <si>
    <t>D_Neg</t>
  </si>
  <si>
    <t>nFactor</t>
  </si>
  <si>
    <t>Beam Hinge</t>
  </si>
  <si>
    <t>IMKPeakOriented</t>
  </si>
  <si>
    <t>Integration Type for Distributed Plasticity</t>
  </si>
  <si>
    <t>Integration Type for Concentrated Plasticity</t>
  </si>
  <si>
    <t>Lobatto</t>
  </si>
  <si>
    <t>HingeRadau</t>
  </si>
  <si>
    <t>Section Shape</t>
  </si>
  <si>
    <t>Section Name</t>
  </si>
  <si>
    <t>Load Case Type</t>
  </si>
  <si>
    <t>Rectangular</t>
  </si>
  <si>
    <t>D</t>
  </si>
  <si>
    <t>L</t>
  </si>
  <si>
    <t>Lr</t>
  </si>
  <si>
    <t>W</t>
  </si>
  <si>
    <t>Section Model</t>
  </si>
  <si>
    <t>h</t>
  </si>
  <si>
    <t>k_A</t>
  </si>
  <si>
    <t>k_Avy</t>
  </si>
  <si>
    <t>k_Avz</t>
  </si>
  <si>
    <t>k_Iz</t>
  </si>
  <si>
    <t>k_Iy</t>
  </si>
  <si>
    <t>k_Jxx</t>
  </si>
  <si>
    <t>C1</t>
  </si>
  <si>
    <t>B1</t>
  </si>
  <si>
    <t>Base Section</t>
  </si>
  <si>
    <t>Integration Type</t>
  </si>
  <si>
    <t>Material 1</t>
  </si>
  <si>
    <t>Material 2</t>
  </si>
  <si>
    <t>Material 3</t>
  </si>
  <si>
    <t>cover</t>
  </si>
  <si>
    <t>nBarsTop</t>
  </si>
  <si>
    <t>nBarsBot</t>
  </si>
  <si>
    <t>nBarsInt</t>
  </si>
  <si>
    <t>barDiaHoop</t>
  </si>
  <si>
    <t>barDiaTop</t>
  </si>
  <si>
    <t>barDiaBot</t>
  </si>
  <si>
    <t>barDiaInt</t>
  </si>
  <si>
    <t>C1_Fiber</t>
  </si>
  <si>
    <t>Aggregated Section</t>
  </si>
  <si>
    <t>Aggregator Type</t>
  </si>
  <si>
    <t>C1_Fiber_Agg</t>
  </si>
  <si>
    <t>Shear Stiffness</t>
  </si>
  <si>
    <t>t</t>
  </si>
  <si>
    <t>S1</t>
  </si>
  <si>
    <t>Node Tag</t>
  </si>
  <si>
    <t>X</t>
  </si>
  <si>
    <t>Y</t>
  </si>
  <si>
    <t>Z</t>
  </si>
  <si>
    <t>I</t>
  </si>
  <si>
    <t>J</t>
  </si>
  <si>
    <t>Element Type</t>
  </si>
  <si>
    <t>Column</t>
  </si>
  <si>
    <t>Beam</t>
  </si>
  <si>
    <t>Offset Length (I)</t>
  </si>
  <si>
    <t>Offset Length (J)</t>
  </si>
  <si>
    <t>Slab Tag</t>
  </si>
  <si>
    <t>K</t>
  </si>
  <si>
    <t>Slab Section</t>
  </si>
  <si>
    <t>UX</t>
  </si>
  <si>
    <t>UY</t>
  </si>
  <si>
    <t>UZ</t>
  </si>
  <si>
    <t>RX</t>
  </si>
  <si>
    <t>RY</t>
  </si>
  <si>
    <t>RZ</t>
  </si>
  <si>
    <t>Load Name</t>
  </si>
  <si>
    <t>Load Type</t>
  </si>
  <si>
    <t>Magnitude</t>
  </si>
  <si>
    <t>Subjected Slabs/Elements/Nodes</t>
  </si>
  <si>
    <t>Dead Roof</t>
  </si>
  <si>
    <t>Live Roof</t>
  </si>
  <si>
    <t>Dead Floor</t>
  </si>
  <si>
    <t>Live Floor</t>
  </si>
  <si>
    <t>Parapet</t>
  </si>
  <si>
    <t>Cladding</t>
  </si>
  <si>
    <t>Area Load</t>
  </si>
  <si>
    <t>Element Load</t>
  </si>
  <si>
    <t>49-64</t>
  </si>
  <si>
    <t>1-48</t>
  </si>
  <si>
    <t>1101-1104;1117-1120;1121;1125;1126;1130;1131;1135;1136;1140;2101-2104;2117-2120;2121;2125;2126;2130;2131;2135;2136;2140;3101-3104;3117-3120;3121;3125;3126;3130;3131;3135;3136;3140</t>
  </si>
  <si>
    <t>4101-4104;4117-4120;4121;4125;4126;4130;4131;4135;4136;4140</t>
  </si>
  <si>
    <t>Parameter</t>
  </si>
  <si>
    <t>Project Name</t>
  </si>
  <si>
    <t>Project Description</t>
  </si>
  <si>
    <t>4-Storeys Building</t>
  </si>
  <si>
    <t>Structural analysis of 4-Storeys building</t>
  </si>
  <si>
    <t>Yes</t>
  </si>
  <si>
    <t>LL Mass Factor</t>
  </si>
  <si>
    <t>Material Concrete</t>
  </si>
  <si>
    <t>Material Steel/Rebar</t>
  </si>
  <si>
    <t>Item</t>
  </si>
  <si>
    <t>Force</t>
  </si>
  <si>
    <t>Length</t>
  </si>
  <si>
    <t>Mass</t>
  </si>
  <si>
    <t>Stress</t>
  </si>
  <si>
    <t>Time</t>
  </si>
  <si>
    <t>Angle</t>
  </si>
  <si>
    <t>Unit of Force</t>
  </si>
  <si>
    <t>Unit of Length</t>
  </si>
  <si>
    <t>Unit of Mass</t>
  </si>
  <si>
    <t>Unit of Stress</t>
  </si>
  <si>
    <t>Unit of Time</t>
  </si>
  <si>
    <t>Unit of Angle</t>
  </si>
  <si>
    <t>N</t>
  </si>
  <si>
    <t>kN</t>
  </si>
  <si>
    <t>MN</t>
  </si>
  <si>
    <t>kgf</t>
  </si>
  <si>
    <t>tonf</t>
  </si>
  <si>
    <t>lbf</t>
  </si>
  <si>
    <t>kipf</t>
  </si>
  <si>
    <t>m</t>
  </si>
  <si>
    <t>mm</t>
  </si>
  <si>
    <t>cm</t>
  </si>
  <si>
    <t>ft</t>
  </si>
  <si>
    <t>in</t>
  </si>
  <si>
    <t>kg</t>
  </si>
  <si>
    <t>gr</t>
  </si>
  <si>
    <t>ton</t>
  </si>
  <si>
    <t>lbs</t>
  </si>
  <si>
    <t>kip</t>
  </si>
  <si>
    <t>Pa</t>
  </si>
  <si>
    <t>kPa</t>
  </si>
  <si>
    <t>MPa</t>
  </si>
  <si>
    <t>GPa</t>
  </si>
  <si>
    <t>psi</t>
  </si>
  <si>
    <t>psf</t>
  </si>
  <si>
    <t>ksi</t>
  </si>
  <si>
    <t>ksf</t>
  </si>
  <si>
    <t>s</t>
  </si>
  <si>
    <t>rad</t>
  </si>
  <si>
    <t>deg</t>
  </si>
  <si>
    <t>Edge 1</t>
  </si>
  <si>
    <t>Edge 2</t>
  </si>
  <si>
    <t>Edge 3</t>
  </si>
  <si>
    <t>Edge 4</t>
  </si>
  <si>
    <t>Instructions:</t>
  </si>
  <si>
    <t>Descriptions:</t>
  </si>
  <si>
    <t>Do not rename the file</t>
  </si>
  <si>
    <t>Do not delete unused sheet</t>
  </si>
  <si>
    <t>Cells with a white background are user-inputted</t>
  </si>
  <si>
    <t>ms</t>
  </si>
  <si>
    <t>I-End</t>
  </si>
  <si>
    <t>J-End</t>
  </si>
  <si>
    <t>- Force: Unit for force (Choose from the list)</t>
  </si>
  <si>
    <t>- Length: Unit for length and its derivation (Choose from the list)</t>
  </si>
  <si>
    <t>- Mass: Unit for mass (Choose from the list)</t>
  </si>
  <si>
    <t>- Stress: Unit for stress (Choose from the list)</t>
  </si>
  <si>
    <t>- Time: Unit for time (Choose from the list)</t>
  </si>
  <si>
    <t>- Angle: Unit for angle (Choose from the list)</t>
  </si>
  <si>
    <t xml:space="preserve">- Nonlinear Analysis: Preference to perform nonlinear analysis (Choose from the list) </t>
  </si>
  <si>
    <t>- P-Delta: Preference to include P-Delta in analysis (Choose from the list)</t>
  </si>
  <si>
    <t>- Project Name: Name of the project (Input as string)</t>
  </si>
  <si>
    <t>- Project Description: Description of the project (Input as String)</t>
  </si>
  <si>
    <t>- LL Mass Factor: Factor for liveload used in computing structural mass (Input as Float)</t>
  </si>
  <si>
    <t>- X: X coordinate of point objects (Input as Float)</t>
  </si>
  <si>
    <t>- Y: Y coordinate of point objects (Input as Float)</t>
  </si>
  <si>
    <t>- Z: Z coordinate of point objects (Input as Float)</t>
  </si>
  <si>
    <t>- I-End: Point object at the start (I) of the line object (Input as Integer)</t>
  </si>
  <si>
    <t>- J-End: Point object at the end (J) of the line object (Input as Integer)</t>
  </si>
  <si>
    <t>- Edge 1: Line object 1 (at the start) of the surface object (Input as Integer)</t>
  </si>
  <si>
    <t>Point ID</t>
  </si>
  <si>
    <t>Line ID</t>
  </si>
  <si>
    <t>- Line ID: ID used as unique identification for each line (Input as Integer)</t>
  </si>
  <si>
    <t>- Point ID: ID used as unique identification for each point (Input as Integer)</t>
  </si>
  <si>
    <t>Surface ID</t>
  </si>
  <si>
    <t>- Surface ID: ID used as unique identification for each surface (Input as Integer)</t>
  </si>
  <si>
    <t>- Edge 2: Line object 2 of the surface object, determined by CW/CCW ordering (Input as Integer)</t>
  </si>
  <si>
    <t>- Edge 3: Line object 3 of the surface object, determined by CW/CCW ordering (Input as Integer)</t>
  </si>
  <si>
    <t>- Edge 4: Line object 4 of the surface object, determined by CW/CCW ordering (Input as Integer)</t>
  </si>
  <si>
    <t>- nu: Poisson's ratio of material (Input as Float)</t>
  </si>
  <si>
    <t>- E: Modulus of elasticity of material (Input as Float)</t>
  </si>
  <si>
    <t>- Unitweight: Unitweight of material (Input as Float)</t>
  </si>
  <si>
    <t>- fy: Yield strength of material, keep 0.0 value if it is not related (Input as Float)</t>
  </si>
  <si>
    <t>- fu: Ultimate tensile strength of material, keep 0.0 value if it is not related (Input as Float)</t>
  </si>
  <si>
    <t>Note:</t>
  </si>
  <si>
    <t>Zero Length Element (Auto)</t>
  </si>
  <si>
    <t>- Zero Length Element (Auto): Preference to generate zero length element automatically (Choose from the list)</t>
  </si>
  <si>
    <t>I-End Offset Length</t>
  </si>
  <si>
    <t>J-End Offset Length</t>
  </si>
  <si>
    <t>End Offset</t>
  </si>
  <si>
    <t>- I-End Offset Length: Offset length at the start (I) of the line object (Input as Float)</t>
  </si>
  <si>
    <t>- J-End Offset Length: Offset length at the end (I) of the line object (Input as Float)</t>
  </si>
  <si>
    <t>Auto from Connectivity</t>
  </si>
  <si>
    <t>- End Offset: End Offset length preference (Choose from the list)</t>
  </si>
  <si>
    <t>- Material Name: Name of material (Input as String)</t>
  </si>
  <si>
    <t>- Material Type: Type of material (Choose from the list)</t>
  </si>
  <si>
    <t>- Material Name: Name of nonlinear material (Input as String)</t>
  </si>
  <si>
    <t>- Base Material: Base material of nonlinear material (Choose from the list)</t>
  </si>
  <si>
    <t>- Material Model: Opensees material model</t>
  </si>
  <si>
    <t>- fc: Maximum compressive strength of material, keep 0.0 if it is not related (Input as Float)</t>
  </si>
  <si>
    <t>- fc: Maximum compressive strength of concrete (Input as Float)</t>
  </si>
  <si>
    <t>- epsc: Strain at maximum compressive strength of concrete (Input as Float)</t>
  </si>
  <si>
    <t>- epscu: Strain at crushing strength of concrete (Input as Float)</t>
  </si>
  <si>
    <t>- fct: Maximum tensile strength of concrete (Input as Float)</t>
  </si>
  <si>
    <t>- beta: Exponential curve parameter to define the residual stress (as a factor of fct) at etu</t>
  </si>
  <si>
    <t>To change unitsystem, choose units for each measurement at "User Specified Unitsystem" sheet</t>
  </si>
  <si>
    <t>All units for user-inputted values should follow user specified unitsystem</t>
  </si>
  <si>
    <t>- Keep red-colored cells with a value of 0.0</t>
  </si>
  <si>
    <t>- et: Strain at maximum tensile strength of concrete, set value = 0.0 to use default value which is calculated using equation: et = fct / Esec, Esec = fc / epsc (Input as Float)</t>
  </si>
  <si>
    <t>- fy: Yield strength of rebar/steel (Input as float)</t>
  </si>
  <si>
    <t>- fu: Ultimate tensile strength of rebar/steel (Input as float)</t>
  </si>
  <si>
    <t>- eu: Strain at ultimate tensile strength of rebar/steel (Input as Float)</t>
  </si>
  <si>
    <t>- b: Strain-hardening ratio, set value = 0.0 to use default value which is calculated using equation: b = Epy / E, Epy = (fu - fy) / (eu - eoffset), eoffset = (fy / E) + 0.2% (Input as Float)</t>
  </si>
  <si>
    <t>a1</t>
  </si>
  <si>
    <t>a2</t>
  </si>
  <si>
    <t>a3</t>
  </si>
  <si>
    <t>a4</t>
  </si>
  <si>
    <t>- R0: Parameters to control the transition from elastic to plastic branches, recommended value = 10-20 (Input as Integer)</t>
  </si>
  <si>
    <t>- cR1: Parameters to control the transition from elastic to plastic branches, recommended value = 0.925 (Input as Float)</t>
  </si>
  <si>
    <t>f_init</t>
  </si>
  <si>
    <t>- cR2: Parameters to control the transition from elastic to plastic branches, recommended value = 0.15 (Input as Float)</t>
  </si>
  <si>
    <t>- a1: Isotropic hardening parameter, increase of compression yield envelope as proportion of yield strength after a plastic strain of a2*(fy / E), default value = 0.0 (Input as Float)</t>
  </si>
  <si>
    <t>- a2: Isotropic hardening parameter, default value = 1.0 (Input as Float)</t>
  </si>
  <si>
    <t>- a4: Isotropic hardening parameter, default value = 1.0 (Input as Float)</t>
  </si>
  <si>
    <t>- f_init: Initial stress value, default value = 0.0 (Input as Float)</t>
  </si>
  <si>
    <t>- a3: Isotropic hardening parameter, increase of tension yield envelope as proportion of yield strength after a plastic strain of a4*(fy / E), default value = 0.0 (Input as Float)</t>
  </si>
  <si>
    <t>- Base NL Material: Base nonlinear material of material (Choose from the list)</t>
  </si>
  <si>
    <t>- ecmax: Maximum compression strain (Input as Float)</t>
  </si>
  <si>
    <t>- etmax: Maximum tension strain (Input as Float)</t>
  </si>
  <si>
    <t>ecmax</t>
  </si>
  <si>
    <t>etmax</t>
  </si>
  <si>
    <t xml:space="preserve">- Material Type: Type of material, automatically filled </t>
  </si>
  <si>
    <t>- Material Type: Type of material, automatically filled based on chosen base material</t>
  </si>
  <si>
    <t>- Material Type: Type of material, automatically filled based on chosen base nonlinear material</t>
  </si>
  <si>
    <t>- Material Model: Opensees material model (Choose from the list)</t>
  </si>
  <si>
    <t>- K0: Elastic stiffness (Input as Float)</t>
  </si>
  <si>
    <t>- as_Pos: Strain hardening ratio for positive loading direction, set value = 0.0 to use default value which is calculated using equation: as_Pos = Kpy_Pos / K0, Kpy_Pos = (Mu_Pos - My_Pos) / (theta_p_Pos - theta_e_Pos), theta_e_Pos = My_Pos / K0 (Input as Float)</t>
  </si>
  <si>
    <t>- as_Neg: Strain hardening ratio for negative loading direction, set value = 0.0 to use default value which is calculated using equation: as_Neg = Kpy_Neg / K0, Kpy_Neg = (Mu_Neg - My_Neg) / (theta_p_Neg - theta_e_Neg), theta_e_Neg = My_Neg / K0 (Input as Float)</t>
  </si>
  <si>
    <t>- My_Pos: Effective yield strength for positive loading direction (Input as Float)</t>
  </si>
  <si>
    <t>- My_Neg: Effective yield strength for negative loading direction (Input as Float)</t>
  </si>
  <si>
    <t>- Mu_Pos: Effective ultimate strength for positive loading direction (Input as Float)</t>
  </si>
  <si>
    <t>- Mu_Neg: Effective ultimate strength for negative loading direction (Input as Float)</t>
  </si>
  <si>
    <t>- Lamda_S: Cyclic deterioration parameter for strength deterioration [E_t=Lamda_S*M_y, see Lignos and Krawinkler (2011)], keep 0.0 value to disable this mode of deterioration (Input as Float)</t>
  </si>
  <si>
    <t>- Lamda_C: Cyclic deterioration parameter for post-capping strength deterioration [E_t=Lamda_C*M_y, see Lignos and Krawinkler (2011)], keep 0.0 value to disable this mode of deterioration (Input as Float)</t>
  </si>
  <si>
    <t>- Lamda_A: Cyclic deterioration parameter for accelerated reloading stiffness deterioration [E_t=Lamda_A*M_y, see Lignos and Krawinkler (2011)], keep 0.0 value to disable this mode of deterioration (Input as Float)</t>
  </si>
  <si>
    <t>- Lamda_K: Cyclic deterioration parameter for unloading stiffness deterioration [E_t=Lamda_K*M_y, see Lignos and Krawinkler (2011)], keep 0.0 value to disable this mode of deterioration (Input as Float)</t>
  </si>
  <si>
    <t>- c_S: Rate of strength deterioration,  default value is 1.0 (Input as Float)</t>
  </si>
  <si>
    <t>- c_C: Rate of post-capping strength deterioration, default value is 1.0 (Input as Float)</t>
  </si>
  <si>
    <t xml:space="preserve">- c_A: Rate of accelerated reloading deterioration, default value is 1.0 (Input as Float) </t>
  </si>
  <si>
    <t>- c_K: Rate of unloading stiffness deterioration, default value is 1.0 (Input as Float)</t>
  </si>
  <si>
    <t>- Fpr_Pos: Ratio of the force at which reloading begins to force corresponding to the maximum historic deformation demand (positive loading direction), keep 0.0 if it is not related, use this when using IMKPinching model (Input as Float)</t>
  </si>
  <si>
    <t>- Fpr_Neg: Ratio of the force at which reloading begins to force corresponding to the maximum historic deformation demand (negative loading direction), keep 0.0 if it is not related, use this when using IMKPinching model (Input as Float)</t>
  </si>
  <si>
    <t>- A_pinch: Ratio of reloading stiffness, keep 0.0 if it is not related, use this when using IMKPinching model (Input as Float)</t>
  </si>
  <si>
    <t>- nFactor: Elastic stiffness amplification factor, use this when using IMKBilinear (Input as Float)</t>
  </si>
  <si>
    <t>- theta_p_Neg: Pre-capping rotation for negative loading direction, often noted as plastic rotation capacity (Input as Float)</t>
  </si>
  <si>
    <t>- theta_p_Pos: Pre-capping rotation for positive loading direction, often noted as plastic rotation capacity (Input as Float)</t>
  </si>
  <si>
    <t>- theta_pc_Pos: Post-capping rotation for positive loading direction (Input as Float)</t>
  </si>
  <si>
    <t>- theta_pc_Neg: Post-capping rotation for negative loading direction (Input as Float)</t>
  </si>
  <si>
    <t>- Res_Pos: Residual strength ratio for positive loading direction (Input as Float)</t>
  </si>
  <si>
    <t>- Res_Neg: Residual strength ratio for negative loading direction (Input as Float)</t>
  </si>
  <si>
    <t>- theta_u_Pos: Ultimate rotation capacity for positive loading direction (Input as Float)</t>
  </si>
  <si>
    <t>- theta_u_Neg: Ultimate rotation capacity for negative loading direction (Input as Float)</t>
  </si>
  <si>
    <t>- D_Pos: Rate of cyclic deterioration in the positive loading direction, for symmetric hysteretic response use 1.0 (Input as Float)</t>
  </si>
  <si>
    <t>- D_Neg: Rate of cyclic deterioration in the negative loading direction, for symmetric hysteretic response use 1.0 (Input as Float)</t>
  </si>
  <si>
    <t>- Section Name: Name of section (Input as String)</t>
  </si>
  <si>
    <t>- Section Shape: Shape of section (Choose from the list)</t>
  </si>
  <si>
    <t>- Base Material: Base material of section (Choose from the list)</t>
  </si>
  <si>
    <t>- Section Model: Opensees section model</t>
  </si>
  <si>
    <t>- Element Type: Type of element (Choose from the list)</t>
  </si>
  <si>
    <t>- h: Section height (Input as Float)</t>
  </si>
  <si>
    <t>- b: Section width (Input as Float)</t>
  </si>
  <si>
    <t>- k_Avy: Modifier for shear area along local y-axis (Input as Float)</t>
  </si>
  <si>
    <t>- k_A: Modifier for area (Input as Float)</t>
  </si>
  <si>
    <t>- k_Avz: Modifier for shear area along local z-axis (Input as Float)</t>
  </si>
  <si>
    <t>- k_Iz: Modifier for second moment of area about local z-axis (Input as Float)</t>
  </si>
  <si>
    <t>- k_Iy: Modifier for second moment of area about local y-axis (Input as Float)</t>
  </si>
  <si>
    <t>- k_Jxx: Modifier for torsional constant (Input as Float)</t>
  </si>
  <si>
    <t>- Section Name: Name of fiber section (Input as String)</t>
  </si>
  <si>
    <t>- Base Section: Base section of fiber section (Choose from the list)</t>
  </si>
  <si>
    <t>- Integration Type: Numerical integration formulation of fiber section (Choose from the list)</t>
  </si>
  <si>
    <t>- Material 1: Material 1 of fiber section, if fiber section is concrete, set material 1 with material of concrete cover (Choose from the list)</t>
  </si>
  <si>
    <t>- Material 2: Material 2 of fiber section, if fiber section is concrete, set material 2 with material of concrete core (Choose from the list)</t>
  </si>
  <si>
    <t>- Material 3: Material 3 of fiber section, if fiber section is concrete, set material 3 with material of reinforcement (Choose from the list)</t>
  </si>
  <si>
    <t>- cover: Concrete cover (Input as Float)</t>
  </si>
  <si>
    <t>- nBarsTop: Number of top reinforcements (Input as Integer)</t>
  </si>
  <si>
    <t>- nBarsBot: Number of bottom reinforcements (Input as Integer)</t>
  </si>
  <si>
    <t>- nBarsInt: Number of intermediate reinforcements (Input as Integer)</t>
  </si>
  <si>
    <t>- barDiaHoop: Diameter of hoops (Input as Float)</t>
  </si>
  <si>
    <t>- barDiaTop: Diameter of top reinforcements (Input as Float)</t>
  </si>
  <si>
    <t>- barDiaBot: Diameter of bottom reinforcements (Input as Float)</t>
  </si>
  <si>
    <t>- barDiaInt: Diameter of intermediate reinforcements (Input as Float)</t>
  </si>
  <si>
    <t>- Section Name: Name of section aggregator (Input as String)</t>
  </si>
  <si>
    <t>- Aggregated Section: Name of aggregated section (Choose from the list)</t>
  </si>
  <si>
    <t>- Aggregator Type: Type of section aggregator (Choose from the list)</t>
  </si>
  <si>
    <t>- Base Material: Base material of section, automatically filled based on chosen aggregated section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</si>
</sst>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
    <numFmt numFmtId="165" formatCode="0.0000"/>
    <numFmt numFmtId="166" formatCode="0.0"/>
  </numFmts>
  <fonts count="12" x14ac:knownFonts="1">
    <font>
      <sz val="11"/>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b/>
      <sz val="11"/>
      <color theme="1"/>
      <name val="Aptos Narrow"/>
      <family val="2"/>
      <scheme val="minor"/>
    </font>
    <font>
      <b/>
      <sz val="12"/>
      <color theme="1"/>
      <name val="Aptos Narrow"/>
      <family val="2"/>
      <scheme val="minor"/>
    </font>
    <font>
      <b/>
      <sz val="12"/>
      <color theme="1"/>
      <name val="Aptos Narrow"/>
      <scheme val="minor"/>
    </font>
    <font>
      <sz val="12"/>
      <color theme="1"/>
      <name val="Aptos Narrow"/>
      <scheme val="minor"/>
    </font>
    <font>
      <sz val="8"/>
      <name val="Aptos Narrow"/>
      <family val="2"/>
      <scheme val="minor"/>
    </font>
  </fonts>
  <fills count="3">
    <fill>
      <patternFill patternType="none"/>
    </fill>
    <fill>
      <patternFill patternType="gray125"/>
    </fill>
    <fill>
      <patternFill patternType="solid">
        <fgColor theme="0" tint="-0.14999847407452621"/>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indexed="64"/>
      </top>
      <bottom/>
      <diagonal/>
    </border>
    <border>
      <left/>
      <right/>
      <top/>
      <bottom style="thin">
        <color indexed="64"/>
      </bottom>
      <diagonal/>
    </border>
  </borders>
  <cellStyleXfs count="1">
    <xf numFmtId="0" fontId="0" fillId="0" borderId="0"/>
  </cellStyleXfs>
  <cellXfs count="183">
    <xf numFmtId="0" fontId="0" fillId="0" borderId="0" xfId="0"/>
    <xf numFmtId="0" fontId="6" fillId="0" borderId="0" xfId="0" applyFont="1" applyAlignment="1">
      <alignment horizontal="center"/>
    </xf>
    <xf numFmtId="0" fontId="8" fillId="0" borderId="0" xfId="0" applyFont="1" applyAlignment="1">
      <alignment horizontal="center"/>
    </xf>
    <xf numFmtId="0" fontId="6" fillId="0" borderId="0" xfId="0" applyFont="1"/>
    <xf numFmtId="2" fontId="6" fillId="0" borderId="0" xfId="0" applyNumberFormat="1" applyFont="1"/>
    <xf numFmtId="164" fontId="6" fillId="0" borderId="0" xfId="0" applyNumberFormat="1" applyFont="1"/>
    <xf numFmtId="1" fontId="6" fillId="0" borderId="0" xfId="0" applyNumberFormat="1" applyFont="1"/>
    <xf numFmtId="0" fontId="9" fillId="0" borderId="0" xfId="0" applyFont="1"/>
    <xf numFmtId="0" fontId="9" fillId="0" borderId="0" xfId="0" applyFont="1" applyAlignment="1">
      <alignment horizontal="center"/>
    </xf>
    <xf numFmtId="0" fontId="10" fillId="0" borderId="0" xfId="0" applyFont="1" applyAlignment="1">
      <alignment horizontal="center"/>
    </xf>
    <xf numFmtId="0" fontId="10" fillId="0" borderId="0" xfId="0" applyFont="1"/>
    <xf numFmtId="2" fontId="10" fillId="0" borderId="0" xfId="0" applyNumberFormat="1" applyFont="1"/>
    <xf numFmtId="49" fontId="6" fillId="0" borderId="0" xfId="0" applyNumberFormat="1" applyFont="1"/>
    <xf numFmtId="0" fontId="9" fillId="0" borderId="0" xfId="0" applyFont="1" applyAlignment="1">
      <alignment horizontal="center" vertical="top"/>
    </xf>
    <xf numFmtId="0" fontId="5" fillId="0" borderId="0" xfId="0" applyFont="1" applyAlignment="1">
      <alignment vertical="top"/>
    </xf>
    <xf numFmtId="0" fontId="5" fillId="0" borderId="0" xfId="0" applyFont="1" applyAlignment="1">
      <alignment vertical="top" wrapText="1"/>
    </xf>
    <xf numFmtId="49" fontId="5" fillId="0" borderId="0" xfId="0" applyNumberFormat="1" applyFont="1" applyAlignment="1">
      <alignment vertical="top"/>
    </xf>
    <xf numFmtId="0" fontId="9" fillId="2" borderId="1" xfId="0" applyFont="1" applyFill="1" applyBorder="1" applyAlignment="1">
      <alignment horizontal="center" vertical="top"/>
    </xf>
    <xf numFmtId="0" fontId="5" fillId="2" borderId="1" xfId="0" applyFont="1" applyFill="1" applyBorder="1" applyAlignment="1">
      <alignment vertical="top"/>
    </xf>
    <xf numFmtId="0" fontId="8" fillId="2" borderId="2" xfId="0" applyFont="1" applyFill="1" applyBorder="1" applyAlignment="1">
      <alignment vertical="top"/>
    </xf>
    <xf numFmtId="0" fontId="5" fillId="2" borderId="3" xfId="0" applyFont="1" applyFill="1" applyBorder="1" applyAlignment="1">
      <alignment vertical="top"/>
    </xf>
    <xf numFmtId="0" fontId="5" fillId="2" borderId="5" xfId="0" applyFont="1" applyFill="1" applyBorder="1" applyAlignment="1">
      <alignment vertical="top"/>
    </xf>
    <xf numFmtId="0" fontId="4" fillId="2" borderId="6" xfId="0" quotePrefix="1" applyFont="1" applyFill="1" applyBorder="1" applyAlignment="1">
      <alignment vertical="top"/>
    </xf>
    <xf numFmtId="0" fontId="5" fillId="2" borderId="7" xfId="0" applyFont="1" applyFill="1" applyBorder="1" applyAlignment="1">
      <alignment vertical="top"/>
    </xf>
    <xf numFmtId="0" fontId="4" fillId="0" borderId="1" xfId="0" applyFont="1" applyBorder="1" applyAlignment="1" applyProtection="1">
      <alignment vertical="top"/>
      <protection locked="0"/>
    </xf>
    <xf numFmtId="0" fontId="4" fillId="0" borderId="1" xfId="0" applyFont="1" applyBorder="1" applyAlignment="1" applyProtection="1">
      <alignment vertical="top" wrapText="1"/>
      <protection locked="0"/>
    </xf>
    <xf numFmtId="0" fontId="4" fillId="2" borderId="1" xfId="0" applyFont="1" applyFill="1" applyBorder="1" applyAlignment="1">
      <alignment vertical="top"/>
    </xf>
    <xf numFmtId="0" fontId="4" fillId="2" borderId="1" xfId="0" applyFont="1" applyFill="1" applyBorder="1"/>
    <xf numFmtId="49" fontId="5" fillId="0" borderId="1" xfId="0" applyNumberFormat="1" applyFont="1" applyBorder="1" applyAlignment="1" applyProtection="1">
      <alignment horizontal="center" vertical="top"/>
      <protection locked="0"/>
    </xf>
    <xf numFmtId="49" fontId="6" fillId="0" borderId="1" xfId="0" applyNumberFormat="1" applyFont="1" applyBorder="1" applyAlignment="1" applyProtection="1">
      <alignment horizontal="center"/>
      <protection locked="0"/>
    </xf>
    <xf numFmtId="0" fontId="4" fillId="2" borderId="4" xfId="0" quotePrefix="1" applyFont="1" applyFill="1" applyBorder="1" applyAlignment="1">
      <alignment vertical="top"/>
    </xf>
    <xf numFmtId="0" fontId="8" fillId="2" borderId="1" xfId="0" applyFont="1" applyFill="1" applyBorder="1" applyAlignment="1">
      <alignment horizontal="center"/>
    </xf>
    <xf numFmtId="0" fontId="8" fillId="2" borderId="2" xfId="0" applyFont="1" applyFill="1" applyBorder="1" applyAlignment="1">
      <alignment horizontal="left"/>
    </xf>
    <xf numFmtId="0" fontId="6" fillId="0" borderId="0" xfId="0" applyFont="1" applyAlignment="1">
      <alignment horizontal="left"/>
    </xf>
    <xf numFmtId="49" fontId="5" fillId="2" borderId="8" xfId="0" applyNumberFormat="1" applyFont="1" applyFill="1" applyBorder="1" applyAlignment="1">
      <alignment vertical="top"/>
    </xf>
    <xf numFmtId="0" fontId="5" fillId="2" borderId="8" xfId="0" applyFont="1" applyFill="1" applyBorder="1" applyAlignment="1">
      <alignment vertical="top"/>
    </xf>
    <xf numFmtId="49" fontId="5" fillId="2" borderId="9" xfId="0" applyNumberFormat="1" applyFont="1" applyFill="1" applyBorder="1" applyAlignment="1">
      <alignment vertical="top"/>
    </xf>
    <xf numFmtId="0" fontId="5" fillId="2" borderId="9" xfId="0" applyFont="1" applyFill="1" applyBorder="1" applyAlignment="1">
      <alignment vertical="top"/>
    </xf>
    <xf numFmtId="0" fontId="6" fillId="2" borderId="8" xfId="0" applyFont="1" applyFill="1" applyBorder="1" applyAlignment="1">
      <alignment horizontal="center"/>
    </xf>
    <xf numFmtId="0" fontId="6" fillId="2" borderId="0" xfId="0" applyFont="1" applyFill="1" applyAlignment="1">
      <alignment horizontal="center"/>
    </xf>
    <xf numFmtId="0" fontId="6" fillId="2" borderId="9" xfId="0" applyFont="1" applyFill="1" applyBorder="1" applyAlignment="1">
      <alignment horizontal="center"/>
    </xf>
    <xf numFmtId="0" fontId="6" fillId="0" borderId="0" xfId="0" applyFont="1" applyAlignment="1" applyProtection="1">
      <alignment horizontal="center"/>
      <protection locked="0"/>
    </xf>
    <xf numFmtId="2" fontId="6" fillId="2" borderId="8" xfId="0" applyNumberFormat="1" applyFont="1" applyFill="1" applyBorder="1"/>
    <xf numFmtId="2" fontId="6" fillId="2" borderId="3" xfId="0" applyNumberFormat="1" applyFont="1" applyFill="1" applyBorder="1"/>
    <xf numFmtId="0" fontId="1" fillId="2" borderId="4" xfId="0" quotePrefix="1" applyFont="1" applyFill="1" applyBorder="1" applyAlignment="1">
      <alignment horizontal="left"/>
    </xf>
    <xf numFmtId="2" fontId="6" fillId="2" borderId="5" xfId="0" applyNumberFormat="1" applyFont="1" applyFill="1" applyBorder="1"/>
    <xf numFmtId="2" fontId="6" fillId="2" borderId="9" xfId="0" applyNumberFormat="1" applyFont="1" applyFill="1" applyBorder="1"/>
    <xf numFmtId="2" fontId="6" fillId="2" borderId="7" xfId="0" applyNumberFormat="1" applyFont="1" applyFill="1" applyBorder="1"/>
    <xf numFmtId="2" fontId="6" fillId="0" borderId="0" xfId="0" applyNumberFormat="1" applyFont="1" applyProtection="1">
      <protection locked="0"/>
    </xf>
    <xf numFmtId="0" fontId="1" fillId="2" borderId="6" xfId="0" quotePrefix="1" applyFont="1" applyFill="1" applyBorder="1" applyAlignment="1">
      <alignment horizontal="left"/>
    </xf>
    <xf numFmtId="0" fontId="1" fillId="2" borderId="4" xfId="0" quotePrefix="1" applyFont="1" applyFill="1" applyBorder="1" applyAlignment="1">
      <alignment vertical="top"/>
    </xf>
    <xf numFmtId="49" fontId="5" fillId="2" borderId="0" xfId="0" applyNumberFormat="1" applyFont="1" applyFill="1" applyBorder="1" applyAlignment="1">
      <alignment vertical="top"/>
    </xf>
    <xf numFmtId="0" fontId="5" fillId="2" borderId="0" xfId="0" applyFont="1" applyFill="1" applyBorder="1" applyAlignment="1">
      <alignment vertical="top"/>
    </xf>
    <xf numFmtId="0" fontId="1" fillId="2" borderId="0" xfId="0" quotePrefix="1" applyFont="1" applyFill="1" applyBorder="1" applyAlignment="1">
      <alignment vertical="top"/>
    </xf>
    <xf numFmtId="0" fontId="6" fillId="2" borderId="0" xfId="0" applyFont="1" applyFill="1" applyBorder="1" applyAlignment="1">
      <alignment horizontal="center"/>
    </xf>
    <xf numFmtId="2" fontId="6" fillId="2" borderId="0" xfId="0" applyNumberFormat="1" applyFont="1" applyFill="1" applyBorder="1"/>
    <xf numFmtId="164" fontId="6" fillId="0" borderId="0" xfId="0" applyNumberFormat="1" applyFont="1" applyProtection="1">
      <protection locked="0"/>
    </xf>
    <xf numFmtId="0" fontId="8" fillId="0" borderId="0" xfId="0" applyFont="1" applyAlignment="1">
      <alignment horizontal="center" vertical="top"/>
    </xf>
    <xf numFmtId="0" fontId="8" fillId="0" borderId="0" xfId="0" applyFont="1" applyAlignment="1">
      <alignment horizontal="center" vertical="top" wrapText="1"/>
    </xf>
    <xf numFmtId="0" fontId="6" fillId="0" borderId="0" xfId="0" applyFont="1" applyAlignment="1">
      <alignment horizontal="center" vertical="top"/>
    </xf>
    <xf numFmtId="0" fontId="4" fillId="0" borderId="0" xfId="0" applyFont="1" applyAlignment="1">
      <alignment horizontal="center" vertical="top"/>
    </xf>
    <xf numFmtId="0" fontId="8" fillId="0" borderId="0" xfId="0" applyFont="1" applyAlignment="1">
      <alignment horizontal="left" vertical="top"/>
    </xf>
    <xf numFmtId="0" fontId="4" fillId="0" borderId="0" xfId="0" applyFont="1" applyAlignment="1">
      <alignment vertical="top"/>
    </xf>
    <xf numFmtId="0" fontId="1" fillId="0" borderId="0" xfId="0" applyFont="1" applyAlignment="1">
      <alignment vertical="top"/>
    </xf>
    <xf numFmtId="0" fontId="1" fillId="0" borderId="0" xfId="0" quotePrefix="1" applyFont="1" applyAlignment="1">
      <alignment vertical="top"/>
    </xf>
    <xf numFmtId="0" fontId="4" fillId="0" borderId="0" xfId="0" quotePrefix="1" applyFont="1" applyAlignment="1">
      <alignment vertical="top"/>
    </xf>
    <xf numFmtId="0" fontId="1" fillId="2" borderId="1" xfId="0" applyFont="1" applyFill="1" applyBorder="1" applyAlignment="1">
      <alignment vertical="top"/>
    </xf>
    <xf numFmtId="0" fontId="6" fillId="0" borderId="1" xfId="0" applyFont="1" applyBorder="1" applyAlignment="1" applyProtection="1">
      <alignment horizontal="center" vertical="top"/>
      <protection locked="0"/>
    </xf>
    <xf numFmtId="2" fontId="6" fillId="0" borderId="1" xfId="0" applyNumberFormat="1" applyFont="1" applyBorder="1" applyAlignment="1" applyProtection="1">
      <alignment vertical="top"/>
      <protection locked="0"/>
    </xf>
    <xf numFmtId="0" fontId="8" fillId="2" borderId="2" xfId="0" applyFont="1" applyFill="1" applyBorder="1" applyAlignment="1">
      <alignment horizontal="left" vertical="top"/>
    </xf>
    <xf numFmtId="166" fontId="10" fillId="2" borderId="8" xfId="0" applyNumberFormat="1" applyFont="1" applyFill="1" applyBorder="1" applyAlignment="1">
      <alignment vertical="top"/>
    </xf>
    <xf numFmtId="0" fontId="10" fillId="2" borderId="8" xfId="0" applyFont="1" applyFill="1" applyBorder="1" applyAlignment="1">
      <alignment vertical="top"/>
    </xf>
    <xf numFmtId="0" fontId="10" fillId="2" borderId="3" xfId="0" applyFont="1" applyFill="1" applyBorder="1" applyAlignment="1">
      <alignment vertical="top"/>
    </xf>
    <xf numFmtId="0" fontId="10" fillId="0" borderId="0" xfId="0" applyFont="1" applyFill="1" applyBorder="1" applyAlignment="1">
      <alignment vertical="top"/>
    </xf>
    <xf numFmtId="0" fontId="10" fillId="0" borderId="0" xfId="0" applyFont="1" applyAlignment="1">
      <alignment vertical="top"/>
    </xf>
    <xf numFmtId="0" fontId="2" fillId="2" borderId="4" xfId="0" quotePrefix="1" applyFont="1" applyFill="1" applyBorder="1" applyAlignment="1">
      <alignment horizontal="left" vertical="top"/>
    </xf>
    <xf numFmtId="166" fontId="10" fillId="2" borderId="0" xfId="0" applyNumberFormat="1" applyFont="1" applyFill="1" applyBorder="1" applyAlignment="1">
      <alignment vertical="top"/>
    </xf>
    <xf numFmtId="0" fontId="10" fillId="2" borderId="0" xfId="0" applyFont="1" applyFill="1" applyBorder="1" applyAlignment="1">
      <alignment vertical="top"/>
    </xf>
    <xf numFmtId="0" fontId="10" fillId="2" borderId="5" xfId="0" applyFont="1" applyFill="1" applyBorder="1" applyAlignment="1">
      <alignment vertical="top"/>
    </xf>
    <xf numFmtId="0" fontId="4" fillId="2" borderId="4" xfId="0" quotePrefix="1" applyFont="1" applyFill="1" applyBorder="1" applyAlignment="1">
      <alignment horizontal="left" vertical="top"/>
    </xf>
    <xf numFmtId="0" fontId="4" fillId="2" borderId="6" xfId="0" quotePrefix="1" applyFont="1" applyFill="1" applyBorder="1" applyAlignment="1">
      <alignment horizontal="left" vertical="top"/>
    </xf>
    <xf numFmtId="166" fontId="10" fillId="2" borderId="9" xfId="0" applyNumberFormat="1" applyFont="1" applyFill="1" applyBorder="1" applyAlignment="1">
      <alignment vertical="top"/>
    </xf>
    <xf numFmtId="0" fontId="10" fillId="2" borderId="9" xfId="0" applyFont="1" applyFill="1" applyBorder="1" applyAlignment="1">
      <alignment vertical="top"/>
    </xf>
    <xf numFmtId="0" fontId="10" fillId="2" borderId="7" xfId="0" applyFont="1" applyFill="1" applyBorder="1" applyAlignment="1">
      <alignment vertical="top"/>
    </xf>
    <xf numFmtId="0" fontId="10" fillId="0" borderId="0" xfId="0" applyFont="1" applyAlignment="1">
      <alignment horizontal="left" vertical="top"/>
    </xf>
    <xf numFmtId="166" fontId="10" fillId="0" borderId="0" xfId="0" applyNumberFormat="1" applyFont="1" applyAlignment="1">
      <alignment vertical="top"/>
    </xf>
    <xf numFmtId="0" fontId="8" fillId="2" borderId="1" xfId="0" applyFont="1" applyFill="1" applyBorder="1" applyAlignment="1">
      <alignment horizontal="center" vertical="top"/>
    </xf>
    <xf numFmtId="0" fontId="8" fillId="0" borderId="4" xfId="0" applyFont="1" applyFill="1" applyBorder="1" applyAlignment="1">
      <alignment horizontal="center" vertical="top" wrapText="1"/>
    </xf>
    <xf numFmtId="0" fontId="10" fillId="0" borderId="0" xfId="0" applyFont="1" applyAlignment="1">
      <alignment horizontal="center" vertical="top"/>
    </xf>
    <xf numFmtId="0" fontId="10" fillId="0" borderId="0" xfId="0" applyFont="1" applyAlignment="1" applyProtection="1">
      <alignment horizontal="center" vertical="top"/>
      <protection locked="0"/>
    </xf>
    <xf numFmtId="166" fontId="10" fillId="0" borderId="0" xfId="0" applyNumberFormat="1" applyFont="1" applyAlignment="1" applyProtection="1">
      <alignment vertical="top"/>
      <protection locked="0"/>
    </xf>
    <xf numFmtId="0" fontId="10" fillId="0" borderId="0" xfId="0" applyFont="1" applyFill="1" applyBorder="1" applyAlignment="1">
      <alignment horizontal="center" vertical="top"/>
    </xf>
    <xf numFmtId="0" fontId="6" fillId="2" borderId="8" xfId="0" applyFont="1" applyFill="1" applyBorder="1" applyAlignment="1">
      <alignment horizontal="center" vertical="top"/>
    </xf>
    <xf numFmtId="0" fontId="6" fillId="2" borderId="8" xfId="0" applyFont="1" applyFill="1" applyBorder="1" applyAlignment="1">
      <alignment vertical="top"/>
    </xf>
    <xf numFmtId="0" fontId="6" fillId="2" borderId="3" xfId="0" applyFont="1" applyFill="1" applyBorder="1" applyAlignment="1">
      <alignment vertical="top"/>
    </xf>
    <xf numFmtId="0" fontId="6" fillId="0" borderId="0" xfId="0" applyFont="1" applyFill="1" applyBorder="1" applyAlignment="1">
      <alignment vertical="top"/>
    </xf>
    <xf numFmtId="0" fontId="6" fillId="0" borderId="0" xfId="0" applyFont="1" applyAlignment="1">
      <alignment vertical="top"/>
    </xf>
    <xf numFmtId="0" fontId="6" fillId="2" borderId="0" xfId="0" applyFont="1" applyFill="1" applyBorder="1" applyAlignment="1">
      <alignment horizontal="center" vertical="top"/>
    </xf>
    <xf numFmtId="0" fontId="6" fillId="2" borderId="0" xfId="0" applyFont="1" applyFill="1" applyBorder="1" applyAlignment="1">
      <alignment vertical="top"/>
    </xf>
    <xf numFmtId="0" fontId="6" fillId="2" borderId="5" xfId="0" applyFont="1" applyFill="1" applyBorder="1" applyAlignment="1">
      <alignment vertical="top"/>
    </xf>
    <xf numFmtId="0" fontId="1" fillId="2" borderId="4" xfId="0" quotePrefix="1" applyFont="1" applyFill="1" applyBorder="1" applyAlignment="1">
      <alignment horizontal="left" vertical="top"/>
    </xf>
    <xf numFmtId="0" fontId="9" fillId="2" borderId="4" xfId="0" applyFont="1" applyFill="1" applyBorder="1" applyAlignment="1">
      <alignment horizontal="left" vertical="top"/>
    </xf>
    <xf numFmtId="0" fontId="8" fillId="2" borderId="6" xfId="0" quotePrefix="1" applyFont="1" applyFill="1" applyBorder="1" applyAlignment="1">
      <alignment horizontal="left" vertical="top"/>
    </xf>
    <xf numFmtId="0" fontId="6" fillId="2" borderId="9" xfId="0" applyFont="1" applyFill="1" applyBorder="1" applyAlignment="1">
      <alignment horizontal="center" vertical="top"/>
    </xf>
    <xf numFmtId="2" fontId="6" fillId="2" borderId="9" xfId="0" applyNumberFormat="1" applyFont="1" applyFill="1" applyBorder="1" applyAlignment="1">
      <alignment vertical="top"/>
    </xf>
    <xf numFmtId="2" fontId="6" fillId="2" borderId="7" xfId="0" applyNumberFormat="1" applyFont="1" applyFill="1" applyBorder="1" applyAlignment="1">
      <alignment vertical="top"/>
    </xf>
    <xf numFmtId="2" fontId="6" fillId="0" borderId="0" xfId="0" applyNumberFormat="1" applyFont="1" applyFill="1" applyBorder="1" applyAlignment="1">
      <alignment vertical="top"/>
    </xf>
    <xf numFmtId="0" fontId="6" fillId="0" borderId="0" xfId="0" applyFont="1" applyAlignment="1">
      <alignment horizontal="left" vertical="top"/>
    </xf>
    <xf numFmtId="2" fontId="8" fillId="2" borderId="1" xfId="0" applyNumberFormat="1" applyFont="1" applyFill="1" applyBorder="1" applyAlignment="1">
      <alignment horizontal="center" vertical="top"/>
    </xf>
    <xf numFmtId="0" fontId="6" fillId="0" borderId="0" xfId="0" applyFont="1" applyAlignment="1" applyProtection="1">
      <alignment horizontal="center" vertical="top"/>
      <protection locked="0"/>
    </xf>
    <xf numFmtId="2" fontId="6" fillId="0" borderId="0" xfId="0" applyNumberFormat="1" applyFont="1" applyAlignment="1">
      <alignment vertical="top"/>
    </xf>
    <xf numFmtId="0" fontId="9" fillId="2" borderId="2" xfId="0" applyFont="1" applyFill="1" applyBorder="1" applyAlignment="1">
      <alignment horizontal="left" vertical="top"/>
    </xf>
    <xf numFmtId="0" fontId="3" fillId="2" borderId="4" xfId="0" quotePrefix="1" applyFont="1" applyFill="1" applyBorder="1" applyAlignment="1">
      <alignment horizontal="left" vertical="top"/>
    </xf>
    <xf numFmtId="0" fontId="2" fillId="2" borderId="6" xfId="0" quotePrefix="1" applyFont="1" applyFill="1" applyBorder="1" applyAlignment="1">
      <alignment horizontal="left" vertical="top"/>
    </xf>
    <xf numFmtId="0" fontId="6" fillId="2" borderId="9" xfId="0" applyFont="1" applyFill="1" applyBorder="1" applyAlignment="1">
      <alignment vertical="top"/>
    </xf>
    <xf numFmtId="0" fontId="6" fillId="2" borderId="7" xfId="0" applyFont="1" applyFill="1" applyBorder="1" applyAlignment="1">
      <alignment vertical="top"/>
    </xf>
    <xf numFmtId="2" fontId="6" fillId="2" borderId="8" xfId="0" applyNumberFormat="1" applyFont="1" applyFill="1" applyBorder="1" applyAlignment="1">
      <alignment vertical="top"/>
    </xf>
    <xf numFmtId="2" fontId="6" fillId="2" borderId="3" xfId="0" applyNumberFormat="1" applyFont="1" applyFill="1" applyBorder="1" applyAlignment="1">
      <alignment vertical="top"/>
    </xf>
    <xf numFmtId="0" fontId="6" fillId="2" borderId="0" xfId="0" applyFont="1" applyFill="1" applyAlignment="1">
      <alignment horizontal="center" vertical="top"/>
    </xf>
    <xf numFmtId="2" fontId="6" fillId="2" borderId="0" xfId="0" applyNumberFormat="1" applyFont="1" applyFill="1" applyAlignment="1">
      <alignment vertical="top"/>
    </xf>
    <xf numFmtId="2" fontId="6" fillId="2" borderId="5" xfId="0" applyNumberFormat="1" applyFont="1" applyFill="1" applyBorder="1" applyAlignment="1">
      <alignment vertical="top"/>
    </xf>
    <xf numFmtId="2" fontId="6" fillId="0" borderId="0" xfId="0" applyNumberFormat="1" applyFont="1" applyAlignment="1" applyProtection="1">
      <alignment vertical="top"/>
      <protection locked="0"/>
    </xf>
    <xf numFmtId="2" fontId="6" fillId="0" borderId="8" xfId="0" applyNumberFormat="1" applyFont="1" applyBorder="1" applyAlignment="1" applyProtection="1">
      <alignment vertical="top"/>
      <protection locked="0"/>
    </xf>
    <xf numFmtId="2" fontId="1" fillId="0" borderId="0" xfId="0" applyNumberFormat="1" applyFont="1" applyAlignment="1" applyProtection="1">
      <alignment vertical="top"/>
      <protection locked="0"/>
    </xf>
    <xf numFmtId="165" fontId="6" fillId="2" borderId="8" xfId="0" applyNumberFormat="1" applyFont="1" applyFill="1" applyBorder="1" applyAlignment="1">
      <alignment vertical="top"/>
    </xf>
    <xf numFmtId="2" fontId="6" fillId="2" borderId="0" xfId="0" applyNumberFormat="1" applyFont="1" applyFill="1" applyBorder="1" applyAlignment="1">
      <alignment vertical="top"/>
    </xf>
    <xf numFmtId="165" fontId="6" fillId="2" borderId="0" xfId="0" applyNumberFormat="1" applyFont="1" applyFill="1" applyBorder="1" applyAlignment="1">
      <alignment vertical="top"/>
    </xf>
    <xf numFmtId="0" fontId="1" fillId="2" borderId="6" xfId="0" quotePrefix="1" applyFont="1" applyFill="1" applyBorder="1" applyAlignment="1">
      <alignment horizontal="left" vertical="top"/>
    </xf>
    <xf numFmtId="165" fontId="6" fillId="2" borderId="9" xfId="0" applyNumberFormat="1" applyFont="1" applyFill="1" applyBorder="1" applyAlignment="1">
      <alignment vertical="top"/>
    </xf>
    <xf numFmtId="165" fontId="6" fillId="0" borderId="0" xfId="0" applyNumberFormat="1" applyFont="1" applyAlignment="1">
      <alignment vertical="top"/>
    </xf>
    <xf numFmtId="0" fontId="6" fillId="2" borderId="0" xfId="0" applyFont="1" applyFill="1" applyAlignment="1" applyProtection="1">
      <alignment horizontal="center" vertical="top"/>
    </xf>
    <xf numFmtId="165" fontId="6" fillId="0" borderId="0" xfId="0" applyNumberFormat="1" applyFont="1" applyAlignment="1" applyProtection="1">
      <alignment vertical="top"/>
      <protection locked="0"/>
    </xf>
    <xf numFmtId="0" fontId="8" fillId="2" borderId="0" xfId="0" applyFont="1" applyFill="1" applyAlignment="1">
      <alignment horizontal="left" vertical="top"/>
    </xf>
    <xf numFmtId="0" fontId="0" fillId="2" borderId="0" xfId="0" applyFill="1" applyAlignment="1">
      <alignment horizontal="center" vertical="top"/>
    </xf>
    <xf numFmtId="2" fontId="0" fillId="2" borderId="0" xfId="0" applyNumberFormat="1" applyFill="1" applyAlignment="1">
      <alignment vertical="top"/>
    </xf>
    <xf numFmtId="0" fontId="0" fillId="0" borderId="0" xfId="0" applyAlignment="1">
      <alignment vertical="top"/>
    </xf>
    <xf numFmtId="0" fontId="1" fillId="2" borderId="0" xfId="0" quotePrefix="1" applyFont="1" applyFill="1" applyAlignment="1">
      <alignment horizontal="left" vertical="top"/>
    </xf>
    <xf numFmtId="0" fontId="1" fillId="0" borderId="0" xfId="0" applyFont="1" applyAlignment="1">
      <alignment horizontal="left" vertical="top"/>
    </xf>
    <xf numFmtId="0" fontId="0" fillId="0" borderId="0" xfId="0" applyAlignment="1">
      <alignment horizontal="center" vertical="top"/>
    </xf>
    <xf numFmtId="2" fontId="0" fillId="0" borderId="0" xfId="0" applyNumberFormat="1" applyAlignment="1">
      <alignment vertical="top"/>
    </xf>
    <xf numFmtId="0" fontId="7" fillId="2" borderId="1" xfId="0" applyFont="1" applyFill="1" applyBorder="1" applyAlignment="1">
      <alignment horizontal="center" vertical="top"/>
    </xf>
    <xf numFmtId="0" fontId="7" fillId="0" borderId="0" xfId="0" applyFont="1" applyAlignment="1">
      <alignment horizontal="center" vertical="top"/>
    </xf>
    <xf numFmtId="0" fontId="6" fillId="0" borderId="0" xfId="0" applyNumberFormat="1" applyFont="1" applyAlignment="1" applyProtection="1">
      <alignment vertical="top"/>
      <protection locked="0"/>
    </xf>
    <xf numFmtId="164" fontId="6" fillId="0" borderId="0" xfId="0" applyNumberFormat="1" applyFont="1" applyAlignment="1" applyProtection="1">
      <alignment vertical="top"/>
      <protection locked="0"/>
    </xf>
    <xf numFmtId="2" fontId="0" fillId="0" borderId="0" xfId="0" applyNumberFormat="1" applyAlignment="1" applyProtection="1">
      <alignment vertical="top"/>
      <protection locked="0"/>
    </xf>
    <xf numFmtId="0" fontId="0" fillId="0" borderId="0" xfId="0" applyAlignment="1" applyProtection="1">
      <alignment horizontal="center" vertical="top"/>
      <protection locked="0"/>
    </xf>
    <xf numFmtId="0" fontId="0" fillId="0" borderId="0" xfId="0" applyNumberFormat="1" applyAlignment="1" applyProtection="1">
      <alignment vertical="top"/>
      <protection locked="0"/>
    </xf>
    <xf numFmtId="0" fontId="1" fillId="2" borderId="8" xfId="0" applyFont="1" applyFill="1" applyBorder="1" applyAlignment="1">
      <alignment horizontal="center" vertical="top"/>
    </xf>
    <xf numFmtId="165" fontId="1" fillId="2" borderId="8" xfId="0" applyNumberFormat="1" applyFont="1" applyFill="1" applyBorder="1" applyAlignment="1">
      <alignment vertical="top"/>
    </xf>
    <xf numFmtId="165" fontId="1" fillId="2" borderId="3" xfId="0" applyNumberFormat="1" applyFont="1" applyFill="1" applyBorder="1" applyAlignment="1">
      <alignment vertical="top"/>
    </xf>
    <xf numFmtId="0" fontId="1" fillId="2" borderId="0" xfId="0" applyFont="1" applyFill="1" applyBorder="1" applyAlignment="1">
      <alignment horizontal="center" vertical="top"/>
    </xf>
    <xf numFmtId="165" fontId="1" fillId="2" borderId="0" xfId="0" applyNumberFormat="1" applyFont="1" applyFill="1" applyBorder="1" applyAlignment="1">
      <alignment vertical="top"/>
    </xf>
    <xf numFmtId="165" fontId="1" fillId="2" borderId="5" xfId="0" applyNumberFormat="1" applyFont="1" applyFill="1" applyBorder="1" applyAlignment="1">
      <alignment vertical="top"/>
    </xf>
    <xf numFmtId="0" fontId="1" fillId="2" borderId="9" xfId="0" applyFont="1" applyFill="1" applyBorder="1" applyAlignment="1">
      <alignment horizontal="center" vertical="top"/>
    </xf>
    <xf numFmtId="165" fontId="1" fillId="2" borderId="9" xfId="0" applyNumberFormat="1" applyFont="1" applyFill="1" applyBorder="1" applyAlignment="1">
      <alignment vertical="top"/>
    </xf>
    <xf numFmtId="165" fontId="1" fillId="2" borderId="7" xfId="0" applyNumberFormat="1" applyFont="1" applyFill="1" applyBorder="1" applyAlignment="1">
      <alignment vertical="top"/>
    </xf>
    <xf numFmtId="0" fontId="0" fillId="0" borderId="0" xfId="0" applyAlignment="1">
      <alignment horizontal="left" vertical="top"/>
    </xf>
    <xf numFmtId="165" fontId="0" fillId="0" borderId="0" xfId="0" applyNumberFormat="1" applyAlignment="1">
      <alignment vertical="top"/>
    </xf>
    <xf numFmtId="165" fontId="0" fillId="0" borderId="0" xfId="0" applyNumberFormat="1" applyAlignment="1" applyProtection="1">
      <alignment vertical="top"/>
      <protection locked="0"/>
    </xf>
    <xf numFmtId="2" fontId="1" fillId="2" borderId="0" xfId="0" quotePrefix="1" applyNumberFormat="1" applyFont="1" applyFill="1" applyBorder="1" applyAlignment="1">
      <alignment vertical="top"/>
    </xf>
    <xf numFmtId="0" fontId="1" fillId="2" borderId="4" xfId="0" quotePrefix="1" applyFont="1" applyFill="1" applyBorder="1" applyAlignment="1">
      <alignment horizontal="left" vertical="top" wrapText="1"/>
    </xf>
    <xf numFmtId="0" fontId="1" fillId="2" borderId="0" xfId="0" quotePrefix="1" applyFont="1" applyFill="1" applyBorder="1" applyAlignment="1">
      <alignment horizontal="left" vertical="top" wrapText="1"/>
    </xf>
    <xf numFmtId="2" fontId="1" fillId="2" borderId="4" xfId="0" quotePrefix="1" applyNumberFormat="1" applyFont="1" applyFill="1" applyBorder="1" applyAlignment="1">
      <alignment vertical="top"/>
    </xf>
    <xf numFmtId="0" fontId="1" fillId="2" borderId="0" xfId="0" quotePrefix="1" applyFont="1" applyFill="1" applyBorder="1" applyAlignment="1">
      <alignment horizontal="left" vertical="top" wrapText="1"/>
    </xf>
    <xf numFmtId="2" fontId="1" fillId="2" borderId="6" xfId="0" quotePrefix="1" applyNumberFormat="1" applyFont="1" applyFill="1" applyBorder="1" applyAlignment="1">
      <alignment vertical="top"/>
    </xf>
    <xf numFmtId="0" fontId="1" fillId="2" borderId="9" xfId="0" quotePrefix="1" applyFont="1" applyFill="1" applyBorder="1" applyAlignment="1">
      <alignment horizontal="left" vertical="top" wrapText="1"/>
    </xf>
    <xf numFmtId="2" fontId="1" fillId="2" borderId="9" xfId="0" quotePrefix="1" applyNumberFormat="1" applyFont="1" applyFill="1" applyBorder="1" applyAlignment="1">
      <alignment vertical="top"/>
    </xf>
    <xf numFmtId="0" fontId="1" fillId="2" borderId="5" xfId="0" quotePrefix="1" applyFont="1" applyFill="1" applyBorder="1" applyAlignment="1">
      <alignment horizontal="left" vertical="top" wrapText="1"/>
    </xf>
    <xf numFmtId="0" fontId="1" fillId="2" borderId="5" xfId="0" quotePrefix="1" applyFont="1" applyFill="1" applyBorder="1" applyAlignment="1">
      <alignment vertical="top"/>
    </xf>
    <xf numFmtId="1" fontId="6" fillId="2" borderId="8" xfId="0" applyNumberFormat="1" applyFont="1" applyFill="1" applyBorder="1"/>
    <xf numFmtId="164" fontId="6" fillId="2" borderId="8" xfId="0" applyNumberFormat="1" applyFont="1" applyFill="1" applyBorder="1"/>
    <xf numFmtId="164" fontId="6" fillId="2" borderId="3" xfId="0" applyNumberFormat="1" applyFont="1" applyFill="1" applyBorder="1"/>
    <xf numFmtId="1" fontId="6" fillId="2" borderId="0" xfId="0" applyNumberFormat="1" applyFont="1" applyFill="1" applyBorder="1"/>
    <xf numFmtId="164" fontId="6" fillId="2" borderId="0" xfId="0" applyNumberFormat="1" applyFont="1" applyFill="1" applyBorder="1"/>
    <xf numFmtId="164" fontId="6" fillId="2" borderId="5" xfId="0" applyNumberFormat="1" applyFont="1" applyFill="1" applyBorder="1"/>
    <xf numFmtId="1" fontId="6" fillId="2" borderId="9" xfId="0" applyNumberFormat="1" applyFont="1" applyFill="1" applyBorder="1"/>
    <xf numFmtId="164" fontId="6" fillId="2" borderId="9" xfId="0" applyNumberFormat="1" applyFont="1" applyFill="1" applyBorder="1"/>
    <xf numFmtId="164" fontId="6" fillId="2" borderId="7" xfId="0" applyNumberFormat="1" applyFont="1" applyFill="1" applyBorder="1"/>
    <xf numFmtId="1" fontId="6" fillId="0" borderId="0" xfId="0" applyNumberFormat="1" applyFont="1" applyProtection="1">
      <protection locked="0"/>
    </xf>
    <xf numFmtId="0" fontId="6" fillId="2" borderId="3" xfId="0" applyFont="1" applyFill="1" applyBorder="1" applyAlignment="1">
      <alignment horizontal="center"/>
    </xf>
    <xf numFmtId="0" fontId="6" fillId="2" borderId="5" xfId="0" applyFont="1" applyFill="1" applyBorder="1" applyAlignment="1">
      <alignment horizontal="center"/>
    </xf>
    <xf numFmtId="0" fontId="6" fillId="2" borderId="7" xfId="0" applyFont="1" applyFill="1" applyBorder="1" applyAlignment="1">
      <alignment horizontal="center"/>
    </xf>
    <xf numFmtId="0" fontId="1" fillId="0" borderId="0" xfId="0" applyFont="1" applyAlignment="1" applyProtection="1">
      <alignment horizontal="center"/>
      <protection locked="0"/>
    </xf>
  </cellXfs>
  <cellStyles count="1">
    <cellStyle name="Normal" xfId="0" builtinId="0"/>
  </cellStyles>
  <dxfs count="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9C0006"/>
      <color rgb="FFFFC7C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41CCE7-B410-FF47-BADF-81BBEEEAE8A4}">
  <sheetPr codeName="Sheet21"/>
  <dimension ref="A1:B4"/>
  <sheetViews>
    <sheetView zoomScale="130" zoomScaleNormal="130" workbookViewId="0">
      <selection activeCell="B18" sqref="B18"/>
    </sheetView>
  </sheetViews>
  <sheetFormatPr defaultColWidth="10.85546875" defaultRowHeight="15.75" x14ac:dyDescent="0.25"/>
  <cols>
    <col min="1" max="1" width="20.85546875" style="14" customWidth="1"/>
    <col min="2" max="2" width="50.85546875" style="14" customWidth="1"/>
    <col min="3" max="16384" width="10.85546875" style="14"/>
  </cols>
  <sheetData>
    <row r="1" spans="1:2" s="13" customFormat="1" x14ac:dyDescent="0.25">
      <c r="A1" s="13" t="s">
        <v>145</v>
      </c>
      <c r="B1" s="13" t="s">
        <v>5</v>
      </c>
    </row>
    <row r="2" spans="1:2" x14ac:dyDescent="0.25">
      <c r="A2" s="14" t="s">
        <v>146</v>
      </c>
      <c r="B2" s="14" t="s">
        <v>148</v>
      </c>
    </row>
    <row r="3" spans="1:2" ht="50.1" customHeight="1" x14ac:dyDescent="0.25">
      <c r="A3" s="14" t="s">
        <v>147</v>
      </c>
      <c r="B3" s="15" t="s">
        <v>149</v>
      </c>
    </row>
    <row r="4" spans="1:2" x14ac:dyDescent="0.25">
      <c r="A4" s="14" t="s">
        <v>4</v>
      </c>
      <c r="B4" s="14" t="s">
        <v>0</v>
      </c>
    </row>
  </sheetData>
  <dataValidations count="3">
    <dataValidation type="list" allowBlank="1" showInputMessage="1" showErrorMessage="1" error="Choose from the list" prompt="Choose default units" sqref="B4" xr:uid="{8AEB9A2A-DC46-724F-9AFC-18D3B6A7A496}">
      <formula1>Unit_Force</formula1>
    </dataValidation>
    <dataValidation allowBlank="1" showInputMessage="1" showErrorMessage="1" prompt="Project name. User input" sqref="B2" xr:uid="{EC4E717C-7E79-1643-ABDA-E7C63D2C6928}"/>
    <dataValidation allowBlank="1" showInputMessage="1" showErrorMessage="1" prompt="Project description. User input" sqref="B3" xr:uid="{28244F7C-9F5E-CB47-868D-874AB001AE59}"/>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C83A73-50DB-4818-AD57-9D1D23C8BA8A}">
  <sheetPr codeName="Sheet1"/>
  <dimension ref="A1:P9"/>
  <sheetViews>
    <sheetView zoomScale="130" zoomScaleNormal="130" workbookViewId="0">
      <selection activeCell="C7" sqref="C7"/>
    </sheetView>
  </sheetViews>
  <sheetFormatPr defaultColWidth="9.140625" defaultRowHeight="15.75" x14ac:dyDescent="0.25"/>
  <cols>
    <col min="1" max="1" width="20.85546875" style="59" customWidth="1"/>
    <col min="2" max="16" width="20.7109375" style="59" customWidth="1"/>
    <col min="17" max="16384" width="9.140625" style="59"/>
  </cols>
  <sheetData>
    <row r="1" spans="1:16" ht="47.25" x14ac:dyDescent="0.25">
      <c r="A1" s="57" t="s">
        <v>8</v>
      </c>
      <c r="B1" s="57" t="s">
        <v>10</v>
      </c>
      <c r="C1" s="57" t="s">
        <v>152</v>
      </c>
      <c r="D1" s="57" t="s">
        <v>153</v>
      </c>
      <c r="E1" s="57" t="s">
        <v>33</v>
      </c>
      <c r="F1" s="58" t="s">
        <v>67</v>
      </c>
      <c r="G1" s="58" t="s">
        <v>68</v>
      </c>
      <c r="H1" s="57" t="s">
        <v>71</v>
      </c>
      <c r="I1" s="57" t="s">
        <v>72</v>
      </c>
      <c r="J1" s="57" t="s">
        <v>73</v>
      </c>
      <c r="K1" s="57" t="s">
        <v>161</v>
      </c>
      <c r="L1" s="57" t="s">
        <v>162</v>
      </c>
      <c r="M1" s="57" t="s">
        <v>163</v>
      </c>
      <c r="N1" s="57" t="s">
        <v>164</v>
      </c>
      <c r="O1" s="57" t="s">
        <v>165</v>
      </c>
      <c r="P1" s="57" t="s">
        <v>166</v>
      </c>
    </row>
    <row r="2" spans="1:16" x14ac:dyDescent="0.25">
      <c r="A2" s="59" t="s">
        <v>2</v>
      </c>
      <c r="B2" s="59" t="str" cm="1">
        <f t="array" ref="B2:B7">_xlfn.LET(_xlpm.data, _xlfn.VSTACK(Materials!$A$14:$A$1013,Mat_Concrete04!$A$14:$A$1013,Mat_Steel02!$A$20:$A$1019,Mat_IMK!$A$20:$A$1019), _xlfn._xlws.FILTER(_xlpm.data, _xlpm.data&lt;&gt;""))</f>
        <v>RC30</v>
      </c>
      <c r="C2" s="59" t="str" cm="1">
        <f t="array" ref="C2">_xlfn._xlws.FILTER(Materials!A14:A1013,(Materials!B14:B1013="Concrete")*(Materials!A14:A1013&lt;&gt;""))</f>
        <v>RC30</v>
      </c>
      <c r="D2" s="59" t="str" cm="1">
        <f t="array" ref="D2">_xlfn._xlws.FILTER(Materials!A14:A1013,((Materials!B14:B1013="Rebar")+(Materials!B14:B1013="Steel"))*(Materials!A14:A1013&lt;&gt;""))</f>
        <v>Rebar420</v>
      </c>
      <c r="E2" s="59" t="str" cm="1">
        <f t="array" ref="E2:E4">_xlfn.LET(_xlpm.data, _xlfn.VSTACK(Mat_Concrete04!$A$14:$A$1013,Mat_Steel02!$A$20:$A$1019), _xlfn._xlws.FILTER(_xlpm.data, _xlpm.data&lt;&gt;""))</f>
        <v>RC Unconfined</v>
      </c>
      <c r="F2" s="59" t="s">
        <v>69</v>
      </c>
      <c r="G2" s="59" t="s">
        <v>70</v>
      </c>
      <c r="H2" s="59" t="s">
        <v>74</v>
      </c>
      <c r="I2" s="59" t="str" cm="1">
        <f t="array" ref="I2:I5">_xlfn.LET(_xlpm.data, _xlfn.VSTACK('Frame Sections'!$A$17:$A$1016,Sec_Fiber!$A$19:$A$1018,Sec_Aggregator!$A$9:$A$1008), _xlfn._xlws.FILTER(_xlpm.data, _xlpm.data&lt;&gt;""))</f>
        <v>C1</v>
      </c>
      <c r="J2" s="59" t="s">
        <v>75</v>
      </c>
      <c r="K2" s="60" t="s">
        <v>167</v>
      </c>
      <c r="L2" s="60" t="s">
        <v>174</v>
      </c>
      <c r="M2" s="60" t="s">
        <v>179</v>
      </c>
      <c r="N2" s="60" t="s">
        <v>184</v>
      </c>
      <c r="O2" s="60" t="s">
        <v>192</v>
      </c>
      <c r="P2" s="60" t="s">
        <v>193</v>
      </c>
    </row>
    <row r="3" spans="1:16" x14ac:dyDescent="0.25">
      <c r="A3" s="59" t="s">
        <v>3</v>
      </c>
      <c r="B3" s="59" t="str">
        <v>Rebar420</v>
      </c>
      <c r="E3" s="59" t="str">
        <v>RC Confined</v>
      </c>
      <c r="I3" s="59" t="str">
        <v>B1</v>
      </c>
      <c r="J3" s="59" t="s">
        <v>76</v>
      </c>
      <c r="K3" s="60" t="s">
        <v>168</v>
      </c>
      <c r="L3" s="60" t="s">
        <v>175</v>
      </c>
      <c r="M3" s="60" t="s">
        <v>180</v>
      </c>
      <c r="N3" s="60" t="s">
        <v>185</v>
      </c>
      <c r="O3" s="60" t="s">
        <v>204</v>
      </c>
      <c r="P3" s="60" t="s">
        <v>194</v>
      </c>
    </row>
    <row r="4" spans="1:16" x14ac:dyDescent="0.25">
      <c r="A4" s="59" t="s">
        <v>9</v>
      </c>
      <c r="B4" s="59" t="str">
        <v>RC Unconfined</v>
      </c>
      <c r="E4" s="59" t="str">
        <v>Rebar420NL</v>
      </c>
      <c r="I4" s="59" t="str">
        <v>C1_Fiber</v>
      </c>
      <c r="J4" s="59" t="s">
        <v>77</v>
      </c>
      <c r="K4" s="60" t="s">
        <v>169</v>
      </c>
      <c r="L4" s="60" t="s">
        <v>176</v>
      </c>
      <c r="M4" s="60" t="s">
        <v>181</v>
      </c>
      <c r="N4" s="60" t="s">
        <v>186</v>
      </c>
    </row>
    <row r="5" spans="1:16" x14ac:dyDescent="0.25">
      <c r="B5" s="59" t="str">
        <v>RC Confined</v>
      </c>
      <c r="I5" s="59" t="str">
        <v>C1_Fiber_Agg</v>
      </c>
      <c r="J5" s="59" t="s">
        <v>14</v>
      </c>
      <c r="K5" s="60" t="s">
        <v>170</v>
      </c>
      <c r="L5" s="60" t="s">
        <v>177</v>
      </c>
      <c r="M5" s="60" t="s">
        <v>182</v>
      </c>
      <c r="N5" s="60" t="s">
        <v>187</v>
      </c>
    </row>
    <row r="6" spans="1:16" x14ac:dyDescent="0.25">
      <c r="B6" s="59" t="str">
        <v>Rebar420NL</v>
      </c>
      <c r="J6" s="59" t="s">
        <v>78</v>
      </c>
      <c r="K6" s="60" t="s">
        <v>171</v>
      </c>
      <c r="L6" s="60" t="s">
        <v>178</v>
      </c>
      <c r="M6" s="60" t="s">
        <v>183</v>
      </c>
      <c r="N6" s="60" t="s">
        <v>188</v>
      </c>
    </row>
    <row r="7" spans="1:16" x14ac:dyDescent="0.25">
      <c r="B7" s="59" t="str">
        <v>Beam Hinge</v>
      </c>
      <c r="K7" s="60" t="s">
        <v>172</v>
      </c>
      <c r="N7" s="60" t="s">
        <v>189</v>
      </c>
    </row>
    <row r="8" spans="1:16" x14ac:dyDescent="0.25">
      <c r="K8" s="60" t="s">
        <v>173</v>
      </c>
      <c r="N8" s="60" t="s">
        <v>190</v>
      </c>
    </row>
    <row r="9" spans="1:16" x14ac:dyDescent="0.25">
      <c r="N9" s="60" t="s">
        <v>191</v>
      </c>
    </row>
  </sheetData>
  <pageMargins left="0.7" right="0.7" top="0.75" bottom="0.75" header="0.3" footer="0.3"/>
  <pageSetup paperSize="9" orientation="portrait"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B248C0-32DF-4CB7-98B5-97665BDFC2C3}">
  <dimension ref="A1:B7"/>
  <sheetViews>
    <sheetView zoomScale="130" zoomScaleNormal="130" workbookViewId="0">
      <selection activeCell="F21" sqref="F21"/>
    </sheetView>
  </sheetViews>
  <sheetFormatPr defaultColWidth="9.140625" defaultRowHeight="15.75" x14ac:dyDescent="0.25"/>
  <cols>
    <col min="1" max="1" width="4.7109375" style="60" customWidth="1"/>
    <col min="2" max="16384" width="9.140625" style="62"/>
  </cols>
  <sheetData>
    <row r="1" spans="1:2" x14ac:dyDescent="0.25">
      <c r="A1" s="61" t="s">
        <v>199</v>
      </c>
    </row>
    <row r="2" spans="1:2" x14ac:dyDescent="0.25">
      <c r="A2" s="60">
        <v>1</v>
      </c>
      <c r="B2" s="62" t="s">
        <v>201</v>
      </c>
    </row>
    <row r="3" spans="1:2" x14ac:dyDescent="0.25">
      <c r="A3" s="60">
        <v>2</v>
      </c>
      <c r="B3" s="62" t="s">
        <v>202</v>
      </c>
    </row>
    <row r="4" spans="1:2" x14ac:dyDescent="0.25">
      <c r="A4" s="60">
        <v>3</v>
      </c>
      <c r="B4" s="62" t="s">
        <v>203</v>
      </c>
    </row>
    <row r="5" spans="1:2" x14ac:dyDescent="0.25">
      <c r="A5" s="60">
        <v>4</v>
      </c>
      <c r="B5" s="63" t="s">
        <v>259</v>
      </c>
    </row>
    <row r="6" spans="1:2" x14ac:dyDescent="0.25">
      <c r="A6" s="60">
        <v>5</v>
      </c>
      <c r="B6" s="64" t="s">
        <v>260</v>
      </c>
    </row>
    <row r="7" spans="1:2" x14ac:dyDescent="0.25">
      <c r="B7" s="65"/>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9308E5-353E-3840-A3D7-0B4987A25445}">
  <sheetPr codeName="Sheet3"/>
  <dimension ref="A1:B7"/>
  <sheetViews>
    <sheetView zoomScale="130" zoomScaleNormal="130" workbookViewId="0">
      <selection activeCell="B16" sqref="B16"/>
    </sheetView>
  </sheetViews>
  <sheetFormatPr defaultColWidth="10.85546875" defaultRowHeight="15.75" x14ac:dyDescent="0.25"/>
  <cols>
    <col min="1" max="1" width="20.7109375" style="14" customWidth="1"/>
    <col min="2" max="2" width="80.7109375" style="14" customWidth="1"/>
    <col min="3" max="16384" width="10.85546875" style="14"/>
  </cols>
  <sheetData>
    <row r="1" spans="1:2" x14ac:dyDescent="0.25">
      <c r="A1" s="19" t="s">
        <v>200</v>
      </c>
      <c r="B1" s="20"/>
    </row>
    <row r="2" spans="1:2" x14ac:dyDescent="0.25">
      <c r="A2" s="30" t="s">
        <v>215</v>
      </c>
      <c r="B2" s="21"/>
    </row>
    <row r="3" spans="1:2" x14ac:dyDescent="0.25">
      <c r="A3" s="22" t="s">
        <v>216</v>
      </c>
      <c r="B3" s="23"/>
    </row>
    <row r="5" spans="1:2" s="13" customFormat="1" x14ac:dyDescent="0.25">
      <c r="A5" s="17" t="s">
        <v>154</v>
      </c>
      <c r="B5" s="17" t="s">
        <v>5</v>
      </c>
    </row>
    <row r="6" spans="1:2" x14ac:dyDescent="0.25">
      <c r="A6" s="18" t="s">
        <v>146</v>
      </c>
      <c r="B6" s="24" t="s">
        <v>148</v>
      </c>
    </row>
    <row r="7" spans="1:2" ht="50.1" customHeight="1" x14ac:dyDescent="0.25">
      <c r="A7" s="26" t="s">
        <v>147</v>
      </c>
      <c r="B7" s="25" t="s">
        <v>149</v>
      </c>
    </row>
  </sheetData>
  <dataValidations disablePrompts="1" count="2">
    <dataValidation type="custom" allowBlank="1" showInputMessage="1" showErrorMessage="1" errorTitle="Invalid Input" error="Please enter a text/string value only." sqref="B7" xr:uid="{877D4219-1272-47FE-A182-1545318B28E1}">
      <formula1>ISTEXT(B7)</formula1>
    </dataValidation>
    <dataValidation type="custom" allowBlank="1" showInputMessage="1" showErrorMessage="1" errorTitle="Invalid Input" error="Please enter an text/string value only." sqref="B6" xr:uid="{A6037CF8-4CFF-42BF-A078-F7F649462D5B}">
      <formula1>ISTEXT(B6)</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1869AF-010D-D44C-9DCE-C8C233A9CF26}">
  <sheetPr codeName="Sheet23"/>
  <dimension ref="A1:E15"/>
  <sheetViews>
    <sheetView zoomScale="130" zoomScaleNormal="130" workbookViewId="0">
      <selection activeCell="E18" sqref="E18"/>
    </sheetView>
  </sheetViews>
  <sheetFormatPr defaultColWidth="10.85546875" defaultRowHeight="15.75" x14ac:dyDescent="0.25"/>
  <cols>
    <col min="1" max="1" width="20.7109375" style="14" customWidth="1"/>
    <col min="2" max="2" width="10.7109375" style="16" customWidth="1"/>
    <col min="3" max="16384" width="10.85546875" style="14"/>
  </cols>
  <sheetData>
    <row r="1" spans="1:5" x14ac:dyDescent="0.25">
      <c r="A1" s="19" t="s">
        <v>200</v>
      </c>
      <c r="B1" s="34"/>
      <c r="C1" s="35"/>
      <c r="D1" s="35"/>
      <c r="E1" s="20"/>
    </row>
    <row r="2" spans="1:5" x14ac:dyDescent="0.25">
      <c r="A2" s="30" t="s">
        <v>207</v>
      </c>
      <c r="B2" s="51"/>
      <c r="C2" s="52"/>
      <c r="D2" s="52"/>
      <c r="E2" s="21"/>
    </row>
    <row r="3" spans="1:5" x14ac:dyDescent="0.25">
      <c r="A3" s="30" t="s">
        <v>208</v>
      </c>
      <c r="B3" s="51"/>
      <c r="C3" s="52"/>
      <c r="D3" s="52"/>
      <c r="E3" s="21"/>
    </row>
    <row r="4" spans="1:5" x14ac:dyDescent="0.25">
      <c r="A4" s="30" t="s">
        <v>209</v>
      </c>
      <c r="B4" s="51"/>
      <c r="C4" s="52"/>
      <c r="D4" s="52"/>
      <c r="E4" s="21"/>
    </row>
    <row r="5" spans="1:5" x14ac:dyDescent="0.25">
      <c r="A5" s="30" t="s">
        <v>210</v>
      </c>
      <c r="B5" s="51"/>
      <c r="C5" s="52"/>
      <c r="D5" s="52"/>
      <c r="E5" s="21"/>
    </row>
    <row r="6" spans="1:5" x14ac:dyDescent="0.25">
      <c r="A6" s="30" t="s">
        <v>211</v>
      </c>
      <c r="B6" s="51"/>
      <c r="C6" s="52"/>
      <c r="D6" s="52"/>
      <c r="E6" s="21"/>
    </row>
    <row r="7" spans="1:5" x14ac:dyDescent="0.25">
      <c r="A7" s="22" t="s">
        <v>212</v>
      </c>
      <c r="B7" s="36"/>
      <c r="C7" s="37"/>
      <c r="D7" s="37"/>
      <c r="E7" s="23"/>
    </row>
    <row r="9" spans="1:5" s="13" customFormat="1" x14ac:dyDescent="0.25">
      <c r="A9" s="17" t="s">
        <v>154</v>
      </c>
      <c r="B9" s="17" t="s">
        <v>5</v>
      </c>
    </row>
    <row r="10" spans="1:5" x14ac:dyDescent="0.25">
      <c r="A10" s="26" t="s">
        <v>155</v>
      </c>
      <c r="B10" s="28" t="s">
        <v>168</v>
      </c>
    </row>
    <row r="11" spans="1:5" x14ac:dyDescent="0.25">
      <c r="A11" s="27" t="s">
        <v>156</v>
      </c>
      <c r="B11" s="29" t="s">
        <v>174</v>
      </c>
    </row>
    <row r="12" spans="1:5" x14ac:dyDescent="0.25">
      <c r="A12" s="26" t="s">
        <v>157</v>
      </c>
      <c r="B12" s="28" t="s">
        <v>179</v>
      </c>
    </row>
    <row r="13" spans="1:5" x14ac:dyDescent="0.25">
      <c r="A13" s="26" t="s">
        <v>158</v>
      </c>
      <c r="B13" s="28" t="s">
        <v>186</v>
      </c>
    </row>
    <row r="14" spans="1:5" x14ac:dyDescent="0.25">
      <c r="A14" s="26" t="s">
        <v>159</v>
      </c>
      <c r="B14" s="28" t="s">
        <v>192</v>
      </c>
    </row>
    <row r="15" spans="1:5" x14ac:dyDescent="0.25">
      <c r="A15" s="26" t="s">
        <v>160</v>
      </c>
      <c r="B15" s="28" t="s">
        <v>193</v>
      </c>
    </row>
  </sheetData>
  <dataValidations count="6">
    <dataValidation type="list" allowBlank="1" showInputMessage="1" showErrorMessage="1" errorTitle="Invalid Input" error="Choose from the list" sqref="B11" xr:uid="{3BF2FAD2-37CF-DC4C-B720-2E3955E2CAE3}">
      <formula1>Unit_Length</formula1>
    </dataValidation>
    <dataValidation type="list" allowBlank="1" showInputMessage="1" showErrorMessage="1" errorTitle="Invalid Input" error="Choose from the list" sqref="B10" xr:uid="{259C4A1C-5B1C-A44C-86F3-031113FC5BE1}">
      <formula1>Unit_Force</formula1>
    </dataValidation>
    <dataValidation type="list" allowBlank="1" showInputMessage="1" showErrorMessage="1" errorTitle="Invalid Input" error="Choose from the list" sqref="B12" xr:uid="{B21DDB7C-EA9F-F14B-974F-DE7FE91D51EA}">
      <formula1>Unit_Mass</formula1>
    </dataValidation>
    <dataValidation type="list" allowBlank="1" showInputMessage="1" showErrorMessage="1" errorTitle="Invalid Input" error="Choose from the list" sqref="B13" xr:uid="{6AC22124-E482-8744-B0B8-B06BA60EBE34}">
      <formula1>Unit_Stress</formula1>
    </dataValidation>
    <dataValidation type="list" allowBlank="1" showInputMessage="1" showErrorMessage="1" errorTitle="Invalid Input" error="Choose from the list" sqref="B14" xr:uid="{4411A7DB-7B40-5C4D-80C0-3149645923B6}">
      <formula1>Unit_Time</formula1>
    </dataValidation>
    <dataValidation type="list" allowBlank="1" showInputMessage="1" showErrorMessage="1" errorTitle="Invalid Input" error="Choose from the list" sqref="B15" xr:uid="{C7CC3A2F-657E-D845-8B77-A640D2FE6859}">
      <formula1>Unit_Angle</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455957-00F1-3546-A381-9F722DD3C0F8}">
  <sheetPr codeName="Sheet20"/>
  <dimension ref="A1:E11"/>
  <sheetViews>
    <sheetView zoomScale="130" zoomScaleNormal="130" workbookViewId="0">
      <selection activeCell="C20" sqref="C20"/>
    </sheetView>
  </sheetViews>
  <sheetFormatPr defaultColWidth="10.85546875" defaultRowHeight="15.75" x14ac:dyDescent="0.25"/>
  <cols>
    <col min="1" max="1" width="60.7109375" style="14" customWidth="1"/>
    <col min="2" max="2" width="10.7109375" style="14" customWidth="1"/>
    <col min="3" max="16384" width="10.85546875" style="14"/>
  </cols>
  <sheetData>
    <row r="1" spans="1:5" x14ac:dyDescent="0.25">
      <c r="A1" s="19" t="s">
        <v>200</v>
      </c>
      <c r="B1" s="35"/>
      <c r="C1" s="35"/>
      <c r="D1" s="35"/>
      <c r="E1" s="20"/>
    </row>
    <row r="2" spans="1:5" x14ac:dyDescent="0.25">
      <c r="A2" s="30" t="s">
        <v>213</v>
      </c>
      <c r="B2" s="52"/>
      <c r="C2" s="52"/>
      <c r="D2" s="52"/>
      <c r="E2" s="21"/>
    </row>
    <row r="3" spans="1:5" x14ac:dyDescent="0.25">
      <c r="A3" s="50" t="s">
        <v>240</v>
      </c>
      <c r="B3" s="52"/>
      <c r="C3" s="52"/>
      <c r="D3" s="52"/>
      <c r="E3" s="21"/>
    </row>
    <row r="4" spans="1:5" x14ac:dyDescent="0.25">
      <c r="A4" s="30" t="s">
        <v>214</v>
      </c>
      <c r="B4" s="52"/>
      <c r="C4" s="52"/>
      <c r="D4" s="52"/>
      <c r="E4" s="21"/>
    </row>
    <row r="5" spans="1:5" x14ac:dyDescent="0.25">
      <c r="A5" s="22" t="s">
        <v>217</v>
      </c>
      <c r="B5" s="37"/>
      <c r="C5" s="37"/>
      <c r="D5" s="37"/>
      <c r="E5" s="23"/>
    </row>
    <row r="7" spans="1:5" s="13" customFormat="1" x14ac:dyDescent="0.25">
      <c r="A7" s="17" t="s">
        <v>154</v>
      </c>
      <c r="B7" s="17" t="s">
        <v>5</v>
      </c>
    </row>
    <row r="8" spans="1:5" x14ac:dyDescent="0.25">
      <c r="A8" s="66" t="s">
        <v>6</v>
      </c>
      <c r="B8" s="67" t="s">
        <v>150</v>
      </c>
    </row>
    <row r="9" spans="1:5" x14ac:dyDescent="0.25">
      <c r="A9" s="66" t="s">
        <v>239</v>
      </c>
      <c r="B9" s="67" t="s">
        <v>150</v>
      </c>
    </row>
    <row r="10" spans="1:5" x14ac:dyDescent="0.25">
      <c r="A10" s="66" t="s">
        <v>7</v>
      </c>
      <c r="B10" s="67" t="s">
        <v>150</v>
      </c>
    </row>
    <row r="11" spans="1:5" x14ac:dyDescent="0.25">
      <c r="A11" s="26" t="s">
        <v>151</v>
      </c>
      <c r="B11" s="68">
        <v>0.25</v>
      </c>
    </row>
  </sheetData>
  <dataValidations count="2">
    <dataValidation type="decimal" allowBlank="1" showInputMessage="1" showErrorMessage="1" errorTitle="Invalid Input" error="Please enter a float value only. (Range 0.0 - 1.0)" sqref="B11" xr:uid="{CB3462E3-41F9-46DE-BF41-E93FB5F95F7C}">
      <formula1>0</formula1>
      <formula2>1</formula2>
    </dataValidation>
    <dataValidation type="list" allowBlank="1" showInputMessage="1" showErrorMessage="1" errorTitle="Invalid Input" error="Choose from the list" sqref="B8:B10" xr:uid="{2B19B424-6C03-4D75-BFAB-3D626D17F5B7}">
      <formula1>"Yes, No"</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3E771D-57DB-764D-B39C-421398651EDA}">
  <sheetPr codeName="Sheet22"/>
  <dimension ref="A1:G132"/>
  <sheetViews>
    <sheetView zoomScale="130" zoomScaleNormal="130" workbookViewId="0">
      <selection activeCell="H20" sqref="H20"/>
    </sheetView>
  </sheetViews>
  <sheetFormatPr defaultColWidth="10.85546875" defaultRowHeight="15.75" x14ac:dyDescent="0.25"/>
  <cols>
    <col min="1" max="1" width="15.7109375" style="89" customWidth="1"/>
    <col min="2" max="4" width="10.7109375" style="90" customWidth="1"/>
    <col min="5" max="6" width="10.85546875" style="88" customWidth="1"/>
    <col min="7" max="16384" width="10.85546875" style="74"/>
  </cols>
  <sheetData>
    <row r="1" spans="1:7" x14ac:dyDescent="0.25">
      <c r="A1" s="69" t="s">
        <v>200</v>
      </c>
      <c r="B1" s="70"/>
      <c r="C1" s="70"/>
      <c r="D1" s="70"/>
      <c r="E1" s="71"/>
      <c r="F1" s="72"/>
      <c r="G1" s="73"/>
    </row>
    <row r="2" spans="1:7" x14ac:dyDescent="0.25">
      <c r="A2" s="75" t="s">
        <v>227</v>
      </c>
      <c r="B2" s="76"/>
      <c r="C2" s="76"/>
      <c r="D2" s="76"/>
      <c r="E2" s="77"/>
      <c r="F2" s="78"/>
      <c r="G2" s="73"/>
    </row>
    <row r="3" spans="1:7" x14ac:dyDescent="0.25">
      <c r="A3" s="79" t="s">
        <v>218</v>
      </c>
      <c r="B3" s="76"/>
      <c r="C3" s="76"/>
      <c r="D3" s="76"/>
      <c r="E3" s="77"/>
      <c r="F3" s="78"/>
      <c r="G3" s="73"/>
    </row>
    <row r="4" spans="1:7" x14ac:dyDescent="0.25">
      <c r="A4" s="79" t="s">
        <v>219</v>
      </c>
      <c r="B4" s="76"/>
      <c r="C4" s="76"/>
      <c r="D4" s="76"/>
      <c r="E4" s="77"/>
      <c r="F4" s="78"/>
      <c r="G4" s="73"/>
    </row>
    <row r="5" spans="1:7" x14ac:dyDescent="0.25">
      <c r="A5" s="80" t="s">
        <v>220</v>
      </c>
      <c r="B5" s="81"/>
      <c r="C5" s="81"/>
      <c r="D5" s="81"/>
      <c r="E5" s="82"/>
      <c r="F5" s="83"/>
      <c r="G5" s="73"/>
    </row>
    <row r="6" spans="1:7" x14ac:dyDescent="0.25">
      <c r="A6" s="84"/>
      <c r="B6" s="85"/>
      <c r="C6" s="85"/>
      <c r="D6" s="85"/>
      <c r="E6" s="74"/>
      <c r="F6" s="74"/>
    </row>
    <row r="7" spans="1:7" s="13" customFormat="1" x14ac:dyDescent="0.25">
      <c r="A7" s="86" t="s">
        <v>224</v>
      </c>
      <c r="B7" s="17" t="s">
        <v>110</v>
      </c>
      <c r="C7" s="17" t="s">
        <v>111</v>
      </c>
      <c r="D7" s="17" t="s">
        <v>112</v>
      </c>
      <c r="E7" s="87"/>
      <c r="F7" s="88"/>
    </row>
    <row r="8" spans="1:7" x14ac:dyDescent="0.25">
      <c r="A8" s="89">
        <v>1</v>
      </c>
      <c r="B8" s="90">
        <v>0</v>
      </c>
      <c r="C8" s="90">
        <v>0</v>
      </c>
      <c r="D8" s="90">
        <v>0</v>
      </c>
      <c r="E8" s="91"/>
    </row>
    <row r="9" spans="1:7" x14ac:dyDescent="0.25">
      <c r="A9" s="89">
        <v>2</v>
      </c>
      <c r="B9" s="90">
        <v>8</v>
      </c>
      <c r="C9" s="90">
        <v>0</v>
      </c>
      <c r="D9" s="90">
        <v>0</v>
      </c>
      <c r="E9" s="91"/>
    </row>
    <row r="10" spans="1:7" x14ac:dyDescent="0.25">
      <c r="A10" s="89">
        <v>3</v>
      </c>
      <c r="B10" s="90">
        <v>16</v>
      </c>
      <c r="C10" s="90">
        <v>0</v>
      </c>
      <c r="D10" s="90">
        <v>0</v>
      </c>
      <c r="E10" s="91"/>
    </row>
    <row r="11" spans="1:7" x14ac:dyDescent="0.25">
      <c r="A11" s="89">
        <v>4</v>
      </c>
      <c r="B11" s="90">
        <v>24</v>
      </c>
      <c r="C11" s="90">
        <v>0</v>
      </c>
      <c r="D11" s="90">
        <v>0</v>
      </c>
      <c r="E11" s="91"/>
    </row>
    <row r="12" spans="1:7" x14ac:dyDescent="0.25">
      <c r="A12" s="89">
        <v>5</v>
      </c>
      <c r="B12" s="90">
        <v>32</v>
      </c>
      <c r="C12" s="90">
        <v>0</v>
      </c>
      <c r="D12" s="90">
        <v>0</v>
      </c>
      <c r="E12" s="91"/>
    </row>
    <row r="13" spans="1:7" x14ac:dyDescent="0.25">
      <c r="A13" s="89">
        <v>6</v>
      </c>
      <c r="B13" s="90">
        <v>0</v>
      </c>
      <c r="C13" s="90">
        <v>8</v>
      </c>
      <c r="D13" s="90">
        <v>0</v>
      </c>
      <c r="E13" s="91"/>
    </row>
    <row r="14" spans="1:7" x14ac:dyDescent="0.25">
      <c r="A14" s="89">
        <v>7</v>
      </c>
      <c r="B14" s="90">
        <v>8</v>
      </c>
      <c r="C14" s="90">
        <v>8</v>
      </c>
      <c r="D14" s="90">
        <v>0</v>
      </c>
      <c r="E14" s="91"/>
    </row>
    <row r="15" spans="1:7" x14ac:dyDescent="0.25">
      <c r="A15" s="89">
        <v>8</v>
      </c>
      <c r="B15" s="90">
        <v>16</v>
      </c>
      <c r="C15" s="90">
        <v>8</v>
      </c>
      <c r="D15" s="90">
        <v>0</v>
      </c>
      <c r="E15" s="91"/>
    </row>
    <row r="16" spans="1:7" x14ac:dyDescent="0.25">
      <c r="A16" s="89">
        <v>9</v>
      </c>
      <c r="B16" s="90">
        <v>24</v>
      </c>
      <c r="C16" s="90">
        <v>8</v>
      </c>
      <c r="D16" s="90">
        <v>0</v>
      </c>
      <c r="E16" s="91"/>
    </row>
    <row r="17" spans="1:5" x14ac:dyDescent="0.25">
      <c r="A17" s="89">
        <v>10</v>
      </c>
      <c r="B17" s="90">
        <v>32</v>
      </c>
      <c r="C17" s="90">
        <v>8</v>
      </c>
      <c r="D17" s="90">
        <v>0</v>
      </c>
      <c r="E17" s="91"/>
    </row>
    <row r="18" spans="1:5" x14ac:dyDescent="0.25">
      <c r="A18" s="89">
        <v>11</v>
      </c>
      <c r="B18" s="90">
        <v>0</v>
      </c>
      <c r="C18" s="90">
        <v>16</v>
      </c>
      <c r="D18" s="90">
        <v>0</v>
      </c>
      <c r="E18" s="91"/>
    </row>
    <row r="19" spans="1:5" x14ac:dyDescent="0.25">
      <c r="A19" s="89">
        <v>12</v>
      </c>
      <c r="B19" s="90">
        <v>8</v>
      </c>
      <c r="C19" s="90">
        <v>16</v>
      </c>
      <c r="D19" s="90">
        <v>0</v>
      </c>
      <c r="E19" s="91"/>
    </row>
    <row r="20" spans="1:5" x14ac:dyDescent="0.25">
      <c r="A20" s="89">
        <v>13</v>
      </c>
      <c r="B20" s="90">
        <v>16</v>
      </c>
      <c r="C20" s="90">
        <v>16</v>
      </c>
      <c r="D20" s="90">
        <v>0</v>
      </c>
      <c r="E20" s="91"/>
    </row>
    <row r="21" spans="1:5" x14ac:dyDescent="0.25">
      <c r="A21" s="89">
        <v>14</v>
      </c>
      <c r="B21" s="90">
        <v>24</v>
      </c>
      <c r="C21" s="90">
        <v>16</v>
      </c>
      <c r="D21" s="90">
        <v>0</v>
      </c>
      <c r="E21" s="91"/>
    </row>
    <row r="22" spans="1:5" x14ac:dyDescent="0.25">
      <c r="A22" s="89">
        <v>15</v>
      </c>
      <c r="B22" s="90">
        <v>32</v>
      </c>
      <c r="C22" s="90">
        <v>16</v>
      </c>
      <c r="D22" s="90">
        <v>0</v>
      </c>
      <c r="E22" s="91"/>
    </row>
    <row r="23" spans="1:5" x14ac:dyDescent="0.25">
      <c r="A23" s="89">
        <v>16</v>
      </c>
      <c r="B23" s="90">
        <v>0</v>
      </c>
      <c r="C23" s="90">
        <v>24</v>
      </c>
      <c r="D23" s="90">
        <v>0</v>
      </c>
      <c r="E23" s="91"/>
    </row>
    <row r="24" spans="1:5" x14ac:dyDescent="0.25">
      <c r="A24" s="89">
        <v>17</v>
      </c>
      <c r="B24" s="90">
        <v>8</v>
      </c>
      <c r="C24" s="90">
        <v>24</v>
      </c>
      <c r="D24" s="90">
        <v>0</v>
      </c>
      <c r="E24" s="91"/>
    </row>
    <row r="25" spans="1:5" x14ac:dyDescent="0.25">
      <c r="A25" s="89">
        <v>18</v>
      </c>
      <c r="B25" s="90">
        <v>16</v>
      </c>
      <c r="C25" s="90">
        <v>24</v>
      </c>
      <c r="D25" s="90">
        <v>0</v>
      </c>
      <c r="E25" s="91"/>
    </row>
    <row r="26" spans="1:5" x14ac:dyDescent="0.25">
      <c r="A26" s="89">
        <v>19</v>
      </c>
      <c r="B26" s="90">
        <v>24</v>
      </c>
      <c r="C26" s="90">
        <v>24</v>
      </c>
      <c r="D26" s="90">
        <v>0</v>
      </c>
      <c r="E26" s="91"/>
    </row>
    <row r="27" spans="1:5" x14ac:dyDescent="0.25">
      <c r="A27" s="89">
        <v>20</v>
      </c>
      <c r="B27" s="90">
        <v>32</v>
      </c>
      <c r="C27" s="90">
        <v>24</v>
      </c>
      <c r="D27" s="90">
        <v>0</v>
      </c>
      <c r="E27" s="91"/>
    </row>
    <row r="28" spans="1:5" x14ac:dyDescent="0.25">
      <c r="A28" s="89">
        <v>21</v>
      </c>
      <c r="B28" s="90">
        <v>0</v>
      </c>
      <c r="C28" s="90">
        <v>32</v>
      </c>
      <c r="D28" s="90">
        <v>0</v>
      </c>
      <c r="E28" s="91"/>
    </row>
    <row r="29" spans="1:5" x14ac:dyDescent="0.25">
      <c r="A29" s="89">
        <v>22</v>
      </c>
      <c r="B29" s="90">
        <v>8</v>
      </c>
      <c r="C29" s="90">
        <v>32</v>
      </c>
      <c r="D29" s="90">
        <v>0</v>
      </c>
      <c r="E29" s="91"/>
    </row>
    <row r="30" spans="1:5" x14ac:dyDescent="0.25">
      <c r="A30" s="89">
        <v>23</v>
      </c>
      <c r="B30" s="90">
        <v>16</v>
      </c>
      <c r="C30" s="90">
        <v>32</v>
      </c>
      <c r="D30" s="90">
        <v>0</v>
      </c>
      <c r="E30" s="91"/>
    </row>
    <row r="31" spans="1:5" x14ac:dyDescent="0.25">
      <c r="A31" s="89">
        <v>24</v>
      </c>
      <c r="B31" s="90">
        <v>24</v>
      </c>
      <c r="C31" s="90">
        <v>32</v>
      </c>
      <c r="D31" s="90">
        <v>0</v>
      </c>
      <c r="E31" s="91"/>
    </row>
    <row r="32" spans="1:5" x14ac:dyDescent="0.25">
      <c r="A32" s="89">
        <v>25</v>
      </c>
      <c r="B32" s="90">
        <v>32</v>
      </c>
      <c r="C32" s="90">
        <v>32</v>
      </c>
      <c r="D32" s="90">
        <v>0</v>
      </c>
      <c r="E32" s="91"/>
    </row>
    <row r="33" spans="1:5" x14ac:dyDescent="0.25">
      <c r="A33" s="89">
        <v>26</v>
      </c>
      <c r="B33" s="90">
        <v>0</v>
      </c>
      <c r="C33" s="90">
        <v>0</v>
      </c>
      <c r="D33" s="90">
        <v>4</v>
      </c>
      <c r="E33" s="91"/>
    </row>
    <row r="34" spans="1:5" x14ac:dyDescent="0.25">
      <c r="A34" s="89">
        <v>27</v>
      </c>
      <c r="B34" s="90">
        <v>8</v>
      </c>
      <c r="C34" s="90">
        <v>0</v>
      </c>
      <c r="D34" s="90">
        <v>4</v>
      </c>
      <c r="E34" s="91"/>
    </row>
    <row r="35" spans="1:5" x14ac:dyDescent="0.25">
      <c r="A35" s="89">
        <v>28</v>
      </c>
      <c r="B35" s="90">
        <v>16</v>
      </c>
      <c r="C35" s="90">
        <v>0</v>
      </c>
      <c r="D35" s="90">
        <v>4</v>
      </c>
      <c r="E35" s="91"/>
    </row>
    <row r="36" spans="1:5" x14ac:dyDescent="0.25">
      <c r="A36" s="89">
        <v>29</v>
      </c>
      <c r="B36" s="90">
        <v>24</v>
      </c>
      <c r="C36" s="90">
        <v>0</v>
      </c>
      <c r="D36" s="90">
        <v>4</v>
      </c>
      <c r="E36" s="91"/>
    </row>
    <row r="37" spans="1:5" x14ac:dyDescent="0.25">
      <c r="A37" s="89">
        <v>30</v>
      </c>
      <c r="B37" s="90">
        <v>32</v>
      </c>
      <c r="C37" s="90">
        <v>0</v>
      </c>
      <c r="D37" s="90">
        <v>4</v>
      </c>
      <c r="E37" s="91"/>
    </row>
    <row r="38" spans="1:5" x14ac:dyDescent="0.25">
      <c r="A38" s="89">
        <v>31</v>
      </c>
      <c r="B38" s="90">
        <v>0</v>
      </c>
      <c r="C38" s="90">
        <v>8</v>
      </c>
      <c r="D38" s="90">
        <v>4</v>
      </c>
      <c r="E38" s="91"/>
    </row>
    <row r="39" spans="1:5" x14ac:dyDescent="0.25">
      <c r="A39" s="89">
        <v>32</v>
      </c>
      <c r="B39" s="90">
        <v>8</v>
      </c>
      <c r="C39" s="90">
        <v>8</v>
      </c>
      <c r="D39" s="90">
        <v>4</v>
      </c>
      <c r="E39" s="91"/>
    </row>
    <row r="40" spans="1:5" x14ac:dyDescent="0.25">
      <c r="A40" s="89">
        <v>33</v>
      </c>
      <c r="B40" s="90">
        <v>16</v>
      </c>
      <c r="C40" s="90">
        <v>8</v>
      </c>
      <c r="D40" s="90">
        <v>4</v>
      </c>
      <c r="E40" s="91"/>
    </row>
    <row r="41" spans="1:5" x14ac:dyDescent="0.25">
      <c r="A41" s="89">
        <v>34</v>
      </c>
      <c r="B41" s="90">
        <v>24</v>
      </c>
      <c r="C41" s="90">
        <v>8</v>
      </c>
      <c r="D41" s="90">
        <v>4</v>
      </c>
      <c r="E41" s="91"/>
    </row>
    <row r="42" spans="1:5" x14ac:dyDescent="0.25">
      <c r="A42" s="89">
        <v>35</v>
      </c>
      <c r="B42" s="90">
        <v>32</v>
      </c>
      <c r="C42" s="90">
        <v>8</v>
      </c>
      <c r="D42" s="90">
        <v>4</v>
      </c>
      <c r="E42" s="91"/>
    </row>
    <row r="43" spans="1:5" x14ac:dyDescent="0.25">
      <c r="A43" s="89">
        <v>36</v>
      </c>
      <c r="B43" s="90">
        <v>0</v>
      </c>
      <c r="C43" s="90">
        <v>16</v>
      </c>
      <c r="D43" s="90">
        <v>4</v>
      </c>
      <c r="E43" s="91"/>
    </row>
    <row r="44" spans="1:5" x14ac:dyDescent="0.25">
      <c r="A44" s="89">
        <v>37</v>
      </c>
      <c r="B44" s="90">
        <v>8</v>
      </c>
      <c r="C44" s="90">
        <v>16</v>
      </c>
      <c r="D44" s="90">
        <v>4</v>
      </c>
      <c r="E44" s="91"/>
    </row>
    <row r="45" spans="1:5" x14ac:dyDescent="0.25">
      <c r="A45" s="89">
        <v>38</v>
      </c>
      <c r="B45" s="90">
        <v>16</v>
      </c>
      <c r="C45" s="90">
        <v>16</v>
      </c>
      <c r="D45" s="90">
        <v>4</v>
      </c>
      <c r="E45" s="91"/>
    </row>
    <row r="46" spans="1:5" x14ac:dyDescent="0.25">
      <c r="A46" s="89">
        <v>39</v>
      </c>
      <c r="B46" s="90">
        <v>24</v>
      </c>
      <c r="C46" s="90">
        <v>16</v>
      </c>
      <c r="D46" s="90">
        <v>4</v>
      </c>
      <c r="E46" s="91"/>
    </row>
    <row r="47" spans="1:5" x14ac:dyDescent="0.25">
      <c r="A47" s="89">
        <v>40</v>
      </c>
      <c r="B47" s="90">
        <v>32</v>
      </c>
      <c r="C47" s="90">
        <v>16</v>
      </c>
      <c r="D47" s="90">
        <v>4</v>
      </c>
      <c r="E47" s="91"/>
    </row>
    <row r="48" spans="1:5" x14ac:dyDescent="0.25">
      <c r="A48" s="89">
        <v>41</v>
      </c>
      <c r="B48" s="90">
        <v>0</v>
      </c>
      <c r="C48" s="90">
        <v>24</v>
      </c>
      <c r="D48" s="90">
        <v>4</v>
      </c>
      <c r="E48" s="91"/>
    </row>
    <row r="49" spans="1:5" x14ac:dyDescent="0.25">
      <c r="A49" s="89">
        <v>42</v>
      </c>
      <c r="B49" s="90">
        <v>8</v>
      </c>
      <c r="C49" s="90">
        <v>24</v>
      </c>
      <c r="D49" s="90">
        <v>4</v>
      </c>
      <c r="E49" s="91"/>
    </row>
    <row r="50" spans="1:5" x14ac:dyDescent="0.25">
      <c r="A50" s="89">
        <v>43</v>
      </c>
      <c r="B50" s="90">
        <v>16</v>
      </c>
      <c r="C50" s="90">
        <v>24</v>
      </c>
      <c r="D50" s="90">
        <v>4</v>
      </c>
      <c r="E50" s="91"/>
    </row>
    <row r="51" spans="1:5" x14ac:dyDescent="0.25">
      <c r="A51" s="89">
        <v>44</v>
      </c>
      <c r="B51" s="90">
        <v>24</v>
      </c>
      <c r="C51" s="90">
        <v>24</v>
      </c>
      <c r="D51" s="90">
        <v>4</v>
      </c>
      <c r="E51" s="91"/>
    </row>
    <row r="52" spans="1:5" x14ac:dyDescent="0.25">
      <c r="A52" s="89">
        <v>45</v>
      </c>
      <c r="B52" s="90">
        <v>32</v>
      </c>
      <c r="C52" s="90">
        <v>24</v>
      </c>
      <c r="D52" s="90">
        <v>4</v>
      </c>
      <c r="E52" s="91"/>
    </row>
    <row r="53" spans="1:5" x14ac:dyDescent="0.25">
      <c r="A53" s="89">
        <v>46</v>
      </c>
      <c r="B53" s="90">
        <v>0</v>
      </c>
      <c r="C53" s="90">
        <v>32</v>
      </c>
      <c r="D53" s="90">
        <v>4</v>
      </c>
      <c r="E53" s="91"/>
    </row>
    <row r="54" spans="1:5" x14ac:dyDescent="0.25">
      <c r="A54" s="89">
        <v>47</v>
      </c>
      <c r="B54" s="90">
        <v>8</v>
      </c>
      <c r="C54" s="90">
        <v>32</v>
      </c>
      <c r="D54" s="90">
        <v>4</v>
      </c>
      <c r="E54" s="91"/>
    </row>
    <row r="55" spans="1:5" x14ac:dyDescent="0.25">
      <c r="A55" s="89">
        <v>48</v>
      </c>
      <c r="B55" s="90">
        <v>16</v>
      </c>
      <c r="C55" s="90">
        <v>32</v>
      </c>
      <c r="D55" s="90">
        <v>4</v>
      </c>
      <c r="E55" s="91"/>
    </row>
    <row r="56" spans="1:5" x14ac:dyDescent="0.25">
      <c r="A56" s="89">
        <v>49</v>
      </c>
      <c r="B56" s="90">
        <v>24</v>
      </c>
      <c r="C56" s="90">
        <v>32</v>
      </c>
      <c r="D56" s="90">
        <v>4</v>
      </c>
      <c r="E56" s="91"/>
    </row>
    <row r="57" spans="1:5" x14ac:dyDescent="0.25">
      <c r="A57" s="89">
        <v>50</v>
      </c>
      <c r="B57" s="90">
        <v>32</v>
      </c>
      <c r="C57" s="90">
        <v>32</v>
      </c>
      <c r="D57" s="90">
        <v>4</v>
      </c>
      <c r="E57" s="91"/>
    </row>
    <row r="58" spans="1:5" x14ac:dyDescent="0.25">
      <c r="A58" s="89">
        <v>51</v>
      </c>
      <c r="B58" s="90">
        <v>0</v>
      </c>
      <c r="C58" s="90">
        <v>0</v>
      </c>
      <c r="D58" s="90">
        <v>7.5</v>
      </c>
      <c r="E58" s="91"/>
    </row>
    <row r="59" spans="1:5" x14ac:dyDescent="0.25">
      <c r="A59" s="89">
        <v>52</v>
      </c>
      <c r="B59" s="90">
        <v>8</v>
      </c>
      <c r="C59" s="90">
        <v>0</v>
      </c>
      <c r="D59" s="90">
        <v>7.5</v>
      </c>
      <c r="E59" s="91"/>
    </row>
    <row r="60" spans="1:5" x14ac:dyDescent="0.25">
      <c r="A60" s="89">
        <v>53</v>
      </c>
      <c r="B60" s="90">
        <v>16</v>
      </c>
      <c r="C60" s="90">
        <v>0</v>
      </c>
      <c r="D60" s="90">
        <v>7.5</v>
      </c>
      <c r="E60" s="91"/>
    </row>
    <row r="61" spans="1:5" x14ac:dyDescent="0.25">
      <c r="A61" s="89">
        <v>54</v>
      </c>
      <c r="B61" s="90">
        <v>24</v>
      </c>
      <c r="C61" s="90">
        <v>0</v>
      </c>
      <c r="D61" s="90">
        <v>7.5</v>
      </c>
      <c r="E61" s="91"/>
    </row>
    <row r="62" spans="1:5" x14ac:dyDescent="0.25">
      <c r="A62" s="89">
        <v>55</v>
      </c>
      <c r="B62" s="90">
        <v>32</v>
      </c>
      <c r="C62" s="90">
        <v>0</v>
      </c>
      <c r="D62" s="90">
        <v>7.5</v>
      </c>
      <c r="E62" s="91"/>
    </row>
    <row r="63" spans="1:5" x14ac:dyDescent="0.25">
      <c r="A63" s="89">
        <v>56</v>
      </c>
      <c r="B63" s="90">
        <v>0</v>
      </c>
      <c r="C63" s="90">
        <v>8</v>
      </c>
      <c r="D63" s="90">
        <v>7.5</v>
      </c>
      <c r="E63" s="91"/>
    </row>
    <row r="64" spans="1:5" x14ac:dyDescent="0.25">
      <c r="A64" s="89">
        <v>57</v>
      </c>
      <c r="B64" s="90">
        <v>8</v>
      </c>
      <c r="C64" s="90">
        <v>8</v>
      </c>
      <c r="D64" s="90">
        <v>7.5</v>
      </c>
      <c r="E64" s="91"/>
    </row>
    <row r="65" spans="1:5" x14ac:dyDescent="0.25">
      <c r="A65" s="89">
        <v>58</v>
      </c>
      <c r="B65" s="90">
        <v>16</v>
      </c>
      <c r="C65" s="90">
        <v>8</v>
      </c>
      <c r="D65" s="90">
        <v>7.5</v>
      </c>
      <c r="E65" s="91"/>
    </row>
    <row r="66" spans="1:5" x14ac:dyDescent="0.25">
      <c r="A66" s="89">
        <v>59</v>
      </c>
      <c r="B66" s="90">
        <v>24</v>
      </c>
      <c r="C66" s="90">
        <v>8</v>
      </c>
      <c r="D66" s="90">
        <v>7.5</v>
      </c>
      <c r="E66" s="91"/>
    </row>
    <row r="67" spans="1:5" x14ac:dyDescent="0.25">
      <c r="A67" s="89">
        <v>60</v>
      </c>
      <c r="B67" s="90">
        <v>32</v>
      </c>
      <c r="C67" s="90">
        <v>8</v>
      </c>
      <c r="D67" s="90">
        <v>7.5</v>
      </c>
      <c r="E67" s="91"/>
    </row>
    <row r="68" spans="1:5" x14ac:dyDescent="0.25">
      <c r="A68" s="89">
        <v>61</v>
      </c>
      <c r="B68" s="90">
        <v>0</v>
      </c>
      <c r="C68" s="90">
        <v>16</v>
      </c>
      <c r="D68" s="90">
        <v>7.5</v>
      </c>
      <c r="E68" s="91"/>
    </row>
    <row r="69" spans="1:5" x14ac:dyDescent="0.25">
      <c r="A69" s="89">
        <v>62</v>
      </c>
      <c r="B69" s="90">
        <v>8</v>
      </c>
      <c r="C69" s="90">
        <v>16</v>
      </c>
      <c r="D69" s="90">
        <v>7.5</v>
      </c>
      <c r="E69" s="91"/>
    </row>
    <row r="70" spans="1:5" x14ac:dyDescent="0.25">
      <c r="A70" s="89">
        <v>63</v>
      </c>
      <c r="B70" s="90">
        <v>16</v>
      </c>
      <c r="C70" s="90">
        <v>16</v>
      </c>
      <c r="D70" s="90">
        <v>7.5</v>
      </c>
      <c r="E70" s="91"/>
    </row>
    <row r="71" spans="1:5" x14ac:dyDescent="0.25">
      <c r="A71" s="89">
        <v>64</v>
      </c>
      <c r="B71" s="90">
        <v>24</v>
      </c>
      <c r="C71" s="90">
        <v>16</v>
      </c>
      <c r="D71" s="90">
        <v>7.5</v>
      </c>
      <c r="E71" s="91"/>
    </row>
    <row r="72" spans="1:5" x14ac:dyDescent="0.25">
      <c r="A72" s="89">
        <v>65</v>
      </c>
      <c r="B72" s="90">
        <v>32</v>
      </c>
      <c r="C72" s="90">
        <v>16</v>
      </c>
      <c r="D72" s="90">
        <v>7.5</v>
      </c>
      <c r="E72" s="91"/>
    </row>
    <row r="73" spans="1:5" x14ac:dyDescent="0.25">
      <c r="A73" s="89">
        <v>66</v>
      </c>
      <c r="B73" s="90">
        <v>0</v>
      </c>
      <c r="C73" s="90">
        <v>24</v>
      </c>
      <c r="D73" s="90">
        <v>7.5</v>
      </c>
      <c r="E73" s="91"/>
    </row>
    <row r="74" spans="1:5" x14ac:dyDescent="0.25">
      <c r="A74" s="89">
        <v>67</v>
      </c>
      <c r="B74" s="90">
        <v>8</v>
      </c>
      <c r="C74" s="90">
        <v>24</v>
      </c>
      <c r="D74" s="90">
        <v>7.5</v>
      </c>
      <c r="E74" s="91"/>
    </row>
    <row r="75" spans="1:5" x14ac:dyDescent="0.25">
      <c r="A75" s="89">
        <v>68</v>
      </c>
      <c r="B75" s="90">
        <v>16</v>
      </c>
      <c r="C75" s="90">
        <v>24</v>
      </c>
      <c r="D75" s="90">
        <v>7.5</v>
      </c>
      <c r="E75" s="91"/>
    </row>
    <row r="76" spans="1:5" x14ac:dyDescent="0.25">
      <c r="A76" s="89">
        <v>69</v>
      </c>
      <c r="B76" s="90">
        <v>24</v>
      </c>
      <c r="C76" s="90">
        <v>24</v>
      </c>
      <c r="D76" s="90">
        <v>7.5</v>
      </c>
      <c r="E76" s="91"/>
    </row>
    <row r="77" spans="1:5" x14ac:dyDescent="0.25">
      <c r="A77" s="89">
        <v>70</v>
      </c>
      <c r="B77" s="90">
        <v>32</v>
      </c>
      <c r="C77" s="90">
        <v>24</v>
      </c>
      <c r="D77" s="90">
        <v>7.5</v>
      </c>
      <c r="E77" s="91"/>
    </row>
    <row r="78" spans="1:5" x14ac:dyDescent="0.25">
      <c r="A78" s="89">
        <v>71</v>
      </c>
      <c r="B78" s="90">
        <v>0</v>
      </c>
      <c r="C78" s="90">
        <v>32</v>
      </c>
      <c r="D78" s="90">
        <v>7.5</v>
      </c>
      <c r="E78" s="91"/>
    </row>
    <row r="79" spans="1:5" x14ac:dyDescent="0.25">
      <c r="A79" s="89">
        <v>72</v>
      </c>
      <c r="B79" s="90">
        <v>8</v>
      </c>
      <c r="C79" s="90">
        <v>32</v>
      </c>
      <c r="D79" s="90">
        <v>7.5</v>
      </c>
      <c r="E79" s="91"/>
    </row>
    <row r="80" spans="1:5" x14ac:dyDescent="0.25">
      <c r="A80" s="89">
        <v>73</v>
      </c>
      <c r="B80" s="90">
        <v>16</v>
      </c>
      <c r="C80" s="90">
        <v>32</v>
      </c>
      <c r="D80" s="90">
        <v>7.5</v>
      </c>
      <c r="E80" s="91"/>
    </row>
    <row r="81" spans="1:5" x14ac:dyDescent="0.25">
      <c r="A81" s="89">
        <v>74</v>
      </c>
      <c r="B81" s="90">
        <v>24</v>
      </c>
      <c r="C81" s="90">
        <v>32</v>
      </c>
      <c r="D81" s="90">
        <v>7.5</v>
      </c>
      <c r="E81" s="91"/>
    </row>
    <row r="82" spans="1:5" x14ac:dyDescent="0.25">
      <c r="A82" s="89">
        <v>75</v>
      </c>
      <c r="B82" s="90">
        <v>32</v>
      </c>
      <c r="C82" s="90">
        <v>32</v>
      </c>
      <c r="D82" s="90">
        <v>7.5</v>
      </c>
      <c r="E82" s="91"/>
    </row>
    <row r="83" spans="1:5" x14ac:dyDescent="0.25">
      <c r="A83" s="89">
        <v>76</v>
      </c>
      <c r="B83" s="90">
        <v>0</v>
      </c>
      <c r="C83" s="90">
        <v>0</v>
      </c>
      <c r="D83" s="90">
        <v>11</v>
      </c>
      <c r="E83" s="91"/>
    </row>
    <row r="84" spans="1:5" x14ac:dyDescent="0.25">
      <c r="A84" s="89">
        <v>77</v>
      </c>
      <c r="B84" s="90">
        <v>8</v>
      </c>
      <c r="C84" s="90">
        <v>0</v>
      </c>
      <c r="D84" s="90">
        <v>11</v>
      </c>
      <c r="E84" s="91"/>
    </row>
    <row r="85" spans="1:5" x14ac:dyDescent="0.25">
      <c r="A85" s="89">
        <v>78</v>
      </c>
      <c r="B85" s="90">
        <v>16</v>
      </c>
      <c r="C85" s="90">
        <v>0</v>
      </c>
      <c r="D85" s="90">
        <v>11</v>
      </c>
      <c r="E85" s="91"/>
    </row>
    <row r="86" spans="1:5" x14ac:dyDescent="0.25">
      <c r="A86" s="89">
        <v>79</v>
      </c>
      <c r="B86" s="90">
        <v>24</v>
      </c>
      <c r="C86" s="90">
        <v>0</v>
      </c>
      <c r="D86" s="90">
        <v>11</v>
      </c>
      <c r="E86" s="91"/>
    </row>
    <row r="87" spans="1:5" x14ac:dyDescent="0.25">
      <c r="A87" s="89">
        <v>80</v>
      </c>
      <c r="B87" s="90">
        <v>32</v>
      </c>
      <c r="C87" s="90">
        <v>0</v>
      </c>
      <c r="D87" s="90">
        <v>11</v>
      </c>
      <c r="E87" s="91"/>
    </row>
    <row r="88" spans="1:5" x14ac:dyDescent="0.25">
      <c r="A88" s="89">
        <v>81</v>
      </c>
      <c r="B88" s="90">
        <v>0</v>
      </c>
      <c r="C88" s="90">
        <v>8</v>
      </c>
      <c r="D88" s="90">
        <v>11</v>
      </c>
      <c r="E88" s="91"/>
    </row>
    <row r="89" spans="1:5" x14ac:dyDescent="0.25">
      <c r="A89" s="89">
        <v>82</v>
      </c>
      <c r="B89" s="90">
        <v>8</v>
      </c>
      <c r="C89" s="90">
        <v>8</v>
      </c>
      <c r="D89" s="90">
        <v>11</v>
      </c>
      <c r="E89" s="91"/>
    </row>
    <row r="90" spans="1:5" x14ac:dyDescent="0.25">
      <c r="A90" s="89">
        <v>83</v>
      </c>
      <c r="B90" s="90">
        <v>16</v>
      </c>
      <c r="C90" s="90">
        <v>8</v>
      </c>
      <c r="D90" s="90">
        <v>11</v>
      </c>
      <c r="E90" s="91"/>
    </row>
    <row r="91" spans="1:5" x14ac:dyDescent="0.25">
      <c r="A91" s="89">
        <v>84</v>
      </c>
      <c r="B91" s="90">
        <v>24</v>
      </c>
      <c r="C91" s="90">
        <v>8</v>
      </c>
      <c r="D91" s="90">
        <v>11</v>
      </c>
      <c r="E91" s="91"/>
    </row>
    <row r="92" spans="1:5" x14ac:dyDescent="0.25">
      <c r="A92" s="89">
        <v>85</v>
      </c>
      <c r="B92" s="90">
        <v>32</v>
      </c>
      <c r="C92" s="90">
        <v>8</v>
      </c>
      <c r="D92" s="90">
        <v>11</v>
      </c>
      <c r="E92" s="91"/>
    </row>
    <row r="93" spans="1:5" x14ac:dyDescent="0.25">
      <c r="A93" s="89">
        <v>86</v>
      </c>
      <c r="B93" s="90">
        <v>0</v>
      </c>
      <c r="C93" s="90">
        <v>16</v>
      </c>
      <c r="D93" s="90">
        <v>11</v>
      </c>
      <c r="E93" s="91"/>
    </row>
    <row r="94" spans="1:5" x14ac:dyDescent="0.25">
      <c r="A94" s="89">
        <v>87</v>
      </c>
      <c r="B94" s="90">
        <v>8</v>
      </c>
      <c r="C94" s="90">
        <v>16</v>
      </c>
      <c r="D94" s="90">
        <v>11</v>
      </c>
      <c r="E94" s="91"/>
    </row>
    <row r="95" spans="1:5" x14ac:dyDescent="0.25">
      <c r="A95" s="89">
        <v>88</v>
      </c>
      <c r="B95" s="90">
        <v>16</v>
      </c>
      <c r="C95" s="90">
        <v>16</v>
      </c>
      <c r="D95" s="90">
        <v>11</v>
      </c>
      <c r="E95" s="91"/>
    </row>
    <row r="96" spans="1:5" x14ac:dyDescent="0.25">
      <c r="A96" s="89">
        <v>89</v>
      </c>
      <c r="B96" s="90">
        <v>24</v>
      </c>
      <c r="C96" s="90">
        <v>16</v>
      </c>
      <c r="D96" s="90">
        <v>11</v>
      </c>
      <c r="E96" s="91"/>
    </row>
    <row r="97" spans="1:5" x14ac:dyDescent="0.25">
      <c r="A97" s="89">
        <v>90</v>
      </c>
      <c r="B97" s="90">
        <v>32</v>
      </c>
      <c r="C97" s="90">
        <v>16</v>
      </c>
      <c r="D97" s="90">
        <v>11</v>
      </c>
      <c r="E97" s="91"/>
    </row>
    <row r="98" spans="1:5" x14ac:dyDescent="0.25">
      <c r="A98" s="89">
        <v>91</v>
      </c>
      <c r="B98" s="90">
        <v>0</v>
      </c>
      <c r="C98" s="90">
        <v>24</v>
      </c>
      <c r="D98" s="90">
        <v>11</v>
      </c>
      <c r="E98" s="91"/>
    </row>
    <row r="99" spans="1:5" x14ac:dyDescent="0.25">
      <c r="A99" s="89">
        <v>92</v>
      </c>
      <c r="B99" s="90">
        <v>8</v>
      </c>
      <c r="C99" s="90">
        <v>24</v>
      </c>
      <c r="D99" s="90">
        <v>11</v>
      </c>
      <c r="E99" s="91"/>
    </row>
    <row r="100" spans="1:5" x14ac:dyDescent="0.25">
      <c r="A100" s="89">
        <v>93</v>
      </c>
      <c r="B100" s="90">
        <v>16</v>
      </c>
      <c r="C100" s="90">
        <v>24</v>
      </c>
      <c r="D100" s="90">
        <v>11</v>
      </c>
      <c r="E100" s="91"/>
    </row>
    <row r="101" spans="1:5" x14ac:dyDescent="0.25">
      <c r="A101" s="89">
        <v>94</v>
      </c>
      <c r="B101" s="90">
        <v>24</v>
      </c>
      <c r="C101" s="90">
        <v>24</v>
      </c>
      <c r="D101" s="90">
        <v>11</v>
      </c>
      <c r="E101" s="91"/>
    </row>
    <row r="102" spans="1:5" x14ac:dyDescent="0.25">
      <c r="A102" s="89">
        <v>95</v>
      </c>
      <c r="B102" s="90">
        <v>32</v>
      </c>
      <c r="C102" s="90">
        <v>24</v>
      </c>
      <c r="D102" s="90">
        <v>11</v>
      </c>
      <c r="E102" s="91"/>
    </row>
    <row r="103" spans="1:5" x14ac:dyDescent="0.25">
      <c r="A103" s="89">
        <v>96</v>
      </c>
      <c r="B103" s="90">
        <v>0</v>
      </c>
      <c r="C103" s="90">
        <v>32</v>
      </c>
      <c r="D103" s="90">
        <v>11</v>
      </c>
      <c r="E103" s="91"/>
    </row>
    <row r="104" spans="1:5" x14ac:dyDescent="0.25">
      <c r="A104" s="89">
        <v>97</v>
      </c>
      <c r="B104" s="90">
        <v>8</v>
      </c>
      <c r="C104" s="90">
        <v>32</v>
      </c>
      <c r="D104" s="90">
        <v>11</v>
      </c>
      <c r="E104" s="91"/>
    </row>
    <row r="105" spans="1:5" x14ac:dyDescent="0.25">
      <c r="A105" s="89">
        <v>98</v>
      </c>
      <c r="B105" s="90">
        <v>16</v>
      </c>
      <c r="C105" s="90">
        <v>32</v>
      </c>
      <c r="D105" s="90">
        <v>11</v>
      </c>
      <c r="E105" s="91"/>
    </row>
    <row r="106" spans="1:5" x14ac:dyDescent="0.25">
      <c r="A106" s="89">
        <v>99</v>
      </c>
      <c r="B106" s="90">
        <v>24</v>
      </c>
      <c r="C106" s="90">
        <v>32</v>
      </c>
      <c r="D106" s="90">
        <v>11</v>
      </c>
      <c r="E106" s="91"/>
    </row>
    <row r="107" spans="1:5" x14ac:dyDescent="0.25">
      <c r="A107" s="89">
        <v>100</v>
      </c>
      <c r="B107" s="90">
        <v>32</v>
      </c>
      <c r="C107" s="90">
        <v>32</v>
      </c>
      <c r="D107" s="90">
        <v>11</v>
      </c>
      <c r="E107" s="91"/>
    </row>
    <row r="108" spans="1:5" x14ac:dyDescent="0.25">
      <c r="A108" s="89">
        <v>101</v>
      </c>
      <c r="B108" s="90">
        <v>0</v>
      </c>
      <c r="C108" s="90">
        <v>0</v>
      </c>
      <c r="D108" s="90">
        <v>14.5</v>
      </c>
      <c r="E108" s="91"/>
    </row>
    <row r="109" spans="1:5" x14ac:dyDescent="0.25">
      <c r="A109" s="89">
        <v>102</v>
      </c>
      <c r="B109" s="90">
        <v>8</v>
      </c>
      <c r="C109" s="90">
        <v>0</v>
      </c>
      <c r="D109" s="90">
        <v>14.5</v>
      </c>
      <c r="E109" s="91"/>
    </row>
    <row r="110" spans="1:5" x14ac:dyDescent="0.25">
      <c r="A110" s="89">
        <v>103</v>
      </c>
      <c r="B110" s="90">
        <v>16</v>
      </c>
      <c r="C110" s="90">
        <v>0</v>
      </c>
      <c r="D110" s="90">
        <v>14.5</v>
      </c>
      <c r="E110" s="91"/>
    </row>
    <row r="111" spans="1:5" x14ac:dyDescent="0.25">
      <c r="A111" s="89">
        <v>104</v>
      </c>
      <c r="B111" s="90">
        <v>24</v>
      </c>
      <c r="C111" s="90">
        <v>0</v>
      </c>
      <c r="D111" s="90">
        <v>14.5</v>
      </c>
      <c r="E111" s="91"/>
    </row>
    <row r="112" spans="1:5" x14ac:dyDescent="0.25">
      <c r="A112" s="89">
        <v>105</v>
      </c>
      <c r="B112" s="90">
        <v>32</v>
      </c>
      <c r="C112" s="90">
        <v>0</v>
      </c>
      <c r="D112" s="90">
        <v>14.5</v>
      </c>
      <c r="E112" s="91"/>
    </row>
    <row r="113" spans="1:5" x14ac:dyDescent="0.25">
      <c r="A113" s="89">
        <v>106</v>
      </c>
      <c r="B113" s="90">
        <v>0</v>
      </c>
      <c r="C113" s="90">
        <v>8</v>
      </c>
      <c r="D113" s="90">
        <v>14.5</v>
      </c>
      <c r="E113" s="91"/>
    </row>
    <row r="114" spans="1:5" x14ac:dyDescent="0.25">
      <c r="A114" s="89">
        <v>107</v>
      </c>
      <c r="B114" s="90">
        <v>8</v>
      </c>
      <c r="C114" s="90">
        <v>8</v>
      </c>
      <c r="D114" s="90">
        <v>14.5</v>
      </c>
      <c r="E114" s="91"/>
    </row>
    <row r="115" spans="1:5" x14ac:dyDescent="0.25">
      <c r="A115" s="89">
        <v>108</v>
      </c>
      <c r="B115" s="90">
        <v>16</v>
      </c>
      <c r="C115" s="90">
        <v>8</v>
      </c>
      <c r="D115" s="90">
        <v>14.5</v>
      </c>
      <c r="E115" s="91"/>
    </row>
    <row r="116" spans="1:5" x14ac:dyDescent="0.25">
      <c r="A116" s="89">
        <v>109</v>
      </c>
      <c r="B116" s="90">
        <v>24</v>
      </c>
      <c r="C116" s="90">
        <v>8</v>
      </c>
      <c r="D116" s="90">
        <v>14.5</v>
      </c>
      <c r="E116" s="91"/>
    </row>
    <row r="117" spans="1:5" x14ac:dyDescent="0.25">
      <c r="A117" s="89">
        <v>110</v>
      </c>
      <c r="B117" s="90">
        <v>32</v>
      </c>
      <c r="C117" s="90">
        <v>8</v>
      </c>
      <c r="D117" s="90">
        <v>14.5</v>
      </c>
      <c r="E117" s="91"/>
    </row>
    <row r="118" spans="1:5" x14ac:dyDescent="0.25">
      <c r="A118" s="89">
        <v>111</v>
      </c>
      <c r="B118" s="90">
        <v>0</v>
      </c>
      <c r="C118" s="90">
        <v>16</v>
      </c>
      <c r="D118" s="90">
        <v>14.5</v>
      </c>
      <c r="E118" s="91"/>
    </row>
    <row r="119" spans="1:5" x14ac:dyDescent="0.25">
      <c r="A119" s="89">
        <v>112</v>
      </c>
      <c r="B119" s="90">
        <v>8</v>
      </c>
      <c r="C119" s="90">
        <v>16</v>
      </c>
      <c r="D119" s="90">
        <v>14.5</v>
      </c>
      <c r="E119" s="91"/>
    </row>
    <row r="120" spans="1:5" x14ac:dyDescent="0.25">
      <c r="A120" s="89">
        <v>113</v>
      </c>
      <c r="B120" s="90">
        <v>16</v>
      </c>
      <c r="C120" s="90">
        <v>16</v>
      </c>
      <c r="D120" s="90">
        <v>14.5</v>
      </c>
      <c r="E120" s="91"/>
    </row>
    <row r="121" spans="1:5" x14ac:dyDescent="0.25">
      <c r="A121" s="89">
        <v>114</v>
      </c>
      <c r="B121" s="90">
        <v>24</v>
      </c>
      <c r="C121" s="90">
        <v>16</v>
      </c>
      <c r="D121" s="90">
        <v>14.5</v>
      </c>
      <c r="E121" s="91"/>
    </row>
    <row r="122" spans="1:5" x14ac:dyDescent="0.25">
      <c r="A122" s="89">
        <v>115</v>
      </c>
      <c r="B122" s="90">
        <v>32</v>
      </c>
      <c r="C122" s="90">
        <v>16</v>
      </c>
      <c r="D122" s="90">
        <v>14.5</v>
      </c>
      <c r="E122" s="91"/>
    </row>
    <row r="123" spans="1:5" x14ac:dyDescent="0.25">
      <c r="A123" s="89">
        <v>116</v>
      </c>
      <c r="B123" s="90">
        <v>0</v>
      </c>
      <c r="C123" s="90">
        <v>24</v>
      </c>
      <c r="D123" s="90">
        <v>14.5</v>
      </c>
      <c r="E123" s="91"/>
    </row>
    <row r="124" spans="1:5" x14ac:dyDescent="0.25">
      <c r="A124" s="89">
        <v>117</v>
      </c>
      <c r="B124" s="90">
        <v>8</v>
      </c>
      <c r="C124" s="90">
        <v>24</v>
      </c>
      <c r="D124" s="90">
        <v>14.5</v>
      </c>
      <c r="E124" s="91"/>
    </row>
    <row r="125" spans="1:5" x14ac:dyDescent="0.25">
      <c r="A125" s="89">
        <v>118</v>
      </c>
      <c r="B125" s="90">
        <v>16</v>
      </c>
      <c r="C125" s="90">
        <v>24</v>
      </c>
      <c r="D125" s="90">
        <v>14.5</v>
      </c>
      <c r="E125" s="91"/>
    </row>
    <row r="126" spans="1:5" x14ac:dyDescent="0.25">
      <c r="A126" s="89">
        <v>119</v>
      </c>
      <c r="B126" s="90">
        <v>24</v>
      </c>
      <c r="C126" s="90">
        <v>24</v>
      </c>
      <c r="D126" s="90">
        <v>14.5</v>
      </c>
      <c r="E126" s="91"/>
    </row>
    <row r="127" spans="1:5" x14ac:dyDescent="0.25">
      <c r="A127" s="89">
        <v>120</v>
      </c>
      <c r="B127" s="90">
        <v>32</v>
      </c>
      <c r="C127" s="90">
        <v>24</v>
      </c>
      <c r="D127" s="90">
        <v>14.5</v>
      </c>
      <c r="E127" s="91"/>
    </row>
    <row r="128" spans="1:5" x14ac:dyDescent="0.25">
      <c r="A128" s="89">
        <v>121</v>
      </c>
      <c r="B128" s="90">
        <v>0</v>
      </c>
      <c r="C128" s="90">
        <v>32</v>
      </c>
      <c r="D128" s="90">
        <v>14.5</v>
      </c>
      <c r="E128" s="91"/>
    </row>
    <row r="129" spans="1:5" x14ac:dyDescent="0.25">
      <c r="A129" s="89">
        <v>122</v>
      </c>
      <c r="B129" s="90">
        <v>8</v>
      </c>
      <c r="C129" s="90">
        <v>32</v>
      </c>
      <c r="D129" s="90">
        <v>14.5</v>
      </c>
      <c r="E129" s="91"/>
    </row>
    <row r="130" spans="1:5" x14ac:dyDescent="0.25">
      <c r="A130" s="89">
        <v>123</v>
      </c>
      <c r="B130" s="90">
        <v>16</v>
      </c>
      <c r="C130" s="90">
        <v>32</v>
      </c>
      <c r="D130" s="90">
        <v>14.5</v>
      </c>
      <c r="E130" s="91"/>
    </row>
    <row r="131" spans="1:5" x14ac:dyDescent="0.25">
      <c r="A131" s="89">
        <v>124</v>
      </c>
      <c r="B131" s="90">
        <v>24</v>
      </c>
      <c r="C131" s="90">
        <v>32</v>
      </c>
      <c r="D131" s="90">
        <v>14.5</v>
      </c>
      <c r="E131" s="91"/>
    </row>
    <row r="132" spans="1:5" x14ac:dyDescent="0.25">
      <c r="A132" s="89">
        <v>125</v>
      </c>
      <c r="B132" s="90">
        <v>32</v>
      </c>
      <c r="C132" s="90">
        <v>32</v>
      </c>
      <c r="D132" s="90">
        <v>14.5</v>
      </c>
      <c r="E132" s="91"/>
    </row>
  </sheetData>
  <phoneticPr fontId="11" type="noConversion"/>
  <dataValidations count="2">
    <dataValidation type="whole" allowBlank="1" showInputMessage="1" showErrorMessage="1" errorTitle="Invalid Input" error="Please enter an integer value only." sqref="A8:A1048576" xr:uid="{CDCBD587-055A-4D6B-968A-E8E8BE86046A}">
      <formula1>0</formula1>
      <formula2>1000000000000</formula2>
    </dataValidation>
    <dataValidation type="decimal" allowBlank="1" showInputMessage="1" showErrorMessage="1" errorTitle="Invalid Input" error="Please enter a float value only." sqref="B8:D1048576" xr:uid="{59191A79-386F-49B3-AFE4-237CB06DBDE4}">
      <formula1>-1000000000000</formula1>
      <formula2>1000000000000</formula2>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1883D8-E217-6640-A9AD-68C48FB60FE4}">
  <sheetPr codeName="Sheet24"/>
  <dimension ref="A1:H271"/>
  <sheetViews>
    <sheetView zoomScale="130" zoomScaleNormal="130" workbookViewId="0">
      <selection activeCell="F20" sqref="F20"/>
    </sheetView>
  </sheetViews>
  <sheetFormatPr defaultColWidth="10.85546875" defaultRowHeight="15.75" x14ac:dyDescent="0.25"/>
  <cols>
    <col min="1" max="1" width="15.7109375" style="109" customWidth="1"/>
    <col min="2" max="3" width="10.7109375" style="109" customWidth="1"/>
    <col min="4" max="4" width="25.7109375" style="59" customWidth="1"/>
    <col min="5" max="6" width="20.7109375" style="110" customWidth="1"/>
    <col min="7" max="16384" width="10.85546875" style="96"/>
  </cols>
  <sheetData>
    <row r="1" spans="1:8" x14ac:dyDescent="0.25">
      <c r="A1" s="69" t="s">
        <v>200</v>
      </c>
      <c r="B1" s="92"/>
      <c r="C1" s="92"/>
      <c r="D1" s="93"/>
      <c r="E1" s="93"/>
      <c r="F1" s="94"/>
      <c r="G1" s="95"/>
      <c r="H1" s="95"/>
    </row>
    <row r="2" spans="1:8" x14ac:dyDescent="0.25">
      <c r="A2" s="75" t="s">
        <v>226</v>
      </c>
      <c r="B2" s="97"/>
      <c r="C2" s="97"/>
      <c r="D2" s="98"/>
      <c r="E2" s="98"/>
      <c r="F2" s="99"/>
      <c r="G2" s="95"/>
      <c r="H2" s="95"/>
    </row>
    <row r="3" spans="1:8" x14ac:dyDescent="0.25">
      <c r="A3" s="79" t="s">
        <v>221</v>
      </c>
      <c r="B3" s="97"/>
      <c r="C3" s="97"/>
      <c r="D3" s="98"/>
      <c r="E3" s="98"/>
      <c r="F3" s="99"/>
      <c r="G3" s="95"/>
      <c r="H3" s="95"/>
    </row>
    <row r="4" spans="1:8" x14ac:dyDescent="0.25">
      <c r="A4" s="79" t="s">
        <v>222</v>
      </c>
      <c r="B4" s="97"/>
      <c r="C4" s="97"/>
      <c r="D4" s="98"/>
      <c r="E4" s="98"/>
      <c r="F4" s="99"/>
      <c r="G4" s="95"/>
      <c r="H4" s="95"/>
    </row>
    <row r="5" spans="1:8" x14ac:dyDescent="0.25">
      <c r="A5" s="100" t="s">
        <v>247</v>
      </c>
      <c r="B5" s="97"/>
      <c r="C5" s="97"/>
      <c r="D5" s="98"/>
      <c r="E5" s="98"/>
      <c r="F5" s="99"/>
      <c r="G5" s="95"/>
      <c r="H5" s="95"/>
    </row>
    <row r="6" spans="1:8" x14ac:dyDescent="0.25">
      <c r="A6" s="100" t="s">
        <v>244</v>
      </c>
      <c r="B6" s="97"/>
      <c r="C6" s="97"/>
      <c r="D6" s="98"/>
      <c r="E6" s="98"/>
      <c r="F6" s="99"/>
      <c r="G6" s="95"/>
      <c r="H6" s="95"/>
    </row>
    <row r="7" spans="1:8" x14ac:dyDescent="0.25">
      <c r="A7" s="100" t="s">
        <v>245</v>
      </c>
      <c r="B7" s="97"/>
      <c r="C7" s="97"/>
      <c r="D7" s="98"/>
      <c r="E7" s="98"/>
      <c r="F7" s="99"/>
      <c r="G7" s="95"/>
      <c r="H7" s="95"/>
    </row>
    <row r="8" spans="1:8" x14ac:dyDescent="0.25">
      <c r="A8" s="101" t="s">
        <v>238</v>
      </c>
      <c r="B8" s="97"/>
      <c r="C8" s="97"/>
      <c r="D8" s="98"/>
      <c r="E8" s="98"/>
      <c r="F8" s="99"/>
      <c r="G8" s="95"/>
      <c r="H8" s="95"/>
    </row>
    <row r="9" spans="1:8" x14ac:dyDescent="0.25">
      <c r="A9" s="102" t="s">
        <v>261</v>
      </c>
      <c r="B9" s="103"/>
      <c r="C9" s="104"/>
      <c r="D9" s="104"/>
      <c r="E9" s="104"/>
      <c r="F9" s="105"/>
      <c r="G9" s="106"/>
      <c r="H9" s="106"/>
    </row>
    <row r="10" spans="1:8" x14ac:dyDescent="0.25">
      <c r="A10" s="107"/>
      <c r="B10" s="59"/>
      <c r="C10" s="59"/>
      <c r="D10" s="96"/>
      <c r="E10" s="96"/>
      <c r="F10" s="96"/>
    </row>
    <row r="11" spans="1:8" s="13" customFormat="1" x14ac:dyDescent="0.25">
      <c r="A11" s="86" t="s">
        <v>225</v>
      </c>
      <c r="B11" s="17" t="s">
        <v>205</v>
      </c>
      <c r="C11" s="17" t="s">
        <v>206</v>
      </c>
      <c r="D11" s="86" t="s">
        <v>243</v>
      </c>
      <c r="E11" s="108" t="s">
        <v>241</v>
      </c>
      <c r="F11" s="108" t="s">
        <v>242</v>
      </c>
    </row>
    <row r="12" spans="1:8" x14ac:dyDescent="0.25">
      <c r="A12" s="109">
        <v>1</v>
      </c>
      <c r="B12" s="109">
        <v>1</v>
      </c>
      <c r="C12" s="109">
        <v>26</v>
      </c>
      <c r="D12" s="59" t="s">
        <v>246</v>
      </c>
      <c r="E12" s="110">
        <v>0</v>
      </c>
      <c r="F12" s="110">
        <v>0</v>
      </c>
    </row>
    <row r="13" spans="1:8" x14ac:dyDescent="0.25">
      <c r="A13" s="109">
        <v>2</v>
      </c>
      <c r="B13" s="109">
        <v>2</v>
      </c>
      <c r="C13" s="109">
        <v>27</v>
      </c>
      <c r="D13" s="59" t="s">
        <v>246</v>
      </c>
      <c r="E13" s="110">
        <v>0</v>
      </c>
      <c r="F13" s="110">
        <v>0</v>
      </c>
    </row>
    <row r="14" spans="1:8" x14ac:dyDescent="0.25">
      <c r="A14" s="109">
        <v>3</v>
      </c>
      <c r="B14" s="109">
        <v>3</v>
      </c>
      <c r="C14" s="109">
        <v>28</v>
      </c>
      <c r="D14" s="59" t="s">
        <v>246</v>
      </c>
      <c r="E14" s="110">
        <v>0</v>
      </c>
      <c r="F14" s="110">
        <v>0</v>
      </c>
    </row>
    <row r="15" spans="1:8" x14ac:dyDescent="0.25">
      <c r="A15" s="109">
        <v>4</v>
      </c>
      <c r="B15" s="109">
        <v>4</v>
      </c>
      <c r="C15" s="109">
        <v>29</v>
      </c>
      <c r="D15" s="59" t="s">
        <v>246</v>
      </c>
      <c r="E15" s="110">
        <v>0</v>
      </c>
      <c r="F15" s="110">
        <v>0</v>
      </c>
    </row>
    <row r="16" spans="1:8" x14ac:dyDescent="0.25">
      <c r="A16" s="109">
        <v>5</v>
      </c>
      <c r="B16" s="109">
        <v>5</v>
      </c>
      <c r="C16" s="109">
        <v>30</v>
      </c>
      <c r="D16" s="59" t="s">
        <v>246</v>
      </c>
      <c r="E16" s="110">
        <v>0</v>
      </c>
      <c r="F16" s="110">
        <v>0</v>
      </c>
    </row>
    <row r="17" spans="1:6" x14ac:dyDescent="0.25">
      <c r="A17" s="109">
        <v>6</v>
      </c>
      <c r="B17" s="109">
        <v>6</v>
      </c>
      <c r="C17" s="109">
        <v>31</v>
      </c>
      <c r="D17" s="59" t="s">
        <v>246</v>
      </c>
      <c r="E17" s="110">
        <v>0</v>
      </c>
      <c r="F17" s="110">
        <v>0</v>
      </c>
    </row>
    <row r="18" spans="1:6" x14ac:dyDescent="0.25">
      <c r="A18" s="109">
        <v>7</v>
      </c>
      <c r="B18" s="109">
        <v>7</v>
      </c>
      <c r="C18" s="109">
        <v>32</v>
      </c>
      <c r="D18" s="59" t="s">
        <v>246</v>
      </c>
      <c r="E18" s="110">
        <v>0</v>
      </c>
      <c r="F18" s="110">
        <v>0</v>
      </c>
    </row>
    <row r="19" spans="1:6" x14ac:dyDescent="0.25">
      <c r="A19" s="109">
        <v>8</v>
      </c>
      <c r="B19" s="109">
        <v>8</v>
      </c>
      <c r="C19" s="109">
        <v>33</v>
      </c>
      <c r="D19" s="59" t="s">
        <v>246</v>
      </c>
      <c r="E19" s="110">
        <v>0</v>
      </c>
      <c r="F19" s="110">
        <v>0</v>
      </c>
    </row>
    <row r="20" spans="1:6" x14ac:dyDescent="0.25">
      <c r="A20" s="109">
        <v>9</v>
      </c>
      <c r="B20" s="109">
        <v>9</v>
      </c>
      <c r="C20" s="109">
        <v>34</v>
      </c>
      <c r="D20" s="59" t="s">
        <v>246</v>
      </c>
      <c r="E20" s="110">
        <v>0</v>
      </c>
      <c r="F20" s="110">
        <v>0</v>
      </c>
    </row>
    <row r="21" spans="1:6" x14ac:dyDescent="0.25">
      <c r="A21" s="109">
        <v>10</v>
      </c>
      <c r="B21" s="109">
        <v>10</v>
      </c>
      <c r="C21" s="109">
        <v>35</v>
      </c>
      <c r="D21" s="59" t="s">
        <v>246</v>
      </c>
      <c r="E21" s="110">
        <v>0</v>
      </c>
      <c r="F21" s="110">
        <v>0</v>
      </c>
    </row>
    <row r="22" spans="1:6" x14ac:dyDescent="0.25">
      <c r="A22" s="109">
        <v>11</v>
      </c>
      <c r="B22" s="109">
        <v>11</v>
      </c>
      <c r="C22" s="109">
        <v>36</v>
      </c>
      <c r="D22" s="59" t="s">
        <v>246</v>
      </c>
      <c r="E22" s="110">
        <v>0</v>
      </c>
      <c r="F22" s="110">
        <v>0</v>
      </c>
    </row>
    <row r="23" spans="1:6" x14ac:dyDescent="0.25">
      <c r="A23" s="109">
        <v>12</v>
      </c>
      <c r="B23" s="109">
        <v>12</v>
      </c>
      <c r="C23" s="109">
        <v>37</v>
      </c>
      <c r="D23" s="59" t="s">
        <v>246</v>
      </c>
      <c r="E23" s="110">
        <v>0</v>
      </c>
      <c r="F23" s="110">
        <v>0</v>
      </c>
    </row>
    <row r="24" spans="1:6" x14ac:dyDescent="0.25">
      <c r="A24" s="109">
        <v>13</v>
      </c>
      <c r="B24" s="109">
        <v>13</v>
      </c>
      <c r="C24" s="109">
        <v>38</v>
      </c>
      <c r="D24" s="59" t="s">
        <v>246</v>
      </c>
      <c r="E24" s="110">
        <v>0</v>
      </c>
      <c r="F24" s="110">
        <v>0</v>
      </c>
    </row>
    <row r="25" spans="1:6" x14ac:dyDescent="0.25">
      <c r="A25" s="109">
        <v>14</v>
      </c>
      <c r="B25" s="109">
        <v>14</v>
      </c>
      <c r="C25" s="109">
        <v>39</v>
      </c>
      <c r="D25" s="59" t="s">
        <v>246</v>
      </c>
      <c r="E25" s="110">
        <v>0</v>
      </c>
      <c r="F25" s="110">
        <v>0</v>
      </c>
    </row>
    <row r="26" spans="1:6" x14ac:dyDescent="0.25">
      <c r="A26" s="109">
        <v>15</v>
      </c>
      <c r="B26" s="109">
        <v>15</v>
      </c>
      <c r="C26" s="109">
        <v>40</v>
      </c>
      <c r="D26" s="59" t="s">
        <v>246</v>
      </c>
      <c r="E26" s="110">
        <v>0</v>
      </c>
      <c r="F26" s="110">
        <v>0</v>
      </c>
    </row>
    <row r="27" spans="1:6" x14ac:dyDescent="0.25">
      <c r="A27" s="109">
        <v>16</v>
      </c>
      <c r="B27" s="109">
        <v>16</v>
      </c>
      <c r="C27" s="109">
        <v>41</v>
      </c>
      <c r="D27" s="59" t="s">
        <v>246</v>
      </c>
      <c r="E27" s="110">
        <v>0</v>
      </c>
      <c r="F27" s="110">
        <v>0</v>
      </c>
    </row>
    <row r="28" spans="1:6" x14ac:dyDescent="0.25">
      <c r="A28" s="109">
        <v>17</v>
      </c>
      <c r="B28" s="109">
        <v>17</v>
      </c>
      <c r="C28" s="109">
        <v>42</v>
      </c>
      <c r="D28" s="59" t="s">
        <v>246</v>
      </c>
      <c r="E28" s="110">
        <v>0</v>
      </c>
      <c r="F28" s="110">
        <v>0</v>
      </c>
    </row>
    <row r="29" spans="1:6" x14ac:dyDescent="0.25">
      <c r="A29" s="109">
        <v>18</v>
      </c>
      <c r="B29" s="109">
        <v>18</v>
      </c>
      <c r="C29" s="109">
        <v>43</v>
      </c>
      <c r="D29" s="59" t="s">
        <v>246</v>
      </c>
      <c r="E29" s="110">
        <v>0</v>
      </c>
      <c r="F29" s="110">
        <v>0</v>
      </c>
    </row>
    <row r="30" spans="1:6" x14ac:dyDescent="0.25">
      <c r="A30" s="109">
        <v>19</v>
      </c>
      <c r="B30" s="109">
        <v>19</v>
      </c>
      <c r="C30" s="109">
        <v>44</v>
      </c>
      <c r="D30" s="59" t="s">
        <v>246</v>
      </c>
      <c r="E30" s="110">
        <v>0</v>
      </c>
      <c r="F30" s="110">
        <v>0</v>
      </c>
    </row>
    <row r="31" spans="1:6" x14ac:dyDescent="0.25">
      <c r="A31" s="109">
        <v>20</v>
      </c>
      <c r="B31" s="109">
        <v>20</v>
      </c>
      <c r="C31" s="109">
        <v>45</v>
      </c>
      <c r="D31" s="59" t="s">
        <v>246</v>
      </c>
      <c r="E31" s="110">
        <v>0</v>
      </c>
      <c r="F31" s="110">
        <v>0</v>
      </c>
    </row>
    <row r="32" spans="1:6" x14ac:dyDescent="0.25">
      <c r="A32" s="109">
        <v>21</v>
      </c>
      <c r="B32" s="109">
        <v>21</v>
      </c>
      <c r="C32" s="109">
        <v>46</v>
      </c>
      <c r="D32" s="59" t="s">
        <v>246</v>
      </c>
      <c r="E32" s="110">
        <v>0</v>
      </c>
      <c r="F32" s="110">
        <v>0</v>
      </c>
    </row>
    <row r="33" spans="1:6" x14ac:dyDescent="0.25">
      <c r="A33" s="109">
        <v>22</v>
      </c>
      <c r="B33" s="109">
        <v>22</v>
      </c>
      <c r="C33" s="109">
        <v>47</v>
      </c>
      <c r="D33" s="59" t="s">
        <v>246</v>
      </c>
      <c r="E33" s="110">
        <v>0</v>
      </c>
      <c r="F33" s="110">
        <v>0</v>
      </c>
    </row>
    <row r="34" spans="1:6" x14ac:dyDescent="0.25">
      <c r="A34" s="109">
        <v>23</v>
      </c>
      <c r="B34" s="109">
        <v>23</v>
      </c>
      <c r="C34" s="109">
        <v>48</v>
      </c>
      <c r="D34" s="59" t="s">
        <v>246</v>
      </c>
      <c r="E34" s="110">
        <v>0</v>
      </c>
      <c r="F34" s="110">
        <v>0</v>
      </c>
    </row>
    <row r="35" spans="1:6" x14ac:dyDescent="0.25">
      <c r="A35" s="109">
        <v>24</v>
      </c>
      <c r="B35" s="109">
        <v>24</v>
      </c>
      <c r="C35" s="109">
        <v>49</v>
      </c>
      <c r="D35" s="59" t="s">
        <v>246</v>
      </c>
      <c r="E35" s="110">
        <v>0</v>
      </c>
      <c r="F35" s="110">
        <v>0</v>
      </c>
    </row>
    <row r="36" spans="1:6" x14ac:dyDescent="0.25">
      <c r="A36" s="109">
        <v>25</v>
      </c>
      <c r="B36" s="109">
        <v>25</v>
      </c>
      <c r="C36" s="109">
        <v>50</v>
      </c>
      <c r="D36" s="59" t="s">
        <v>246</v>
      </c>
      <c r="E36" s="110">
        <v>0</v>
      </c>
      <c r="F36" s="110">
        <v>0</v>
      </c>
    </row>
    <row r="37" spans="1:6" x14ac:dyDescent="0.25">
      <c r="A37" s="109">
        <v>26</v>
      </c>
      <c r="B37" s="109">
        <v>26</v>
      </c>
      <c r="C37" s="109">
        <v>51</v>
      </c>
      <c r="D37" s="59" t="s">
        <v>246</v>
      </c>
      <c r="E37" s="110">
        <v>0</v>
      </c>
      <c r="F37" s="110">
        <v>0</v>
      </c>
    </row>
    <row r="38" spans="1:6" x14ac:dyDescent="0.25">
      <c r="A38" s="109">
        <v>27</v>
      </c>
      <c r="B38" s="109">
        <v>27</v>
      </c>
      <c r="C38" s="109">
        <v>52</v>
      </c>
      <c r="D38" s="59" t="s">
        <v>246</v>
      </c>
      <c r="E38" s="110">
        <v>0</v>
      </c>
      <c r="F38" s="110">
        <v>0</v>
      </c>
    </row>
    <row r="39" spans="1:6" x14ac:dyDescent="0.25">
      <c r="A39" s="109">
        <v>28</v>
      </c>
      <c r="B39" s="109">
        <v>28</v>
      </c>
      <c r="C39" s="109">
        <v>53</v>
      </c>
      <c r="D39" s="59" t="s">
        <v>246</v>
      </c>
      <c r="E39" s="110">
        <v>0</v>
      </c>
      <c r="F39" s="110">
        <v>0</v>
      </c>
    </row>
    <row r="40" spans="1:6" x14ac:dyDescent="0.25">
      <c r="A40" s="109">
        <v>29</v>
      </c>
      <c r="B40" s="109">
        <v>29</v>
      </c>
      <c r="C40" s="109">
        <v>54</v>
      </c>
      <c r="D40" s="59" t="s">
        <v>246</v>
      </c>
      <c r="E40" s="110">
        <v>0</v>
      </c>
      <c r="F40" s="110">
        <v>0</v>
      </c>
    </row>
    <row r="41" spans="1:6" x14ac:dyDescent="0.25">
      <c r="A41" s="109">
        <v>30</v>
      </c>
      <c r="B41" s="109">
        <v>30</v>
      </c>
      <c r="C41" s="109">
        <v>55</v>
      </c>
      <c r="D41" s="59" t="s">
        <v>246</v>
      </c>
      <c r="E41" s="110">
        <v>0</v>
      </c>
      <c r="F41" s="110">
        <v>0</v>
      </c>
    </row>
    <row r="42" spans="1:6" x14ac:dyDescent="0.25">
      <c r="A42" s="109">
        <v>31</v>
      </c>
      <c r="B42" s="109">
        <v>31</v>
      </c>
      <c r="C42" s="109">
        <v>56</v>
      </c>
      <c r="D42" s="59" t="s">
        <v>246</v>
      </c>
      <c r="E42" s="110">
        <v>0</v>
      </c>
      <c r="F42" s="110">
        <v>0</v>
      </c>
    </row>
    <row r="43" spans="1:6" x14ac:dyDescent="0.25">
      <c r="A43" s="109">
        <v>32</v>
      </c>
      <c r="B43" s="109">
        <v>32</v>
      </c>
      <c r="C43" s="109">
        <v>57</v>
      </c>
      <c r="D43" s="59" t="s">
        <v>246</v>
      </c>
      <c r="E43" s="110">
        <v>0</v>
      </c>
      <c r="F43" s="110">
        <v>0</v>
      </c>
    </row>
    <row r="44" spans="1:6" x14ac:dyDescent="0.25">
      <c r="A44" s="109">
        <v>33</v>
      </c>
      <c r="B44" s="109">
        <v>33</v>
      </c>
      <c r="C44" s="109">
        <v>58</v>
      </c>
      <c r="D44" s="59" t="s">
        <v>246</v>
      </c>
      <c r="E44" s="110">
        <v>0</v>
      </c>
      <c r="F44" s="110">
        <v>0</v>
      </c>
    </row>
    <row r="45" spans="1:6" x14ac:dyDescent="0.25">
      <c r="A45" s="109">
        <v>34</v>
      </c>
      <c r="B45" s="109">
        <v>34</v>
      </c>
      <c r="C45" s="109">
        <v>59</v>
      </c>
      <c r="D45" s="59" t="s">
        <v>246</v>
      </c>
      <c r="E45" s="110">
        <v>0</v>
      </c>
      <c r="F45" s="110">
        <v>0</v>
      </c>
    </row>
    <row r="46" spans="1:6" x14ac:dyDescent="0.25">
      <c r="A46" s="109">
        <v>35</v>
      </c>
      <c r="B46" s="109">
        <v>35</v>
      </c>
      <c r="C46" s="109">
        <v>60</v>
      </c>
      <c r="D46" s="59" t="s">
        <v>246</v>
      </c>
      <c r="E46" s="110">
        <v>0</v>
      </c>
      <c r="F46" s="110">
        <v>0</v>
      </c>
    </row>
    <row r="47" spans="1:6" x14ac:dyDescent="0.25">
      <c r="A47" s="109">
        <v>36</v>
      </c>
      <c r="B47" s="109">
        <v>36</v>
      </c>
      <c r="C47" s="109">
        <v>61</v>
      </c>
      <c r="D47" s="59" t="s">
        <v>246</v>
      </c>
      <c r="E47" s="110">
        <v>0</v>
      </c>
      <c r="F47" s="110">
        <v>0</v>
      </c>
    </row>
    <row r="48" spans="1:6" x14ac:dyDescent="0.25">
      <c r="A48" s="109">
        <v>37</v>
      </c>
      <c r="B48" s="109">
        <v>37</v>
      </c>
      <c r="C48" s="109">
        <v>62</v>
      </c>
      <c r="D48" s="59" t="s">
        <v>246</v>
      </c>
      <c r="E48" s="110">
        <v>0</v>
      </c>
      <c r="F48" s="110">
        <v>0</v>
      </c>
    </row>
    <row r="49" spans="1:6" x14ac:dyDescent="0.25">
      <c r="A49" s="109">
        <v>38</v>
      </c>
      <c r="B49" s="109">
        <v>38</v>
      </c>
      <c r="C49" s="109">
        <v>63</v>
      </c>
      <c r="D49" s="59" t="s">
        <v>246</v>
      </c>
      <c r="E49" s="110">
        <v>0</v>
      </c>
      <c r="F49" s="110">
        <v>0</v>
      </c>
    </row>
    <row r="50" spans="1:6" x14ac:dyDescent="0.25">
      <c r="A50" s="109">
        <v>39</v>
      </c>
      <c r="B50" s="109">
        <v>39</v>
      </c>
      <c r="C50" s="109">
        <v>64</v>
      </c>
      <c r="D50" s="59" t="s">
        <v>246</v>
      </c>
      <c r="E50" s="110">
        <v>0</v>
      </c>
      <c r="F50" s="110">
        <v>0</v>
      </c>
    </row>
    <row r="51" spans="1:6" x14ac:dyDescent="0.25">
      <c r="A51" s="109">
        <v>40</v>
      </c>
      <c r="B51" s="109">
        <v>40</v>
      </c>
      <c r="C51" s="109">
        <v>65</v>
      </c>
      <c r="D51" s="59" t="s">
        <v>246</v>
      </c>
      <c r="E51" s="110">
        <v>0</v>
      </c>
      <c r="F51" s="110">
        <v>0</v>
      </c>
    </row>
    <row r="52" spans="1:6" x14ac:dyDescent="0.25">
      <c r="A52" s="109">
        <v>41</v>
      </c>
      <c r="B52" s="109">
        <v>41</v>
      </c>
      <c r="C52" s="109">
        <v>66</v>
      </c>
      <c r="D52" s="59" t="s">
        <v>246</v>
      </c>
      <c r="E52" s="110">
        <v>0</v>
      </c>
      <c r="F52" s="110">
        <v>0</v>
      </c>
    </row>
    <row r="53" spans="1:6" x14ac:dyDescent="0.25">
      <c r="A53" s="109">
        <v>42</v>
      </c>
      <c r="B53" s="109">
        <v>42</v>
      </c>
      <c r="C53" s="109">
        <v>67</v>
      </c>
      <c r="D53" s="59" t="s">
        <v>246</v>
      </c>
      <c r="E53" s="110">
        <v>0</v>
      </c>
      <c r="F53" s="110">
        <v>0</v>
      </c>
    </row>
    <row r="54" spans="1:6" x14ac:dyDescent="0.25">
      <c r="A54" s="109">
        <v>43</v>
      </c>
      <c r="B54" s="109">
        <v>43</v>
      </c>
      <c r="C54" s="109">
        <v>68</v>
      </c>
      <c r="D54" s="59" t="s">
        <v>246</v>
      </c>
      <c r="E54" s="110">
        <v>0</v>
      </c>
      <c r="F54" s="110">
        <v>0</v>
      </c>
    </row>
    <row r="55" spans="1:6" x14ac:dyDescent="0.25">
      <c r="A55" s="109">
        <v>44</v>
      </c>
      <c r="B55" s="109">
        <v>44</v>
      </c>
      <c r="C55" s="109">
        <v>69</v>
      </c>
      <c r="D55" s="59" t="s">
        <v>246</v>
      </c>
      <c r="E55" s="110">
        <v>0</v>
      </c>
      <c r="F55" s="110">
        <v>0</v>
      </c>
    </row>
    <row r="56" spans="1:6" x14ac:dyDescent="0.25">
      <c r="A56" s="109">
        <v>45</v>
      </c>
      <c r="B56" s="109">
        <v>45</v>
      </c>
      <c r="C56" s="109">
        <v>70</v>
      </c>
      <c r="D56" s="59" t="s">
        <v>246</v>
      </c>
      <c r="E56" s="110">
        <v>0</v>
      </c>
      <c r="F56" s="110">
        <v>0</v>
      </c>
    </row>
    <row r="57" spans="1:6" x14ac:dyDescent="0.25">
      <c r="A57" s="109">
        <v>46</v>
      </c>
      <c r="B57" s="109">
        <v>46</v>
      </c>
      <c r="C57" s="109">
        <v>71</v>
      </c>
      <c r="D57" s="59" t="s">
        <v>246</v>
      </c>
      <c r="E57" s="110">
        <v>0</v>
      </c>
      <c r="F57" s="110">
        <v>0</v>
      </c>
    </row>
    <row r="58" spans="1:6" x14ac:dyDescent="0.25">
      <c r="A58" s="109">
        <v>47</v>
      </c>
      <c r="B58" s="109">
        <v>47</v>
      </c>
      <c r="C58" s="109">
        <v>72</v>
      </c>
      <c r="D58" s="59" t="s">
        <v>246</v>
      </c>
      <c r="E58" s="110">
        <v>0</v>
      </c>
      <c r="F58" s="110">
        <v>0</v>
      </c>
    </row>
    <row r="59" spans="1:6" x14ac:dyDescent="0.25">
      <c r="A59" s="109">
        <v>48</v>
      </c>
      <c r="B59" s="109">
        <v>48</v>
      </c>
      <c r="C59" s="109">
        <v>73</v>
      </c>
      <c r="D59" s="59" t="s">
        <v>246</v>
      </c>
      <c r="E59" s="110">
        <v>0</v>
      </c>
      <c r="F59" s="110">
        <v>0</v>
      </c>
    </row>
    <row r="60" spans="1:6" x14ac:dyDescent="0.25">
      <c r="A60" s="109">
        <v>49</v>
      </c>
      <c r="B60" s="109">
        <v>49</v>
      </c>
      <c r="C60" s="109">
        <v>74</v>
      </c>
      <c r="D60" s="59" t="s">
        <v>246</v>
      </c>
      <c r="E60" s="110">
        <v>0</v>
      </c>
      <c r="F60" s="110">
        <v>0</v>
      </c>
    </row>
    <row r="61" spans="1:6" x14ac:dyDescent="0.25">
      <c r="A61" s="109">
        <v>50</v>
      </c>
      <c r="B61" s="109">
        <v>50</v>
      </c>
      <c r="C61" s="109">
        <v>75</v>
      </c>
      <c r="D61" s="59" t="s">
        <v>246</v>
      </c>
      <c r="E61" s="110">
        <v>0</v>
      </c>
      <c r="F61" s="110">
        <v>0</v>
      </c>
    </row>
    <row r="62" spans="1:6" x14ac:dyDescent="0.25">
      <c r="A62" s="109">
        <v>51</v>
      </c>
      <c r="B62" s="109">
        <v>51</v>
      </c>
      <c r="C62" s="109">
        <v>76</v>
      </c>
      <c r="D62" s="59" t="s">
        <v>246</v>
      </c>
      <c r="E62" s="110">
        <v>0</v>
      </c>
      <c r="F62" s="110">
        <v>0</v>
      </c>
    </row>
    <row r="63" spans="1:6" x14ac:dyDescent="0.25">
      <c r="A63" s="109">
        <v>52</v>
      </c>
      <c r="B63" s="109">
        <v>52</v>
      </c>
      <c r="C63" s="109">
        <v>77</v>
      </c>
      <c r="D63" s="59" t="s">
        <v>246</v>
      </c>
      <c r="E63" s="110">
        <v>0</v>
      </c>
      <c r="F63" s="110">
        <v>0</v>
      </c>
    </row>
    <row r="64" spans="1:6" x14ac:dyDescent="0.25">
      <c r="A64" s="109">
        <v>53</v>
      </c>
      <c r="B64" s="109">
        <v>53</v>
      </c>
      <c r="C64" s="109">
        <v>78</v>
      </c>
      <c r="D64" s="59" t="s">
        <v>246</v>
      </c>
      <c r="E64" s="110">
        <v>0</v>
      </c>
      <c r="F64" s="110">
        <v>0</v>
      </c>
    </row>
    <row r="65" spans="1:6" x14ac:dyDescent="0.25">
      <c r="A65" s="109">
        <v>54</v>
      </c>
      <c r="B65" s="109">
        <v>54</v>
      </c>
      <c r="C65" s="109">
        <v>79</v>
      </c>
      <c r="D65" s="59" t="s">
        <v>246</v>
      </c>
      <c r="E65" s="110">
        <v>0</v>
      </c>
      <c r="F65" s="110">
        <v>0</v>
      </c>
    </row>
    <row r="66" spans="1:6" x14ac:dyDescent="0.25">
      <c r="A66" s="109">
        <v>55</v>
      </c>
      <c r="B66" s="109">
        <v>55</v>
      </c>
      <c r="C66" s="109">
        <v>80</v>
      </c>
      <c r="D66" s="59" t="s">
        <v>246</v>
      </c>
      <c r="E66" s="110">
        <v>0</v>
      </c>
      <c r="F66" s="110">
        <v>0</v>
      </c>
    </row>
    <row r="67" spans="1:6" x14ac:dyDescent="0.25">
      <c r="A67" s="109">
        <v>56</v>
      </c>
      <c r="B67" s="109">
        <v>56</v>
      </c>
      <c r="C67" s="109">
        <v>81</v>
      </c>
      <c r="D67" s="59" t="s">
        <v>246</v>
      </c>
      <c r="E67" s="110">
        <v>0</v>
      </c>
      <c r="F67" s="110">
        <v>0</v>
      </c>
    </row>
    <row r="68" spans="1:6" x14ac:dyDescent="0.25">
      <c r="A68" s="109">
        <v>57</v>
      </c>
      <c r="B68" s="109">
        <v>57</v>
      </c>
      <c r="C68" s="109">
        <v>82</v>
      </c>
      <c r="D68" s="59" t="s">
        <v>246</v>
      </c>
      <c r="E68" s="110">
        <v>0</v>
      </c>
      <c r="F68" s="110">
        <v>0</v>
      </c>
    </row>
    <row r="69" spans="1:6" x14ac:dyDescent="0.25">
      <c r="A69" s="109">
        <v>58</v>
      </c>
      <c r="B69" s="109">
        <v>58</v>
      </c>
      <c r="C69" s="109">
        <v>83</v>
      </c>
      <c r="D69" s="59" t="s">
        <v>246</v>
      </c>
      <c r="E69" s="110">
        <v>0</v>
      </c>
      <c r="F69" s="110">
        <v>0</v>
      </c>
    </row>
    <row r="70" spans="1:6" x14ac:dyDescent="0.25">
      <c r="A70" s="109">
        <v>59</v>
      </c>
      <c r="B70" s="109">
        <v>59</v>
      </c>
      <c r="C70" s="109">
        <v>84</v>
      </c>
      <c r="D70" s="59" t="s">
        <v>246</v>
      </c>
      <c r="E70" s="110">
        <v>0</v>
      </c>
      <c r="F70" s="110">
        <v>0</v>
      </c>
    </row>
    <row r="71" spans="1:6" x14ac:dyDescent="0.25">
      <c r="A71" s="109">
        <v>60</v>
      </c>
      <c r="B71" s="109">
        <v>60</v>
      </c>
      <c r="C71" s="109">
        <v>85</v>
      </c>
      <c r="D71" s="59" t="s">
        <v>246</v>
      </c>
      <c r="E71" s="110">
        <v>0</v>
      </c>
      <c r="F71" s="110">
        <v>0</v>
      </c>
    </row>
    <row r="72" spans="1:6" x14ac:dyDescent="0.25">
      <c r="A72" s="109">
        <v>61</v>
      </c>
      <c r="B72" s="109">
        <v>61</v>
      </c>
      <c r="C72" s="109">
        <v>86</v>
      </c>
      <c r="D72" s="59" t="s">
        <v>246</v>
      </c>
      <c r="E72" s="110">
        <v>0</v>
      </c>
      <c r="F72" s="110">
        <v>0</v>
      </c>
    </row>
    <row r="73" spans="1:6" x14ac:dyDescent="0.25">
      <c r="A73" s="109">
        <v>62</v>
      </c>
      <c r="B73" s="109">
        <v>62</v>
      </c>
      <c r="C73" s="109">
        <v>87</v>
      </c>
      <c r="D73" s="59" t="s">
        <v>246</v>
      </c>
      <c r="E73" s="110">
        <v>0</v>
      </c>
      <c r="F73" s="110">
        <v>0</v>
      </c>
    </row>
    <row r="74" spans="1:6" x14ac:dyDescent="0.25">
      <c r="A74" s="109">
        <v>63</v>
      </c>
      <c r="B74" s="109">
        <v>63</v>
      </c>
      <c r="C74" s="109">
        <v>88</v>
      </c>
      <c r="D74" s="59" t="s">
        <v>246</v>
      </c>
      <c r="E74" s="110">
        <v>0</v>
      </c>
      <c r="F74" s="110">
        <v>0</v>
      </c>
    </row>
    <row r="75" spans="1:6" x14ac:dyDescent="0.25">
      <c r="A75" s="109">
        <v>64</v>
      </c>
      <c r="B75" s="109">
        <v>64</v>
      </c>
      <c r="C75" s="109">
        <v>89</v>
      </c>
      <c r="D75" s="59" t="s">
        <v>246</v>
      </c>
      <c r="E75" s="110">
        <v>0</v>
      </c>
      <c r="F75" s="110">
        <v>0</v>
      </c>
    </row>
    <row r="76" spans="1:6" x14ac:dyDescent="0.25">
      <c r="A76" s="109">
        <v>65</v>
      </c>
      <c r="B76" s="109">
        <v>65</v>
      </c>
      <c r="C76" s="109">
        <v>90</v>
      </c>
      <c r="D76" s="59" t="s">
        <v>246</v>
      </c>
      <c r="E76" s="110">
        <v>0</v>
      </c>
      <c r="F76" s="110">
        <v>0</v>
      </c>
    </row>
    <row r="77" spans="1:6" x14ac:dyDescent="0.25">
      <c r="A77" s="109">
        <v>66</v>
      </c>
      <c r="B77" s="109">
        <v>66</v>
      </c>
      <c r="C77" s="109">
        <v>91</v>
      </c>
      <c r="D77" s="59" t="s">
        <v>246</v>
      </c>
      <c r="E77" s="110">
        <v>0</v>
      </c>
      <c r="F77" s="110">
        <v>0</v>
      </c>
    </row>
    <row r="78" spans="1:6" x14ac:dyDescent="0.25">
      <c r="A78" s="109">
        <v>67</v>
      </c>
      <c r="B78" s="109">
        <v>67</v>
      </c>
      <c r="C78" s="109">
        <v>92</v>
      </c>
      <c r="D78" s="59" t="s">
        <v>246</v>
      </c>
      <c r="E78" s="110">
        <v>0</v>
      </c>
      <c r="F78" s="110">
        <v>0</v>
      </c>
    </row>
    <row r="79" spans="1:6" x14ac:dyDescent="0.25">
      <c r="A79" s="109">
        <v>68</v>
      </c>
      <c r="B79" s="109">
        <v>68</v>
      </c>
      <c r="C79" s="109">
        <v>93</v>
      </c>
      <c r="D79" s="59" t="s">
        <v>246</v>
      </c>
      <c r="E79" s="110">
        <v>0</v>
      </c>
      <c r="F79" s="110">
        <v>0</v>
      </c>
    </row>
    <row r="80" spans="1:6" x14ac:dyDescent="0.25">
      <c r="A80" s="109">
        <v>69</v>
      </c>
      <c r="B80" s="109">
        <v>69</v>
      </c>
      <c r="C80" s="109">
        <v>94</v>
      </c>
      <c r="D80" s="59" t="s">
        <v>246</v>
      </c>
      <c r="E80" s="110">
        <v>0</v>
      </c>
      <c r="F80" s="110">
        <v>0</v>
      </c>
    </row>
    <row r="81" spans="1:6" x14ac:dyDescent="0.25">
      <c r="A81" s="109">
        <v>70</v>
      </c>
      <c r="B81" s="109">
        <v>70</v>
      </c>
      <c r="C81" s="109">
        <v>95</v>
      </c>
      <c r="D81" s="59" t="s">
        <v>246</v>
      </c>
      <c r="E81" s="110">
        <v>0</v>
      </c>
      <c r="F81" s="110">
        <v>0</v>
      </c>
    </row>
    <row r="82" spans="1:6" x14ac:dyDescent="0.25">
      <c r="A82" s="109">
        <v>71</v>
      </c>
      <c r="B82" s="109">
        <v>71</v>
      </c>
      <c r="C82" s="109">
        <v>96</v>
      </c>
      <c r="D82" s="59" t="s">
        <v>246</v>
      </c>
      <c r="E82" s="110">
        <v>0</v>
      </c>
      <c r="F82" s="110">
        <v>0</v>
      </c>
    </row>
    <row r="83" spans="1:6" x14ac:dyDescent="0.25">
      <c r="A83" s="109">
        <v>72</v>
      </c>
      <c r="B83" s="109">
        <v>72</v>
      </c>
      <c r="C83" s="109">
        <v>97</v>
      </c>
      <c r="D83" s="59" t="s">
        <v>246</v>
      </c>
      <c r="E83" s="110">
        <v>0</v>
      </c>
      <c r="F83" s="110">
        <v>0</v>
      </c>
    </row>
    <row r="84" spans="1:6" x14ac:dyDescent="0.25">
      <c r="A84" s="109">
        <v>73</v>
      </c>
      <c r="B84" s="109">
        <v>73</v>
      </c>
      <c r="C84" s="109">
        <v>98</v>
      </c>
      <c r="D84" s="59" t="s">
        <v>246</v>
      </c>
      <c r="E84" s="110">
        <v>0</v>
      </c>
      <c r="F84" s="110">
        <v>0</v>
      </c>
    </row>
    <row r="85" spans="1:6" x14ac:dyDescent="0.25">
      <c r="A85" s="109">
        <v>74</v>
      </c>
      <c r="B85" s="109">
        <v>74</v>
      </c>
      <c r="C85" s="109">
        <v>99</v>
      </c>
      <c r="D85" s="59" t="s">
        <v>246</v>
      </c>
      <c r="E85" s="110">
        <v>0</v>
      </c>
      <c r="F85" s="110">
        <v>0</v>
      </c>
    </row>
    <row r="86" spans="1:6" x14ac:dyDescent="0.25">
      <c r="A86" s="109">
        <v>75</v>
      </c>
      <c r="B86" s="109">
        <v>75</v>
      </c>
      <c r="C86" s="109">
        <v>100</v>
      </c>
      <c r="D86" s="59" t="s">
        <v>246</v>
      </c>
      <c r="E86" s="110">
        <v>0</v>
      </c>
      <c r="F86" s="110">
        <v>0</v>
      </c>
    </row>
    <row r="87" spans="1:6" x14ac:dyDescent="0.25">
      <c r="A87" s="109">
        <v>76</v>
      </c>
      <c r="B87" s="109">
        <v>76</v>
      </c>
      <c r="C87" s="109">
        <v>101</v>
      </c>
      <c r="D87" s="59" t="s">
        <v>246</v>
      </c>
      <c r="E87" s="110">
        <v>0</v>
      </c>
      <c r="F87" s="110">
        <v>0</v>
      </c>
    </row>
    <row r="88" spans="1:6" x14ac:dyDescent="0.25">
      <c r="A88" s="109">
        <v>77</v>
      </c>
      <c r="B88" s="109">
        <v>77</v>
      </c>
      <c r="C88" s="109">
        <v>102</v>
      </c>
      <c r="D88" s="59" t="s">
        <v>246</v>
      </c>
      <c r="E88" s="110">
        <v>0</v>
      </c>
      <c r="F88" s="110">
        <v>0</v>
      </c>
    </row>
    <row r="89" spans="1:6" x14ac:dyDescent="0.25">
      <c r="A89" s="109">
        <v>78</v>
      </c>
      <c r="B89" s="109">
        <v>78</v>
      </c>
      <c r="C89" s="109">
        <v>103</v>
      </c>
      <c r="D89" s="59" t="s">
        <v>246</v>
      </c>
      <c r="E89" s="110">
        <v>0</v>
      </c>
      <c r="F89" s="110">
        <v>0</v>
      </c>
    </row>
    <row r="90" spans="1:6" x14ac:dyDescent="0.25">
      <c r="A90" s="109">
        <v>79</v>
      </c>
      <c r="B90" s="109">
        <v>79</v>
      </c>
      <c r="C90" s="109">
        <v>104</v>
      </c>
      <c r="D90" s="59" t="s">
        <v>246</v>
      </c>
      <c r="E90" s="110">
        <v>0</v>
      </c>
      <c r="F90" s="110">
        <v>0</v>
      </c>
    </row>
    <row r="91" spans="1:6" x14ac:dyDescent="0.25">
      <c r="A91" s="109">
        <v>80</v>
      </c>
      <c r="B91" s="109">
        <v>80</v>
      </c>
      <c r="C91" s="109">
        <v>105</v>
      </c>
      <c r="D91" s="59" t="s">
        <v>246</v>
      </c>
      <c r="E91" s="110">
        <v>0</v>
      </c>
      <c r="F91" s="110">
        <v>0</v>
      </c>
    </row>
    <row r="92" spans="1:6" x14ac:dyDescent="0.25">
      <c r="A92" s="109">
        <v>81</v>
      </c>
      <c r="B92" s="109">
        <v>81</v>
      </c>
      <c r="C92" s="109">
        <v>106</v>
      </c>
      <c r="D92" s="59" t="s">
        <v>246</v>
      </c>
      <c r="E92" s="110">
        <v>0</v>
      </c>
      <c r="F92" s="110">
        <v>0</v>
      </c>
    </row>
    <row r="93" spans="1:6" x14ac:dyDescent="0.25">
      <c r="A93" s="109">
        <v>82</v>
      </c>
      <c r="B93" s="109">
        <v>82</v>
      </c>
      <c r="C93" s="109">
        <v>107</v>
      </c>
      <c r="D93" s="59" t="s">
        <v>246</v>
      </c>
      <c r="E93" s="110">
        <v>0</v>
      </c>
      <c r="F93" s="110">
        <v>0</v>
      </c>
    </row>
    <row r="94" spans="1:6" x14ac:dyDescent="0.25">
      <c r="A94" s="109">
        <v>83</v>
      </c>
      <c r="B94" s="109">
        <v>83</v>
      </c>
      <c r="C94" s="109">
        <v>108</v>
      </c>
      <c r="D94" s="59" t="s">
        <v>246</v>
      </c>
      <c r="E94" s="110">
        <v>0</v>
      </c>
      <c r="F94" s="110">
        <v>0</v>
      </c>
    </row>
    <row r="95" spans="1:6" x14ac:dyDescent="0.25">
      <c r="A95" s="109">
        <v>84</v>
      </c>
      <c r="B95" s="109">
        <v>84</v>
      </c>
      <c r="C95" s="109">
        <v>109</v>
      </c>
      <c r="D95" s="59" t="s">
        <v>246</v>
      </c>
      <c r="E95" s="110">
        <v>0</v>
      </c>
      <c r="F95" s="110">
        <v>0</v>
      </c>
    </row>
    <row r="96" spans="1:6" x14ac:dyDescent="0.25">
      <c r="A96" s="109">
        <v>85</v>
      </c>
      <c r="B96" s="109">
        <v>85</v>
      </c>
      <c r="C96" s="109">
        <v>110</v>
      </c>
      <c r="D96" s="59" t="s">
        <v>246</v>
      </c>
      <c r="E96" s="110">
        <v>0</v>
      </c>
      <c r="F96" s="110">
        <v>0</v>
      </c>
    </row>
    <row r="97" spans="1:6" x14ac:dyDescent="0.25">
      <c r="A97" s="109">
        <v>86</v>
      </c>
      <c r="B97" s="109">
        <v>86</v>
      </c>
      <c r="C97" s="109">
        <v>111</v>
      </c>
      <c r="D97" s="59" t="s">
        <v>246</v>
      </c>
      <c r="E97" s="110">
        <v>0</v>
      </c>
      <c r="F97" s="110">
        <v>0</v>
      </c>
    </row>
    <row r="98" spans="1:6" x14ac:dyDescent="0.25">
      <c r="A98" s="109">
        <v>87</v>
      </c>
      <c r="B98" s="109">
        <v>87</v>
      </c>
      <c r="C98" s="109">
        <v>112</v>
      </c>
      <c r="D98" s="59" t="s">
        <v>246</v>
      </c>
      <c r="E98" s="110">
        <v>0</v>
      </c>
      <c r="F98" s="110">
        <v>0</v>
      </c>
    </row>
    <row r="99" spans="1:6" x14ac:dyDescent="0.25">
      <c r="A99" s="109">
        <v>88</v>
      </c>
      <c r="B99" s="109">
        <v>88</v>
      </c>
      <c r="C99" s="109">
        <v>113</v>
      </c>
      <c r="D99" s="59" t="s">
        <v>246</v>
      </c>
      <c r="E99" s="110">
        <v>0</v>
      </c>
      <c r="F99" s="110">
        <v>0</v>
      </c>
    </row>
    <row r="100" spans="1:6" x14ac:dyDescent="0.25">
      <c r="A100" s="109">
        <v>89</v>
      </c>
      <c r="B100" s="109">
        <v>89</v>
      </c>
      <c r="C100" s="109">
        <v>114</v>
      </c>
      <c r="D100" s="59" t="s">
        <v>246</v>
      </c>
      <c r="E100" s="110">
        <v>0</v>
      </c>
      <c r="F100" s="110">
        <v>0</v>
      </c>
    </row>
    <row r="101" spans="1:6" x14ac:dyDescent="0.25">
      <c r="A101" s="109">
        <v>90</v>
      </c>
      <c r="B101" s="109">
        <v>90</v>
      </c>
      <c r="C101" s="109">
        <v>115</v>
      </c>
      <c r="D101" s="59" t="s">
        <v>246</v>
      </c>
      <c r="E101" s="110">
        <v>0</v>
      </c>
      <c r="F101" s="110">
        <v>0</v>
      </c>
    </row>
    <row r="102" spans="1:6" x14ac:dyDescent="0.25">
      <c r="A102" s="109">
        <v>91</v>
      </c>
      <c r="B102" s="109">
        <v>91</v>
      </c>
      <c r="C102" s="109">
        <v>116</v>
      </c>
      <c r="D102" s="59" t="s">
        <v>246</v>
      </c>
      <c r="E102" s="110">
        <v>0</v>
      </c>
      <c r="F102" s="110">
        <v>0</v>
      </c>
    </row>
    <row r="103" spans="1:6" x14ac:dyDescent="0.25">
      <c r="A103" s="109">
        <v>92</v>
      </c>
      <c r="B103" s="109">
        <v>92</v>
      </c>
      <c r="C103" s="109">
        <v>117</v>
      </c>
      <c r="D103" s="59" t="s">
        <v>246</v>
      </c>
      <c r="E103" s="110">
        <v>0</v>
      </c>
      <c r="F103" s="110">
        <v>0</v>
      </c>
    </row>
    <row r="104" spans="1:6" x14ac:dyDescent="0.25">
      <c r="A104" s="109">
        <v>93</v>
      </c>
      <c r="B104" s="109">
        <v>93</v>
      </c>
      <c r="C104" s="109">
        <v>118</v>
      </c>
      <c r="D104" s="59" t="s">
        <v>246</v>
      </c>
      <c r="E104" s="110">
        <v>0</v>
      </c>
      <c r="F104" s="110">
        <v>0</v>
      </c>
    </row>
    <row r="105" spans="1:6" x14ac:dyDescent="0.25">
      <c r="A105" s="109">
        <v>94</v>
      </c>
      <c r="B105" s="109">
        <v>94</v>
      </c>
      <c r="C105" s="109">
        <v>119</v>
      </c>
      <c r="D105" s="59" t="s">
        <v>246</v>
      </c>
      <c r="E105" s="110">
        <v>0</v>
      </c>
      <c r="F105" s="110">
        <v>0</v>
      </c>
    </row>
    <row r="106" spans="1:6" x14ac:dyDescent="0.25">
      <c r="A106" s="109">
        <v>95</v>
      </c>
      <c r="B106" s="109">
        <v>95</v>
      </c>
      <c r="C106" s="109">
        <v>120</v>
      </c>
      <c r="D106" s="59" t="s">
        <v>246</v>
      </c>
      <c r="E106" s="110">
        <v>0</v>
      </c>
      <c r="F106" s="110">
        <v>0</v>
      </c>
    </row>
    <row r="107" spans="1:6" x14ac:dyDescent="0.25">
      <c r="A107" s="109">
        <v>96</v>
      </c>
      <c r="B107" s="109">
        <v>96</v>
      </c>
      <c r="C107" s="109">
        <v>121</v>
      </c>
      <c r="D107" s="59" t="s">
        <v>246</v>
      </c>
      <c r="E107" s="110">
        <v>0</v>
      </c>
      <c r="F107" s="110">
        <v>0</v>
      </c>
    </row>
    <row r="108" spans="1:6" x14ac:dyDescent="0.25">
      <c r="A108" s="109">
        <v>97</v>
      </c>
      <c r="B108" s="109">
        <v>97</v>
      </c>
      <c r="C108" s="109">
        <v>122</v>
      </c>
      <c r="D108" s="59" t="s">
        <v>246</v>
      </c>
      <c r="E108" s="110">
        <v>0</v>
      </c>
      <c r="F108" s="110">
        <v>0</v>
      </c>
    </row>
    <row r="109" spans="1:6" x14ac:dyDescent="0.25">
      <c r="A109" s="109">
        <v>98</v>
      </c>
      <c r="B109" s="109">
        <v>98</v>
      </c>
      <c r="C109" s="109">
        <v>123</v>
      </c>
      <c r="D109" s="59" t="s">
        <v>246</v>
      </c>
      <c r="E109" s="110">
        <v>0</v>
      </c>
      <c r="F109" s="110">
        <v>0</v>
      </c>
    </row>
    <row r="110" spans="1:6" x14ac:dyDescent="0.25">
      <c r="A110" s="109">
        <v>99</v>
      </c>
      <c r="B110" s="109">
        <v>99</v>
      </c>
      <c r="C110" s="109">
        <v>124</v>
      </c>
      <c r="D110" s="59" t="s">
        <v>246</v>
      </c>
      <c r="E110" s="110">
        <v>0</v>
      </c>
      <c r="F110" s="110">
        <v>0</v>
      </c>
    </row>
    <row r="111" spans="1:6" x14ac:dyDescent="0.25">
      <c r="A111" s="109">
        <v>100</v>
      </c>
      <c r="B111" s="109">
        <v>100</v>
      </c>
      <c r="C111" s="109">
        <v>125</v>
      </c>
      <c r="D111" s="59" t="s">
        <v>246</v>
      </c>
      <c r="E111" s="110">
        <v>0</v>
      </c>
      <c r="F111" s="110">
        <v>0</v>
      </c>
    </row>
    <row r="112" spans="1:6" x14ac:dyDescent="0.25">
      <c r="A112" s="109">
        <v>101</v>
      </c>
      <c r="B112" s="109">
        <v>26</v>
      </c>
      <c r="C112" s="109">
        <v>27</v>
      </c>
      <c r="D112" s="59" t="s">
        <v>246</v>
      </c>
      <c r="E112" s="110">
        <v>0</v>
      </c>
      <c r="F112" s="110">
        <v>0</v>
      </c>
    </row>
    <row r="113" spans="1:6" x14ac:dyDescent="0.25">
      <c r="A113" s="109">
        <v>102</v>
      </c>
      <c r="B113" s="109">
        <v>27</v>
      </c>
      <c r="C113" s="109">
        <v>28</v>
      </c>
      <c r="D113" s="59" t="s">
        <v>246</v>
      </c>
      <c r="E113" s="110">
        <v>0</v>
      </c>
      <c r="F113" s="110">
        <v>0</v>
      </c>
    </row>
    <row r="114" spans="1:6" x14ac:dyDescent="0.25">
      <c r="A114" s="109">
        <v>103</v>
      </c>
      <c r="B114" s="109">
        <v>28</v>
      </c>
      <c r="C114" s="109">
        <v>29</v>
      </c>
      <c r="D114" s="59" t="s">
        <v>246</v>
      </c>
      <c r="E114" s="110">
        <v>0</v>
      </c>
      <c r="F114" s="110">
        <v>0</v>
      </c>
    </row>
    <row r="115" spans="1:6" x14ac:dyDescent="0.25">
      <c r="A115" s="109">
        <v>104</v>
      </c>
      <c r="B115" s="109">
        <v>29</v>
      </c>
      <c r="C115" s="109">
        <v>30</v>
      </c>
      <c r="D115" s="59" t="s">
        <v>246</v>
      </c>
      <c r="E115" s="110">
        <v>0</v>
      </c>
      <c r="F115" s="110">
        <v>0</v>
      </c>
    </row>
    <row r="116" spans="1:6" x14ac:dyDescent="0.25">
      <c r="A116" s="109">
        <v>105</v>
      </c>
      <c r="B116" s="109">
        <v>31</v>
      </c>
      <c r="C116" s="109">
        <v>32</v>
      </c>
      <c r="D116" s="59" t="s">
        <v>246</v>
      </c>
      <c r="E116" s="110">
        <v>0</v>
      </c>
      <c r="F116" s="110">
        <v>0</v>
      </c>
    </row>
    <row r="117" spans="1:6" x14ac:dyDescent="0.25">
      <c r="A117" s="109">
        <v>106</v>
      </c>
      <c r="B117" s="109">
        <v>32</v>
      </c>
      <c r="C117" s="109">
        <v>33</v>
      </c>
      <c r="D117" s="59" t="s">
        <v>246</v>
      </c>
      <c r="E117" s="110">
        <v>0</v>
      </c>
      <c r="F117" s="110">
        <v>0</v>
      </c>
    </row>
    <row r="118" spans="1:6" x14ac:dyDescent="0.25">
      <c r="A118" s="109">
        <v>107</v>
      </c>
      <c r="B118" s="109">
        <v>33</v>
      </c>
      <c r="C118" s="109">
        <v>34</v>
      </c>
      <c r="D118" s="59" t="s">
        <v>246</v>
      </c>
      <c r="E118" s="110">
        <v>0</v>
      </c>
      <c r="F118" s="110">
        <v>0</v>
      </c>
    </row>
    <row r="119" spans="1:6" x14ac:dyDescent="0.25">
      <c r="A119" s="109">
        <v>108</v>
      </c>
      <c r="B119" s="109">
        <v>34</v>
      </c>
      <c r="C119" s="109">
        <v>35</v>
      </c>
      <c r="D119" s="59" t="s">
        <v>246</v>
      </c>
      <c r="E119" s="110">
        <v>0</v>
      </c>
      <c r="F119" s="110">
        <v>0</v>
      </c>
    </row>
    <row r="120" spans="1:6" x14ac:dyDescent="0.25">
      <c r="A120" s="109">
        <v>109</v>
      </c>
      <c r="B120" s="109">
        <v>36</v>
      </c>
      <c r="C120" s="109">
        <v>37</v>
      </c>
      <c r="D120" s="59" t="s">
        <v>246</v>
      </c>
      <c r="E120" s="110">
        <v>0</v>
      </c>
      <c r="F120" s="110">
        <v>0</v>
      </c>
    </row>
    <row r="121" spans="1:6" x14ac:dyDescent="0.25">
      <c r="A121" s="109">
        <v>110</v>
      </c>
      <c r="B121" s="109">
        <v>37</v>
      </c>
      <c r="C121" s="109">
        <v>38</v>
      </c>
      <c r="D121" s="59" t="s">
        <v>246</v>
      </c>
      <c r="E121" s="110">
        <v>0</v>
      </c>
      <c r="F121" s="110">
        <v>0</v>
      </c>
    </row>
    <row r="122" spans="1:6" x14ac:dyDescent="0.25">
      <c r="A122" s="109">
        <v>111</v>
      </c>
      <c r="B122" s="109">
        <v>38</v>
      </c>
      <c r="C122" s="109">
        <v>39</v>
      </c>
      <c r="D122" s="59" t="s">
        <v>246</v>
      </c>
      <c r="E122" s="110">
        <v>0</v>
      </c>
      <c r="F122" s="110">
        <v>0</v>
      </c>
    </row>
    <row r="123" spans="1:6" x14ac:dyDescent="0.25">
      <c r="A123" s="109">
        <v>112</v>
      </c>
      <c r="B123" s="109">
        <v>39</v>
      </c>
      <c r="C123" s="109">
        <v>40</v>
      </c>
      <c r="D123" s="59" t="s">
        <v>246</v>
      </c>
      <c r="E123" s="110">
        <v>0</v>
      </c>
      <c r="F123" s="110">
        <v>0</v>
      </c>
    </row>
    <row r="124" spans="1:6" x14ac:dyDescent="0.25">
      <c r="A124" s="109">
        <v>113</v>
      </c>
      <c r="B124" s="109">
        <v>41</v>
      </c>
      <c r="C124" s="109">
        <v>42</v>
      </c>
      <c r="D124" s="59" t="s">
        <v>246</v>
      </c>
      <c r="E124" s="110">
        <v>0</v>
      </c>
      <c r="F124" s="110">
        <v>0</v>
      </c>
    </row>
    <row r="125" spans="1:6" x14ac:dyDescent="0.25">
      <c r="A125" s="109">
        <v>114</v>
      </c>
      <c r="B125" s="109">
        <v>42</v>
      </c>
      <c r="C125" s="109">
        <v>43</v>
      </c>
      <c r="D125" s="59" t="s">
        <v>246</v>
      </c>
      <c r="E125" s="110">
        <v>0</v>
      </c>
      <c r="F125" s="110">
        <v>0</v>
      </c>
    </row>
    <row r="126" spans="1:6" x14ac:dyDescent="0.25">
      <c r="A126" s="109">
        <v>115</v>
      </c>
      <c r="B126" s="109">
        <v>43</v>
      </c>
      <c r="C126" s="109">
        <v>44</v>
      </c>
      <c r="D126" s="59" t="s">
        <v>246</v>
      </c>
      <c r="E126" s="110">
        <v>0</v>
      </c>
      <c r="F126" s="110">
        <v>0</v>
      </c>
    </row>
    <row r="127" spans="1:6" x14ac:dyDescent="0.25">
      <c r="A127" s="109">
        <v>116</v>
      </c>
      <c r="B127" s="109">
        <v>44</v>
      </c>
      <c r="C127" s="109">
        <v>45</v>
      </c>
      <c r="D127" s="59" t="s">
        <v>246</v>
      </c>
      <c r="E127" s="110">
        <v>0</v>
      </c>
      <c r="F127" s="110">
        <v>0</v>
      </c>
    </row>
    <row r="128" spans="1:6" x14ac:dyDescent="0.25">
      <c r="A128" s="109">
        <v>117</v>
      </c>
      <c r="B128" s="109">
        <v>46</v>
      </c>
      <c r="C128" s="109">
        <v>47</v>
      </c>
      <c r="D128" s="59" t="s">
        <v>246</v>
      </c>
      <c r="E128" s="110">
        <v>0</v>
      </c>
      <c r="F128" s="110">
        <v>0</v>
      </c>
    </row>
    <row r="129" spans="1:6" x14ac:dyDescent="0.25">
      <c r="A129" s="109">
        <v>118</v>
      </c>
      <c r="B129" s="109">
        <v>47</v>
      </c>
      <c r="C129" s="109">
        <v>48</v>
      </c>
      <c r="D129" s="59" t="s">
        <v>246</v>
      </c>
      <c r="E129" s="110">
        <v>0</v>
      </c>
      <c r="F129" s="110">
        <v>0</v>
      </c>
    </row>
    <row r="130" spans="1:6" x14ac:dyDescent="0.25">
      <c r="A130" s="109">
        <v>119</v>
      </c>
      <c r="B130" s="109">
        <v>48</v>
      </c>
      <c r="C130" s="109">
        <v>49</v>
      </c>
      <c r="D130" s="59" t="s">
        <v>246</v>
      </c>
      <c r="E130" s="110">
        <v>0</v>
      </c>
      <c r="F130" s="110">
        <v>0</v>
      </c>
    </row>
    <row r="131" spans="1:6" x14ac:dyDescent="0.25">
      <c r="A131" s="109">
        <v>120</v>
      </c>
      <c r="B131" s="109">
        <v>49</v>
      </c>
      <c r="C131" s="109">
        <v>50</v>
      </c>
      <c r="D131" s="59" t="s">
        <v>246</v>
      </c>
      <c r="E131" s="110">
        <v>0</v>
      </c>
      <c r="F131" s="110">
        <v>0</v>
      </c>
    </row>
    <row r="132" spans="1:6" x14ac:dyDescent="0.25">
      <c r="A132" s="109">
        <v>121</v>
      </c>
      <c r="B132" s="109">
        <v>51</v>
      </c>
      <c r="C132" s="109">
        <v>52</v>
      </c>
      <c r="D132" s="59" t="s">
        <v>246</v>
      </c>
      <c r="E132" s="110">
        <v>0</v>
      </c>
      <c r="F132" s="110">
        <v>0</v>
      </c>
    </row>
    <row r="133" spans="1:6" x14ac:dyDescent="0.25">
      <c r="A133" s="109">
        <v>122</v>
      </c>
      <c r="B133" s="109">
        <v>52</v>
      </c>
      <c r="C133" s="109">
        <v>53</v>
      </c>
      <c r="D133" s="59" t="s">
        <v>246</v>
      </c>
      <c r="E133" s="110">
        <v>0</v>
      </c>
      <c r="F133" s="110">
        <v>0</v>
      </c>
    </row>
    <row r="134" spans="1:6" x14ac:dyDescent="0.25">
      <c r="A134" s="109">
        <v>123</v>
      </c>
      <c r="B134" s="109">
        <v>53</v>
      </c>
      <c r="C134" s="109">
        <v>54</v>
      </c>
      <c r="D134" s="59" t="s">
        <v>246</v>
      </c>
      <c r="E134" s="110">
        <v>0</v>
      </c>
      <c r="F134" s="110">
        <v>0</v>
      </c>
    </row>
    <row r="135" spans="1:6" x14ac:dyDescent="0.25">
      <c r="A135" s="109">
        <v>124</v>
      </c>
      <c r="B135" s="109">
        <v>54</v>
      </c>
      <c r="C135" s="109">
        <v>55</v>
      </c>
      <c r="D135" s="59" t="s">
        <v>246</v>
      </c>
      <c r="E135" s="110">
        <v>0</v>
      </c>
      <c r="F135" s="110">
        <v>0</v>
      </c>
    </row>
    <row r="136" spans="1:6" x14ac:dyDescent="0.25">
      <c r="A136" s="109">
        <v>125</v>
      </c>
      <c r="B136" s="109">
        <v>56</v>
      </c>
      <c r="C136" s="109">
        <v>57</v>
      </c>
      <c r="D136" s="59" t="s">
        <v>246</v>
      </c>
      <c r="E136" s="110">
        <v>0</v>
      </c>
      <c r="F136" s="110">
        <v>0</v>
      </c>
    </row>
    <row r="137" spans="1:6" x14ac:dyDescent="0.25">
      <c r="A137" s="109">
        <v>126</v>
      </c>
      <c r="B137" s="109">
        <v>57</v>
      </c>
      <c r="C137" s="109">
        <v>58</v>
      </c>
      <c r="D137" s="59" t="s">
        <v>246</v>
      </c>
      <c r="E137" s="110">
        <v>0</v>
      </c>
      <c r="F137" s="110">
        <v>0</v>
      </c>
    </row>
    <row r="138" spans="1:6" x14ac:dyDescent="0.25">
      <c r="A138" s="109">
        <v>127</v>
      </c>
      <c r="B138" s="109">
        <v>58</v>
      </c>
      <c r="C138" s="109">
        <v>59</v>
      </c>
      <c r="D138" s="59" t="s">
        <v>246</v>
      </c>
      <c r="E138" s="110">
        <v>0</v>
      </c>
      <c r="F138" s="110">
        <v>0</v>
      </c>
    </row>
    <row r="139" spans="1:6" x14ac:dyDescent="0.25">
      <c r="A139" s="109">
        <v>128</v>
      </c>
      <c r="B139" s="109">
        <v>59</v>
      </c>
      <c r="C139" s="109">
        <v>60</v>
      </c>
      <c r="D139" s="59" t="s">
        <v>246</v>
      </c>
      <c r="E139" s="110">
        <v>0</v>
      </c>
      <c r="F139" s="110">
        <v>0</v>
      </c>
    </row>
    <row r="140" spans="1:6" x14ac:dyDescent="0.25">
      <c r="A140" s="109">
        <v>129</v>
      </c>
      <c r="B140" s="109">
        <v>61</v>
      </c>
      <c r="C140" s="109">
        <v>62</v>
      </c>
      <c r="D140" s="59" t="s">
        <v>246</v>
      </c>
      <c r="E140" s="110">
        <v>0</v>
      </c>
      <c r="F140" s="110">
        <v>0</v>
      </c>
    </row>
    <row r="141" spans="1:6" x14ac:dyDescent="0.25">
      <c r="A141" s="109">
        <v>130</v>
      </c>
      <c r="B141" s="109">
        <v>62</v>
      </c>
      <c r="C141" s="109">
        <v>63</v>
      </c>
      <c r="D141" s="59" t="s">
        <v>246</v>
      </c>
      <c r="E141" s="110">
        <v>0</v>
      </c>
      <c r="F141" s="110">
        <v>0</v>
      </c>
    </row>
    <row r="142" spans="1:6" x14ac:dyDescent="0.25">
      <c r="A142" s="109">
        <v>131</v>
      </c>
      <c r="B142" s="109">
        <v>63</v>
      </c>
      <c r="C142" s="109">
        <v>64</v>
      </c>
      <c r="D142" s="59" t="s">
        <v>246</v>
      </c>
      <c r="E142" s="110">
        <v>0</v>
      </c>
      <c r="F142" s="110">
        <v>0</v>
      </c>
    </row>
    <row r="143" spans="1:6" x14ac:dyDescent="0.25">
      <c r="A143" s="109">
        <v>132</v>
      </c>
      <c r="B143" s="109">
        <v>64</v>
      </c>
      <c r="C143" s="109">
        <v>65</v>
      </c>
      <c r="D143" s="59" t="s">
        <v>246</v>
      </c>
      <c r="E143" s="110">
        <v>0</v>
      </c>
      <c r="F143" s="110">
        <v>0</v>
      </c>
    </row>
    <row r="144" spans="1:6" x14ac:dyDescent="0.25">
      <c r="A144" s="109">
        <v>133</v>
      </c>
      <c r="B144" s="109">
        <v>66</v>
      </c>
      <c r="C144" s="109">
        <v>67</v>
      </c>
      <c r="D144" s="59" t="s">
        <v>246</v>
      </c>
      <c r="E144" s="110">
        <v>0</v>
      </c>
      <c r="F144" s="110">
        <v>0</v>
      </c>
    </row>
    <row r="145" spans="1:6" x14ac:dyDescent="0.25">
      <c r="A145" s="109">
        <v>134</v>
      </c>
      <c r="B145" s="109">
        <v>67</v>
      </c>
      <c r="C145" s="109">
        <v>68</v>
      </c>
      <c r="D145" s="59" t="s">
        <v>246</v>
      </c>
      <c r="E145" s="110">
        <v>0</v>
      </c>
      <c r="F145" s="110">
        <v>0</v>
      </c>
    </row>
    <row r="146" spans="1:6" x14ac:dyDescent="0.25">
      <c r="A146" s="109">
        <v>135</v>
      </c>
      <c r="B146" s="109">
        <v>68</v>
      </c>
      <c r="C146" s="109">
        <v>69</v>
      </c>
      <c r="D146" s="59" t="s">
        <v>246</v>
      </c>
      <c r="E146" s="110">
        <v>0</v>
      </c>
      <c r="F146" s="110">
        <v>0</v>
      </c>
    </row>
    <row r="147" spans="1:6" x14ac:dyDescent="0.25">
      <c r="A147" s="109">
        <v>136</v>
      </c>
      <c r="B147" s="109">
        <v>69</v>
      </c>
      <c r="C147" s="109">
        <v>70</v>
      </c>
      <c r="D147" s="59" t="s">
        <v>246</v>
      </c>
      <c r="E147" s="110">
        <v>0</v>
      </c>
      <c r="F147" s="110">
        <v>0</v>
      </c>
    </row>
    <row r="148" spans="1:6" x14ac:dyDescent="0.25">
      <c r="A148" s="109">
        <v>137</v>
      </c>
      <c r="B148" s="109">
        <v>71</v>
      </c>
      <c r="C148" s="109">
        <v>72</v>
      </c>
      <c r="D148" s="59" t="s">
        <v>246</v>
      </c>
      <c r="E148" s="110">
        <v>0</v>
      </c>
      <c r="F148" s="110">
        <v>0</v>
      </c>
    </row>
    <row r="149" spans="1:6" x14ac:dyDescent="0.25">
      <c r="A149" s="109">
        <v>138</v>
      </c>
      <c r="B149" s="109">
        <v>72</v>
      </c>
      <c r="C149" s="109">
        <v>73</v>
      </c>
      <c r="D149" s="59" t="s">
        <v>246</v>
      </c>
      <c r="E149" s="110">
        <v>0</v>
      </c>
      <c r="F149" s="110">
        <v>0</v>
      </c>
    </row>
    <row r="150" spans="1:6" x14ac:dyDescent="0.25">
      <c r="A150" s="109">
        <v>139</v>
      </c>
      <c r="B150" s="109">
        <v>73</v>
      </c>
      <c r="C150" s="109">
        <v>74</v>
      </c>
      <c r="D150" s="59" t="s">
        <v>246</v>
      </c>
      <c r="E150" s="110">
        <v>0</v>
      </c>
      <c r="F150" s="110">
        <v>0</v>
      </c>
    </row>
    <row r="151" spans="1:6" x14ac:dyDescent="0.25">
      <c r="A151" s="109">
        <v>140</v>
      </c>
      <c r="B151" s="109">
        <v>74</v>
      </c>
      <c r="C151" s="109">
        <v>75</v>
      </c>
      <c r="D151" s="59" t="s">
        <v>246</v>
      </c>
      <c r="E151" s="110">
        <v>0</v>
      </c>
      <c r="F151" s="110">
        <v>0</v>
      </c>
    </row>
    <row r="152" spans="1:6" x14ac:dyDescent="0.25">
      <c r="A152" s="109">
        <v>141</v>
      </c>
      <c r="B152" s="109">
        <v>76</v>
      </c>
      <c r="C152" s="109">
        <v>77</v>
      </c>
      <c r="D152" s="59" t="s">
        <v>246</v>
      </c>
      <c r="E152" s="110">
        <v>0</v>
      </c>
      <c r="F152" s="110">
        <v>0</v>
      </c>
    </row>
    <row r="153" spans="1:6" x14ac:dyDescent="0.25">
      <c r="A153" s="109">
        <v>142</v>
      </c>
      <c r="B153" s="109">
        <v>77</v>
      </c>
      <c r="C153" s="109">
        <v>78</v>
      </c>
      <c r="D153" s="59" t="s">
        <v>246</v>
      </c>
      <c r="E153" s="110">
        <v>0</v>
      </c>
      <c r="F153" s="110">
        <v>0</v>
      </c>
    </row>
    <row r="154" spans="1:6" x14ac:dyDescent="0.25">
      <c r="A154" s="109">
        <v>143</v>
      </c>
      <c r="B154" s="109">
        <v>78</v>
      </c>
      <c r="C154" s="109">
        <v>79</v>
      </c>
      <c r="D154" s="59" t="s">
        <v>246</v>
      </c>
      <c r="E154" s="110">
        <v>0</v>
      </c>
      <c r="F154" s="110">
        <v>0</v>
      </c>
    </row>
    <row r="155" spans="1:6" x14ac:dyDescent="0.25">
      <c r="A155" s="109">
        <v>144</v>
      </c>
      <c r="B155" s="109">
        <v>79</v>
      </c>
      <c r="C155" s="109">
        <v>80</v>
      </c>
      <c r="D155" s="59" t="s">
        <v>246</v>
      </c>
      <c r="E155" s="110">
        <v>0</v>
      </c>
      <c r="F155" s="110">
        <v>0</v>
      </c>
    </row>
    <row r="156" spans="1:6" x14ac:dyDescent="0.25">
      <c r="A156" s="109">
        <v>145</v>
      </c>
      <c r="B156" s="109">
        <v>81</v>
      </c>
      <c r="C156" s="109">
        <v>82</v>
      </c>
      <c r="D156" s="59" t="s">
        <v>246</v>
      </c>
      <c r="E156" s="110">
        <v>0</v>
      </c>
      <c r="F156" s="110">
        <v>0</v>
      </c>
    </row>
    <row r="157" spans="1:6" x14ac:dyDescent="0.25">
      <c r="A157" s="109">
        <v>146</v>
      </c>
      <c r="B157" s="109">
        <v>82</v>
      </c>
      <c r="C157" s="109">
        <v>83</v>
      </c>
      <c r="D157" s="59" t="s">
        <v>246</v>
      </c>
      <c r="E157" s="110">
        <v>0</v>
      </c>
      <c r="F157" s="110">
        <v>0</v>
      </c>
    </row>
    <row r="158" spans="1:6" x14ac:dyDescent="0.25">
      <c r="A158" s="109">
        <v>147</v>
      </c>
      <c r="B158" s="109">
        <v>83</v>
      </c>
      <c r="C158" s="109">
        <v>84</v>
      </c>
      <c r="D158" s="59" t="s">
        <v>246</v>
      </c>
      <c r="E158" s="110">
        <v>0</v>
      </c>
      <c r="F158" s="110">
        <v>0</v>
      </c>
    </row>
    <row r="159" spans="1:6" x14ac:dyDescent="0.25">
      <c r="A159" s="109">
        <v>148</v>
      </c>
      <c r="B159" s="109">
        <v>84</v>
      </c>
      <c r="C159" s="109">
        <v>85</v>
      </c>
      <c r="D159" s="59" t="s">
        <v>246</v>
      </c>
      <c r="E159" s="110">
        <v>0</v>
      </c>
      <c r="F159" s="110">
        <v>0</v>
      </c>
    </row>
    <row r="160" spans="1:6" x14ac:dyDescent="0.25">
      <c r="A160" s="109">
        <v>149</v>
      </c>
      <c r="B160" s="109">
        <v>86</v>
      </c>
      <c r="C160" s="109">
        <v>87</v>
      </c>
      <c r="D160" s="59" t="s">
        <v>246</v>
      </c>
      <c r="E160" s="110">
        <v>0</v>
      </c>
      <c r="F160" s="110">
        <v>0</v>
      </c>
    </row>
    <row r="161" spans="1:6" x14ac:dyDescent="0.25">
      <c r="A161" s="109">
        <v>150</v>
      </c>
      <c r="B161" s="109">
        <v>87</v>
      </c>
      <c r="C161" s="109">
        <v>88</v>
      </c>
      <c r="D161" s="59" t="s">
        <v>246</v>
      </c>
      <c r="E161" s="110">
        <v>0</v>
      </c>
      <c r="F161" s="110">
        <v>0</v>
      </c>
    </row>
    <row r="162" spans="1:6" x14ac:dyDescent="0.25">
      <c r="A162" s="109">
        <v>151</v>
      </c>
      <c r="B162" s="109">
        <v>88</v>
      </c>
      <c r="C162" s="109">
        <v>89</v>
      </c>
      <c r="D162" s="59" t="s">
        <v>246</v>
      </c>
      <c r="E162" s="110">
        <v>0</v>
      </c>
      <c r="F162" s="110">
        <v>0</v>
      </c>
    </row>
    <row r="163" spans="1:6" x14ac:dyDescent="0.25">
      <c r="A163" s="109">
        <v>152</v>
      </c>
      <c r="B163" s="109">
        <v>89</v>
      </c>
      <c r="C163" s="109">
        <v>90</v>
      </c>
      <c r="D163" s="59" t="s">
        <v>246</v>
      </c>
      <c r="E163" s="110">
        <v>0</v>
      </c>
      <c r="F163" s="110">
        <v>0</v>
      </c>
    </row>
    <row r="164" spans="1:6" x14ac:dyDescent="0.25">
      <c r="A164" s="109">
        <v>153</v>
      </c>
      <c r="B164" s="109">
        <v>91</v>
      </c>
      <c r="C164" s="109">
        <v>92</v>
      </c>
      <c r="D164" s="59" t="s">
        <v>246</v>
      </c>
      <c r="E164" s="110">
        <v>0</v>
      </c>
      <c r="F164" s="110">
        <v>0</v>
      </c>
    </row>
    <row r="165" spans="1:6" x14ac:dyDescent="0.25">
      <c r="A165" s="109">
        <v>154</v>
      </c>
      <c r="B165" s="109">
        <v>92</v>
      </c>
      <c r="C165" s="109">
        <v>93</v>
      </c>
      <c r="D165" s="59" t="s">
        <v>246</v>
      </c>
      <c r="E165" s="110">
        <v>0</v>
      </c>
      <c r="F165" s="110">
        <v>0</v>
      </c>
    </row>
    <row r="166" spans="1:6" x14ac:dyDescent="0.25">
      <c r="A166" s="109">
        <v>155</v>
      </c>
      <c r="B166" s="109">
        <v>93</v>
      </c>
      <c r="C166" s="109">
        <v>94</v>
      </c>
      <c r="D166" s="59" t="s">
        <v>246</v>
      </c>
      <c r="E166" s="110">
        <v>0</v>
      </c>
      <c r="F166" s="110">
        <v>0</v>
      </c>
    </row>
    <row r="167" spans="1:6" x14ac:dyDescent="0.25">
      <c r="A167" s="109">
        <v>156</v>
      </c>
      <c r="B167" s="109">
        <v>94</v>
      </c>
      <c r="C167" s="109">
        <v>95</v>
      </c>
      <c r="D167" s="59" t="s">
        <v>246</v>
      </c>
      <c r="E167" s="110">
        <v>0</v>
      </c>
      <c r="F167" s="110">
        <v>0</v>
      </c>
    </row>
    <row r="168" spans="1:6" x14ac:dyDescent="0.25">
      <c r="A168" s="109">
        <v>157</v>
      </c>
      <c r="B168" s="109">
        <v>96</v>
      </c>
      <c r="C168" s="109">
        <v>97</v>
      </c>
      <c r="D168" s="59" t="s">
        <v>246</v>
      </c>
      <c r="E168" s="110">
        <v>0</v>
      </c>
      <c r="F168" s="110">
        <v>0</v>
      </c>
    </row>
    <row r="169" spans="1:6" x14ac:dyDescent="0.25">
      <c r="A169" s="109">
        <v>158</v>
      </c>
      <c r="B169" s="109">
        <v>97</v>
      </c>
      <c r="C169" s="109">
        <v>98</v>
      </c>
      <c r="D169" s="59" t="s">
        <v>246</v>
      </c>
      <c r="E169" s="110">
        <v>0</v>
      </c>
      <c r="F169" s="110">
        <v>0</v>
      </c>
    </row>
    <row r="170" spans="1:6" x14ac:dyDescent="0.25">
      <c r="A170" s="109">
        <v>159</v>
      </c>
      <c r="B170" s="109">
        <v>98</v>
      </c>
      <c r="C170" s="109">
        <v>99</v>
      </c>
      <c r="D170" s="59" t="s">
        <v>246</v>
      </c>
      <c r="E170" s="110">
        <v>0</v>
      </c>
      <c r="F170" s="110">
        <v>0</v>
      </c>
    </row>
    <row r="171" spans="1:6" x14ac:dyDescent="0.25">
      <c r="A171" s="109">
        <v>160</v>
      </c>
      <c r="B171" s="109">
        <v>99</v>
      </c>
      <c r="C171" s="109">
        <v>100</v>
      </c>
      <c r="D171" s="59" t="s">
        <v>246</v>
      </c>
      <c r="E171" s="110">
        <v>0</v>
      </c>
      <c r="F171" s="110">
        <v>0</v>
      </c>
    </row>
    <row r="172" spans="1:6" x14ac:dyDescent="0.25">
      <c r="A172" s="109">
        <v>161</v>
      </c>
      <c r="B172" s="109">
        <v>101</v>
      </c>
      <c r="C172" s="109">
        <v>102</v>
      </c>
      <c r="D172" s="59" t="s">
        <v>246</v>
      </c>
      <c r="E172" s="110">
        <v>0</v>
      </c>
      <c r="F172" s="110">
        <v>0</v>
      </c>
    </row>
    <row r="173" spans="1:6" x14ac:dyDescent="0.25">
      <c r="A173" s="109">
        <v>162</v>
      </c>
      <c r="B173" s="109">
        <v>102</v>
      </c>
      <c r="C173" s="109">
        <v>103</v>
      </c>
      <c r="D173" s="59" t="s">
        <v>246</v>
      </c>
      <c r="E173" s="110">
        <v>0</v>
      </c>
      <c r="F173" s="110">
        <v>0</v>
      </c>
    </row>
    <row r="174" spans="1:6" x14ac:dyDescent="0.25">
      <c r="A174" s="109">
        <v>163</v>
      </c>
      <c r="B174" s="109">
        <v>103</v>
      </c>
      <c r="C174" s="109">
        <v>104</v>
      </c>
      <c r="D174" s="59" t="s">
        <v>246</v>
      </c>
      <c r="E174" s="110">
        <v>0</v>
      </c>
      <c r="F174" s="110">
        <v>0</v>
      </c>
    </row>
    <row r="175" spans="1:6" x14ac:dyDescent="0.25">
      <c r="A175" s="109">
        <v>164</v>
      </c>
      <c r="B175" s="109">
        <v>104</v>
      </c>
      <c r="C175" s="109">
        <v>105</v>
      </c>
      <c r="D175" s="59" t="s">
        <v>246</v>
      </c>
      <c r="E175" s="110">
        <v>0</v>
      </c>
      <c r="F175" s="110">
        <v>0</v>
      </c>
    </row>
    <row r="176" spans="1:6" x14ac:dyDescent="0.25">
      <c r="A176" s="109">
        <v>165</v>
      </c>
      <c r="B176" s="109">
        <v>106</v>
      </c>
      <c r="C176" s="109">
        <v>107</v>
      </c>
      <c r="D176" s="59" t="s">
        <v>246</v>
      </c>
      <c r="E176" s="110">
        <v>0</v>
      </c>
      <c r="F176" s="110">
        <v>0</v>
      </c>
    </row>
    <row r="177" spans="1:6" x14ac:dyDescent="0.25">
      <c r="A177" s="109">
        <v>166</v>
      </c>
      <c r="B177" s="109">
        <v>107</v>
      </c>
      <c r="C177" s="109">
        <v>108</v>
      </c>
      <c r="D177" s="59" t="s">
        <v>246</v>
      </c>
      <c r="E177" s="110">
        <v>0</v>
      </c>
      <c r="F177" s="110">
        <v>0</v>
      </c>
    </row>
    <row r="178" spans="1:6" x14ac:dyDescent="0.25">
      <c r="A178" s="109">
        <v>167</v>
      </c>
      <c r="B178" s="109">
        <v>108</v>
      </c>
      <c r="C178" s="109">
        <v>109</v>
      </c>
      <c r="D178" s="59" t="s">
        <v>246</v>
      </c>
      <c r="E178" s="110">
        <v>0</v>
      </c>
      <c r="F178" s="110">
        <v>0</v>
      </c>
    </row>
    <row r="179" spans="1:6" x14ac:dyDescent="0.25">
      <c r="A179" s="109">
        <v>168</v>
      </c>
      <c r="B179" s="109">
        <v>109</v>
      </c>
      <c r="C179" s="109">
        <v>110</v>
      </c>
      <c r="D179" s="59" t="s">
        <v>246</v>
      </c>
      <c r="E179" s="110">
        <v>0</v>
      </c>
      <c r="F179" s="110">
        <v>0</v>
      </c>
    </row>
    <row r="180" spans="1:6" x14ac:dyDescent="0.25">
      <c r="A180" s="109">
        <v>169</v>
      </c>
      <c r="B180" s="109">
        <v>111</v>
      </c>
      <c r="C180" s="109">
        <v>112</v>
      </c>
      <c r="D180" s="59" t="s">
        <v>246</v>
      </c>
      <c r="E180" s="110">
        <v>0</v>
      </c>
      <c r="F180" s="110">
        <v>0</v>
      </c>
    </row>
    <row r="181" spans="1:6" x14ac:dyDescent="0.25">
      <c r="A181" s="109">
        <v>170</v>
      </c>
      <c r="B181" s="109">
        <v>112</v>
      </c>
      <c r="C181" s="109">
        <v>113</v>
      </c>
      <c r="D181" s="59" t="s">
        <v>246</v>
      </c>
      <c r="E181" s="110">
        <v>0</v>
      </c>
      <c r="F181" s="110">
        <v>0</v>
      </c>
    </row>
    <row r="182" spans="1:6" x14ac:dyDescent="0.25">
      <c r="A182" s="109">
        <v>171</v>
      </c>
      <c r="B182" s="109">
        <v>113</v>
      </c>
      <c r="C182" s="109">
        <v>114</v>
      </c>
      <c r="D182" s="59" t="s">
        <v>246</v>
      </c>
      <c r="E182" s="110">
        <v>0</v>
      </c>
      <c r="F182" s="110">
        <v>0</v>
      </c>
    </row>
    <row r="183" spans="1:6" x14ac:dyDescent="0.25">
      <c r="A183" s="109">
        <v>172</v>
      </c>
      <c r="B183" s="109">
        <v>114</v>
      </c>
      <c r="C183" s="109">
        <v>115</v>
      </c>
      <c r="D183" s="59" t="s">
        <v>246</v>
      </c>
      <c r="E183" s="110">
        <v>0</v>
      </c>
      <c r="F183" s="110">
        <v>0</v>
      </c>
    </row>
    <row r="184" spans="1:6" x14ac:dyDescent="0.25">
      <c r="A184" s="109">
        <v>173</v>
      </c>
      <c r="B184" s="109">
        <v>116</v>
      </c>
      <c r="C184" s="109">
        <v>117</v>
      </c>
      <c r="D184" s="59" t="s">
        <v>246</v>
      </c>
      <c r="E184" s="110">
        <v>0</v>
      </c>
      <c r="F184" s="110">
        <v>0</v>
      </c>
    </row>
    <row r="185" spans="1:6" x14ac:dyDescent="0.25">
      <c r="A185" s="109">
        <v>174</v>
      </c>
      <c r="B185" s="109">
        <v>117</v>
      </c>
      <c r="C185" s="109">
        <v>118</v>
      </c>
      <c r="D185" s="59" t="s">
        <v>246</v>
      </c>
      <c r="E185" s="110">
        <v>0</v>
      </c>
      <c r="F185" s="110">
        <v>0</v>
      </c>
    </row>
    <row r="186" spans="1:6" x14ac:dyDescent="0.25">
      <c r="A186" s="109">
        <v>175</v>
      </c>
      <c r="B186" s="109">
        <v>118</v>
      </c>
      <c r="C186" s="109">
        <v>119</v>
      </c>
      <c r="D186" s="59" t="s">
        <v>246</v>
      </c>
      <c r="E186" s="110">
        <v>0</v>
      </c>
      <c r="F186" s="110">
        <v>0</v>
      </c>
    </row>
    <row r="187" spans="1:6" x14ac:dyDescent="0.25">
      <c r="A187" s="109">
        <v>176</v>
      </c>
      <c r="B187" s="109">
        <v>119</v>
      </c>
      <c r="C187" s="109">
        <v>120</v>
      </c>
      <c r="D187" s="59" t="s">
        <v>246</v>
      </c>
      <c r="E187" s="110">
        <v>0</v>
      </c>
      <c r="F187" s="110">
        <v>0</v>
      </c>
    </row>
    <row r="188" spans="1:6" x14ac:dyDescent="0.25">
      <c r="A188" s="109">
        <v>177</v>
      </c>
      <c r="B188" s="109">
        <v>121</v>
      </c>
      <c r="C188" s="109">
        <v>122</v>
      </c>
      <c r="D188" s="59" t="s">
        <v>246</v>
      </c>
      <c r="E188" s="110">
        <v>0</v>
      </c>
      <c r="F188" s="110">
        <v>0</v>
      </c>
    </row>
    <row r="189" spans="1:6" x14ac:dyDescent="0.25">
      <c r="A189" s="109">
        <v>178</v>
      </c>
      <c r="B189" s="109">
        <v>122</v>
      </c>
      <c r="C189" s="109">
        <v>123</v>
      </c>
      <c r="D189" s="59" t="s">
        <v>246</v>
      </c>
      <c r="E189" s="110">
        <v>0</v>
      </c>
      <c r="F189" s="110">
        <v>0</v>
      </c>
    </row>
    <row r="190" spans="1:6" x14ac:dyDescent="0.25">
      <c r="A190" s="109">
        <v>179</v>
      </c>
      <c r="B190" s="109">
        <v>123</v>
      </c>
      <c r="C190" s="109">
        <v>124</v>
      </c>
      <c r="D190" s="59" t="s">
        <v>246</v>
      </c>
      <c r="E190" s="110">
        <v>0</v>
      </c>
      <c r="F190" s="110">
        <v>0</v>
      </c>
    </row>
    <row r="191" spans="1:6" x14ac:dyDescent="0.25">
      <c r="A191" s="109">
        <v>180</v>
      </c>
      <c r="B191" s="109">
        <v>124</v>
      </c>
      <c r="C191" s="109">
        <v>125</v>
      </c>
      <c r="D191" s="59" t="s">
        <v>246</v>
      </c>
      <c r="E191" s="110">
        <v>0</v>
      </c>
      <c r="F191" s="110">
        <v>0</v>
      </c>
    </row>
    <row r="192" spans="1:6" x14ac:dyDescent="0.25">
      <c r="A192" s="109">
        <v>181</v>
      </c>
      <c r="B192" s="109">
        <v>26</v>
      </c>
      <c r="C192" s="109">
        <v>31</v>
      </c>
      <c r="D192" s="59" t="s">
        <v>246</v>
      </c>
      <c r="E192" s="110">
        <v>0</v>
      </c>
      <c r="F192" s="110">
        <v>0</v>
      </c>
    </row>
    <row r="193" spans="1:6" x14ac:dyDescent="0.25">
      <c r="A193" s="109">
        <v>182</v>
      </c>
      <c r="B193" s="109">
        <v>27</v>
      </c>
      <c r="C193" s="109">
        <v>32</v>
      </c>
      <c r="D193" s="59" t="s">
        <v>246</v>
      </c>
      <c r="E193" s="110">
        <v>0</v>
      </c>
      <c r="F193" s="110">
        <v>0</v>
      </c>
    </row>
    <row r="194" spans="1:6" x14ac:dyDescent="0.25">
      <c r="A194" s="109">
        <v>183</v>
      </c>
      <c r="B194" s="109">
        <v>28</v>
      </c>
      <c r="C194" s="109">
        <v>33</v>
      </c>
      <c r="D194" s="59" t="s">
        <v>246</v>
      </c>
      <c r="E194" s="110">
        <v>0</v>
      </c>
      <c r="F194" s="110">
        <v>0</v>
      </c>
    </row>
    <row r="195" spans="1:6" x14ac:dyDescent="0.25">
      <c r="A195" s="109">
        <v>184</v>
      </c>
      <c r="B195" s="109">
        <v>29</v>
      </c>
      <c r="C195" s="109">
        <v>34</v>
      </c>
      <c r="D195" s="59" t="s">
        <v>246</v>
      </c>
      <c r="E195" s="110">
        <v>0</v>
      </c>
      <c r="F195" s="110">
        <v>0</v>
      </c>
    </row>
    <row r="196" spans="1:6" x14ac:dyDescent="0.25">
      <c r="A196" s="109">
        <v>185</v>
      </c>
      <c r="B196" s="109">
        <v>30</v>
      </c>
      <c r="C196" s="109">
        <v>35</v>
      </c>
      <c r="D196" s="59" t="s">
        <v>246</v>
      </c>
      <c r="E196" s="110">
        <v>0</v>
      </c>
      <c r="F196" s="110">
        <v>0</v>
      </c>
    </row>
    <row r="197" spans="1:6" x14ac:dyDescent="0.25">
      <c r="A197" s="109">
        <v>186</v>
      </c>
      <c r="B197" s="109">
        <v>31</v>
      </c>
      <c r="C197" s="109">
        <v>36</v>
      </c>
      <c r="D197" s="59" t="s">
        <v>246</v>
      </c>
      <c r="E197" s="110">
        <v>0</v>
      </c>
      <c r="F197" s="110">
        <v>0</v>
      </c>
    </row>
    <row r="198" spans="1:6" x14ac:dyDescent="0.25">
      <c r="A198" s="109">
        <v>187</v>
      </c>
      <c r="B198" s="109">
        <v>32</v>
      </c>
      <c r="C198" s="109">
        <v>37</v>
      </c>
      <c r="D198" s="59" t="s">
        <v>246</v>
      </c>
      <c r="E198" s="110">
        <v>0</v>
      </c>
      <c r="F198" s="110">
        <v>0</v>
      </c>
    </row>
    <row r="199" spans="1:6" x14ac:dyDescent="0.25">
      <c r="A199" s="109">
        <v>188</v>
      </c>
      <c r="B199" s="109">
        <v>33</v>
      </c>
      <c r="C199" s="109">
        <v>38</v>
      </c>
      <c r="D199" s="59" t="s">
        <v>246</v>
      </c>
      <c r="E199" s="110">
        <v>0</v>
      </c>
      <c r="F199" s="110">
        <v>0</v>
      </c>
    </row>
    <row r="200" spans="1:6" x14ac:dyDescent="0.25">
      <c r="A200" s="109">
        <v>189</v>
      </c>
      <c r="B200" s="109">
        <v>34</v>
      </c>
      <c r="C200" s="109">
        <v>39</v>
      </c>
      <c r="D200" s="59" t="s">
        <v>246</v>
      </c>
      <c r="E200" s="110">
        <v>0</v>
      </c>
      <c r="F200" s="110">
        <v>0</v>
      </c>
    </row>
    <row r="201" spans="1:6" x14ac:dyDescent="0.25">
      <c r="A201" s="109">
        <v>190</v>
      </c>
      <c r="B201" s="109">
        <v>35</v>
      </c>
      <c r="C201" s="109">
        <v>40</v>
      </c>
      <c r="D201" s="59" t="s">
        <v>246</v>
      </c>
      <c r="E201" s="110">
        <v>0</v>
      </c>
      <c r="F201" s="110">
        <v>0</v>
      </c>
    </row>
    <row r="202" spans="1:6" x14ac:dyDescent="0.25">
      <c r="A202" s="109">
        <v>191</v>
      </c>
      <c r="B202" s="109">
        <v>36</v>
      </c>
      <c r="C202" s="109">
        <v>41</v>
      </c>
      <c r="D202" s="59" t="s">
        <v>246</v>
      </c>
      <c r="E202" s="110">
        <v>0</v>
      </c>
      <c r="F202" s="110">
        <v>0</v>
      </c>
    </row>
    <row r="203" spans="1:6" x14ac:dyDescent="0.25">
      <c r="A203" s="109">
        <v>192</v>
      </c>
      <c r="B203" s="109">
        <v>37</v>
      </c>
      <c r="C203" s="109">
        <v>42</v>
      </c>
      <c r="D203" s="59" t="s">
        <v>246</v>
      </c>
      <c r="E203" s="110">
        <v>0</v>
      </c>
      <c r="F203" s="110">
        <v>0</v>
      </c>
    </row>
    <row r="204" spans="1:6" x14ac:dyDescent="0.25">
      <c r="A204" s="109">
        <v>193</v>
      </c>
      <c r="B204" s="109">
        <v>38</v>
      </c>
      <c r="C204" s="109">
        <v>43</v>
      </c>
      <c r="D204" s="59" t="s">
        <v>246</v>
      </c>
      <c r="E204" s="110">
        <v>0</v>
      </c>
      <c r="F204" s="110">
        <v>0</v>
      </c>
    </row>
    <row r="205" spans="1:6" x14ac:dyDescent="0.25">
      <c r="A205" s="109">
        <v>194</v>
      </c>
      <c r="B205" s="109">
        <v>39</v>
      </c>
      <c r="C205" s="109">
        <v>44</v>
      </c>
      <c r="D205" s="59" t="s">
        <v>246</v>
      </c>
      <c r="E205" s="110">
        <v>0</v>
      </c>
      <c r="F205" s="110">
        <v>0</v>
      </c>
    </row>
    <row r="206" spans="1:6" x14ac:dyDescent="0.25">
      <c r="A206" s="109">
        <v>195</v>
      </c>
      <c r="B206" s="109">
        <v>40</v>
      </c>
      <c r="C206" s="109">
        <v>45</v>
      </c>
      <c r="D206" s="59" t="s">
        <v>246</v>
      </c>
      <c r="E206" s="110">
        <v>0</v>
      </c>
      <c r="F206" s="110">
        <v>0</v>
      </c>
    </row>
    <row r="207" spans="1:6" x14ac:dyDescent="0.25">
      <c r="A207" s="109">
        <v>196</v>
      </c>
      <c r="B207" s="109">
        <v>41</v>
      </c>
      <c r="C207" s="109">
        <v>46</v>
      </c>
      <c r="D207" s="59" t="s">
        <v>246</v>
      </c>
      <c r="E207" s="110">
        <v>0</v>
      </c>
      <c r="F207" s="110">
        <v>0</v>
      </c>
    </row>
    <row r="208" spans="1:6" x14ac:dyDescent="0.25">
      <c r="A208" s="109">
        <v>197</v>
      </c>
      <c r="B208" s="109">
        <v>42</v>
      </c>
      <c r="C208" s="109">
        <v>47</v>
      </c>
      <c r="D208" s="59" t="s">
        <v>246</v>
      </c>
      <c r="E208" s="110">
        <v>0</v>
      </c>
      <c r="F208" s="110">
        <v>0</v>
      </c>
    </row>
    <row r="209" spans="1:6" x14ac:dyDescent="0.25">
      <c r="A209" s="109">
        <v>198</v>
      </c>
      <c r="B209" s="109">
        <v>43</v>
      </c>
      <c r="C209" s="109">
        <v>48</v>
      </c>
      <c r="D209" s="59" t="s">
        <v>246</v>
      </c>
      <c r="E209" s="110">
        <v>0</v>
      </c>
      <c r="F209" s="110">
        <v>0</v>
      </c>
    </row>
    <row r="210" spans="1:6" x14ac:dyDescent="0.25">
      <c r="A210" s="109">
        <v>199</v>
      </c>
      <c r="B210" s="109">
        <v>44</v>
      </c>
      <c r="C210" s="109">
        <v>49</v>
      </c>
      <c r="D210" s="59" t="s">
        <v>246</v>
      </c>
      <c r="E210" s="110">
        <v>0</v>
      </c>
      <c r="F210" s="110">
        <v>0</v>
      </c>
    </row>
    <row r="211" spans="1:6" x14ac:dyDescent="0.25">
      <c r="A211" s="109">
        <v>200</v>
      </c>
      <c r="B211" s="109">
        <v>45</v>
      </c>
      <c r="C211" s="109">
        <v>50</v>
      </c>
      <c r="D211" s="59" t="s">
        <v>246</v>
      </c>
      <c r="E211" s="110">
        <v>0</v>
      </c>
      <c r="F211" s="110">
        <v>0</v>
      </c>
    </row>
    <row r="212" spans="1:6" x14ac:dyDescent="0.25">
      <c r="A212" s="109">
        <v>201</v>
      </c>
      <c r="B212" s="109">
        <v>51</v>
      </c>
      <c r="C212" s="109">
        <v>56</v>
      </c>
      <c r="D212" s="59" t="s">
        <v>246</v>
      </c>
      <c r="E212" s="110">
        <v>0</v>
      </c>
      <c r="F212" s="110">
        <v>0</v>
      </c>
    </row>
    <row r="213" spans="1:6" x14ac:dyDescent="0.25">
      <c r="A213" s="109">
        <v>202</v>
      </c>
      <c r="B213" s="109">
        <v>52</v>
      </c>
      <c r="C213" s="109">
        <v>57</v>
      </c>
      <c r="D213" s="59" t="s">
        <v>246</v>
      </c>
      <c r="E213" s="110">
        <v>0</v>
      </c>
      <c r="F213" s="110">
        <v>0</v>
      </c>
    </row>
    <row r="214" spans="1:6" x14ac:dyDescent="0.25">
      <c r="A214" s="109">
        <v>203</v>
      </c>
      <c r="B214" s="109">
        <v>53</v>
      </c>
      <c r="C214" s="109">
        <v>58</v>
      </c>
      <c r="D214" s="59" t="s">
        <v>246</v>
      </c>
      <c r="E214" s="110">
        <v>0</v>
      </c>
      <c r="F214" s="110">
        <v>0</v>
      </c>
    </row>
    <row r="215" spans="1:6" x14ac:dyDescent="0.25">
      <c r="A215" s="109">
        <v>204</v>
      </c>
      <c r="B215" s="109">
        <v>54</v>
      </c>
      <c r="C215" s="109">
        <v>59</v>
      </c>
      <c r="D215" s="59" t="s">
        <v>246</v>
      </c>
      <c r="E215" s="110">
        <v>0</v>
      </c>
      <c r="F215" s="110">
        <v>0</v>
      </c>
    </row>
    <row r="216" spans="1:6" x14ac:dyDescent="0.25">
      <c r="A216" s="109">
        <v>205</v>
      </c>
      <c r="B216" s="109">
        <v>55</v>
      </c>
      <c r="C216" s="109">
        <v>60</v>
      </c>
      <c r="D216" s="59" t="s">
        <v>246</v>
      </c>
      <c r="E216" s="110">
        <v>0</v>
      </c>
      <c r="F216" s="110">
        <v>0</v>
      </c>
    </row>
    <row r="217" spans="1:6" x14ac:dyDescent="0.25">
      <c r="A217" s="109">
        <v>206</v>
      </c>
      <c r="B217" s="109">
        <v>56</v>
      </c>
      <c r="C217" s="109">
        <v>61</v>
      </c>
      <c r="D217" s="59" t="s">
        <v>246</v>
      </c>
      <c r="E217" s="110">
        <v>0</v>
      </c>
      <c r="F217" s="110">
        <v>0</v>
      </c>
    </row>
    <row r="218" spans="1:6" x14ac:dyDescent="0.25">
      <c r="A218" s="109">
        <v>207</v>
      </c>
      <c r="B218" s="109">
        <v>57</v>
      </c>
      <c r="C218" s="109">
        <v>62</v>
      </c>
      <c r="D218" s="59" t="s">
        <v>246</v>
      </c>
      <c r="E218" s="110">
        <v>0</v>
      </c>
      <c r="F218" s="110">
        <v>0</v>
      </c>
    </row>
    <row r="219" spans="1:6" x14ac:dyDescent="0.25">
      <c r="A219" s="109">
        <v>208</v>
      </c>
      <c r="B219" s="109">
        <v>58</v>
      </c>
      <c r="C219" s="109">
        <v>63</v>
      </c>
      <c r="D219" s="59" t="s">
        <v>246</v>
      </c>
      <c r="E219" s="110">
        <v>0</v>
      </c>
      <c r="F219" s="110">
        <v>0</v>
      </c>
    </row>
    <row r="220" spans="1:6" x14ac:dyDescent="0.25">
      <c r="A220" s="109">
        <v>209</v>
      </c>
      <c r="B220" s="109">
        <v>59</v>
      </c>
      <c r="C220" s="109">
        <v>64</v>
      </c>
      <c r="D220" s="59" t="s">
        <v>246</v>
      </c>
      <c r="E220" s="110">
        <v>0</v>
      </c>
      <c r="F220" s="110">
        <v>0</v>
      </c>
    </row>
    <row r="221" spans="1:6" x14ac:dyDescent="0.25">
      <c r="A221" s="109">
        <v>210</v>
      </c>
      <c r="B221" s="109">
        <v>60</v>
      </c>
      <c r="C221" s="109">
        <v>65</v>
      </c>
      <c r="D221" s="59" t="s">
        <v>246</v>
      </c>
      <c r="E221" s="110">
        <v>0</v>
      </c>
      <c r="F221" s="110">
        <v>0</v>
      </c>
    </row>
    <row r="222" spans="1:6" x14ac:dyDescent="0.25">
      <c r="A222" s="109">
        <v>211</v>
      </c>
      <c r="B222" s="109">
        <v>61</v>
      </c>
      <c r="C222" s="109">
        <v>66</v>
      </c>
      <c r="D222" s="59" t="s">
        <v>246</v>
      </c>
      <c r="E222" s="110">
        <v>0</v>
      </c>
      <c r="F222" s="110">
        <v>0</v>
      </c>
    </row>
    <row r="223" spans="1:6" x14ac:dyDescent="0.25">
      <c r="A223" s="109">
        <v>212</v>
      </c>
      <c r="B223" s="109">
        <v>62</v>
      </c>
      <c r="C223" s="109">
        <v>67</v>
      </c>
      <c r="D223" s="59" t="s">
        <v>246</v>
      </c>
      <c r="E223" s="110">
        <v>0</v>
      </c>
      <c r="F223" s="110">
        <v>0</v>
      </c>
    </row>
    <row r="224" spans="1:6" x14ac:dyDescent="0.25">
      <c r="A224" s="109">
        <v>213</v>
      </c>
      <c r="B224" s="109">
        <v>63</v>
      </c>
      <c r="C224" s="109">
        <v>68</v>
      </c>
      <c r="D224" s="59" t="s">
        <v>246</v>
      </c>
      <c r="E224" s="110">
        <v>0</v>
      </c>
      <c r="F224" s="110">
        <v>0</v>
      </c>
    </row>
    <row r="225" spans="1:6" x14ac:dyDescent="0.25">
      <c r="A225" s="109">
        <v>214</v>
      </c>
      <c r="B225" s="109">
        <v>64</v>
      </c>
      <c r="C225" s="109">
        <v>69</v>
      </c>
      <c r="D225" s="59" t="s">
        <v>246</v>
      </c>
      <c r="E225" s="110">
        <v>0</v>
      </c>
      <c r="F225" s="110">
        <v>0</v>
      </c>
    </row>
    <row r="226" spans="1:6" x14ac:dyDescent="0.25">
      <c r="A226" s="109">
        <v>215</v>
      </c>
      <c r="B226" s="109">
        <v>65</v>
      </c>
      <c r="C226" s="109">
        <v>70</v>
      </c>
      <c r="D226" s="59" t="s">
        <v>246</v>
      </c>
      <c r="E226" s="110">
        <v>0</v>
      </c>
      <c r="F226" s="110">
        <v>0</v>
      </c>
    </row>
    <row r="227" spans="1:6" x14ac:dyDescent="0.25">
      <c r="A227" s="109">
        <v>216</v>
      </c>
      <c r="B227" s="109">
        <v>66</v>
      </c>
      <c r="C227" s="109">
        <v>71</v>
      </c>
      <c r="D227" s="59" t="s">
        <v>246</v>
      </c>
      <c r="E227" s="110">
        <v>0</v>
      </c>
      <c r="F227" s="110">
        <v>0</v>
      </c>
    </row>
    <row r="228" spans="1:6" x14ac:dyDescent="0.25">
      <c r="A228" s="109">
        <v>217</v>
      </c>
      <c r="B228" s="109">
        <v>67</v>
      </c>
      <c r="C228" s="109">
        <v>72</v>
      </c>
      <c r="D228" s="59" t="s">
        <v>246</v>
      </c>
      <c r="E228" s="110">
        <v>0</v>
      </c>
      <c r="F228" s="110">
        <v>0</v>
      </c>
    </row>
    <row r="229" spans="1:6" x14ac:dyDescent="0.25">
      <c r="A229" s="109">
        <v>218</v>
      </c>
      <c r="B229" s="109">
        <v>68</v>
      </c>
      <c r="C229" s="109">
        <v>73</v>
      </c>
      <c r="D229" s="59" t="s">
        <v>246</v>
      </c>
      <c r="E229" s="110">
        <v>0</v>
      </c>
      <c r="F229" s="110">
        <v>0</v>
      </c>
    </row>
    <row r="230" spans="1:6" x14ac:dyDescent="0.25">
      <c r="A230" s="109">
        <v>219</v>
      </c>
      <c r="B230" s="109">
        <v>69</v>
      </c>
      <c r="C230" s="109">
        <v>74</v>
      </c>
      <c r="D230" s="59" t="s">
        <v>246</v>
      </c>
      <c r="E230" s="110">
        <v>0</v>
      </c>
      <c r="F230" s="110">
        <v>0</v>
      </c>
    </row>
    <row r="231" spans="1:6" x14ac:dyDescent="0.25">
      <c r="A231" s="109">
        <v>220</v>
      </c>
      <c r="B231" s="109">
        <v>70</v>
      </c>
      <c r="C231" s="109">
        <v>75</v>
      </c>
      <c r="D231" s="59" t="s">
        <v>246</v>
      </c>
      <c r="E231" s="110">
        <v>0</v>
      </c>
      <c r="F231" s="110">
        <v>0</v>
      </c>
    </row>
    <row r="232" spans="1:6" x14ac:dyDescent="0.25">
      <c r="A232" s="109">
        <v>221</v>
      </c>
      <c r="B232" s="109">
        <v>76</v>
      </c>
      <c r="C232" s="109">
        <v>81</v>
      </c>
      <c r="D232" s="59" t="s">
        <v>246</v>
      </c>
      <c r="E232" s="110">
        <v>0</v>
      </c>
      <c r="F232" s="110">
        <v>0</v>
      </c>
    </row>
    <row r="233" spans="1:6" x14ac:dyDescent="0.25">
      <c r="A233" s="109">
        <v>222</v>
      </c>
      <c r="B233" s="109">
        <v>77</v>
      </c>
      <c r="C233" s="109">
        <v>82</v>
      </c>
      <c r="D233" s="59" t="s">
        <v>246</v>
      </c>
      <c r="E233" s="110">
        <v>0</v>
      </c>
      <c r="F233" s="110">
        <v>0</v>
      </c>
    </row>
    <row r="234" spans="1:6" x14ac:dyDescent="0.25">
      <c r="A234" s="109">
        <v>223</v>
      </c>
      <c r="B234" s="109">
        <v>78</v>
      </c>
      <c r="C234" s="109">
        <v>83</v>
      </c>
      <c r="D234" s="59" t="s">
        <v>246</v>
      </c>
      <c r="E234" s="110">
        <v>0</v>
      </c>
      <c r="F234" s="110">
        <v>0</v>
      </c>
    </row>
    <row r="235" spans="1:6" x14ac:dyDescent="0.25">
      <c r="A235" s="109">
        <v>224</v>
      </c>
      <c r="B235" s="109">
        <v>79</v>
      </c>
      <c r="C235" s="109">
        <v>84</v>
      </c>
      <c r="D235" s="59" t="s">
        <v>246</v>
      </c>
      <c r="E235" s="110">
        <v>0</v>
      </c>
      <c r="F235" s="110">
        <v>0</v>
      </c>
    </row>
    <row r="236" spans="1:6" x14ac:dyDescent="0.25">
      <c r="A236" s="109">
        <v>225</v>
      </c>
      <c r="B236" s="109">
        <v>80</v>
      </c>
      <c r="C236" s="109">
        <v>85</v>
      </c>
      <c r="D236" s="59" t="s">
        <v>246</v>
      </c>
      <c r="E236" s="110">
        <v>0</v>
      </c>
      <c r="F236" s="110">
        <v>0</v>
      </c>
    </row>
    <row r="237" spans="1:6" x14ac:dyDescent="0.25">
      <c r="A237" s="109">
        <v>226</v>
      </c>
      <c r="B237" s="109">
        <v>81</v>
      </c>
      <c r="C237" s="109">
        <v>86</v>
      </c>
      <c r="D237" s="59" t="s">
        <v>246</v>
      </c>
      <c r="E237" s="110">
        <v>0</v>
      </c>
      <c r="F237" s="110">
        <v>0</v>
      </c>
    </row>
    <row r="238" spans="1:6" x14ac:dyDescent="0.25">
      <c r="A238" s="109">
        <v>227</v>
      </c>
      <c r="B238" s="109">
        <v>82</v>
      </c>
      <c r="C238" s="109">
        <v>87</v>
      </c>
      <c r="D238" s="59" t="s">
        <v>246</v>
      </c>
      <c r="E238" s="110">
        <v>0</v>
      </c>
      <c r="F238" s="110">
        <v>0</v>
      </c>
    </row>
    <row r="239" spans="1:6" x14ac:dyDescent="0.25">
      <c r="A239" s="109">
        <v>228</v>
      </c>
      <c r="B239" s="109">
        <v>83</v>
      </c>
      <c r="C239" s="109">
        <v>88</v>
      </c>
      <c r="D239" s="59" t="s">
        <v>246</v>
      </c>
      <c r="E239" s="110">
        <v>0</v>
      </c>
      <c r="F239" s="110">
        <v>0</v>
      </c>
    </row>
    <row r="240" spans="1:6" x14ac:dyDescent="0.25">
      <c r="A240" s="109">
        <v>229</v>
      </c>
      <c r="B240" s="109">
        <v>84</v>
      </c>
      <c r="C240" s="109">
        <v>89</v>
      </c>
      <c r="D240" s="59" t="s">
        <v>246</v>
      </c>
      <c r="E240" s="110">
        <v>0</v>
      </c>
      <c r="F240" s="110">
        <v>0</v>
      </c>
    </row>
    <row r="241" spans="1:6" x14ac:dyDescent="0.25">
      <c r="A241" s="109">
        <v>230</v>
      </c>
      <c r="B241" s="109">
        <v>85</v>
      </c>
      <c r="C241" s="109">
        <v>90</v>
      </c>
      <c r="D241" s="59" t="s">
        <v>246</v>
      </c>
      <c r="E241" s="110">
        <v>0</v>
      </c>
      <c r="F241" s="110">
        <v>0</v>
      </c>
    </row>
    <row r="242" spans="1:6" x14ac:dyDescent="0.25">
      <c r="A242" s="109">
        <v>231</v>
      </c>
      <c r="B242" s="109">
        <v>86</v>
      </c>
      <c r="C242" s="109">
        <v>91</v>
      </c>
      <c r="D242" s="59" t="s">
        <v>246</v>
      </c>
      <c r="E242" s="110">
        <v>0</v>
      </c>
      <c r="F242" s="110">
        <v>0</v>
      </c>
    </row>
    <row r="243" spans="1:6" x14ac:dyDescent="0.25">
      <c r="A243" s="109">
        <v>232</v>
      </c>
      <c r="B243" s="109">
        <v>87</v>
      </c>
      <c r="C243" s="109">
        <v>92</v>
      </c>
      <c r="D243" s="59" t="s">
        <v>246</v>
      </c>
      <c r="E243" s="110">
        <v>0</v>
      </c>
      <c r="F243" s="110">
        <v>0</v>
      </c>
    </row>
    <row r="244" spans="1:6" x14ac:dyDescent="0.25">
      <c r="A244" s="109">
        <v>233</v>
      </c>
      <c r="B244" s="109">
        <v>88</v>
      </c>
      <c r="C244" s="109">
        <v>93</v>
      </c>
      <c r="D244" s="59" t="s">
        <v>246</v>
      </c>
      <c r="E244" s="110">
        <v>0</v>
      </c>
      <c r="F244" s="110">
        <v>0</v>
      </c>
    </row>
    <row r="245" spans="1:6" x14ac:dyDescent="0.25">
      <c r="A245" s="109">
        <v>234</v>
      </c>
      <c r="B245" s="109">
        <v>89</v>
      </c>
      <c r="C245" s="109">
        <v>94</v>
      </c>
      <c r="D245" s="59" t="s">
        <v>246</v>
      </c>
      <c r="E245" s="110">
        <v>0</v>
      </c>
      <c r="F245" s="110">
        <v>0</v>
      </c>
    </row>
    <row r="246" spans="1:6" x14ac:dyDescent="0.25">
      <c r="A246" s="109">
        <v>235</v>
      </c>
      <c r="B246" s="109">
        <v>90</v>
      </c>
      <c r="C246" s="109">
        <v>95</v>
      </c>
      <c r="D246" s="59" t="s">
        <v>246</v>
      </c>
      <c r="E246" s="110">
        <v>0</v>
      </c>
      <c r="F246" s="110">
        <v>0</v>
      </c>
    </row>
    <row r="247" spans="1:6" x14ac:dyDescent="0.25">
      <c r="A247" s="109">
        <v>236</v>
      </c>
      <c r="B247" s="109">
        <v>91</v>
      </c>
      <c r="C247" s="109">
        <v>96</v>
      </c>
      <c r="D247" s="59" t="s">
        <v>246</v>
      </c>
      <c r="E247" s="110">
        <v>0</v>
      </c>
      <c r="F247" s="110">
        <v>0</v>
      </c>
    </row>
    <row r="248" spans="1:6" x14ac:dyDescent="0.25">
      <c r="A248" s="109">
        <v>237</v>
      </c>
      <c r="B248" s="109">
        <v>92</v>
      </c>
      <c r="C248" s="109">
        <v>97</v>
      </c>
      <c r="D248" s="59" t="s">
        <v>246</v>
      </c>
      <c r="E248" s="110">
        <v>0</v>
      </c>
      <c r="F248" s="110">
        <v>0</v>
      </c>
    </row>
    <row r="249" spans="1:6" x14ac:dyDescent="0.25">
      <c r="A249" s="109">
        <v>238</v>
      </c>
      <c r="B249" s="109">
        <v>93</v>
      </c>
      <c r="C249" s="109">
        <v>98</v>
      </c>
      <c r="D249" s="59" t="s">
        <v>246</v>
      </c>
      <c r="E249" s="110">
        <v>0</v>
      </c>
      <c r="F249" s="110">
        <v>0</v>
      </c>
    </row>
    <row r="250" spans="1:6" x14ac:dyDescent="0.25">
      <c r="A250" s="109">
        <v>239</v>
      </c>
      <c r="B250" s="109">
        <v>94</v>
      </c>
      <c r="C250" s="109">
        <v>99</v>
      </c>
      <c r="D250" s="59" t="s">
        <v>246</v>
      </c>
      <c r="E250" s="110">
        <v>0</v>
      </c>
      <c r="F250" s="110">
        <v>0</v>
      </c>
    </row>
    <row r="251" spans="1:6" x14ac:dyDescent="0.25">
      <c r="A251" s="109">
        <v>240</v>
      </c>
      <c r="B251" s="109">
        <v>95</v>
      </c>
      <c r="C251" s="109">
        <v>100</v>
      </c>
      <c r="D251" s="59" t="s">
        <v>246</v>
      </c>
      <c r="E251" s="110">
        <v>0</v>
      </c>
      <c r="F251" s="110">
        <v>0</v>
      </c>
    </row>
    <row r="252" spans="1:6" x14ac:dyDescent="0.25">
      <c r="A252" s="109">
        <v>241</v>
      </c>
      <c r="B252" s="109">
        <v>101</v>
      </c>
      <c r="C252" s="109">
        <v>106</v>
      </c>
      <c r="D252" s="59" t="s">
        <v>246</v>
      </c>
      <c r="E252" s="110">
        <v>0</v>
      </c>
      <c r="F252" s="110">
        <v>0</v>
      </c>
    </row>
    <row r="253" spans="1:6" x14ac:dyDescent="0.25">
      <c r="A253" s="109">
        <v>242</v>
      </c>
      <c r="B253" s="109">
        <v>102</v>
      </c>
      <c r="C253" s="109">
        <v>107</v>
      </c>
      <c r="D253" s="59" t="s">
        <v>246</v>
      </c>
      <c r="E253" s="110">
        <v>0</v>
      </c>
      <c r="F253" s="110">
        <v>0</v>
      </c>
    </row>
    <row r="254" spans="1:6" x14ac:dyDescent="0.25">
      <c r="A254" s="109">
        <v>243</v>
      </c>
      <c r="B254" s="109">
        <v>103</v>
      </c>
      <c r="C254" s="109">
        <v>108</v>
      </c>
      <c r="D254" s="59" t="s">
        <v>246</v>
      </c>
      <c r="E254" s="110">
        <v>0</v>
      </c>
      <c r="F254" s="110">
        <v>0</v>
      </c>
    </row>
    <row r="255" spans="1:6" x14ac:dyDescent="0.25">
      <c r="A255" s="109">
        <v>244</v>
      </c>
      <c r="B255" s="109">
        <v>104</v>
      </c>
      <c r="C255" s="109">
        <v>109</v>
      </c>
      <c r="D255" s="59" t="s">
        <v>246</v>
      </c>
      <c r="E255" s="110">
        <v>0</v>
      </c>
      <c r="F255" s="110">
        <v>0</v>
      </c>
    </row>
    <row r="256" spans="1:6" x14ac:dyDescent="0.25">
      <c r="A256" s="109">
        <v>245</v>
      </c>
      <c r="B256" s="109">
        <v>105</v>
      </c>
      <c r="C256" s="109">
        <v>110</v>
      </c>
      <c r="D256" s="59" t="s">
        <v>246</v>
      </c>
      <c r="E256" s="110">
        <v>0</v>
      </c>
      <c r="F256" s="110">
        <v>0</v>
      </c>
    </row>
    <row r="257" spans="1:6" x14ac:dyDescent="0.25">
      <c r="A257" s="109">
        <v>246</v>
      </c>
      <c r="B257" s="109">
        <v>106</v>
      </c>
      <c r="C257" s="109">
        <v>111</v>
      </c>
      <c r="D257" s="59" t="s">
        <v>246</v>
      </c>
      <c r="E257" s="110">
        <v>0</v>
      </c>
      <c r="F257" s="110">
        <v>0</v>
      </c>
    </row>
    <row r="258" spans="1:6" x14ac:dyDescent="0.25">
      <c r="A258" s="109">
        <v>247</v>
      </c>
      <c r="B258" s="109">
        <v>107</v>
      </c>
      <c r="C258" s="109">
        <v>112</v>
      </c>
      <c r="D258" s="59" t="s">
        <v>246</v>
      </c>
      <c r="E258" s="110">
        <v>0</v>
      </c>
      <c r="F258" s="110">
        <v>0</v>
      </c>
    </row>
    <row r="259" spans="1:6" x14ac:dyDescent="0.25">
      <c r="A259" s="109">
        <v>248</v>
      </c>
      <c r="B259" s="109">
        <v>108</v>
      </c>
      <c r="C259" s="109">
        <v>113</v>
      </c>
      <c r="D259" s="59" t="s">
        <v>246</v>
      </c>
      <c r="E259" s="110">
        <v>0</v>
      </c>
      <c r="F259" s="110">
        <v>0</v>
      </c>
    </row>
    <row r="260" spans="1:6" x14ac:dyDescent="0.25">
      <c r="A260" s="109">
        <v>249</v>
      </c>
      <c r="B260" s="109">
        <v>109</v>
      </c>
      <c r="C260" s="109">
        <v>114</v>
      </c>
      <c r="D260" s="59" t="s">
        <v>246</v>
      </c>
      <c r="E260" s="110">
        <v>0</v>
      </c>
      <c r="F260" s="110">
        <v>0</v>
      </c>
    </row>
    <row r="261" spans="1:6" x14ac:dyDescent="0.25">
      <c r="A261" s="109">
        <v>250</v>
      </c>
      <c r="B261" s="109">
        <v>110</v>
      </c>
      <c r="C261" s="109">
        <v>115</v>
      </c>
      <c r="D261" s="59" t="s">
        <v>246</v>
      </c>
      <c r="E261" s="110">
        <v>0</v>
      </c>
      <c r="F261" s="110">
        <v>0</v>
      </c>
    </row>
    <row r="262" spans="1:6" x14ac:dyDescent="0.25">
      <c r="A262" s="109">
        <v>251</v>
      </c>
      <c r="B262" s="109">
        <v>111</v>
      </c>
      <c r="C262" s="109">
        <v>116</v>
      </c>
      <c r="D262" s="59" t="s">
        <v>246</v>
      </c>
      <c r="E262" s="110">
        <v>0</v>
      </c>
      <c r="F262" s="110">
        <v>0</v>
      </c>
    </row>
    <row r="263" spans="1:6" x14ac:dyDescent="0.25">
      <c r="A263" s="109">
        <v>252</v>
      </c>
      <c r="B263" s="109">
        <v>112</v>
      </c>
      <c r="C263" s="109">
        <v>117</v>
      </c>
      <c r="D263" s="59" t="s">
        <v>246</v>
      </c>
      <c r="E263" s="110">
        <v>0</v>
      </c>
      <c r="F263" s="110">
        <v>0</v>
      </c>
    </row>
    <row r="264" spans="1:6" x14ac:dyDescent="0.25">
      <c r="A264" s="109">
        <v>253</v>
      </c>
      <c r="B264" s="109">
        <v>113</v>
      </c>
      <c r="C264" s="109">
        <v>118</v>
      </c>
      <c r="D264" s="59" t="s">
        <v>246</v>
      </c>
      <c r="E264" s="110">
        <v>0</v>
      </c>
      <c r="F264" s="110">
        <v>0</v>
      </c>
    </row>
    <row r="265" spans="1:6" x14ac:dyDescent="0.25">
      <c r="A265" s="109">
        <v>254</v>
      </c>
      <c r="B265" s="109">
        <v>114</v>
      </c>
      <c r="C265" s="109">
        <v>119</v>
      </c>
      <c r="D265" s="59" t="s">
        <v>246</v>
      </c>
      <c r="E265" s="110">
        <v>0</v>
      </c>
      <c r="F265" s="110">
        <v>0</v>
      </c>
    </row>
    <row r="266" spans="1:6" x14ac:dyDescent="0.25">
      <c r="A266" s="109">
        <v>255</v>
      </c>
      <c r="B266" s="109">
        <v>115</v>
      </c>
      <c r="C266" s="109">
        <v>120</v>
      </c>
      <c r="D266" s="59" t="s">
        <v>246</v>
      </c>
      <c r="E266" s="110">
        <v>0</v>
      </c>
      <c r="F266" s="110">
        <v>0</v>
      </c>
    </row>
    <row r="267" spans="1:6" x14ac:dyDescent="0.25">
      <c r="A267" s="109">
        <v>256</v>
      </c>
      <c r="B267" s="109">
        <v>116</v>
      </c>
      <c r="C267" s="109">
        <v>121</v>
      </c>
      <c r="D267" s="59" t="s">
        <v>246</v>
      </c>
      <c r="E267" s="110">
        <v>0</v>
      </c>
      <c r="F267" s="110">
        <v>0</v>
      </c>
    </row>
    <row r="268" spans="1:6" x14ac:dyDescent="0.25">
      <c r="A268" s="109">
        <v>257</v>
      </c>
      <c r="B268" s="109">
        <v>117</v>
      </c>
      <c r="C268" s="109">
        <v>122</v>
      </c>
      <c r="D268" s="59" t="s">
        <v>246</v>
      </c>
      <c r="E268" s="110">
        <v>0</v>
      </c>
      <c r="F268" s="110">
        <v>0</v>
      </c>
    </row>
    <row r="269" spans="1:6" x14ac:dyDescent="0.25">
      <c r="A269" s="109">
        <v>258</v>
      </c>
      <c r="B269" s="109">
        <v>118</v>
      </c>
      <c r="C269" s="109">
        <v>123</v>
      </c>
      <c r="D269" s="59" t="s">
        <v>246</v>
      </c>
      <c r="E269" s="110">
        <v>0</v>
      </c>
      <c r="F269" s="110">
        <v>0</v>
      </c>
    </row>
    <row r="270" spans="1:6" x14ac:dyDescent="0.25">
      <c r="A270" s="109">
        <v>259</v>
      </c>
      <c r="B270" s="109">
        <v>119</v>
      </c>
      <c r="C270" s="109">
        <v>124</v>
      </c>
      <c r="D270" s="59" t="s">
        <v>246</v>
      </c>
      <c r="E270" s="110">
        <v>0</v>
      </c>
      <c r="F270" s="110">
        <v>0</v>
      </c>
    </row>
    <row r="271" spans="1:6" x14ac:dyDescent="0.25">
      <c r="A271" s="109">
        <v>260</v>
      </c>
      <c r="B271" s="109">
        <v>120</v>
      </c>
      <c r="C271" s="109">
        <v>125</v>
      </c>
      <c r="D271" s="59" t="s">
        <v>246</v>
      </c>
      <c r="E271" s="110">
        <v>0</v>
      </c>
      <c r="F271" s="110">
        <v>0</v>
      </c>
    </row>
  </sheetData>
  <conditionalFormatting sqref="E12:E1048576">
    <cfRule type="expression" dxfId="4" priority="2">
      <formula>OR(D12="Auto from Connectivity")</formula>
    </cfRule>
  </conditionalFormatting>
  <conditionalFormatting sqref="F12:F1048576">
    <cfRule type="expression" dxfId="3" priority="1">
      <formula>OR(D12="Auto from Connectivity")</formula>
    </cfRule>
  </conditionalFormatting>
  <dataValidations count="5">
    <dataValidation allowBlank="1" showInputMessage="1" showErrorMessage="1" prompt="J-end point. User input" sqref="C272:C1048576" xr:uid="{4664560C-3AAC-524A-A3C2-1114E09260FA}"/>
    <dataValidation type="whole" allowBlank="1" showInputMessage="1" showErrorMessage="1" errorTitle="Invalid Input" error="Please enter an integer value only." sqref="A12:A1048576 B12:C271" xr:uid="{8D4C5C5A-A16E-8D4B-8658-4F8BA4D37AC9}">
      <formula1>0</formula1>
      <formula2>1000000000000</formula2>
    </dataValidation>
    <dataValidation allowBlank="1" showInputMessage="1" showErrorMessage="1" prompt="I-end point. User input" sqref="B272:B1048576" xr:uid="{30E0D36F-161A-7840-8623-96CF009C80F6}"/>
    <dataValidation type="list" allowBlank="1" showInputMessage="1" showErrorMessage="1" errorTitle="Invalid Input" error="Choose from the list" sqref="D12:D1048576" xr:uid="{292F2153-E1A4-4116-8FC6-530459C71CFD}">
      <formula1>"Auto from Connectivity, User specified"</formula1>
    </dataValidation>
    <dataValidation type="decimal" allowBlank="1" showInputMessage="1" showErrorMessage="1" errorTitle="Invalid Input" error="Please enter a float value only." sqref="E12:F1048576" xr:uid="{04C9CBC8-894C-4389-ABC1-FC3DDBC12E33}">
      <formula1>0</formula1>
      <formula2>1000000000000</formula2>
    </dataValidation>
  </dataValidations>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239065-E8C9-4242-BC46-0BDEE7F540A4}">
  <sheetPr codeName="Sheet25"/>
  <dimension ref="A1:I72"/>
  <sheetViews>
    <sheetView zoomScale="130" zoomScaleNormal="130" workbookViewId="0">
      <selection activeCell="K22" sqref="K22"/>
    </sheetView>
  </sheetViews>
  <sheetFormatPr defaultColWidth="10.85546875" defaultRowHeight="15.75" x14ac:dyDescent="0.25"/>
  <cols>
    <col min="1" max="1" width="15.7109375" style="109" customWidth="1"/>
    <col min="2" max="5" width="10.7109375" style="109" customWidth="1"/>
    <col min="6" max="9" width="10.7109375" style="59" customWidth="1"/>
    <col min="10" max="16384" width="10.85546875" style="96"/>
  </cols>
  <sheetData>
    <row r="1" spans="1:9" x14ac:dyDescent="0.25">
      <c r="A1" s="111" t="s">
        <v>200</v>
      </c>
      <c r="B1" s="92"/>
      <c r="C1" s="92"/>
      <c r="D1" s="92"/>
      <c r="E1" s="92"/>
      <c r="F1" s="93"/>
      <c r="G1" s="93"/>
      <c r="H1" s="94"/>
      <c r="I1" s="96"/>
    </row>
    <row r="2" spans="1:9" x14ac:dyDescent="0.25">
      <c r="A2" s="75" t="s">
        <v>229</v>
      </c>
      <c r="B2" s="97"/>
      <c r="C2" s="97"/>
      <c r="D2" s="97"/>
      <c r="E2" s="97"/>
      <c r="F2" s="98"/>
      <c r="G2" s="98"/>
      <c r="H2" s="99"/>
      <c r="I2" s="96"/>
    </row>
    <row r="3" spans="1:9" x14ac:dyDescent="0.25">
      <c r="A3" s="112" t="s">
        <v>223</v>
      </c>
      <c r="B3" s="97"/>
      <c r="C3" s="97"/>
      <c r="D3" s="97"/>
      <c r="E3" s="97"/>
      <c r="F3" s="98"/>
      <c r="G3" s="98"/>
      <c r="H3" s="99"/>
      <c r="I3" s="96"/>
    </row>
    <row r="4" spans="1:9" x14ac:dyDescent="0.25">
      <c r="A4" s="75" t="s">
        <v>230</v>
      </c>
      <c r="B4" s="97"/>
      <c r="C4" s="97"/>
      <c r="D4" s="97"/>
      <c r="E4" s="97"/>
      <c r="F4" s="98"/>
      <c r="G4" s="98"/>
      <c r="H4" s="99"/>
      <c r="I4" s="96"/>
    </row>
    <row r="5" spans="1:9" x14ac:dyDescent="0.25">
      <c r="A5" s="75" t="s">
        <v>231</v>
      </c>
      <c r="B5" s="97"/>
      <c r="C5" s="97"/>
      <c r="D5" s="97"/>
      <c r="E5" s="97"/>
      <c r="F5" s="98"/>
      <c r="G5" s="98"/>
      <c r="H5" s="99"/>
      <c r="I5" s="96"/>
    </row>
    <row r="6" spans="1:9" x14ac:dyDescent="0.25">
      <c r="A6" s="113" t="s">
        <v>232</v>
      </c>
      <c r="B6" s="103"/>
      <c r="C6" s="103"/>
      <c r="D6" s="103"/>
      <c r="E6" s="103"/>
      <c r="F6" s="114"/>
      <c r="G6" s="114"/>
      <c r="H6" s="115"/>
      <c r="I6" s="96"/>
    </row>
    <row r="7" spans="1:9" x14ac:dyDescent="0.25">
      <c r="A7" s="107"/>
      <c r="B7" s="59"/>
      <c r="C7" s="59"/>
      <c r="D7" s="59"/>
      <c r="E7" s="59"/>
      <c r="F7" s="96"/>
      <c r="G7" s="96"/>
      <c r="H7" s="96"/>
      <c r="I7" s="96"/>
    </row>
    <row r="8" spans="1:9" s="13" customFormat="1" x14ac:dyDescent="0.25">
      <c r="A8" s="86" t="s">
        <v>228</v>
      </c>
      <c r="B8" s="17" t="s">
        <v>195</v>
      </c>
      <c r="C8" s="17" t="s">
        <v>196</v>
      </c>
      <c r="D8" s="17" t="s">
        <v>197</v>
      </c>
      <c r="E8" s="17" t="s">
        <v>198</v>
      </c>
      <c r="F8" s="59"/>
      <c r="G8" s="59"/>
      <c r="H8" s="59"/>
      <c r="I8" s="59"/>
    </row>
    <row r="9" spans="1:9" x14ac:dyDescent="0.25">
      <c r="A9" s="109">
        <v>1</v>
      </c>
      <c r="B9" s="109">
        <v>101</v>
      </c>
      <c r="C9" s="109">
        <v>182</v>
      </c>
      <c r="D9" s="109">
        <v>105</v>
      </c>
      <c r="E9" s="109">
        <v>181</v>
      </c>
    </row>
    <row r="10" spans="1:9" x14ac:dyDescent="0.25">
      <c r="A10" s="109">
        <v>2</v>
      </c>
      <c r="B10" s="109">
        <v>102</v>
      </c>
      <c r="C10" s="109">
        <v>183</v>
      </c>
      <c r="D10" s="109">
        <v>106</v>
      </c>
      <c r="E10" s="109">
        <v>182</v>
      </c>
    </row>
    <row r="11" spans="1:9" x14ac:dyDescent="0.25">
      <c r="A11" s="109">
        <v>3</v>
      </c>
      <c r="B11" s="109">
        <v>103</v>
      </c>
      <c r="C11" s="109">
        <v>184</v>
      </c>
      <c r="D11" s="109">
        <v>107</v>
      </c>
      <c r="E11" s="109">
        <v>183</v>
      </c>
    </row>
    <row r="12" spans="1:9" x14ac:dyDescent="0.25">
      <c r="A12" s="109">
        <v>4</v>
      </c>
      <c r="B12" s="109">
        <v>104</v>
      </c>
      <c r="C12" s="109">
        <v>185</v>
      </c>
      <c r="D12" s="109">
        <v>108</v>
      </c>
      <c r="E12" s="109">
        <v>184</v>
      </c>
    </row>
    <row r="13" spans="1:9" x14ac:dyDescent="0.25">
      <c r="A13" s="109">
        <v>5</v>
      </c>
      <c r="B13" s="109">
        <v>105</v>
      </c>
      <c r="C13" s="109">
        <v>187</v>
      </c>
      <c r="D13" s="109">
        <v>109</v>
      </c>
      <c r="E13" s="109">
        <v>186</v>
      </c>
    </row>
    <row r="14" spans="1:9" x14ac:dyDescent="0.25">
      <c r="A14" s="109">
        <v>6</v>
      </c>
      <c r="B14" s="109">
        <v>106</v>
      </c>
      <c r="C14" s="109">
        <v>188</v>
      </c>
      <c r="D14" s="109">
        <v>110</v>
      </c>
      <c r="E14" s="109">
        <v>187</v>
      </c>
    </row>
    <row r="15" spans="1:9" x14ac:dyDescent="0.25">
      <c r="A15" s="109">
        <v>7</v>
      </c>
      <c r="B15" s="109">
        <v>107</v>
      </c>
      <c r="C15" s="109">
        <v>189</v>
      </c>
      <c r="D15" s="109">
        <v>111</v>
      </c>
      <c r="E15" s="109">
        <v>188</v>
      </c>
    </row>
    <row r="16" spans="1:9" x14ac:dyDescent="0.25">
      <c r="A16" s="109">
        <v>8</v>
      </c>
      <c r="B16" s="109">
        <v>108</v>
      </c>
      <c r="C16" s="109">
        <v>190</v>
      </c>
      <c r="D16" s="109">
        <v>112</v>
      </c>
      <c r="E16" s="109">
        <v>189</v>
      </c>
    </row>
    <row r="17" spans="1:5" x14ac:dyDescent="0.25">
      <c r="A17" s="109">
        <v>9</v>
      </c>
      <c r="B17" s="109">
        <v>109</v>
      </c>
      <c r="C17" s="109">
        <v>192</v>
      </c>
      <c r="D17" s="109">
        <v>113</v>
      </c>
      <c r="E17" s="109">
        <v>191</v>
      </c>
    </row>
    <row r="18" spans="1:5" x14ac:dyDescent="0.25">
      <c r="A18" s="109">
        <v>10</v>
      </c>
      <c r="B18" s="109">
        <v>110</v>
      </c>
      <c r="C18" s="109">
        <v>193</v>
      </c>
      <c r="D18" s="109">
        <v>114</v>
      </c>
      <c r="E18" s="109">
        <v>192</v>
      </c>
    </row>
    <row r="19" spans="1:5" x14ac:dyDescent="0.25">
      <c r="A19" s="109">
        <v>11</v>
      </c>
      <c r="B19" s="109">
        <v>111</v>
      </c>
      <c r="C19" s="109">
        <v>194</v>
      </c>
      <c r="D19" s="109">
        <v>115</v>
      </c>
      <c r="E19" s="109">
        <v>193</v>
      </c>
    </row>
    <row r="20" spans="1:5" x14ac:dyDescent="0.25">
      <c r="A20" s="109">
        <v>12</v>
      </c>
      <c r="B20" s="109">
        <v>112</v>
      </c>
      <c r="C20" s="109">
        <v>195</v>
      </c>
      <c r="D20" s="109">
        <v>116</v>
      </c>
      <c r="E20" s="109">
        <v>194</v>
      </c>
    </row>
    <row r="21" spans="1:5" x14ac:dyDescent="0.25">
      <c r="A21" s="109">
        <v>13</v>
      </c>
      <c r="B21" s="109">
        <v>113</v>
      </c>
      <c r="C21" s="109">
        <v>197</v>
      </c>
      <c r="D21" s="109">
        <v>117</v>
      </c>
      <c r="E21" s="109">
        <v>196</v>
      </c>
    </row>
    <row r="22" spans="1:5" x14ac:dyDescent="0.25">
      <c r="A22" s="109">
        <v>14</v>
      </c>
      <c r="B22" s="109">
        <v>114</v>
      </c>
      <c r="C22" s="109">
        <v>198</v>
      </c>
      <c r="D22" s="109">
        <v>118</v>
      </c>
      <c r="E22" s="109">
        <v>197</v>
      </c>
    </row>
    <row r="23" spans="1:5" x14ac:dyDescent="0.25">
      <c r="A23" s="109">
        <v>15</v>
      </c>
      <c r="B23" s="109">
        <v>115</v>
      </c>
      <c r="C23" s="109">
        <v>199</v>
      </c>
      <c r="D23" s="109">
        <v>119</v>
      </c>
      <c r="E23" s="109">
        <v>198</v>
      </c>
    </row>
    <row r="24" spans="1:5" x14ac:dyDescent="0.25">
      <c r="A24" s="109">
        <v>16</v>
      </c>
      <c r="B24" s="109">
        <v>116</v>
      </c>
      <c r="C24" s="109">
        <v>200</v>
      </c>
      <c r="D24" s="109">
        <v>120</v>
      </c>
      <c r="E24" s="109">
        <v>199</v>
      </c>
    </row>
    <row r="25" spans="1:5" x14ac:dyDescent="0.25">
      <c r="A25" s="109">
        <v>17</v>
      </c>
      <c r="B25" s="109">
        <v>121</v>
      </c>
      <c r="C25" s="109">
        <v>202</v>
      </c>
      <c r="D25" s="109">
        <v>125</v>
      </c>
      <c r="E25" s="109">
        <v>201</v>
      </c>
    </row>
    <row r="26" spans="1:5" x14ac:dyDescent="0.25">
      <c r="A26" s="109">
        <v>18</v>
      </c>
      <c r="B26" s="109">
        <v>122</v>
      </c>
      <c r="C26" s="109">
        <v>203</v>
      </c>
      <c r="D26" s="109">
        <v>126</v>
      </c>
      <c r="E26" s="109">
        <v>202</v>
      </c>
    </row>
    <row r="27" spans="1:5" x14ac:dyDescent="0.25">
      <c r="A27" s="109">
        <v>19</v>
      </c>
      <c r="B27" s="109">
        <v>123</v>
      </c>
      <c r="C27" s="109">
        <v>204</v>
      </c>
      <c r="D27" s="109">
        <v>127</v>
      </c>
      <c r="E27" s="109">
        <v>203</v>
      </c>
    </row>
    <row r="28" spans="1:5" x14ac:dyDescent="0.25">
      <c r="A28" s="109">
        <v>20</v>
      </c>
      <c r="B28" s="109">
        <v>124</v>
      </c>
      <c r="C28" s="109">
        <v>205</v>
      </c>
      <c r="D28" s="109">
        <v>128</v>
      </c>
      <c r="E28" s="109">
        <v>204</v>
      </c>
    </row>
    <row r="29" spans="1:5" x14ac:dyDescent="0.25">
      <c r="A29" s="109">
        <v>21</v>
      </c>
      <c r="B29" s="109">
        <v>125</v>
      </c>
      <c r="C29" s="109">
        <v>207</v>
      </c>
      <c r="D29" s="109">
        <v>129</v>
      </c>
      <c r="E29" s="109">
        <v>206</v>
      </c>
    </row>
    <row r="30" spans="1:5" x14ac:dyDescent="0.25">
      <c r="A30" s="109">
        <v>22</v>
      </c>
      <c r="B30" s="109">
        <v>126</v>
      </c>
      <c r="C30" s="109">
        <v>208</v>
      </c>
      <c r="D30" s="109">
        <v>130</v>
      </c>
      <c r="E30" s="109">
        <v>207</v>
      </c>
    </row>
    <row r="31" spans="1:5" x14ac:dyDescent="0.25">
      <c r="A31" s="109">
        <v>23</v>
      </c>
      <c r="B31" s="109">
        <v>127</v>
      </c>
      <c r="C31" s="109">
        <v>209</v>
      </c>
      <c r="D31" s="109">
        <v>131</v>
      </c>
      <c r="E31" s="109">
        <v>208</v>
      </c>
    </row>
    <row r="32" spans="1:5" x14ac:dyDescent="0.25">
      <c r="A32" s="109">
        <v>24</v>
      </c>
      <c r="B32" s="109">
        <v>128</v>
      </c>
      <c r="C32" s="109">
        <v>210</v>
      </c>
      <c r="D32" s="109">
        <v>132</v>
      </c>
      <c r="E32" s="109">
        <v>209</v>
      </c>
    </row>
    <row r="33" spans="1:5" x14ac:dyDescent="0.25">
      <c r="A33" s="109">
        <v>25</v>
      </c>
      <c r="B33" s="109">
        <v>129</v>
      </c>
      <c r="C33" s="109">
        <v>212</v>
      </c>
      <c r="D33" s="109">
        <v>133</v>
      </c>
      <c r="E33" s="109">
        <v>211</v>
      </c>
    </row>
    <row r="34" spans="1:5" x14ac:dyDescent="0.25">
      <c r="A34" s="109">
        <v>26</v>
      </c>
      <c r="B34" s="109">
        <v>130</v>
      </c>
      <c r="C34" s="109">
        <v>213</v>
      </c>
      <c r="D34" s="109">
        <v>134</v>
      </c>
      <c r="E34" s="109">
        <v>212</v>
      </c>
    </row>
    <row r="35" spans="1:5" x14ac:dyDescent="0.25">
      <c r="A35" s="109">
        <v>27</v>
      </c>
      <c r="B35" s="109">
        <v>131</v>
      </c>
      <c r="C35" s="109">
        <v>214</v>
      </c>
      <c r="D35" s="109">
        <v>135</v>
      </c>
      <c r="E35" s="109">
        <v>213</v>
      </c>
    </row>
    <row r="36" spans="1:5" x14ac:dyDescent="0.25">
      <c r="A36" s="109">
        <v>28</v>
      </c>
      <c r="B36" s="109">
        <v>132</v>
      </c>
      <c r="C36" s="109">
        <v>215</v>
      </c>
      <c r="D36" s="109">
        <v>136</v>
      </c>
      <c r="E36" s="109">
        <v>214</v>
      </c>
    </row>
    <row r="37" spans="1:5" x14ac:dyDescent="0.25">
      <c r="A37" s="109">
        <v>29</v>
      </c>
      <c r="B37" s="109">
        <v>133</v>
      </c>
      <c r="C37" s="109">
        <v>217</v>
      </c>
      <c r="D37" s="109">
        <v>137</v>
      </c>
      <c r="E37" s="109">
        <v>216</v>
      </c>
    </row>
    <row r="38" spans="1:5" x14ac:dyDescent="0.25">
      <c r="A38" s="109">
        <v>30</v>
      </c>
      <c r="B38" s="109">
        <v>134</v>
      </c>
      <c r="C38" s="109">
        <v>218</v>
      </c>
      <c r="D38" s="109">
        <v>138</v>
      </c>
      <c r="E38" s="109">
        <v>217</v>
      </c>
    </row>
    <row r="39" spans="1:5" x14ac:dyDescent="0.25">
      <c r="A39" s="109">
        <v>31</v>
      </c>
      <c r="B39" s="109">
        <v>135</v>
      </c>
      <c r="C39" s="109">
        <v>219</v>
      </c>
      <c r="D39" s="109">
        <v>139</v>
      </c>
      <c r="E39" s="109">
        <v>218</v>
      </c>
    </row>
    <row r="40" spans="1:5" x14ac:dyDescent="0.25">
      <c r="A40" s="109">
        <v>32</v>
      </c>
      <c r="B40" s="109">
        <v>136</v>
      </c>
      <c r="C40" s="109">
        <v>220</v>
      </c>
      <c r="D40" s="109">
        <v>140</v>
      </c>
      <c r="E40" s="109">
        <v>219</v>
      </c>
    </row>
    <row r="41" spans="1:5" x14ac:dyDescent="0.25">
      <c r="A41" s="109">
        <v>33</v>
      </c>
      <c r="B41" s="109">
        <v>141</v>
      </c>
      <c r="C41" s="109">
        <v>222</v>
      </c>
      <c r="D41" s="109">
        <v>145</v>
      </c>
      <c r="E41" s="109">
        <v>221</v>
      </c>
    </row>
    <row r="42" spans="1:5" x14ac:dyDescent="0.25">
      <c r="A42" s="109">
        <v>34</v>
      </c>
      <c r="B42" s="109">
        <v>142</v>
      </c>
      <c r="C42" s="109">
        <v>223</v>
      </c>
      <c r="D42" s="109">
        <v>146</v>
      </c>
      <c r="E42" s="109">
        <v>222</v>
      </c>
    </row>
    <row r="43" spans="1:5" x14ac:dyDescent="0.25">
      <c r="A43" s="109">
        <v>35</v>
      </c>
      <c r="B43" s="109">
        <v>143</v>
      </c>
      <c r="C43" s="109">
        <v>224</v>
      </c>
      <c r="D43" s="109">
        <v>147</v>
      </c>
      <c r="E43" s="109">
        <v>223</v>
      </c>
    </row>
    <row r="44" spans="1:5" x14ac:dyDescent="0.25">
      <c r="A44" s="109">
        <v>36</v>
      </c>
      <c r="B44" s="109">
        <v>144</v>
      </c>
      <c r="C44" s="109">
        <v>225</v>
      </c>
      <c r="D44" s="109">
        <v>148</v>
      </c>
      <c r="E44" s="109">
        <v>224</v>
      </c>
    </row>
    <row r="45" spans="1:5" x14ac:dyDescent="0.25">
      <c r="A45" s="109">
        <v>37</v>
      </c>
      <c r="B45" s="109">
        <v>145</v>
      </c>
      <c r="C45" s="109">
        <v>227</v>
      </c>
      <c r="D45" s="109">
        <v>149</v>
      </c>
      <c r="E45" s="109">
        <v>226</v>
      </c>
    </row>
    <row r="46" spans="1:5" x14ac:dyDescent="0.25">
      <c r="A46" s="109">
        <v>38</v>
      </c>
      <c r="B46" s="109">
        <v>146</v>
      </c>
      <c r="C46" s="109">
        <v>228</v>
      </c>
      <c r="D46" s="109">
        <v>150</v>
      </c>
      <c r="E46" s="109">
        <v>227</v>
      </c>
    </row>
    <row r="47" spans="1:5" x14ac:dyDescent="0.25">
      <c r="A47" s="109">
        <v>39</v>
      </c>
      <c r="B47" s="109">
        <v>147</v>
      </c>
      <c r="C47" s="109">
        <v>229</v>
      </c>
      <c r="D47" s="109">
        <v>151</v>
      </c>
      <c r="E47" s="109">
        <v>228</v>
      </c>
    </row>
    <row r="48" spans="1:5" x14ac:dyDescent="0.25">
      <c r="A48" s="109">
        <v>40</v>
      </c>
      <c r="B48" s="109">
        <v>148</v>
      </c>
      <c r="C48" s="109">
        <v>230</v>
      </c>
      <c r="D48" s="109">
        <v>152</v>
      </c>
      <c r="E48" s="109">
        <v>229</v>
      </c>
    </row>
    <row r="49" spans="1:5" x14ac:dyDescent="0.25">
      <c r="A49" s="109">
        <v>41</v>
      </c>
      <c r="B49" s="109">
        <v>149</v>
      </c>
      <c r="C49" s="109">
        <v>232</v>
      </c>
      <c r="D49" s="109">
        <v>153</v>
      </c>
      <c r="E49" s="109">
        <v>231</v>
      </c>
    </row>
    <row r="50" spans="1:5" x14ac:dyDescent="0.25">
      <c r="A50" s="109">
        <v>42</v>
      </c>
      <c r="B50" s="109">
        <v>150</v>
      </c>
      <c r="C50" s="109">
        <v>233</v>
      </c>
      <c r="D50" s="109">
        <v>154</v>
      </c>
      <c r="E50" s="109">
        <v>232</v>
      </c>
    </row>
    <row r="51" spans="1:5" x14ac:dyDescent="0.25">
      <c r="A51" s="109">
        <v>43</v>
      </c>
      <c r="B51" s="109">
        <v>151</v>
      </c>
      <c r="C51" s="109">
        <v>234</v>
      </c>
      <c r="D51" s="109">
        <v>155</v>
      </c>
      <c r="E51" s="109">
        <v>233</v>
      </c>
    </row>
    <row r="52" spans="1:5" x14ac:dyDescent="0.25">
      <c r="A52" s="109">
        <v>44</v>
      </c>
      <c r="B52" s="109">
        <v>152</v>
      </c>
      <c r="C52" s="109">
        <v>235</v>
      </c>
      <c r="D52" s="109">
        <v>156</v>
      </c>
      <c r="E52" s="109">
        <v>234</v>
      </c>
    </row>
    <row r="53" spans="1:5" x14ac:dyDescent="0.25">
      <c r="A53" s="109">
        <v>45</v>
      </c>
      <c r="B53" s="109">
        <v>153</v>
      </c>
      <c r="C53" s="109">
        <v>237</v>
      </c>
      <c r="D53" s="109">
        <v>157</v>
      </c>
      <c r="E53" s="109">
        <v>236</v>
      </c>
    </row>
    <row r="54" spans="1:5" x14ac:dyDescent="0.25">
      <c r="A54" s="109">
        <v>46</v>
      </c>
      <c r="B54" s="109">
        <v>154</v>
      </c>
      <c r="C54" s="109">
        <v>238</v>
      </c>
      <c r="D54" s="109">
        <v>158</v>
      </c>
      <c r="E54" s="109">
        <v>237</v>
      </c>
    </row>
    <row r="55" spans="1:5" x14ac:dyDescent="0.25">
      <c r="A55" s="109">
        <v>47</v>
      </c>
      <c r="B55" s="109">
        <v>155</v>
      </c>
      <c r="C55" s="109">
        <v>239</v>
      </c>
      <c r="D55" s="109">
        <v>159</v>
      </c>
      <c r="E55" s="109">
        <v>238</v>
      </c>
    </row>
    <row r="56" spans="1:5" x14ac:dyDescent="0.25">
      <c r="A56" s="109">
        <v>48</v>
      </c>
      <c r="B56" s="109">
        <v>156</v>
      </c>
      <c r="C56" s="109">
        <v>240</v>
      </c>
      <c r="D56" s="109">
        <v>160</v>
      </c>
      <c r="E56" s="109">
        <v>239</v>
      </c>
    </row>
    <row r="57" spans="1:5" x14ac:dyDescent="0.25">
      <c r="A57" s="109">
        <v>49</v>
      </c>
      <c r="B57" s="109">
        <v>161</v>
      </c>
      <c r="C57" s="109">
        <v>242</v>
      </c>
      <c r="D57" s="109">
        <v>165</v>
      </c>
      <c r="E57" s="109">
        <v>241</v>
      </c>
    </row>
    <row r="58" spans="1:5" x14ac:dyDescent="0.25">
      <c r="A58" s="109">
        <v>50</v>
      </c>
      <c r="B58" s="109">
        <v>162</v>
      </c>
      <c r="C58" s="109">
        <v>243</v>
      </c>
      <c r="D58" s="109">
        <v>166</v>
      </c>
      <c r="E58" s="109">
        <v>242</v>
      </c>
    </row>
    <row r="59" spans="1:5" x14ac:dyDescent="0.25">
      <c r="A59" s="109">
        <v>51</v>
      </c>
      <c r="B59" s="109">
        <v>163</v>
      </c>
      <c r="C59" s="109">
        <v>244</v>
      </c>
      <c r="D59" s="109">
        <v>167</v>
      </c>
      <c r="E59" s="109">
        <v>243</v>
      </c>
    </row>
    <row r="60" spans="1:5" x14ac:dyDescent="0.25">
      <c r="A60" s="109">
        <v>52</v>
      </c>
      <c r="B60" s="109">
        <v>164</v>
      </c>
      <c r="C60" s="109">
        <v>245</v>
      </c>
      <c r="D60" s="109">
        <v>168</v>
      </c>
      <c r="E60" s="109">
        <v>244</v>
      </c>
    </row>
    <row r="61" spans="1:5" x14ac:dyDescent="0.25">
      <c r="A61" s="109">
        <v>53</v>
      </c>
      <c r="B61" s="109">
        <v>165</v>
      </c>
      <c r="C61" s="109">
        <v>247</v>
      </c>
      <c r="D61" s="109">
        <v>169</v>
      </c>
      <c r="E61" s="109">
        <v>246</v>
      </c>
    </row>
    <row r="62" spans="1:5" x14ac:dyDescent="0.25">
      <c r="A62" s="109">
        <v>54</v>
      </c>
      <c r="B62" s="109">
        <v>166</v>
      </c>
      <c r="C62" s="109">
        <v>248</v>
      </c>
      <c r="D62" s="109">
        <v>170</v>
      </c>
      <c r="E62" s="109">
        <v>247</v>
      </c>
    </row>
    <row r="63" spans="1:5" x14ac:dyDescent="0.25">
      <c r="A63" s="109">
        <v>55</v>
      </c>
      <c r="B63" s="109">
        <v>167</v>
      </c>
      <c r="C63" s="109">
        <v>249</v>
      </c>
      <c r="D63" s="109">
        <v>171</v>
      </c>
      <c r="E63" s="109">
        <v>248</v>
      </c>
    </row>
    <row r="64" spans="1:5" x14ac:dyDescent="0.25">
      <c r="A64" s="109">
        <v>56</v>
      </c>
      <c r="B64" s="109">
        <v>168</v>
      </c>
      <c r="C64" s="109">
        <v>250</v>
      </c>
      <c r="D64" s="109">
        <v>172</v>
      </c>
      <c r="E64" s="109">
        <v>249</v>
      </c>
    </row>
    <row r="65" spans="1:5" x14ac:dyDescent="0.25">
      <c r="A65" s="109">
        <v>57</v>
      </c>
      <c r="B65" s="109">
        <v>169</v>
      </c>
      <c r="C65" s="109">
        <v>252</v>
      </c>
      <c r="D65" s="109">
        <v>173</v>
      </c>
      <c r="E65" s="109">
        <v>251</v>
      </c>
    </row>
    <row r="66" spans="1:5" x14ac:dyDescent="0.25">
      <c r="A66" s="109">
        <v>58</v>
      </c>
      <c r="B66" s="109">
        <v>170</v>
      </c>
      <c r="C66" s="109">
        <v>253</v>
      </c>
      <c r="D66" s="109">
        <v>174</v>
      </c>
      <c r="E66" s="109">
        <v>252</v>
      </c>
    </row>
    <row r="67" spans="1:5" x14ac:dyDescent="0.25">
      <c r="A67" s="109">
        <v>59</v>
      </c>
      <c r="B67" s="109">
        <v>171</v>
      </c>
      <c r="C67" s="109">
        <v>254</v>
      </c>
      <c r="D67" s="109">
        <v>175</v>
      </c>
      <c r="E67" s="109">
        <v>253</v>
      </c>
    </row>
    <row r="68" spans="1:5" x14ac:dyDescent="0.25">
      <c r="A68" s="109">
        <v>60</v>
      </c>
      <c r="B68" s="109">
        <v>172</v>
      </c>
      <c r="C68" s="109">
        <v>255</v>
      </c>
      <c r="D68" s="109">
        <v>176</v>
      </c>
      <c r="E68" s="109">
        <v>254</v>
      </c>
    </row>
    <row r="69" spans="1:5" x14ac:dyDescent="0.25">
      <c r="A69" s="109">
        <v>61</v>
      </c>
      <c r="B69" s="109">
        <v>173</v>
      </c>
      <c r="C69" s="109">
        <v>257</v>
      </c>
      <c r="D69" s="109">
        <v>177</v>
      </c>
      <c r="E69" s="109">
        <v>256</v>
      </c>
    </row>
    <row r="70" spans="1:5" x14ac:dyDescent="0.25">
      <c r="A70" s="109">
        <v>62</v>
      </c>
      <c r="B70" s="109">
        <v>174</v>
      </c>
      <c r="C70" s="109">
        <v>258</v>
      </c>
      <c r="D70" s="109">
        <v>178</v>
      </c>
      <c r="E70" s="109">
        <v>257</v>
      </c>
    </row>
    <row r="71" spans="1:5" x14ac:dyDescent="0.25">
      <c r="A71" s="109">
        <v>63</v>
      </c>
      <c r="B71" s="109">
        <v>175</v>
      </c>
      <c r="C71" s="109">
        <v>259</v>
      </c>
      <c r="D71" s="109">
        <v>179</v>
      </c>
      <c r="E71" s="109">
        <v>258</v>
      </c>
    </row>
    <row r="72" spans="1:5" x14ac:dyDescent="0.25">
      <c r="A72" s="109">
        <v>64</v>
      </c>
      <c r="B72" s="109">
        <v>176</v>
      </c>
      <c r="C72" s="109">
        <v>260</v>
      </c>
      <c r="D72" s="109">
        <v>180</v>
      </c>
      <c r="E72" s="109">
        <v>259</v>
      </c>
    </row>
  </sheetData>
  <dataConsolidate/>
  <dataValidations count="1">
    <dataValidation type="whole" allowBlank="1" showInputMessage="1" showErrorMessage="1" errorTitle="Invalid Input" error="Please enter an integer value only." sqref="A9:E1048576" xr:uid="{2D2B40EF-3959-1546-B90E-585F3B0C8E8B}">
      <formula1>0</formula1>
      <formula2>1000000000000</formula2>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76482F-985E-464E-B5B5-11017A7C8165}">
  <sheetPr codeName="Sheet5"/>
  <dimension ref="A1:H16"/>
  <sheetViews>
    <sheetView zoomScale="130" zoomScaleNormal="130" workbookViewId="0">
      <selection activeCell="G21" sqref="G21"/>
    </sheetView>
  </sheetViews>
  <sheetFormatPr defaultColWidth="8.85546875" defaultRowHeight="15.75" x14ac:dyDescent="0.25"/>
  <cols>
    <col min="1" max="2" width="20.7109375" style="109" customWidth="1"/>
    <col min="3" max="3" width="15.7109375" style="121" customWidth="1"/>
    <col min="4" max="4" width="10.7109375" style="121" customWidth="1"/>
    <col min="5" max="5" width="15.7109375" style="121" customWidth="1"/>
    <col min="6" max="8" width="10.7109375" style="121" customWidth="1"/>
    <col min="9" max="16384" width="8.85546875" style="96"/>
  </cols>
  <sheetData>
    <row r="1" spans="1:8" x14ac:dyDescent="0.25">
      <c r="A1" s="111" t="s">
        <v>200</v>
      </c>
      <c r="B1" s="92"/>
      <c r="C1" s="116"/>
      <c r="D1" s="116"/>
      <c r="E1" s="116"/>
      <c r="F1" s="116"/>
      <c r="G1" s="116"/>
      <c r="H1" s="117"/>
    </row>
    <row r="2" spans="1:8" x14ac:dyDescent="0.25">
      <c r="A2" s="100" t="s">
        <v>248</v>
      </c>
      <c r="B2" s="118"/>
      <c r="C2" s="119"/>
      <c r="D2" s="119"/>
      <c r="E2" s="119"/>
      <c r="F2" s="119"/>
      <c r="G2" s="119"/>
      <c r="H2" s="120"/>
    </row>
    <row r="3" spans="1:8" x14ac:dyDescent="0.25">
      <c r="A3" s="100" t="s">
        <v>249</v>
      </c>
      <c r="B3" s="118"/>
      <c r="C3" s="119"/>
      <c r="D3" s="119"/>
      <c r="E3" s="119"/>
      <c r="F3" s="119"/>
      <c r="G3" s="119"/>
      <c r="H3" s="120"/>
    </row>
    <row r="4" spans="1:8" x14ac:dyDescent="0.25">
      <c r="A4" s="100" t="s">
        <v>234</v>
      </c>
      <c r="B4" s="118"/>
      <c r="C4" s="119"/>
      <c r="D4" s="119"/>
      <c r="E4" s="119"/>
      <c r="F4" s="119"/>
      <c r="G4" s="119"/>
      <c r="H4" s="120"/>
    </row>
    <row r="5" spans="1:8" x14ac:dyDescent="0.25">
      <c r="A5" s="100" t="s">
        <v>233</v>
      </c>
      <c r="B5" s="118"/>
      <c r="C5" s="119"/>
      <c r="D5" s="119"/>
      <c r="E5" s="119"/>
      <c r="F5" s="119"/>
      <c r="G5" s="119"/>
      <c r="H5" s="120"/>
    </row>
    <row r="6" spans="1:8" x14ac:dyDescent="0.25">
      <c r="A6" s="100" t="s">
        <v>235</v>
      </c>
      <c r="B6" s="118"/>
      <c r="C6" s="119"/>
      <c r="D6" s="119"/>
      <c r="E6" s="119"/>
      <c r="F6" s="119"/>
      <c r="G6" s="119"/>
      <c r="H6" s="120"/>
    </row>
    <row r="7" spans="1:8" x14ac:dyDescent="0.25">
      <c r="A7" s="100" t="s">
        <v>253</v>
      </c>
      <c r="B7" s="118"/>
      <c r="C7" s="119"/>
      <c r="D7" s="119"/>
      <c r="E7" s="119"/>
      <c r="F7" s="119"/>
      <c r="G7" s="119"/>
      <c r="H7" s="120"/>
    </row>
    <row r="8" spans="1:8" x14ac:dyDescent="0.25">
      <c r="A8" s="100" t="s">
        <v>236</v>
      </c>
      <c r="B8" s="118"/>
      <c r="C8" s="119"/>
      <c r="D8" s="119"/>
      <c r="E8" s="119"/>
      <c r="F8" s="119"/>
      <c r="G8" s="119"/>
      <c r="H8" s="120"/>
    </row>
    <row r="9" spans="1:8" x14ac:dyDescent="0.25">
      <c r="A9" s="100" t="s">
        <v>237</v>
      </c>
      <c r="B9" s="118"/>
      <c r="C9" s="119"/>
      <c r="D9" s="119"/>
      <c r="E9" s="119"/>
      <c r="F9" s="119"/>
      <c r="G9" s="119"/>
      <c r="H9" s="120"/>
    </row>
    <row r="10" spans="1:8" x14ac:dyDescent="0.25">
      <c r="A10" s="101" t="s">
        <v>238</v>
      </c>
      <c r="B10" s="118"/>
      <c r="C10" s="119"/>
      <c r="D10" s="119"/>
      <c r="E10" s="119"/>
      <c r="F10" s="119"/>
      <c r="G10" s="119"/>
      <c r="H10" s="120"/>
    </row>
    <row r="11" spans="1:8" x14ac:dyDescent="0.25">
      <c r="A11" s="102" t="s">
        <v>261</v>
      </c>
      <c r="B11" s="103"/>
      <c r="C11" s="104"/>
      <c r="D11" s="104"/>
      <c r="E11" s="104"/>
      <c r="F11" s="104"/>
      <c r="G11" s="104"/>
      <c r="H11" s="105"/>
    </row>
    <row r="12" spans="1:8" x14ac:dyDescent="0.25">
      <c r="A12" s="107"/>
      <c r="B12" s="59"/>
      <c r="C12" s="110"/>
      <c r="D12" s="110"/>
      <c r="E12" s="110"/>
      <c r="F12" s="110"/>
      <c r="G12" s="110"/>
      <c r="H12" s="110"/>
    </row>
    <row r="13" spans="1:8" s="57" customFormat="1" x14ac:dyDescent="0.25">
      <c r="A13" s="86" t="s">
        <v>10</v>
      </c>
      <c r="B13" s="86" t="s">
        <v>8</v>
      </c>
      <c r="C13" s="86" t="s">
        <v>14</v>
      </c>
      <c r="D13" s="86" t="s">
        <v>15</v>
      </c>
      <c r="E13" s="86" t="s">
        <v>1</v>
      </c>
      <c r="F13" s="86" t="s">
        <v>11</v>
      </c>
      <c r="G13" s="86" t="s">
        <v>12</v>
      </c>
      <c r="H13" s="86" t="s">
        <v>13</v>
      </c>
    </row>
    <row r="14" spans="1:8" x14ac:dyDescent="0.25">
      <c r="A14" s="109" t="s">
        <v>16</v>
      </c>
      <c r="B14" s="109" t="s">
        <v>2</v>
      </c>
      <c r="C14" s="121">
        <f>4700*SQRT(F14)</f>
        <v>25742.960202742808</v>
      </c>
      <c r="D14" s="121">
        <v>0.2</v>
      </c>
      <c r="E14" s="122">
        <v>23.6</v>
      </c>
      <c r="F14" s="121">
        <f>30</f>
        <v>30</v>
      </c>
      <c r="G14" s="121">
        <v>0</v>
      </c>
      <c r="H14" s="121">
        <v>0</v>
      </c>
    </row>
    <row r="15" spans="1:8" x14ac:dyDescent="0.25">
      <c r="A15" s="109" t="s">
        <v>17</v>
      </c>
      <c r="B15" s="109" t="s">
        <v>3</v>
      </c>
      <c r="C15" s="121">
        <f>200000</f>
        <v>200000</v>
      </c>
      <c r="D15" s="121">
        <v>0.3</v>
      </c>
      <c r="E15" s="121">
        <f>7850*9.80665/1000</f>
        <v>76.9822025</v>
      </c>
      <c r="F15" s="121">
        <v>0</v>
      </c>
      <c r="G15" s="121">
        <f>420</f>
        <v>420</v>
      </c>
      <c r="H15" s="121">
        <f>525</f>
        <v>525</v>
      </c>
    </row>
    <row r="16" spans="1:8" x14ac:dyDescent="0.25">
      <c r="C16" s="123"/>
    </row>
  </sheetData>
  <conditionalFormatting sqref="F14:F1048576">
    <cfRule type="expression" dxfId="2" priority="3">
      <formula>OR(B14="Rebar",B14="Steel")</formula>
    </cfRule>
  </conditionalFormatting>
  <conditionalFormatting sqref="G14:G1048576">
    <cfRule type="expression" dxfId="1" priority="2">
      <formula>OR(B14="Concrete")</formula>
    </cfRule>
  </conditionalFormatting>
  <conditionalFormatting sqref="H14:H1048576">
    <cfRule type="expression" dxfId="0" priority="1">
      <formula>OR(B14="Concrete")</formula>
    </cfRule>
  </conditionalFormatting>
  <dataValidations xWindow="1021" yWindow="300" count="5">
    <dataValidation type="custom" allowBlank="1" showInputMessage="1" showErrorMessage="1" errorTitle="Invalid Input" error="Please enter a text/string value only." sqref="A14:A1048576" xr:uid="{131760B7-786E-3D4C-B392-BB100595E619}">
      <formula1>ISTEXT(A14)</formula1>
    </dataValidation>
    <dataValidation type="list" allowBlank="1" showInputMessage="1" showErrorMessage="1" errorTitle="Invalid Input" error="Choose from the list" sqref="B14:B1048576" xr:uid="{FF5910DB-B386-D14E-959D-0FD1DC758343}">
      <formula1>Mat_Type</formula1>
    </dataValidation>
    <dataValidation type="decimal" allowBlank="1" showInputMessage="1" showErrorMessage="1" errorTitle="Invalid Input" error="Please enter a float value only." sqref="E14:H1048576" xr:uid="{FCAF7430-218B-6845-83DC-1DDC9A5D41A0}">
      <formula1>0</formula1>
      <formula2>1000000000000</formula2>
    </dataValidation>
    <dataValidation type="decimal" allowBlank="1" showInputMessage="1" showErrorMessage="1" errorTitle="Invalid Input" error="Please enter a float value only." sqref="C14:C1048576" xr:uid="{F67B0216-6C94-B948-AE14-7F3F8C9F4DF2}">
      <formula1>0</formula1>
      <formula2>1E+24</formula2>
    </dataValidation>
    <dataValidation type="decimal" allowBlank="1" showInputMessage="1" showErrorMessage="1" errorTitle="Invalid Input" error="Please enter a float value only." sqref="D14:D1048576" xr:uid="{BD4C0C6F-D816-7045-89A7-657CA43D41CD}">
      <formula1>0</formula1>
      <formula2>1</formula2>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CF3178-573B-43CA-BCAC-10B0D24D8568}">
  <sheetPr codeName="Sheet6"/>
  <dimension ref="A1:K1013"/>
  <sheetViews>
    <sheetView zoomScale="130" zoomScaleNormal="130" workbookViewId="0">
      <selection activeCell="G20" sqref="G20"/>
    </sheetView>
  </sheetViews>
  <sheetFormatPr defaultColWidth="8.85546875" defaultRowHeight="15.75" x14ac:dyDescent="0.25"/>
  <cols>
    <col min="1" max="2" width="20.7109375" style="109" customWidth="1"/>
    <col min="3" max="3" width="20.7109375" style="130" customWidth="1"/>
    <col min="4" max="4" width="20.7109375" style="118" customWidth="1"/>
    <col min="5" max="5" width="10.7109375" style="121" customWidth="1"/>
    <col min="6" max="7" width="10.7109375" style="131" customWidth="1"/>
    <col min="8" max="8" width="10.7109375" style="121" customWidth="1"/>
    <col min="9" max="9" width="10.7109375" style="131" customWidth="1"/>
    <col min="10" max="10" width="10.7109375" style="121" customWidth="1"/>
    <col min="11" max="16384" width="8.85546875" style="96"/>
  </cols>
  <sheetData>
    <row r="1" spans="1:11" x14ac:dyDescent="0.25">
      <c r="A1" s="69" t="s">
        <v>200</v>
      </c>
      <c r="B1" s="92"/>
      <c r="C1" s="92"/>
      <c r="D1" s="92"/>
      <c r="E1" s="116"/>
      <c r="F1" s="124"/>
      <c r="G1" s="124"/>
      <c r="H1" s="116"/>
      <c r="I1" s="124"/>
      <c r="J1" s="116"/>
      <c r="K1" s="94"/>
    </row>
    <row r="2" spans="1:11" x14ac:dyDescent="0.25">
      <c r="A2" s="100" t="s">
        <v>250</v>
      </c>
      <c r="B2" s="97"/>
      <c r="C2" s="97"/>
      <c r="D2" s="97"/>
      <c r="E2" s="125"/>
      <c r="F2" s="126"/>
      <c r="G2" s="126"/>
      <c r="H2" s="125"/>
      <c r="I2" s="126"/>
      <c r="J2" s="125"/>
      <c r="K2" s="99"/>
    </row>
    <row r="3" spans="1:11" x14ac:dyDescent="0.25">
      <c r="A3" s="100" t="s">
        <v>251</v>
      </c>
      <c r="B3" s="97"/>
      <c r="C3" s="97"/>
      <c r="D3" s="97"/>
      <c r="E3" s="125"/>
      <c r="F3" s="126"/>
      <c r="G3" s="126"/>
      <c r="H3" s="125"/>
      <c r="I3" s="126"/>
      <c r="J3" s="125"/>
      <c r="K3" s="99"/>
    </row>
    <row r="4" spans="1:11" x14ac:dyDescent="0.25">
      <c r="A4" s="100" t="s">
        <v>286</v>
      </c>
      <c r="B4" s="97"/>
      <c r="C4" s="97"/>
      <c r="D4" s="97"/>
      <c r="E4" s="125"/>
      <c r="F4" s="126"/>
      <c r="G4" s="126"/>
      <c r="H4" s="125"/>
      <c r="I4" s="126"/>
      <c r="J4" s="125"/>
      <c r="K4" s="99"/>
    </row>
    <row r="5" spans="1:11" x14ac:dyDescent="0.25">
      <c r="A5" s="100" t="s">
        <v>252</v>
      </c>
      <c r="B5" s="97"/>
      <c r="C5" s="97"/>
      <c r="D5" s="97"/>
      <c r="E5" s="125"/>
      <c r="F5" s="126"/>
      <c r="G5" s="126"/>
      <c r="H5" s="125"/>
      <c r="I5" s="126"/>
      <c r="J5" s="125"/>
      <c r="K5" s="99"/>
    </row>
    <row r="6" spans="1:11" x14ac:dyDescent="0.25">
      <c r="A6" s="100" t="s">
        <v>254</v>
      </c>
      <c r="B6" s="97"/>
      <c r="C6" s="97"/>
      <c r="D6" s="97"/>
      <c r="E6" s="125"/>
      <c r="F6" s="126"/>
      <c r="G6" s="126"/>
      <c r="H6" s="125"/>
      <c r="I6" s="126"/>
      <c r="J6" s="125"/>
      <c r="K6" s="99"/>
    </row>
    <row r="7" spans="1:11" x14ac:dyDescent="0.25">
      <c r="A7" s="100" t="s">
        <v>255</v>
      </c>
      <c r="B7" s="97"/>
      <c r="C7" s="97"/>
      <c r="D7" s="97"/>
      <c r="E7" s="125"/>
      <c r="F7" s="126"/>
      <c r="G7" s="126"/>
      <c r="H7" s="125"/>
      <c r="I7" s="126"/>
      <c r="J7" s="125"/>
      <c r="K7" s="99"/>
    </row>
    <row r="8" spans="1:11" x14ac:dyDescent="0.25">
      <c r="A8" s="100" t="s">
        <v>256</v>
      </c>
      <c r="B8" s="97"/>
      <c r="C8" s="97"/>
      <c r="D8" s="97"/>
      <c r="E8" s="125"/>
      <c r="F8" s="126"/>
      <c r="G8" s="126"/>
      <c r="H8" s="125"/>
      <c r="I8" s="126"/>
      <c r="J8" s="125"/>
      <c r="K8" s="99"/>
    </row>
    <row r="9" spans="1:11" x14ac:dyDescent="0.25">
      <c r="A9" s="100" t="s">
        <v>257</v>
      </c>
      <c r="B9" s="97"/>
      <c r="C9" s="97"/>
      <c r="D9" s="97"/>
      <c r="E9" s="125"/>
      <c r="F9" s="126"/>
      <c r="G9" s="126"/>
      <c r="H9" s="125"/>
      <c r="I9" s="126"/>
      <c r="J9" s="125"/>
      <c r="K9" s="99"/>
    </row>
    <row r="10" spans="1:11" x14ac:dyDescent="0.25">
      <c r="A10" s="100" t="s">
        <v>262</v>
      </c>
      <c r="B10" s="97"/>
      <c r="C10" s="97"/>
      <c r="D10" s="97"/>
      <c r="E10" s="125"/>
      <c r="F10" s="126"/>
      <c r="G10" s="126"/>
      <c r="H10" s="125"/>
      <c r="I10" s="126"/>
      <c r="J10" s="125"/>
      <c r="K10" s="99"/>
    </row>
    <row r="11" spans="1:11" x14ac:dyDescent="0.25">
      <c r="A11" s="127" t="s">
        <v>258</v>
      </c>
      <c r="B11" s="103"/>
      <c r="C11" s="103"/>
      <c r="D11" s="103"/>
      <c r="E11" s="104"/>
      <c r="F11" s="128"/>
      <c r="G11" s="128"/>
      <c r="H11" s="104"/>
      <c r="I11" s="128"/>
      <c r="J11" s="104"/>
      <c r="K11" s="115"/>
    </row>
    <row r="12" spans="1:11" x14ac:dyDescent="0.25">
      <c r="A12" s="107"/>
      <c r="B12" s="59"/>
      <c r="C12" s="59"/>
      <c r="D12" s="59"/>
      <c r="E12" s="110"/>
      <c r="F12" s="129"/>
      <c r="G12" s="129"/>
      <c r="H12" s="110"/>
      <c r="I12" s="129"/>
      <c r="J12" s="110"/>
    </row>
    <row r="13" spans="1:11" s="57" customFormat="1" x14ac:dyDescent="0.25">
      <c r="A13" s="86" t="s">
        <v>10</v>
      </c>
      <c r="B13" s="86" t="s">
        <v>18</v>
      </c>
      <c r="C13" s="86" t="s">
        <v>8</v>
      </c>
      <c r="D13" s="86" t="s">
        <v>19</v>
      </c>
      <c r="E13" s="86" t="s">
        <v>11</v>
      </c>
      <c r="F13" s="86" t="s">
        <v>20</v>
      </c>
      <c r="G13" s="86" t="s">
        <v>21</v>
      </c>
      <c r="H13" s="86" t="s">
        <v>22</v>
      </c>
      <c r="I13" s="86" t="s">
        <v>23</v>
      </c>
      <c r="J13" s="86" t="s">
        <v>24</v>
      </c>
    </row>
    <row r="14" spans="1:11" x14ac:dyDescent="0.25">
      <c r="A14" s="109" t="s">
        <v>25</v>
      </c>
      <c r="B14" s="109" t="s">
        <v>16</v>
      </c>
      <c r="C14" s="130" t="str">
        <f t="shared" ref="C14:C77" si="0">IF(A14=0,"",VLOOKUP(B14,MatDB,2,FALSE))</f>
        <v>Concrete</v>
      </c>
      <c r="D14" s="118" t="str">
        <f>IF(A14=0,"","Concrete04")</f>
        <v>Concrete04</v>
      </c>
      <c r="E14" s="121">
        <f>30</f>
        <v>30</v>
      </c>
      <c r="F14" s="131">
        <v>2E-3</v>
      </c>
      <c r="G14" s="131">
        <v>5.0000000000000001E-3</v>
      </c>
      <c r="H14" s="121">
        <f>0.62*SQRT(E14)</f>
        <v>3.3958798565320301</v>
      </c>
      <c r="I14" s="131">
        <v>0</v>
      </c>
      <c r="J14" s="121">
        <v>0.2</v>
      </c>
    </row>
    <row r="15" spans="1:11" x14ac:dyDescent="0.25">
      <c r="A15" s="109" t="s">
        <v>26</v>
      </c>
      <c r="B15" s="109" t="s">
        <v>16</v>
      </c>
      <c r="C15" s="130" t="str">
        <f t="shared" si="0"/>
        <v>Concrete</v>
      </c>
      <c r="D15" s="118" t="str">
        <f t="shared" ref="D15:D78" si="1">IF(A15=0,"","Concrete04")</f>
        <v>Concrete04</v>
      </c>
      <c r="E15" s="121">
        <f>47.2156312521873</f>
        <v>47.215631252187301</v>
      </c>
      <c r="F15" s="131">
        <v>7.7385437507291001E-3</v>
      </c>
      <c r="G15" s="131">
        <v>2.2428475272193799E-2</v>
      </c>
      <c r="H15" s="121">
        <f>0.62*SQRT(E14)</f>
        <v>3.3958798565320301</v>
      </c>
      <c r="I15" s="131">
        <v>0</v>
      </c>
      <c r="J15" s="121">
        <v>0.2</v>
      </c>
    </row>
    <row r="16" spans="1:11" x14ac:dyDescent="0.25">
      <c r="C16" s="130" t="str">
        <f t="shared" si="0"/>
        <v/>
      </c>
      <c r="D16" s="118" t="str">
        <f t="shared" si="1"/>
        <v/>
      </c>
    </row>
    <row r="17" spans="3:4" x14ac:dyDescent="0.25">
      <c r="C17" s="130" t="str">
        <f t="shared" si="0"/>
        <v/>
      </c>
      <c r="D17" s="118" t="str">
        <f t="shared" si="1"/>
        <v/>
      </c>
    </row>
    <row r="18" spans="3:4" x14ac:dyDescent="0.25">
      <c r="C18" s="130" t="str">
        <f t="shared" si="0"/>
        <v/>
      </c>
      <c r="D18" s="118" t="str">
        <f t="shared" si="1"/>
        <v/>
      </c>
    </row>
    <row r="19" spans="3:4" x14ac:dyDescent="0.25">
      <c r="C19" s="130" t="str">
        <f t="shared" si="0"/>
        <v/>
      </c>
      <c r="D19" s="118" t="str">
        <f t="shared" si="1"/>
        <v/>
      </c>
    </row>
    <row r="20" spans="3:4" x14ac:dyDescent="0.25">
      <c r="C20" s="130" t="str">
        <f t="shared" si="0"/>
        <v/>
      </c>
      <c r="D20" s="118" t="str">
        <f t="shared" si="1"/>
        <v/>
      </c>
    </row>
    <row r="21" spans="3:4" x14ac:dyDescent="0.25">
      <c r="C21" s="130" t="str">
        <f t="shared" si="0"/>
        <v/>
      </c>
      <c r="D21" s="118" t="str">
        <f t="shared" si="1"/>
        <v/>
      </c>
    </row>
    <row r="22" spans="3:4" x14ac:dyDescent="0.25">
      <c r="C22" s="130" t="str">
        <f t="shared" si="0"/>
        <v/>
      </c>
      <c r="D22" s="118" t="str">
        <f t="shared" si="1"/>
        <v/>
      </c>
    </row>
    <row r="23" spans="3:4" x14ac:dyDescent="0.25">
      <c r="C23" s="130" t="str">
        <f t="shared" si="0"/>
        <v/>
      </c>
      <c r="D23" s="118" t="str">
        <f t="shared" si="1"/>
        <v/>
      </c>
    </row>
    <row r="24" spans="3:4" x14ac:dyDescent="0.25">
      <c r="C24" s="130" t="str">
        <f t="shared" si="0"/>
        <v/>
      </c>
      <c r="D24" s="118" t="str">
        <f t="shared" si="1"/>
        <v/>
      </c>
    </row>
    <row r="25" spans="3:4" x14ac:dyDescent="0.25">
      <c r="C25" s="130" t="str">
        <f t="shared" si="0"/>
        <v/>
      </c>
      <c r="D25" s="118" t="str">
        <f t="shared" si="1"/>
        <v/>
      </c>
    </row>
    <row r="26" spans="3:4" x14ac:dyDescent="0.25">
      <c r="C26" s="130" t="str">
        <f t="shared" si="0"/>
        <v/>
      </c>
      <c r="D26" s="118" t="str">
        <f t="shared" si="1"/>
        <v/>
      </c>
    </row>
    <row r="27" spans="3:4" x14ac:dyDescent="0.25">
      <c r="C27" s="130" t="str">
        <f t="shared" si="0"/>
        <v/>
      </c>
      <c r="D27" s="118" t="str">
        <f t="shared" si="1"/>
        <v/>
      </c>
    </row>
    <row r="28" spans="3:4" x14ac:dyDescent="0.25">
      <c r="C28" s="130" t="str">
        <f t="shared" si="0"/>
        <v/>
      </c>
      <c r="D28" s="118" t="str">
        <f t="shared" si="1"/>
        <v/>
      </c>
    </row>
    <row r="29" spans="3:4" x14ac:dyDescent="0.25">
      <c r="C29" s="130" t="str">
        <f t="shared" si="0"/>
        <v/>
      </c>
      <c r="D29" s="118" t="str">
        <f t="shared" si="1"/>
        <v/>
      </c>
    </row>
    <row r="30" spans="3:4" x14ac:dyDescent="0.25">
      <c r="C30" s="130" t="str">
        <f t="shared" si="0"/>
        <v/>
      </c>
      <c r="D30" s="118" t="str">
        <f t="shared" si="1"/>
        <v/>
      </c>
    </row>
    <row r="31" spans="3:4" x14ac:dyDescent="0.25">
      <c r="C31" s="130" t="str">
        <f t="shared" si="0"/>
        <v/>
      </c>
      <c r="D31" s="118" t="str">
        <f t="shared" si="1"/>
        <v/>
      </c>
    </row>
    <row r="32" spans="3:4" x14ac:dyDescent="0.25">
      <c r="C32" s="130" t="str">
        <f t="shared" si="0"/>
        <v/>
      </c>
      <c r="D32" s="118" t="str">
        <f t="shared" si="1"/>
        <v/>
      </c>
    </row>
    <row r="33" spans="3:4" x14ac:dyDescent="0.25">
      <c r="C33" s="130" t="str">
        <f t="shared" si="0"/>
        <v/>
      </c>
      <c r="D33" s="118" t="str">
        <f t="shared" si="1"/>
        <v/>
      </c>
    </row>
    <row r="34" spans="3:4" x14ac:dyDescent="0.25">
      <c r="C34" s="130" t="str">
        <f t="shared" si="0"/>
        <v/>
      </c>
      <c r="D34" s="118" t="str">
        <f t="shared" si="1"/>
        <v/>
      </c>
    </row>
    <row r="35" spans="3:4" x14ac:dyDescent="0.25">
      <c r="C35" s="130" t="str">
        <f t="shared" si="0"/>
        <v/>
      </c>
      <c r="D35" s="118" t="str">
        <f t="shared" si="1"/>
        <v/>
      </c>
    </row>
    <row r="36" spans="3:4" x14ac:dyDescent="0.25">
      <c r="C36" s="130" t="str">
        <f t="shared" si="0"/>
        <v/>
      </c>
      <c r="D36" s="118" t="str">
        <f t="shared" si="1"/>
        <v/>
      </c>
    </row>
    <row r="37" spans="3:4" x14ac:dyDescent="0.25">
      <c r="C37" s="130" t="str">
        <f t="shared" si="0"/>
        <v/>
      </c>
      <c r="D37" s="118" t="str">
        <f t="shared" si="1"/>
        <v/>
      </c>
    </row>
    <row r="38" spans="3:4" x14ac:dyDescent="0.25">
      <c r="C38" s="130" t="str">
        <f t="shared" si="0"/>
        <v/>
      </c>
      <c r="D38" s="118" t="str">
        <f t="shared" si="1"/>
        <v/>
      </c>
    </row>
    <row r="39" spans="3:4" x14ac:dyDescent="0.25">
      <c r="C39" s="130" t="str">
        <f t="shared" si="0"/>
        <v/>
      </c>
      <c r="D39" s="118" t="str">
        <f t="shared" si="1"/>
        <v/>
      </c>
    </row>
    <row r="40" spans="3:4" x14ac:dyDescent="0.25">
      <c r="C40" s="130" t="str">
        <f t="shared" si="0"/>
        <v/>
      </c>
      <c r="D40" s="118" t="str">
        <f t="shared" si="1"/>
        <v/>
      </c>
    </row>
    <row r="41" spans="3:4" x14ac:dyDescent="0.25">
      <c r="C41" s="130" t="str">
        <f t="shared" si="0"/>
        <v/>
      </c>
      <c r="D41" s="118" t="str">
        <f t="shared" si="1"/>
        <v/>
      </c>
    </row>
    <row r="42" spans="3:4" x14ac:dyDescent="0.25">
      <c r="C42" s="130" t="str">
        <f t="shared" si="0"/>
        <v/>
      </c>
      <c r="D42" s="118" t="str">
        <f t="shared" si="1"/>
        <v/>
      </c>
    </row>
    <row r="43" spans="3:4" x14ac:dyDescent="0.25">
      <c r="C43" s="130" t="str">
        <f t="shared" si="0"/>
        <v/>
      </c>
      <c r="D43" s="118" t="str">
        <f t="shared" si="1"/>
        <v/>
      </c>
    </row>
    <row r="44" spans="3:4" x14ac:dyDescent="0.25">
      <c r="C44" s="130" t="str">
        <f t="shared" si="0"/>
        <v/>
      </c>
      <c r="D44" s="118" t="str">
        <f t="shared" si="1"/>
        <v/>
      </c>
    </row>
    <row r="45" spans="3:4" x14ac:dyDescent="0.25">
      <c r="C45" s="130" t="str">
        <f t="shared" si="0"/>
        <v/>
      </c>
      <c r="D45" s="118" t="str">
        <f t="shared" si="1"/>
        <v/>
      </c>
    </row>
    <row r="46" spans="3:4" x14ac:dyDescent="0.25">
      <c r="C46" s="130" t="str">
        <f t="shared" si="0"/>
        <v/>
      </c>
      <c r="D46" s="118" t="str">
        <f t="shared" si="1"/>
        <v/>
      </c>
    </row>
    <row r="47" spans="3:4" x14ac:dyDescent="0.25">
      <c r="C47" s="130" t="str">
        <f t="shared" si="0"/>
        <v/>
      </c>
      <c r="D47" s="118" t="str">
        <f t="shared" si="1"/>
        <v/>
      </c>
    </row>
    <row r="48" spans="3:4" x14ac:dyDescent="0.25">
      <c r="C48" s="130" t="str">
        <f t="shared" si="0"/>
        <v/>
      </c>
      <c r="D48" s="118" t="str">
        <f t="shared" si="1"/>
        <v/>
      </c>
    </row>
    <row r="49" spans="3:4" x14ac:dyDescent="0.25">
      <c r="C49" s="130" t="str">
        <f t="shared" si="0"/>
        <v/>
      </c>
      <c r="D49" s="118" t="str">
        <f t="shared" si="1"/>
        <v/>
      </c>
    </row>
    <row r="50" spans="3:4" x14ac:dyDescent="0.25">
      <c r="C50" s="130" t="str">
        <f t="shared" si="0"/>
        <v/>
      </c>
      <c r="D50" s="118" t="str">
        <f t="shared" si="1"/>
        <v/>
      </c>
    </row>
    <row r="51" spans="3:4" x14ac:dyDescent="0.25">
      <c r="C51" s="130" t="str">
        <f t="shared" si="0"/>
        <v/>
      </c>
      <c r="D51" s="118" t="str">
        <f t="shared" si="1"/>
        <v/>
      </c>
    </row>
    <row r="52" spans="3:4" x14ac:dyDescent="0.25">
      <c r="C52" s="130" t="str">
        <f t="shared" si="0"/>
        <v/>
      </c>
      <c r="D52" s="118" t="str">
        <f t="shared" si="1"/>
        <v/>
      </c>
    </row>
    <row r="53" spans="3:4" x14ac:dyDescent="0.25">
      <c r="C53" s="130" t="str">
        <f t="shared" si="0"/>
        <v/>
      </c>
      <c r="D53" s="118" t="str">
        <f t="shared" si="1"/>
        <v/>
      </c>
    </row>
    <row r="54" spans="3:4" x14ac:dyDescent="0.25">
      <c r="C54" s="130" t="str">
        <f t="shared" si="0"/>
        <v/>
      </c>
      <c r="D54" s="118" t="str">
        <f t="shared" si="1"/>
        <v/>
      </c>
    </row>
    <row r="55" spans="3:4" x14ac:dyDescent="0.25">
      <c r="C55" s="130" t="str">
        <f t="shared" si="0"/>
        <v/>
      </c>
      <c r="D55" s="118" t="str">
        <f t="shared" si="1"/>
        <v/>
      </c>
    </row>
    <row r="56" spans="3:4" x14ac:dyDescent="0.25">
      <c r="C56" s="130" t="str">
        <f t="shared" si="0"/>
        <v/>
      </c>
      <c r="D56" s="118" t="str">
        <f t="shared" si="1"/>
        <v/>
      </c>
    </row>
    <row r="57" spans="3:4" x14ac:dyDescent="0.25">
      <c r="C57" s="130" t="str">
        <f t="shared" si="0"/>
        <v/>
      </c>
      <c r="D57" s="118" t="str">
        <f t="shared" si="1"/>
        <v/>
      </c>
    </row>
    <row r="58" spans="3:4" x14ac:dyDescent="0.25">
      <c r="C58" s="130" t="str">
        <f t="shared" si="0"/>
        <v/>
      </c>
      <c r="D58" s="118" t="str">
        <f t="shared" si="1"/>
        <v/>
      </c>
    </row>
    <row r="59" spans="3:4" x14ac:dyDescent="0.25">
      <c r="C59" s="130" t="str">
        <f t="shared" si="0"/>
        <v/>
      </c>
      <c r="D59" s="118" t="str">
        <f t="shared" si="1"/>
        <v/>
      </c>
    </row>
    <row r="60" spans="3:4" x14ac:dyDescent="0.25">
      <c r="C60" s="130" t="str">
        <f t="shared" si="0"/>
        <v/>
      </c>
      <c r="D60" s="118" t="str">
        <f t="shared" si="1"/>
        <v/>
      </c>
    </row>
    <row r="61" spans="3:4" x14ac:dyDescent="0.25">
      <c r="C61" s="130" t="str">
        <f t="shared" si="0"/>
        <v/>
      </c>
      <c r="D61" s="118" t="str">
        <f t="shared" si="1"/>
        <v/>
      </c>
    </row>
    <row r="62" spans="3:4" x14ac:dyDescent="0.25">
      <c r="C62" s="130" t="str">
        <f t="shared" si="0"/>
        <v/>
      </c>
      <c r="D62" s="118" t="str">
        <f t="shared" si="1"/>
        <v/>
      </c>
    </row>
    <row r="63" spans="3:4" x14ac:dyDescent="0.25">
      <c r="C63" s="130" t="str">
        <f t="shared" si="0"/>
        <v/>
      </c>
      <c r="D63" s="118" t="str">
        <f t="shared" si="1"/>
        <v/>
      </c>
    </row>
    <row r="64" spans="3:4" x14ac:dyDescent="0.25">
      <c r="C64" s="130" t="str">
        <f t="shared" si="0"/>
        <v/>
      </c>
      <c r="D64" s="118" t="str">
        <f t="shared" si="1"/>
        <v/>
      </c>
    </row>
    <row r="65" spans="3:4" x14ac:dyDescent="0.25">
      <c r="C65" s="130" t="str">
        <f t="shared" si="0"/>
        <v/>
      </c>
      <c r="D65" s="118" t="str">
        <f t="shared" si="1"/>
        <v/>
      </c>
    </row>
    <row r="66" spans="3:4" x14ac:dyDescent="0.25">
      <c r="C66" s="130" t="str">
        <f t="shared" si="0"/>
        <v/>
      </c>
      <c r="D66" s="118" t="str">
        <f t="shared" si="1"/>
        <v/>
      </c>
    </row>
    <row r="67" spans="3:4" x14ac:dyDescent="0.25">
      <c r="C67" s="130" t="str">
        <f t="shared" si="0"/>
        <v/>
      </c>
      <c r="D67" s="118" t="str">
        <f t="shared" si="1"/>
        <v/>
      </c>
    </row>
    <row r="68" spans="3:4" x14ac:dyDescent="0.25">
      <c r="C68" s="130" t="str">
        <f t="shared" si="0"/>
        <v/>
      </c>
      <c r="D68" s="118" t="str">
        <f t="shared" si="1"/>
        <v/>
      </c>
    </row>
    <row r="69" spans="3:4" x14ac:dyDescent="0.25">
      <c r="C69" s="130" t="str">
        <f t="shared" si="0"/>
        <v/>
      </c>
      <c r="D69" s="118" t="str">
        <f t="shared" si="1"/>
        <v/>
      </c>
    </row>
    <row r="70" spans="3:4" x14ac:dyDescent="0.25">
      <c r="C70" s="130" t="str">
        <f t="shared" si="0"/>
        <v/>
      </c>
      <c r="D70" s="118" t="str">
        <f t="shared" si="1"/>
        <v/>
      </c>
    </row>
    <row r="71" spans="3:4" x14ac:dyDescent="0.25">
      <c r="C71" s="130" t="str">
        <f t="shared" si="0"/>
        <v/>
      </c>
      <c r="D71" s="118" t="str">
        <f t="shared" si="1"/>
        <v/>
      </c>
    </row>
    <row r="72" spans="3:4" x14ac:dyDescent="0.25">
      <c r="C72" s="130" t="str">
        <f t="shared" si="0"/>
        <v/>
      </c>
      <c r="D72" s="118" t="str">
        <f t="shared" si="1"/>
        <v/>
      </c>
    </row>
    <row r="73" spans="3:4" x14ac:dyDescent="0.25">
      <c r="C73" s="130" t="str">
        <f t="shared" si="0"/>
        <v/>
      </c>
      <c r="D73" s="118" t="str">
        <f t="shared" si="1"/>
        <v/>
      </c>
    </row>
    <row r="74" spans="3:4" x14ac:dyDescent="0.25">
      <c r="C74" s="130" t="str">
        <f t="shared" si="0"/>
        <v/>
      </c>
      <c r="D74" s="118" t="str">
        <f t="shared" si="1"/>
        <v/>
      </c>
    </row>
    <row r="75" spans="3:4" x14ac:dyDescent="0.25">
      <c r="C75" s="130" t="str">
        <f t="shared" si="0"/>
        <v/>
      </c>
      <c r="D75" s="118" t="str">
        <f t="shared" si="1"/>
        <v/>
      </c>
    </row>
    <row r="76" spans="3:4" x14ac:dyDescent="0.25">
      <c r="C76" s="130" t="str">
        <f t="shared" si="0"/>
        <v/>
      </c>
      <c r="D76" s="118" t="str">
        <f t="shared" si="1"/>
        <v/>
      </c>
    </row>
    <row r="77" spans="3:4" x14ac:dyDescent="0.25">
      <c r="C77" s="130" t="str">
        <f t="shared" si="0"/>
        <v/>
      </c>
      <c r="D77" s="118" t="str">
        <f t="shared" si="1"/>
        <v/>
      </c>
    </row>
    <row r="78" spans="3:4" x14ac:dyDescent="0.25">
      <c r="C78" s="130" t="str">
        <f t="shared" ref="C78:C141" si="2">IF(A78=0,"",VLOOKUP(B78,MatDB,2,FALSE))</f>
        <v/>
      </c>
      <c r="D78" s="118" t="str">
        <f t="shared" si="1"/>
        <v/>
      </c>
    </row>
    <row r="79" spans="3:4" x14ac:dyDescent="0.25">
      <c r="C79" s="130" t="str">
        <f t="shared" si="2"/>
        <v/>
      </c>
      <c r="D79" s="118" t="str">
        <f t="shared" ref="D79:D142" si="3">IF(A79=0,"","Concrete04")</f>
        <v/>
      </c>
    </row>
    <row r="80" spans="3:4" x14ac:dyDescent="0.25">
      <c r="C80" s="130" t="str">
        <f t="shared" si="2"/>
        <v/>
      </c>
      <c r="D80" s="118" t="str">
        <f t="shared" si="3"/>
        <v/>
      </c>
    </row>
    <row r="81" spans="3:4" x14ac:dyDescent="0.25">
      <c r="C81" s="130" t="str">
        <f t="shared" si="2"/>
        <v/>
      </c>
      <c r="D81" s="118" t="str">
        <f t="shared" si="3"/>
        <v/>
      </c>
    </row>
    <row r="82" spans="3:4" x14ac:dyDescent="0.25">
      <c r="C82" s="130" t="str">
        <f t="shared" si="2"/>
        <v/>
      </c>
      <c r="D82" s="118" t="str">
        <f t="shared" si="3"/>
        <v/>
      </c>
    </row>
    <row r="83" spans="3:4" x14ac:dyDescent="0.25">
      <c r="C83" s="130" t="str">
        <f t="shared" si="2"/>
        <v/>
      </c>
      <c r="D83" s="118" t="str">
        <f t="shared" si="3"/>
        <v/>
      </c>
    </row>
    <row r="84" spans="3:4" x14ac:dyDescent="0.25">
      <c r="C84" s="130" t="str">
        <f t="shared" si="2"/>
        <v/>
      </c>
      <c r="D84" s="118" t="str">
        <f t="shared" si="3"/>
        <v/>
      </c>
    </row>
    <row r="85" spans="3:4" x14ac:dyDescent="0.25">
      <c r="C85" s="130" t="str">
        <f t="shared" si="2"/>
        <v/>
      </c>
      <c r="D85" s="118" t="str">
        <f t="shared" si="3"/>
        <v/>
      </c>
    </row>
    <row r="86" spans="3:4" x14ac:dyDescent="0.25">
      <c r="C86" s="130" t="str">
        <f t="shared" si="2"/>
        <v/>
      </c>
      <c r="D86" s="118" t="str">
        <f t="shared" si="3"/>
        <v/>
      </c>
    </row>
    <row r="87" spans="3:4" x14ac:dyDescent="0.25">
      <c r="C87" s="130" t="str">
        <f t="shared" si="2"/>
        <v/>
      </c>
      <c r="D87" s="118" t="str">
        <f t="shared" si="3"/>
        <v/>
      </c>
    </row>
    <row r="88" spans="3:4" x14ac:dyDescent="0.25">
      <c r="C88" s="130" t="str">
        <f t="shared" si="2"/>
        <v/>
      </c>
      <c r="D88" s="118" t="str">
        <f t="shared" si="3"/>
        <v/>
      </c>
    </row>
    <row r="89" spans="3:4" x14ac:dyDescent="0.25">
      <c r="C89" s="130" t="str">
        <f t="shared" si="2"/>
        <v/>
      </c>
      <c r="D89" s="118" t="str">
        <f t="shared" si="3"/>
        <v/>
      </c>
    </row>
    <row r="90" spans="3:4" x14ac:dyDescent="0.25">
      <c r="C90" s="130" t="str">
        <f t="shared" si="2"/>
        <v/>
      </c>
      <c r="D90" s="118" t="str">
        <f t="shared" si="3"/>
        <v/>
      </c>
    </row>
    <row r="91" spans="3:4" x14ac:dyDescent="0.25">
      <c r="C91" s="130" t="str">
        <f t="shared" si="2"/>
        <v/>
      </c>
      <c r="D91" s="118" t="str">
        <f t="shared" si="3"/>
        <v/>
      </c>
    </row>
    <row r="92" spans="3:4" x14ac:dyDescent="0.25">
      <c r="C92" s="130" t="str">
        <f t="shared" si="2"/>
        <v/>
      </c>
      <c r="D92" s="118" t="str">
        <f t="shared" si="3"/>
        <v/>
      </c>
    </row>
    <row r="93" spans="3:4" x14ac:dyDescent="0.25">
      <c r="C93" s="130" t="str">
        <f t="shared" si="2"/>
        <v/>
      </c>
      <c r="D93" s="118" t="str">
        <f t="shared" si="3"/>
        <v/>
      </c>
    </row>
    <row r="94" spans="3:4" x14ac:dyDescent="0.25">
      <c r="C94" s="130" t="str">
        <f t="shared" si="2"/>
        <v/>
      </c>
      <c r="D94" s="118" t="str">
        <f t="shared" si="3"/>
        <v/>
      </c>
    </row>
    <row r="95" spans="3:4" x14ac:dyDescent="0.25">
      <c r="C95" s="130" t="str">
        <f t="shared" si="2"/>
        <v/>
      </c>
      <c r="D95" s="118" t="str">
        <f t="shared" si="3"/>
        <v/>
      </c>
    </row>
    <row r="96" spans="3:4" x14ac:dyDescent="0.25">
      <c r="C96" s="130" t="str">
        <f t="shared" si="2"/>
        <v/>
      </c>
      <c r="D96" s="118" t="str">
        <f t="shared" si="3"/>
        <v/>
      </c>
    </row>
    <row r="97" spans="3:4" x14ac:dyDescent="0.25">
      <c r="C97" s="130" t="str">
        <f t="shared" si="2"/>
        <v/>
      </c>
      <c r="D97" s="118" t="str">
        <f t="shared" si="3"/>
        <v/>
      </c>
    </row>
    <row r="98" spans="3:4" x14ac:dyDescent="0.25">
      <c r="C98" s="130" t="str">
        <f t="shared" si="2"/>
        <v/>
      </c>
      <c r="D98" s="118" t="str">
        <f t="shared" si="3"/>
        <v/>
      </c>
    </row>
    <row r="99" spans="3:4" x14ac:dyDescent="0.25">
      <c r="C99" s="130" t="str">
        <f t="shared" si="2"/>
        <v/>
      </c>
      <c r="D99" s="118" t="str">
        <f t="shared" si="3"/>
        <v/>
      </c>
    </row>
    <row r="100" spans="3:4" x14ac:dyDescent="0.25">
      <c r="C100" s="130" t="str">
        <f t="shared" si="2"/>
        <v/>
      </c>
      <c r="D100" s="118" t="str">
        <f t="shared" si="3"/>
        <v/>
      </c>
    </row>
    <row r="101" spans="3:4" x14ac:dyDescent="0.25">
      <c r="C101" s="130" t="str">
        <f t="shared" si="2"/>
        <v/>
      </c>
      <c r="D101" s="118" t="str">
        <f t="shared" si="3"/>
        <v/>
      </c>
    </row>
    <row r="102" spans="3:4" x14ac:dyDescent="0.25">
      <c r="C102" s="130" t="str">
        <f t="shared" si="2"/>
        <v/>
      </c>
      <c r="D102" s="118" t="str">
        <f t="shared" si="3"/>
        <v/>
      </c>
    </row>
    <row r="103" spans="3:4" x14ac:dyDescent="0.25">
      <c r="C103" s="130" t="str">
        <f t="shared" si="2"/>
        <v/>
      </c>
      <c r="D103" s="118" t="str">
        <f t="shared" si="3"/>
        <v/>
      </c>
    </row>
    <row r="104" spans="3:4" x14ac:dyDescent="0.25">
      <c r="C104" s="130" t="str">
        <f t="shared" si="2"/>
        <v/>
      </c>
      <c r="D104" s="118" t="str">
        <f t="shared" si="3"/>
        <v/>
      </c>
    </row>
    <row r="105" spans="3:4" x14ac:dyDescent="0.25">
      <c r="C105" s="130" t="str">
        <f t="shared" si="2"/>
        <v/>
      </c>
      <c r="D105" s="118" t="str">
        <f t="shared" si="3"/>
        <v/>
      </c>
    </row>
    <row r="106" spans="3:4" x14ac:dyDescent="0.25">
      <c r="C106" s="130" t="str">
        <f t="shared" si="2"/>
        <v/>
      </c>
      <c r="D106" s="118" t="str">
        <f t="shared" si="3"/>
        <v/>
      </c>
    </row>
    <row r="107" spans="3:4" x14ac:dyDescent="0.25">
      <c r="C107" s="130" t="str">
        <f t="shared" si="2"/>
        <v/>
      </c>
      <c r="D107" s="118" t="str">
        <f t="shared" si="3"/>
        <v/>
      </c>
    </row>
    <row r="108" spans="3:4" x14ac:dyDescent="0.25">
      <c r="C108" s="130" t="str">
        <f t="shared" si="2"/>
        <v/>
      </c>
      <c r="D108" s="118" t="str">
        <f t="shared" si="3"/>
        <v/>
      </c>
    </row>
    <row r="109" spans="3:4" x14ac:dyDescent="0.25">
      <c r="C109" s="130" t="str">
        <f t="shared" si="2"/>
        <v/>
      </c>
      <c r="D109" s="118" t="str">
        <f t="shared" si="3"/>
        <v/>
      </c>
    </row>
    <row r="110" spans="3:4" x14ac:dyDescent="0.25">
      <c r="C110" s="130" t="str">
        <f t="shared" si="2"/>
        <v/>
      </c>
      <c r="D110" s="118" t="str">
        <f t="shared" si="3"/>
        <v/>
      </c>
    </row>
    <row r="111" spans="3:4" x14ac:dyDescent="0.25">
      <c r="C111" s="130" t="str">
        <f t="shared" si="2"/>
        <v/>
      </c>
      <c r="D111" s="118" t="str">
        <f t="shared" si="3"/>
        <v/>
      </c>
    </row>
    <row r="112" spans="3:4" x14ac:dyDescent="0.25">
      <c r="C112" s="130" t="str">
        <f t="shared" si="2"/>
        <v/>
      </c>
      <c r="D112" s="118" t="str">
        <f t="shared" si="3"/>
        <v/>
      </c>
    </row>
    <row r="113" spans="3:4" x14ac:dyDescent="0.25">
      <c r="C113" s="130" t="str">
        <f t="shared" si="2"/>
        <v/>
      </c>
      <c r="D113" s="118" t="str">
        <f t="shared" si="3"/>
        <v/>
      </c>
    </row>
    <row r="114" spans="3:4" x14ac:dyDescent="0.25">
      <c r="C114" s="130" t="str">
        <f t="shared" si="2"/>
        <v/>
      </c>
      <c r="D114" s="118" t="str">
        <f t="shared" si="3"/>
        <v/>
      </c>
    </row>
    <row r="115" spans="3:4" x14ac:dyDescent="0.25">
      <c r="C115" s="130" t="str">
        <f t="shared" si="2"/>
        <v/>
      </c>
      <c r="D115" s="118" t="str">
        <f t="shared" si="3"/>
        <v/>
      </c>
    </row>
    <row r="116" spans="3:4" x14ac:dyDescent="0.25">
      <c r="C116" s="130" t="str">
        <f t="shared" si="2"/>
        <v/>
      </c>
      <c r="D116" s="118" t="str">
        <f t="shared" si="3"/>
        <v/>
      </c>
    </row>
    <row r="117" spans="3:4" x14ac:dyDescent="0.25">
      <c r="C117" s="130" t="str">
        <f t="shared" si="2"/>
        <v/>
      </c>
      <c r="D117" s="118" t="str">
        <f t="shared" si="3"/>
        <v/>
      </c>
    </row>
    <row r="118" spans="3:4" x14ac:dyDescent="0.25">
      <c r="C118" s="130" t="str">
        <f t="shared" si="2"/>
        <v/>
      </c>
      <c r="D118" s="118" t="str">
        <f t="shared" si="3"/>
        <v/>
      </c>
    </row>
    <row r="119" spans="3:4" x14ac:dyDescent="0.25">
      <c r="C119" s="130" t="str">
        <f t="shared" si="2"/>
        <v/>
      </c>
      <c r="D119" s="118" t="str">
        <f t="shared" si="3"/>
        <v/>
      </c>
    </row>
    <row r="120" spans="3:4" x14ac:dyDescent="0.25">
      <c r="C120" s="130" t="str">
        <f t="shared" si="2"/>
        <v/>
      </c>
      <c r="D120" s="118" t="str">
        <f t="shared" si="3"/>
        <v/>
      </c>
    </row>
    <row r="121" spans="3:4" x14ac:dyDescent="0.25">
      <c r="C121" s="130" t="str">
        <f t="shared" si="2"/>
        <v/>
      </c>
      <c r="D121" s="118" t="str">
        <f t="shared" si="3"/>
        <v/>
      </c>
    </row>
    <row r="122" spans="3:4" x14ac:dyDescent="0.25">
      <c r="C122" s="130" t="str">
        <f t="shared" si="2"/>
        <v/>
      </c>
      <c r="D122" s="118" t="str">
        <f t="shared" si="3"/>
        <v/>
      </c>
    </row>
    <row r="123" spans="3:4" x14ac:dyDescent="0.25">
      <c r="C123" s="130" t="str">
        <f t="shared" si="2"/>
        <v/>
      </c>
      <c r="D123" s="118" t="str">
        <f t="shared" si="3"/>
        <v/>
      </c>
    </row>
    <row r="124" spans="3:4" x14ac:dyDescent="0.25">
      <c r="C124" s="130" t="str">
        <f t="shared" si="2"/>
        <v/>
      </c>
      <c r="D124" s="118" t="str">
        <f t="shared" si="3"/>
        <v/>
      </c>
    </row>
    <row r="125" spans="3:4" x14ac:dyDescent="0.25">
      <c r="C125" s="130" t="str">
        <f t="shared" si="2"/>
        <v/>
      </c>
      <c r="D125" s="118" t="str">
        <f t="shared" si="3"/>
        <v/>
      </c>
    </row>
    <row r="126" spans="3:4" x14ac:dyDescent="0.25">
      <c r="C126" s="130" t="str">
        <f t="shared" si="2"/>
        <v/>
      </c>
      <c r="D126" s="118" t="str">
        <f t="shared" si="3"/>
        <v/>
      </c>
    </row>
    <row r="127" spans="3:4" x14ac:dyDescent="0.25">
      <c r="C127" s="130" t="str">
        <f t="shared" si="2"/>
        <v/>
      </c>
      <c r="D127" s="118" t="str">
        <f t="shared" si="3"/>
        <v/>
      </c>
    </row>
    <row r="128" spans="3:4" x14ac:dyDescent="0.25">
      <c r="C128" s="130" t="str">
        <f t="shared" si="2"/>
        <v/>
      </c>
      <c r="D128" s="118" t="str">
        <f t="shared" si="3"/>
        <v/>
      </c>
    </row>
    <row r="129" spans="3:4" x14ac:dyDescent="0.25">
      <c r="C129" s="130" t="str">
        <f t="shared" si="2"/>
        <v/>
      </c>
      <c r="D129" s="118" t="str">
        <f t="shared" si="3"/>
        <v/>
      </c>
    </row>
    <row r="130" spans="3:4" x14ac:dyDescent="0.25">
      <c r="C130" s="130" t="str">
        <f t="shared" si="2"/>
        <v/>
      </c>
      <c r="D130" s="118" t="str">
        <f t="shared" si="3"/>
        <v/>
      </c>
    </row>
    <row r="131" spans="3:4" x14ac:dyDescent="0.25">
      <c r="C131" s="130" t="str">
        <f t="shared" si="2"/>
        <v/>
      </c>
      <c r="D131" s="118" t="str">
        <f t="shared" si="3"/>
        <v/>
      </c>
    </row>
    <row r="132" spans="3:4" x14ac:dyDescent="0.25">
      <c r="C132" s="130" t="str">
        <f t="shared" si="2"/>
        <v/>
      </c>
      <c r="D132" s="118" t="str">
        <f t="shared" si="3"/>
        <v/>
      </c>
    </row>
    <row r="133" spans="3:4" x14ac:dyDescent="0.25">
      <c r="C133" s="130" t="str">
        <f t="shared" si="2"/>
        <v/>
      </c>
      <c r="D133" s="118" t="str">
        <f t="shared" si="3"/>
        <v/>
      </c>
    </row>
    <row r="134" spans="3:4" x14ac:dyDescent="0.25">
      <c r="C134" s="130" t="str">
        <f t="shared" si="2"/>
        <v/>
      </c>
      <c r="D134" s="118" t="str">
        <f t="shared" si="3"/>
        <v/>
      </c>
    </row>
    <row r="135" spans="3:4" x14ac:dyDescent="0.25">
      <c r="C135" s="130" t="str">
        <f t="shared" si="2"/>
        <v/>
      </c>
      <c r="D135" s="118" t="str">
        <f t="shared" si="3"/>
        <v/>
      </c>
    </row>
    <row r="136" spans="3:4" x14ac:dyDescent="0.25">
      <c r="C136" s="130" t="str">
        <f t="shared" si="2"/>
        <v/>
      </c>
      <c r="D136" s="118" t="str">
        <f t="shared" si="3"/>
        <v/>
      </c>
    </row>
    <row r="137" spans="3:4" x14ac:dyDescent="0.25">
      <c r="C137" s="130" t="str">
        <f t="shared" si="2"/>
        <v/>
      </c>
      <c r="D137" s="118" t="str">
        <f t="shared" si="3"/>
        <v/>
      </c>
    </row>
    <row r="138" spans="3:4" x14ac:dyDescent="0.25">
      <c r="C138" s="130" t="str">
        <f t="shared" si="2"/>
        <v/>
      </c>
      <c r="D138" s="118" t="str">
        <f t="shared" si="3"/>
        <v/>
      </c>
    </row>
    <row r="139" spans="3:4" x14ac:dyDescent="0.25">
      <c r="C139" s="130" t="str">
        <f t="shared" si="2"/>
        <v/>
      </c>
      <c r="D139" s="118" t="str">
        <f t="shared" si="3"/>
        <v/>
      </c>
    </row>
    <row r="140" spans="3:4" x14ac:dyDescent="0.25">
      <c r="C140" s="130" t="str">
        <f t="shared" si="2"/>
        <v/>
      </c>
      <c r="D140" s="118" t="str">
        <f t="shared" si="3"/>
        <v/>
      </c>
    </row>
    <row r="141" spans="3:4" x14ac:dyDescent="0.25">
      <c r="C141" s="130" t="str">
        <f t="shared" si="2"/>
        <v/>
      </c>
      <c r="D141" s="118" t="str">
        <f t="shared" si="3"/>
        <v/>
      </c>
    </row>
    <row r="142" spans="3:4" x14ac:dyDescent="0.25">
      <c r="C142" s="130" t="str">
        <f t="shared" ref="C142:C205" si="4">IF(A142=0,"",VLOOKUP(B142,MatDB,2,FALSE))</f>
        <v/>
      </c>
      <c r="D142" s="118" t="str">
        <f t="shared" si="3"/>
        <v/>
      </c>
    </row>
    <row r="143" spans="3:4" x14ac:dyDescent="0.25">
      <c r="C143" s="130" t="str">
        <f t="shared" si="4"/>
        <v/>
      </c>
      <c r="D143" s="118" t="str">
        <f t="shared" ref="D143:D206" si="5">IF(A143=0,"","Concrete04")</f>
        <v/>
      </c>
    </row>
    <row r="144" spans="3:4" x14ac:dyDescent="0.25">
      <c r="C144" s="130" t="str">
        <f t="shared" si="4"/>
        <v/>
      </c>
      <c r="D144" s="118" t="str">
        <f t="shared" si="5"/>
        <v/>
      </c>
    </row>
    <row r="145" spans="3:4" x14ac:dyDescent="0.25">
      <c r="C145" s="130" t="str">
        <f t="shared" si="4"/>
        <v/>
      </c>
      <c r="D145" s="118" t="str">
        <f t="shared" si="5"/>
        <v/>
      </c>
    </row>
    <row r="146" spans="3:4" x14ac:dyDescent="0.25">
      <c r="C146" s="130" t="str">
        <f t="shared" si="4"/>
        <v/>
      </c>
      <c r="D146" s="118" t="str">
        <f t="shared" si="5"/>
        <v/>
      </c>
    </row>
    <row r="147" spans="3:4" x14ac:dyDescent="0.25">
      <c r="C147" s="130" t="str">
        <f t="shared" si="4"/>
        <v/>
      </c>
      <c r="D147" s="118" t="str">
        <f t="shared" si="5"/>
        <v/>
      </c>
    </row>
    <row r="148" spans="3:4" x14ac:dyDescent="0.25">
      <c r="C148" s="130" t="str">
        <f t="shared" si="4"/>
        <v/>
      </c>
      <c r="D148" s="118" t="str">
        <f t="shared" si="5"/>
        <v/>
      </c>
    </row>
    <row r="149" spans="3:4" x14ac:dyDescent="0.25">
      <c r="C149" s="130" t="str">
        <f t="shared" si="4"/>
        <v/>
      </c>
      <c r="D149" s="118" t="str">
        <f t="shared" si="5"/>
        <v/>
      </c>
    </row>
    <row r="150" spans="3:4" x14ac:dyDescent="0.25">
      <c r="C150" s="130" t="str">
        <f t="shared" si="4"/>
        <v/>
      </c>
      <c r="D150" s="118" t="str">
        <f t="shared" si="5"/>
        <v/>
      </c>
    </row>
    <row r="151" spans="3:4" x14ac:dyDescent="0.25">
      <c r="C151" s="130" t="str">
        <f t="shared" si="4"/>
        <v/>
      </c>
      <c r="D151" s="118" t="str">
        <f t="shared" si="5"/>
        <v/>
      </c>
    </row>
    <row r="152" spans="3:4" x14ac:dyDescent="0.25">
      <c r="C152" s="130" t="str">
        <f t="shared" si="4"/>
        <v/>
      </c>
      <c r="D152" s="118" t="str">
        <f t="shared" si="5"/>
        <v/>
      </c>
    </row>
    <row r="153" spans="3:4" x14ac:dyDescent="0.25">
      <c r="C153" s="130" t="str">
        <f t="shared" si="4"/>
        <v/>
      </c>
      <c r="D153" s="118" t="str">
        <f t="shared" si="5"/>
        <v/>
      </c>
    </row>
    <row r="154" spans="3:4" x14ac:dyDescent="0.25">
      <c r="C154" s="130" t="str">
        <f t="shared" si="4"/>
        <v/>
      </c>
      <c r="D154" s="118" t="str">
        <f t="shared" si="5"/>
        <v/>
      </c>
    </row>
    <row r="155" spans="3:4" x14ac:dyDescent="0.25">
      <c r="C155" s="130" t="str">
        <f t="shared" si="4"/>
        <v/>
      </c>
      <c r="D155" s="118" t="str">
        <f t="shared" si="5"/>
        <v/>
      </c>
    </row>
    <row r="156" spans="3:4" x14ac:dyDescent="0.25">
      <c r="C156" s="130" t="str">
        <f t="shared" si="4"/>
        <v/>
      </c>
      <c r="D156" s="118" t="str">
        <f t="shared" si="5"/>
        <v/>
      </c>
    </row>
    <row r="157" spans="3:4" x14ac:dyDescent="0.25">
      <c r="C157" s="130" t="str">
        <f t="shared" si="4"/>
        <v/>
      </c>
      <c r="D157" s="118" t="str">
        <f t="shared" si="5"/>
        <v/>
      </c>
    </row>
    <row r="158" spans="3:4" x14ac:dyDescent="0.25">
      <c r="C158" s="130" t="str">
        <f t="shared" si="4"/>
        <v/>
      </c>
      <c r="D158" s="118" t="str">
        <f t="shared" si="5"/>
        <v/>
      </c>
    </row>
    <row r="159" spans="3:4" x14ac:dyDescent="0.25">
      <c r="C159" s="130" t="str">
        <f t="shared" si="4"/>
        <v/>
      </c>
      <c r="D159" s="118" t="str">
        <f t="shared" si="5"/>
        <v/>
      </c>
    </row>
    <row r="160" spans="3:4" x14ac:dyDescent="0.25">
      <c r="C160" s="130" t="str">
        <f t="shared" si="4"/>
        <v/>
      </c>
      <c r="D160" s="118" t="str">
        <f t="shared" si="5"/>
        <v/>
      </c>
    </row>
    <row r="161" spans="3:4" x14ac:dyDescent="0.25">
      <c r="C161" s="130" t="str">
        <f t="shared" si="4"/>
        <v/>
      </c>
      <c r="D161" s="118" t="str">
        <f t="shared" si="5"/>
        <v/>
      </c>
    </row>
    <row r="162" spans="3:4" x14ac:dyDescent="0.25">
      <c r="C162" s="130" t="str">
        <f t="shared" si="4"/>
        <v/>
      </c>
      <c r="D162" s="118" t="str">
        <f t="shared" si="5"/>
        <v/>
      </c>
    </row>
    <row r="163" spans="3:4" x14ac:dyDescent="0.25">
      <c r="C163" s="130" t="str">
        <f t="shared" si="4"/>
        <v/>
      </c>
      <c r="D163" s="118" t="str">
        <f t="shared" si="5"/>
        <v/>
      </c>
    </row>
    <row r="164" spans="3:4" x14ac:dyDescent="0.25">
      <c r="C164" s="130" t="str">
        <f t="shared" si="4"/>
        <v/>
      </c>
      <c r="D164" s="118" t="str">
        <f t="shared" si="5"/>
        <v/>
      </c>
    </row>
    <row r="165" spans="3:4" x14ac:dyDescent="0.25">
      <c r="C165" s="130" t="str">
        <f t="shared" si="4"/>
        <v/>
      </c>
      <c r="D165" s="118" t="str">
        <f t="shared" si="5"/>
        <v/>
      </c>
    </row>
    <row r="166" spans="3:4" x14ac:dyDescent="0.25">
      <c r="C166" s="130" t="str">
        <f t="shared" si="4"/>
        <v/>
      </c>
      <c r="D166" s="118" t="str">
        <f t="shared" si="5"/>
        <v/>
      </c>
    </row>
    <row r="167" spans="3:4" x14ac:dyDescent="0.25">
      <c r="C167" s="130" t="str">
        <f t="shared" si="4"/>
        <v/>
      </c>
      <c r="D167" s="118" t="str">
        <f t="shared" si="5"/>
        <v/>
      </c>
    </row>
    <row r="168" spans="3:4" x14ac:dyDescent="0.25">
      <c r="C168" s="130" t="str">
        <f t="shared" si="4"/>
        <v/>
      </c>
      <c r="D168" s="118" t="str">
        <f t="shared" si="5"/>
        <v/>
      </c>
    </row>
    <row r="169" spans="3:4" x14ac:dyDescent="0.25">
      <c r="C169" s="130" t="str">
        <f t="shared" si="4"/>
        <v/>
      </c>
      <c r="D169" s="118" t="str">
        <f t="shared" si="5"/>
        <v/>
      </c>
    </row>
    <row r="170" spans="3:4" x14ac:dyDescent="0.25">
      <c r="C170" s="130" t="str">
        <f t="shared" si="4"/>
        <v/>
      </c>
      <c r="D170" s="118" t="str">
        <f t="shared" si="5"/>
        <v/>
      </c>
    </row>
    <row r="171" spans="3:4" x14ac:dyDescent="0.25">
      <c r="C171" s="130" t="str">
        <f t="shared" si="4"/>
        <v/>
      </c>
      <c r="D171" s="118" t="str">
        <f t="shared" si="5"/>
        <v/>
      </c>
    </row>
    <row r="172" spans="3:4" x14ac:dyDescent="0.25">
      <c r="C172" s="130" t="str">
        <f t="shared" si="4"/>
        <v/>
      </c>
      <c r="D172" s="118" t="str">
        <f t="shared" si="5"/>
        <v/>
      </c>
    </row>
    <row r="173" spans="3:4" x14ac:dyDescent="0.25">
      <c r="C173" s="130" t="str">
        <f t="shared" si="4"/>
        <v/>
      </c>
      <c r="D173" s="118" t="str">
        <f t="shared" si="5"/>
        <v/>
      </c>
    </row>
    <row r="174" spans="3:4" x14ac:dyDescent="0.25">
      <c r="C174" s="130" t="str">
        <f t="shared" si="4"/>
        <v/>
      </c>
      <c r="D174" s="118" t="str">
        <f t="shared" si="5"/>
        <v/>
      </c>
    </row>
    <row r="175" spans="3:4" x14ac:dyDescent="0.25">
      <c r="C175" s="130" t="str">
        <f t="shared" si="4"/>
        <v/>
      </c>
      <c r="D175" s="118" t="str">
        <f t="shared" si="5"/>
        <v/>
      </c>
    </row>
    <row r="176" spans="3:4" x14ac:dyDescent="0.25">
      <c r="C176" s="130" t="str">
        <f t="shared" si="4"/>
        <v/>
      </c>
      <c r="D176" s="118" t="str">
        <f t="shared" si="5"/>
        <v/>
      </c>
    </row>
    <row r="177" spans="3:4" x14ac:dyDescent="0.25">
      <c r="C177" s="130" t="str">
        <f t="shared" si="4"/>
        <v/>
      </c>
      <c r="D177" s="118" t="str">
        <f t="shared" si="5"/>
        <v/>
      </c>
    </row>
    <row r="178" spans="3:4" x14ac:dyDescent="0.25">
      <c r="C178" s="130" t="str">
        <f t="shared" si="4"/>
        <v/>
      </c>
      <c r="D178" s="118" t="str">
        <f t="shared" si="5"/>
        <v/>
      </c>
    </row>
    <row r="179" spans="3:4" x14ac:dyDescent="0.25">
      <c r="C179" s="130" t="str">
        <f t="shared" si="4"/>
        <v/>
      </c>
      <c r="D179" s="118" t="str">
        <f t="shared" si="5"/>
        <v/>
      </c>
    </row>
    <row r="180" spans="3:4" x14ac:dyDescent="0.25">
      <c r="C180" s="130" t="str">
        <f t="shared" si="4"/>
        <v/>
      </c>
      <c r="D180" s="118" t="str">
        <f t="shared" si="5"/>
        <v/>
      </c>
    </row>
    <row r="181" spans="3:4" x14ac:dyDescent="0.25">
      <c r="C181" s="130" t="str">
        <f t="shared" si="4"/>
        <v/>
      </c>
      <c r="D181" s="118" t="str">
        <f t="shared" si="5"/>
        <v/>
      </c>
    </row>
    <row r="182" spans="3:4" x14ac:dyDescent="0.25">
      <c r="C182" s="130" t="str">
        <f t="shared" si="4"/>
        <v/>
      </c>
      <c r="D182" s="118" t="str">
        <f t="shared" si="5"/>
        <v/>
      </c>
    </row>
    <row r="183" spans="3:4" x14ac:dyDescent="0.25">
      <c r="C183" s="130" t="str">
        <f t="shared" si="4"/>
        <v/>
      </c>
      <c r="D183" s="118" t="str">
        <f t="shared" si="5"/>
        <v/>
      </c>
    </row>
    <row r="184" spans="3:4" x14ac:dyDescent="0.25">
      <c r="C184" s="130" t="str">
        <f t="shared" si="4"/>
        <v/>
      </c>
      <c r="D184" s="118" t="str">
        <f t="shared" si="5"/>
        <v/>
      </c>
    </row>
    <row r="185" spans="3:4" x14ac:dyDescent="0.25">
      <c r="C185" s="130" t="str">
        <f t="shared" si="4"/>
        <v/>
      </c>
      <c r="D185" s="118" t="str">
        <f t="shared" si="5"/>
        <v/>
      </c>
    </row>
    <row r="186" spans="3:4" x14ac:dyDescent="0.25">
      <c r="C186" s="130" t="str">
        <f t="shared" si="4"/>
        <v/>
      </c>
      <c r="D186" s="118" t="str">
        <f t="shared" si="5"/>
        <v/>
      </c>
    </row>
    <row r="187" spans="3:4" x14ac:dyDescent="0.25">
      <c r="C187" s="130" t="str">
        <f t="shared" si="4"/>
        <v/>
      </c>
      <c r="D187" s="118" t="str">
        <f t="shared" si="5"/>
        <v/>
      </c>
    </row>
    <row r="188" spans="3:4" x14ac:dyDescent="0.25">
      <c r="C188" s="130" t="str">
        <f t="shared" si="4"/>
        <v/>
      </c>
      <c r="D188" s="118" t="str">
        <f t="shared" si="5"/>
        <v/>
      </c>
    </row>
    <row r="189" spans="3:4" x14ac:dyDescent="0.25">
      <c r="C189" s="130" t="str">
        <f t="shared" si="4"/>
        <v/>
      </c>
      <c r="D189" s="118" t="str">
        <f t="shared" si="5"/>
        <v/>
      </c>
    </row>
    <row r="190" spans="3:4" x14ac:dyDescent="0.25">
      <c r="C190" s="130" t="str">
        <f t="shared" si="4"/>
        <v/>
      </c>
      <c r="D190" s="118" t="str">
        <f t="shared" si="5"/>
        <v/>
      </c>
    </row>
    <row r="191" spans="3:4" x14ac:dyDescent="0.25">
      <c r="C191" s="130" t="str">
        <f t="shared" si="4"/>
        <v/>
      </c>
      <c r="D191" s="118" t="str">
        <f t="shared" si="5"/>
        <v/>
      </c>
    </row>
    <row r="192" spans="3:4" x14ac:dyDescent="0.25">
      <c r="C192" s="130" t="str">
        <f t="shared" si="4"/>
        <v/>
      </c>
      <c r="D192" s="118" t="str">
        <f t="shared" si="5"/>
        <v/>
      </c>
    </row>
    <row r="193" spans="3:4" x14ac:dyDescent="0.25">
      <c r="C193" s="130" t="str">
        <f t="shared" si="4"/>
        <v/>
      </c>
      <c r="D193" s="118" t="str">
        <f t="shared" si="5"/>
        <v/>
      </c>
    </row>
    <row r="194" spans="3:4" x14ac:dyDescent="0.25">
      <c r="C194" s="130" t="str">
        <f t="shared" si="4"/>
        <v/>
      </c>
      <c r="D194" s="118" t="str">
        <f t="shared" si="5"/>
        <v/>
      </c>
    </row>
    <row r="195" spans="3:4" x14ac:dyDescent="0.25">
      <c r="C195" s="130" t="str">
        <f t="shared" si="4"/>
        <v/>
      </c>
      <c r="D195" s="118" t="str">
        <f t="shared" si="5"/>
        <v/>
      </c>
    </row>
    <row r="196" spans="3:4" x14ac:dyDescent="0.25">
      <c r="C196" s="130" t="str">
        <f t="shared" si="4"/>
        <v/>
      </c>
      <c r="D196" s="118" t="str">
        <f t="shared" si="5"/>
        <v/>
      </c>
    </row>
    <row r="197" spans="3:4" x14ac:dyDescent="0.25">
      <c r="C197" s="130" t="str">
        <f t="shared" si="4"/>
        <v/>
      </c>
      <c r="D197" s="118" t="str">
        <f t="shared" si="5"/>
        <v/>
      </c>
    </row>
    <row r="198" spans="3:4" x14ac:dyDescent="0.25">
      <c r="C198" s="130" t="str">
        <f t="shared" si="4"/>
        <v/>
      </c>
      <c r="D198" s="118" t="str">
        <f t="shared" si="5"/>
        <v/>
      </c>
    </row>
    <row r="199" spans="3:4" x14ac:dyDescent="0.25">
      <c r="C199" s="130" t="str">
        <f t="shared" si="4"/>
        <v/>
      </c>
      <c r="D199" s="118" t="str">
        <f t="shared" si="5"/>
        <v/>
      </c>
    </row>
    <row r="200" spans="3:4" x14ac:dyDescent="0.25">
      <c r="C200" s="130" t="str">
        <f t="shared" si="4"/>
        <v/>
      </c>
      <c r="D200" s="118" t="str">
        <f t="shared" si="5"/>
        <v/>
      </c>
    </row>
    <row r="201" spans="3:4" x14ac:dyDescent="0.25">
      <c r="C201" s="130" t="str">
        <f t="shared" si="4"/>
        <v/>
      </c>
      <c r="D201" s="118" t="str">
        <f t="shared" si="5"/>
        <v/>
      </c>
    </row>
    <row r="202" spans="3:4" x14ac:dyDescent="0.25">
      <c r="C202" s="130" t="str">
        <f t="shared" si="4"/>
        <v/>
      </c>
      <c r="D202" s="118" t="str">
        <f t="shared" si="5"/>
        <v/>
      </c>
    </row>
    <row r="203" spans="3:4" x14ac:dyDescent="0.25">
      <c r="C203" s="130" t="str">
        <f t="shared" si="4"/>
        <v/>
      </c>
      <c r="D203" s="118" t="str">
        <f t="shared" si="5"/>
        <v/>
      </c>
    </row>
    <row r="204" spans="3:4" x14ac:dyDescent="0.25">
      <c r="C204" s="130" t="str">
        <f t="shared" si="4"/>
        <v/>
      </c>
      <c r="D204" s="118" t="str">
        <f t="shared" si="5"/>
        <v/>
      </c>
    </row>
    <row r="205" spans="3:4" x14ac:dyDescent="0.25">
      <c r="C205" s="130" t="str">
        <f t="shared" si="4"/>
        <v/>
      </c>
      <c r="D205" s="118" t="str">
        <f t="shared" si="5"/>
        <v/>
      </c>
    </row>
    <row r="206" spans="3:4" x14ac:dyDescent="0.25">
      <c r="C206" s="130" t="str">
        <f t="shared" ref="C206:C269" si="6">IF(A206=0,"",VLOOKUP(B206,MatDB,2,FALSE))</f>
        <v/>
      </c>
      <c r="D206" s="118" t="str">
        <f t="shared" si="5"/>
        <v/>
      </c>
    </row>
    <row r="207" spans="3:4" x14ac:dyDescent="0.25">
      <c r="C207" s="130" t="str">
        <f t="shared" si="6"/>
        <v/>
      </c>
      <c r="D207" s="118" t="str">
        <f t="shared" ref="D207:D270" si="7">IF(A207=0,"","Concrete04")</f>
        <v/>
      </c>
    </row>
    <row r="208" spans="3:4" x14ac:dyDescent="0.25">
      <c r="C208" s="130" t="str">
        <f t="shared" si="6"/>
        <v/>
      </c>
      <c r="D208" s="118" t="str">
        <f t="shared" si="7"/>
        <v/>
      </c>
    </row>
    <row r="209" spans="3:4" x14ac:dyDescent="0.25">
      <c r="C209" s="130" t="str">
        <f t="shared" si="6"/>
        <v/>
      </c>
      <c r="D209" s="118" t="str">
        <f t="shared" si="7"/>
        <v/>
      </c>
    </row>
    <row r="210" spans="3:4" x14ac:dyDescent="0.25">
      <c r="C210" s="130" t="str">
        <f t="shared" si="6"/>
        <v/>
      </c>
      <c r="D210" s="118" t="str">
        <f t="shared" si="7"/>
        <v/>
      </c>
    </row>
    <row r="211" spans="3:4" x14ac:dyDescent="0.25">
      <c r="C211" s="130" t="str">
        <f t="shared" si="6"/>
        <v/>
      </c>
      <c r="D211" s="118" t="str">
        <f t="shared" si="7"/>
        <v/>
      </c>
    </row>
    <row r="212" spans="3:4" x14ac:dyDescent="0.25">
      <c r="C212" s="130" t="str">
        <f t="shared" si="6"/>
        <v/>
      </c>
      <c r="D212" s="118" t="str">
        <f t="shared" si="7"/>
        <v/>
      </c>
    </row>
    <row r="213" spans="3:4" x14ac:dyDescent="0.25">
      <c r="C213" s="130" t="str">
        <f t="shared" si="6"/>
        <v/>
      </c>
      <c r="D213" s="118" t="str">
        <f t="shared" si="7"/>
        <v/>
      </c>
    </row>
    <row r="214" spans="3:4" x14ac:dyDescent="0.25">
      <c r="C214" s="130" t="str">
        <f t="shared" si="6"/>
        <v/>
      </c>
      <c r="D214" s="118" t="str">
        <f t="shared" si="7"/>
        <v/>
      </c>
    </row>
    <row r="215" spans="3:4" x14ac:dyDescent="0.25">
      <c r="C215" s="130" t="str">
        <f t="shared" si="6"/>
        <v/>
      </c>
      <c r="D215" s="118" t="str">
        <f t="shared" si="7"/>
        <v/>
      </c>
    </row>
    <row r="216" spans="3:4" x14ac:dyDescent="0.25">
      <c r="C216" s="130" t="str">
        <f t="shared" si="6"/>
        <v/>
      </c>
      <c r="D216" s="118" t="str">
        <f t="shared" si="7"/>
        <v/>
      </c>
    </row>
    <row r="217" spans="3:4" x14ac:dyDescent="0.25">
      <c r="C217" s="130" t="str">
        <f t="shared" si="6"/>
        <v/>
      </c>
      <c r="D217" s="118" t="str">
        <f t="shared" si="7"/>
        <v/>
      </c>
    </row>
    <row r="218" spans="3:4" x14ac:dyDescent="0.25">
      <c r="C218" s="130" t="str">
        <f t="shared" si="6"/>
        <v/>
      </c>
      <c r="D218" s="118" t="str">
        <f t="shared" si="7"/>
        <v/>
      </c>
    </row>
    <row r="219" spans="3:4" x14ac:dyDescent="0.25">
      <c r="C219" s="130" t="str">
        <f t="shared" si="6"/>
        <v/>
      </c>
      <c r="D219" s="118" t="str">
        <f t="shared" si="7"/>
        <v/>
      </c>
    </row>
    <row r="220" spans="3:4" x14ac:dyDescent="0.25">
      <c r="C220" s="130" t="str">
        <f t="shared" si="6"/>
        <v/>
      </c>
      <c r="D220" s="118" t="str">
        <f t="shared" si="7"/>
        <v/>
      </c>
    </row>
    <row r="221" spans="3:4" x14ac:dyDescent="0.25">
      <c r="C221" s="130" t="str">
        <f t="shared" si="6"/>
        <v/>
      </c>
      <c r="D221" s="118" t="str">
        <f t="shared" si="7"/>
        <v/>
      </c>
    </row>
    <row r="222" spans="3:4" x14ac:dyDescent="0.25">
      <c r="C222" s="130" t="str">
        <f t="shared" si="6"/>
        <v/>
      </c>
      <c r="D222" s="118" t="str">
        <f t="shared" si="7"/>
        <v/>
      </c>
    </row>
    <row r="223" spans="3:4" x14ac:dyDescent="0.25">
      <c r="C223" s="130" t="str">
        <f t="shared" si="6"/>
        <v/>
      </c>
      <c r="D223" s="118" t="str">
        <f t="shared" si="7"/>
        <v/>
      </c>
    </row>
    <row r="224" spans="3:4" x14ac:dyDescent="0.25">
      <c r="C224" s="130" t="str">
        <f t="shared" si="6"/>
        <v/>
      </c>
      <c r="D224" s="118" t="str">
        <f t="shared" si="7"/>
        <v/>
      </c>
    </row>
    <row r="225" spans="3:4" x14ac:dyDescent="0.25">
      <c r="C225" s="130" t="str">
        <f t="shared" si="6"/>
        <v/>
      </c>
      <c r="D225" s="118" t="str">
        <f t="shared" si="7"/>
        <v/>
      </c>
    </row>
    <row r="226" spans="3:4" x14ac:dyDescent="0.25">
      <c r="C226" s="130" t="str">
        <f t="shared" si="6"/>
        <v/>
      </c>
      <c r="D226" s="118" t="str">
        <f t="shared" si="7"/>
        <v/>
      </c>
    </row>
    <row r="227" spans="3:4" x14ac:dyDescent="0.25">
      <c r="C227" s="130" t="str">
        <f t="shared" si="6"/>
        <v/>
      </c>
      <c r="D227" s="118" t="str">
        <f t="shared" si="7"/>
        <v/>
      </c>
    </row>
    <row r="228" spans="3:4" x14ac:dyDescent="0.25">
      <c r="C228" s="130" t="str">
        <f t="shared" si="6"/>
        <v/>
      </c>
      <c r="D228" s="118" t="str">
        <f t="shared" si="7"/>
        <v/>
      </c>
    </row>
    <row r="229" spans="3:4" x14ac:dyDescent="0.25">
      <c r="C229" s="130" t="str">
        <f t="shared" si="6"/>
        <v/>
      </c>
      <c r="D229" s="118" t="str">
        <f t="shared" si="7"/>
        <v/>
      </c>
    </row>
    <row r="230" spans="3:4" x14ac:dyDescent="0.25">
      <c r="C230" s="130" t="str">
        <f t="shared" si="6"/>
        <v/>
      </c>
      <c r="D230" s="118" t="str">
        <f t="shared" si="7"/>
        <v/>
      </c>
    </row>
    <row r="231" spans="3:4" x14ac:dyDescent="0.25">
      <c r="C231" s="130" t="str">
        <f t="shared" si="6"/>
        <v/>
      </c>
      <c r="D231" s="118" t="str">
        <f t="shared" si="7"/>
        <v/>
      </c>
    </row>
    <row r="232" spans="3:4" x14ac:dyDescent="0.25">
      <c r="C232" s="130" t="str">
        <f t="shared" si="6"/>
        <v/>
      </c>
      <c r="D232" s="118" t="str">
        <f t="shared" si="7"/>
        <v/>
      </c>
    </row>
    <row r="233" spans="3:4" x14ac:dyDescent="0.25">
      <c r="C233" s="130" t="str">
        <f t="shared" si="6"/>
        <v/>
      </c>
      <c r="D233" s="118" t="str">
        <f t="shared" si="7"/>
        <v/>
      </c>
    </row>
    <row r="234" spans="3:4" x14ac:dyDescent="0.25">
      <c r="C234" s="130" t="str">
        <f t="shared" si="6"/>
        <v/>
      </c>
      <c r="D234" s="118" t="str">
        <f t="shared" si="7"/>
        <v/>
      </c>
    </row>
    <row r="235" spans="3:4" x14ac:dyDescent="0.25">
      <c r="C235" s="130" t="str">
        <f t="shared" si="6"/>
        <v/>
      </c>
      <c r="D235" s="118" t="str">
        <f t="shared" si="7"/>
        <v/>
      </c>
    </row>
    <row r="236" spans="3:4" x14ac:dyDescent="0.25">
      <c r="C236" s="130" t="str">
        <f t="shared" si="6"/>
        <v/>
      </c>
      <c r="D236" s="118" t="str">
        <f t="shared" si="7"/>
        <v/>
      </c>
    </row>
    <row r="237" spans="3:4" x14ac:dyDescent="0.25">
      <c r="C237" s="130" t="str">
        <f t="shared" si="6"/>
        <v/>
      </c>
      <c r="D237" s="118" t="str">
        <f t="shared" si="7"/>
        <v/>
      </c>
    </row>
    <row r="238" spans="3:4" x14ac:dyDescent="0.25">
      <c r="C238" s="130" t="str">
        <f t="shared" si="6"/>
        <v/>
      </c>
      <c r="D238" s="118" t="str">
        <f t="shared" si="7"/>
        <v/>
      </c>
    </row>
    <row r="239" spans="3:4" x14ac:dyDescent="0.25">
      <c r="C239" s="130" t="str">
        <f t="shared" si="6"/>
        <v/>
      </c>
      <c r="D239" s="118" t="str">
        <f t="shared" si="7"/>
        <v/>
      </c>
    </row>
    <row r="240" spans="3:4" x14ac:dyDescent="0.25">
      <c r="C240" s="130" t="str">
        <f t="shared" si="6"/>
        <v/>
      </c>
      <c r="D240" s="118" t="str">
        <f t="shared" si="7"/>
        <v/>
      </c>
    </row>
    <row r="241" spans="3:4" x14ac:dyDescent="0.25">
      <c r="C241" s="130" t="str">
        <f t="shared" si="6"/>
        <v/>
      </c>
      <c r="D241" s="118" t="str">
        <f t="shared" si="7"/>
        <v/>
      </c>
    </row>
    <row r="242" spans="3:4" x14ac:dyDescent="0.25">
      <c r="C242" s="130" t="str">
        <f t="shared" si="6"/>
        <v/>
      </c>
      <c r="D242" s="118" t="str">
        <f t="shared" si="7"/>
        <v/>
      </c>
    </row>
    <row r="243" spans="3:4" x14ac:dyDescent="0.25">
      <c r="C243" s="130" t="str">
        <f t="shared" si="6"/>
        <v/>
      </c>
      <c r="D243" s="118" t="str">
        <f t="shared" si="7"/>
        <v/>
      </c>
    </row>
    <row r="244" spans="3:4" x14ac:dyDescent="0.25">
      <c r="C244" s="130" t="str">
        <f t="shared" si="6"/>
        <v/>
      </c>
      <c r="D244" s="118" t="str">
        <f t="shared" si="7"/>
        <v/>
      </c>
    </row>
    <row r="245" spans="3:4" x14ac:dyDescent="0.25">
      <c r="C245" s="130" t="str">
        <f t="shared" si="6"/>
        <v/>
      </c>
      <c r="D245" s="118" t="str">
        <f t="shared" si="7"/>
        <v/>
      </c>
    </row>
    <row r="246" spans="3:4" x14ac:dyDescent="0.25">
      <c r="C246" s="130" t="str">
        <f t="shared" si="6"/>
        <v/>
      </c>
      <c r="D246" s="118" t="str">
        <f t="shared" si="7"/>
        <v/>
      </c>
    </row>
    <row r="247" spans="3:4" x14ac:dyDescent="0.25">
      <c r="C247" s="130" t="str">
        <f t="shared" si="6"/>
        <v/>
      </c>
      <c r="D247" s="118" t="str">
        <f t="shared" si="7"/>
        <v/>
      </c>
    </row>
    <row r="248" spans="3:4" x14ac:dyDescent="0.25">
      <c r="C248" s="130" t="str">
        <f t="shared" si="6"/>
        <v/>
      </c>
      <c r="D248" s="118" t="str">
        <f t="shared" si="7"/>
        <v/>
      </c>
    </row>
    <row r="249" spans="3:4" x14ac:dyDescent="0.25">
      <c r="C249" s="130" t="str">
        <f t="shared" si="6"/>
        <v/>
      </c>
      <c r="D249" s="118" t="str">
        <f t="shared" si="7"/>
        <v/>
      </c>
    </row>
    <row r="250" spans="3:4" x14ac:dyDescent="0.25">
      <c r="C250" s="130" t="str">
        <f t="shared" si="6"/>
        <v/>
      </c>
      <c r="D250" s="118" t="str">
        <f t="shared" si="7"/>
        <v/>
      </c>
    </row>
    <row r="251" spans="3:4" x14ac:dyDescent="0.25">
      <c r="C251" s="130" t="str">
        <f t="shared" si="6"/>
        <v/>
      </c>
      <c r="D251" s="118" t="str">
        <f t="shared" si="7"/>
        <v/>
      </c>
    </row>
    <row r="252" spans="3:4" x14ac:dyDescent="0.25">
      <c r="C252" s="130" t="str">
        <f t="shared" si="6"/>
        <v/>
      </c>
      <c r="D252" s="118" t="str">
        <f t="shared" si="7"/>
        <v/>
      </c>
    </row>
    <row r="253" spans="3:4" x14ac:dyDescent="0.25">
      <c r="C253" s="130" t="str">
        <f t="shared" si="6"/>
        <v/>
      </c>
      <c r="D253" s="118" t="str">
        <f t="shared" si="7"/>
        <v/>
      </c>
    </row>
    <row r="254" spans="3:4" x14ac:dyDescent="0.25">
      <c r="C254" s="130" t="str">
        <f t="shared" si="6"/>
        <v/>
      </c>
      <c r="D254" s="118" t="str">
        <f t="shared" si="7"/>
        <v/>
      </c>
    </row>
    <row r="255" spans="3:4" x14ac:dyDescent="0.25">
      <c r="C255" s="130" t="str">
        <f t="shared" si="6"/>
        <v/>
      </c>
      <c r="D255" s="118" t="str">
        <f t="shared" si="7"/>
        <v/>
      </c>
    </row>
    <row r="256" spans="3:4" x14ac:dyDescent="0.25">
      <c r="C256" s="130" t="str">
        <f t="shared" si="6"/>
        <v/>
      </c>
      <c r="D256" s="118" t="str">
        <f t="shared" si="7"/>
        <v/>
      </c>
    </row>
    <row r="257" spans="3:4" x14ac:dyDescent="0.25">
      <c r="C257" s="130" t="str">
        <f t="shared" si="6"/>
        <v/>
      </c>
      <c r="D257" s="118" t="str">
        <f t="shared" si="7"/>
        <v/>
      </c>
    </row>
    <row r="258" spans="3:4" x14ac:dyDescent="0.25">
      <c r="C258" s="130" t="str">
        <f t="shared" si="6"/>
        <v/>
      </c>
      <c r="D258" s="118" t="str">
        <f t="shared" si="7"/>
        <v/>
      </c>
    </row>
    <row r="259" spans="3:4" x14ac:dyDescent="0.25">
      <c r="C259" s="130" t="str">
        <f t="shared" si="6"/>
        <v/>
      </c>
      <c r="D259" s="118" t="str">
        <f t="shared" si="7"/>
        <v/>
      </c>
    </row>
    <row r="260" spans="3:4" x14ac:dyDescent="0.25">
      <c r="C260" s="130" t="str">
        <f t="shared" si="6"/>
        <v/>
      </c>
      <c r="D260" s="118" t="str">
        <f t="shared" si="7"/>
        <v/>
      </c>
    </row>
    <row r="261" spans="3:4" x14ac:dyDescent="0.25">
      <c r="C261" s="130" t="str">
        <f t="shared" si="6"/>
        <v/>
      </c>
      <c r="D261" s="118" t="str">
        <f t="shared" si="7"/>
        <v/>
      </c>
    </row>
    <row r="262" spans="3:4" x14ac:dyDescent="0.25">
      <c r="C262" s="130" t="str">
        <f t="shared" si="6"/>
        <v/>
      </c>
      <c r="D262" s="118" t="str">
        <f t="shared" si="7"/>
        <v/>
      </c>
    </row>
    <row r="263" spans="3:4" x14ac:dyDescent="0.25">
      <c r="C263" s="130" t="str">
        <f t="shared" si="6"/>
        <v/>
      </c>
      <c r="D263" s="118" t="str">
        <f t="shared" si="7"/>
        <v/>
      </c>
    </row>
    <row r="264" spans="3:4" x14ac:dyDescent="0.25">
      <c r="C264" s="130" t="str">
        <f t="shared" si="6"/>
        <v/>
      </c>
      <c r="D264" s="118" t="str">
        <f t="shared" si="7"/>
        <v/>
      </c>
    </row>
    <row r="265" spans="3:4" x14ac:dyDescent="0.25">
      <c r="C265" s="130" t="str">
        <f t="shared" si="6"/>
        <v/>
      </c>
      <c r="D265" s="118" t="str">
        <f t="shared" si="7"/>
        <v/>
      </c>
    </row>
    <row r="266" spans="3:4" x14ac:dyDescent="0.25">
      <c r="C266" s="130" t="str">
        <f t="shared" si="6"/>
        <v/>
      </c>
      <c r="D266" s="118" t="str">
        <f t="shared" si="7"/>
        <v/>
      </c>
    </row>
    <row r="267" spans="3:4" x14ac:dyDescent="0.25">
      <c r="C267" s="130" t="str">
        <f t="shared" si="6"/>
        <v/>
      </c>
      <c r="D267" s="118" t="str">
        <f t="shared" si="7"/>
        <v/>
      </c>
    </row>
    <row r="268" spans="3:4" x14ac:dyDescent="0.25">
      <c r="C268" s="130" t="str">
        <f t="shared" si="6"/>
        <v/>
      </c>
      <c r="D268" s="118" t="str">
        <f t="shared" si="7"/>
        <v/>
      </c>
    </row>
    <row r="269" spans="3:4" x14ac:dyDescent="0.25">
      <c r="C269" s="130" t="str">
        <f t="shared" si="6"/>
        <v/>
      </c>
      <c r="D269" s="118" t="str">
        <f t="shared" si="7"/>
        <v/>
      </c>
    </row>
    <row r="270" spans="3:4" x14ac:dyDescent="0.25">
      <c r="C270" s="130" t="str">
        <f t="shared" ref="C270:C333" si="8">IF(A270=0,"",VLOOKUP(B270,MatDB,2,FALSE))</f>
        <v/>
      </c>
      <c r="D270" s="118" t="str">
        <f t="shared" si="7"/>
        <v/>
      </c>
    </row>
    <row r="271" spans="3:4" x14ac:dyDescent="0.25">
      <c r="C271" s="130" t="str">
        <f t="shared" si="8"/>
        <v/>
      </c>
      <c r="D271" s="118" t="str">
        <f t="shared" ref="D271:D334" si="9">IF(A271=0,"","Concrete04")</f>
        <v/>
      </c>
    </row>
    <row r="272" spans="3:4" x14ac:dyDescent="0.25">
      <c r="C272" s="130" t="str">
        <f t="shared" si="8"/>
        <v/>
      </c>
      <c r="D272" s="118" t="str">
        <f t="shared" si="9"/>
        <v/>
      </c>
    </row>
    <row r="273" spans="3:4" x14ac:dyDescent="0.25">
      <c r="C273" s="130" t="str">
        <f t="shared" si="8"/>
        <v/>
      </c>
      <c r="D273" s="118" t="str">
        <f t="shared" si="9"/>
        <v/>
      </c>
    </row>
    <row r="274" spans="3:4" x14ac:dyDescent="0.25">
      <c r="C274" s="130" t="str">
        <f t="shared" si="8"/>
        <v/>
      </c>
      <c r="D274" s="118" t="str">
        <f t="shared" si="9"/>
        <v/>
      </c>
    </row>
    <row r="275" spans="3:4" x14ac:dyDescent="0.25">
      <c r="C275" s="130" t="str">
        <f t="shared" si="8"/>
        <v/>
      </c>
      <c r="D275" s="118" t="str">
        <f t="shared" si="9"/>
        <v/>
      </c>
    </row>
    <row r="276" spans="3:4" x14ac:dyDescent="0.25">
      <c r="C276" s="130" t="str">
        <f t="shared" si="8"/>
        <v/>
      </c>
      <c r="D276" s="118" t="str">
        <f t="shared" si="9"/>
        <v/>
      </c>
    </row>
    <row r="277" spans="3:4" x14ac:dyDescent="0.25">
      <c r="C277" s="130" t="str">
        <f t="shared" si="8"/>
        <v/>
      </c>
      <c r="D277" s="118" t="str">
        <f t="shared" si="9"/>
        <v/>
      </c>
    </row>
    <row r="278" spans="3:4" x14ac:dyDescent="0.25">
      <c r="C278" s="130" t="str">
        <f t="shared" si="8"/>
        <v/>
      </c>
      <c r="D278" s="118" t="str">
        <f t="shared" si="9"/>
        <v/>
      </c>
    </row>
    <row r="279" spans="3:4" x14ac:dyDescent="0.25">
      <c r="C279" s="130" t="str">
        <f t="shared" si="8"/>
        <v/>
      </c>
      <c r="D279" s="118" t="str">
        <f t="shared" si="9"/>
        <v/>
      </c>
    </row>
    <row r="280" spans="3:4" x14ac:dyDescent="0.25">
      <c r="C280" s="130" t="str">
        <f t="shared" si="8"/>
        <v/>
      </c>
      <c r="D280" s="118" t="str">
        <f t="shared" si="9"/>
        <v/>
      </c>
    </row>
    <row r="281" spans="3:4" x14ac:dyDescent="0.25">
      <c r="C281" s="130" t="str">
        <f t="shared" si="8"/>
        <v/>
      </c>
      <c r="D281" s="118" t="str">
        <f t="shared" si="9"/>
        <v/>
      </c>
    </row>
    <row r="282" spans="3:4" x14ac:dyDescent="0.25">
      <c r="C282" s="130" t="str">
        <f t="shared" si="8"/>
        <v/>
      </c>
      <c r="D282" s="118" t="str">
        <f t="shared" si="9"/>
        <v/>
      </c>
    </row>
    <row r="283" spans="3:4" x14ac:dyDescent="0.25">
      <c r="C283" s="130" t="str">
        <f t="shared" si="8"/>
        <v/>
      </c>
      <c r="D283" s="118" t="str">
        <f t="shared" si="9"/>
        <v/>
      </c>
    </row>
    <row r="284" spans="3:4" x14ac:dyDescent="0.25">
      <c r="C284" s="130" t="str">
        <f t="shared" si="8"/>
        <v/>
      </c>
      <c r="D284" s="118" t="str">
        <f t="shared" si="9"/>
        <v/>
      </c>
    </row>
    <row r="285" spans="3:4" x14ac:dyDescent="0.25">
      <c r="C285" s="130" t="str">
        <f t="shared" si="8"/>
        <v/>
      </c>
      <c r="D285" s="118" t="str">
        <f t="shared" si="9"/>
        <v/>
      </c>
    </row>
    <row r="286" spans="3:4" x14ac:dyDescent="0.25">
      <c r="C286" s="130" t="str">
        <f t="shared" si="8"/>
        <v/>
      </c>
      <c r="D286" s="118" t="str">
        <f t="shared" si="9"/>
        <v/>
      </c>
    </row>
    <row r="287" spans="3:4" x14ac:dyDescent="0.25">
      <c r="C287" s="130" t="str">
        <f t="shared" si="8"/>
        <v/>
      </c>
      <c r="D287" s="118" t="str">
        <f t="shared" si="9"/>
        <v/>
      </c>
    </row>
    <row r="288" spans="3:4" x14ac:dyDescent="0.25">
      <c r="C288" s="130" t="str">
        <f t="shared" si="8"/>
        <v/>
      </c>
      <c r="D288" s="118" t="str">
        <f t="shared" si="9"/>
        <v/>
      </c>
    </row>
    <row r="289" spans="3:4" x14ac:dyDescent="0.25">
      <c r="C289" s="130" t="str">
        <f t="shared" si="8"/>
        <v/>
      </c>
      <c r="D289" s="118" t="str">
        <f t="shared" si="9"/>
        <v/>
      </c>
    </row>
    <row r="290" spans="3:4" x14ac:dyDescent="0.25">
      <c r="C290" s="130" t="str">
        <f t="shared" si="8"/>
        <v/>
      </c>
      <c r="D290" s="118" t="str">
        <f t="shared" si="9"/>
        <v/>
      </c>
    </row>
    <row r="291" spans="3:4" x14ac:dyDescent="0.25">
      <c r="C291" s="130" t="str">
        <f t="shared" si="8"/>
        <v/>
      </c>
      <c r="D291" s="118" t="str">
        <f t="shared" si="9"/>
        <v/>
      </c>
    </row>
    <row r="292" spans="3:4" x14ac:dyDescent="0.25">
      <c r="C292" s="130" t="str">
        <f t="shared" si="8"/>
        <v/>
      </c>
      <c r="D292" s="118" t="str">
        <f t="shared" si="9"/>
        <v/>
      </c>
    </row>
    <row r="293" spans="3:4" x14ac:dyDescent="0.25">
      <c r="C293" s="130" t="str">
        <f t="shared" si="8"/>
        <v/>
      </c>
      <c r="D293" s="118" t="str">
        <f t="shared" si="9"/>
        <v/>
      </c>
    </row>
    <row r="294" spans="3:4" x14ac:dyDescent="0.25">
      <c r="C294" s="130" t="str">
        <f t="shared" si="8"/>
        <v/>
      </c>
      <c r="D294" s="118" t="str">
        <f t="shared" si="9"/>
        <v/>
      </c>
    </row>
    <row r="295" spans="3:4" x14ac:dyDescent="0.25">
      <c r="C295" s="130" t="str">
        <f t="shared" si="8"/>
        <v/>
      </c>
      <c r="D295" s="118" t="str">
        <f t="shared" si="9"/>
        <v/>
      </c>
    </row>
    <row r="296" spans="3:4" x14ac:dyDescent="0.25">
      <c r="C296" s="130" t="str">
        <f t="shared" si="8"/>
        <v/>
      </c>
      <c r="D296" s="118" t="str">
        <f t="shared" si="9"/>
        <v/>
      </c>
    </row>
    <row r="297" spans="3:4" x14ac:dyDescent="0.25">
      <c r="C297" s="130" t="str">
        <f t="shared" si="8"/>
        <v/>
      </c>
      <c r="D297" s="118" t="str">
        <f t="shared" si="9"/>
        <v/>
      </c>
    </row>
    <row r="298" spans="3:4" x14ac:dyDescent="0.25">
      <c r="C298" s="130" t="str">
        <f t="shared" si="8"/>
        <v/>
      </c>
      <c r="D298" s="118" t="str">
        <f t="shared" si="9"/>
        <v/>
      </c>
    </row>
    <row r="299" spans="3:4" x14ac:dyDescent="0.25">
      <c r="C299" s="130" t="str">
        <f t="shared" si="8"/>
        <v/>
      </c>
      <c r="D299" s="118" t="str">
        <f t="shared" si="9"/>
        <v/>
      </c>
    </row>
    <row r="300" spans="3:4" x14ac:dyDescent="0.25">
      <c r="C300" s="130" t="str">
        <f t="shared" si="8"/>
        <v/>
      </c>
      <c r="D300" s="118" t="str">
        <f t="shared" si="9"/>
        <v/>
      </c>
    </row>
    <row r="301" spans="3:4" x14ac:dyDescent="0.25">
      <c r="C301" s="130" t="str">
        <f t="shared" si="8"/>
        <v/>
      </c>
      <c r="D301" s="118" t="str">
        <f t="shared" si="9"/>
        <v/>
      </c>
    </row>
    <row r="302" spans="3:4" x14ac:dyDescent="0.25">
      <c r="C302" s="130" t="str">
        <f t="shared" si="8"/>
        <v/>
      </c>
      <c r="D302" s="118" t="str">
        <f t="shared" si="9"/>
        <v/>
      </c>
    </row>
    <row r="303" spans="3:4" x14ac:dyDescent="0.25">
      <c r="C303" s="130" t="str">
        <f t="shared" si="8"/>
        <v/>
      </c>
      <c r="D303" s="118" t="str">
        <f t="shared" si="9"/>
        <v/>
      </c>
    </row>
    <row r="304" spans="3:4" x14ac:dyDescent="0.25">
      <c r="C304" s="130" t="str">
        <f t="shared" si="8"/>
        <v/>
      </c>
      <c r="D304" s="118" t="str">
        <f t="shared" si="9"/>
        <v/>
      </c>
    </row>
    <row r="305" spans="3:4" x14ac:dyDescent="0.25">
      <c r="C305" s="130" t="str">
        <f t="shared" si="8"/>
        <v/>
      </c>
      <c r="D305" s="118" t="str">
        <f t="shared" si="9"/>
        <v/>
      </c>
    </row>
    <row r="306" spans="3:4" x14ac:dyDescent="0.25">
      <c r="C306" s="130" t="str">
        <f t="shared" si="8"/>
        <v/>
      </c>
      <c r="D306" s="118" t="str">
        <f t="shared" si="9"/>
        <v/>
      </c>
    </row>
    <row r="307" spans="3:4" x14ac:dyDescent="0.25">
      <c r="C307" s="130" t="str">
        <f t="shared" si="8"/>
        <v/>
      </c>
      <c r="D307" s="118" t="str">
        <f t="shared" si="9"/>
        <v/>
      </c>
    </row>
    <row r="308" spans="3:4" x14ac:dyDescent="0.25">
      <c r="C308" s="130" t="str">
        <f t="shared" si="8"/>
        <v/>
      </c>
      <c r="D308" s="118" t="str">
        <f t="shared" si="9"/>
        <v/>
      </c>
    </row>
    <row r="309" spans="3:4" x14ac:dyDescent="0.25">
      <c r="C309" s="130" t="str">
        <f t="shared" si="8"/>
        <v/>
      </c>
      <c r="D309" s="118" t="str">
        <f t="shared" si="9"/>
        <v/>
      </c>
    </row>
    <row r="310" spans="3:4" x14ac:dyDescent="0.25">
      <c r="C310" s="130" t="str">
        <f t="shared" si="8"/>
        <v/>
      </c>
      <c r="D310" s="118" t="str">
        <f t="shared" si="9"/>
        <v/>
      </c>
    </row>
    <row r="311" spans="3:4" x14ac:dyDescent="0.25">
      <c r="C311" s="130" t="str">
        <f t="shared" si="8"/>
        <v/>
      </c>
      <c r="D311" s="118" t="str">
        <f t="shared" si="9"/>
        <v/>
      </c>
    </row>
    <row r="312" spans="3:4" x14ac:dyDescent="0.25">
      <c r="C312" s="130" t="str">
        <f t="shared" si="8"/>
        <v/>
      </c>
      <c r="D312" s="118" t="str">
        <f t="shared" si="9"/>
        <v/>
      </c>
    </row>
    <row r="313" spans="3:4" x14ac:dyDescent="0.25">
      <c r="C313" s="130" t="str">
        <f t="shared" si="8"/>
        <v/>
      </c>
      <c r="D313" s="118" t="str">
        <f t="shared" si="9"/>
        <v/>
      </c>
    </row>
    <row r="314" spans="3:4" x14ac:dyDescent="0.25">
      <c r="C314" s="130" t="str">
        <f t="shared" si="8"/>
        <v/>
      </c>
      <c r="D314" s="118" t="str">
        <f t="shared" si="9"/>
        <v/>
      </c>
    </row>
    <row r="315" spans="3:4" x14ac:dyDescent="0.25">
      <c r="C315" s="130" t="str">
        <f t="shared" si="8"/>
        <v/>
      </c>
      <c r="D315" s="118" t="str">
        <f t="shared" si="9"/>
        <v/>
      </c>
    </row>
    <row r="316" spans="3:4" x14ac:dyDescent="0.25">
      <c r="C316" s="130" t="str">
        <f t="shared" si="8"/>
        <v/>
      </c>
      <c r="D316" s="118" t="str">
        <f t="shared" si="9"/>
        <v/>
      </c>
    </row>
    <row r="317" spans="3:4" x14ac:dyDescent="0.25">
      <c r="C317" s="130" t="str">
        <f t="shared" si="8"/>
        <v/>
      </c>
      <c r="D317" s="118" t="str">
        <f t="shared" si="9"/>
        <v/>
      </c>
    </row>
    <row r="318" spans="3:4" x14ac:dyDescent="0.25">
      <c r="C318" s="130" t="str">
        <f t="shared" si="8"/>
        <v/>
      </c>
      <c r="D318" s="118" t="str">
        <f t="shared" si="9"/>
        <v/>
      </c>
    </row>
    <row r="319" spans="3:4" x14ac:dyDescent="0.25">
      <c r="C319" s="130" t="str">
        <f t="shared" si="8"/>
        <v/>
      </c>
      <c r="D319" s="118" t="str">
        <f t="shared" si="9"/>
        <v/>
      </c>
    </row>
    <row r="320" spans="3:4" x14ac:dyDescent="0.25">
      <c r="C320" s="130" t="str">
        <f t="shared" si="8"/>
        <v/>
      </c>
      <c r="D320" s="118" t="str">
        <f t="shared" si="9"/>
        <v/>
      </c>
    </row>
    <row r="321" spans="3:4" x14ac:dyDescent="0.25">
      <c r="C321" s="130" t="str">
        <f t="shared" si="8"/>
        <v/>
      </c>
      <c r="D321" s="118" t="str">
        <f t="shared" si="9"/>
        <v/>
      </c>
    </row>
    <row r="322" spans="3:4" x14ac:dyDescent="0.25">
      <c r="C322" s="130" t="str">
        <f t="shared" si="8"/>
        <v/>
      </c>
      <c r="D322" s="118" t="str">
        <f t="shared" si="9"/>
        <v/>
      </c>
    </row>
    <row r="323" spans="3:4" x14ac:dyDescent="0.25">
      <c r="C323" s="130" t="str">
        <f t="shared" si="8"/>
        <v/>
      </c>
      <c r="D323" s="118" t="str">
        <f t="shared" si="9"/>
        <v/>
      </c>
    </row>
    <row r="324" spans="3:4" x14ac:dyDescent="0.25">
      <c r="C324" s="130" t="str">
        <f t="shared" si="8"/>
        <v/>
      </c>
      <c r="D324" s="118" t="str">
        <f t="shared" si="9"/>
        <v/>
      </c>
    </row>
    <row r="325" spans="3:4" x14ac:dyDescent="0.25">
      <c r="C325" s="130" t="str">
        <f t="shared" si="8"/>
        <v/>
      </c>
      <c r="D325" s="118" t="str">
        <f t="shared" si="9"/>
        <v/>
      </c>
    </row>
    <row r="326" spans="3:4" x14ac:dyDescent="0.25">
      <c r="C326" s="130" t="str">
        <f t="shared" si="8"/>
        <v/>
      </c>
      <c r="D326" s="118" t="str">
        <f t="shared" si="9"/>
        <v/>
      </c>
    </row>
    <row r="327" spans="3:4" x14ac:dyDescent="0.25">
      <c r="C327" s="130" t="str">
        <f t="shared" si="8"/>
        <v/>
      </c>
      <c r="D327" s="118" t="str">
        <f t="shared" si="9"/>
        <v/>
      </c>
    </row>
    <row r="328" spans="3:4" x14ac:dyDescent="0.25">
      <c r="C328" s="130" t="str">
        <f t="shared" si="8"/>
        <v/>
      </c>
      <c r="D328" s="118" t="str">
        <f t="shared" si="9"/>
        <v/>
      </c>
    </row>
    <row r="329" spans="3:4" x14ac:dyDescent="0.25">
      <c r="C329" s="130" t="str">
        <f t="shared" si="8"/>
        <v/>
      </c>
      <c r="D329" s="118" t="str">
        <f t="shared" si="9"/>
        <v/>
      </c>
    </row>
    <row r="330" spans="3:4" x14ac:dyDescent="0.25">
      <c r="C330" s="130" t="str">
        <f t="shared" si="8"/>
        <v/>
      </c>
      <c r="D330" s="118" t="str">
        <f t="shared" si="9"/>
        <v/>
      </c>
    </row>
    <row r="331" spans="3:4" x14ac:dyDescent="0.25">
      <c r="C331" s="130" t="str">
        <f t="shared" si="8"/>
        <v/>
      </c>
      <c r="D331" s="118" t="str">
        <f t="shared" si="9"/>
        <v/>
      </c>
    </row>
    <row r="332" spans="3:4" x14ac:dyDescent="0.25">
      <c r="C332" s="130" t="str">
        <f t="shared" si="8"/>
        <v/>
      </c>
      <c r="D332" s="118" t="str">
        <f t="shared" si="9"/>
        <v/>
      </c>
    </row>
    <row r="333" spans="3:4" x14ac:dyDescent="0.25">
      <c r="C333" s="130" t="str">
        <f t="shared" si="8"/>
        <v/>
      </c>
      <c r="D333" s="118" t="str">
        <f t="shared" si="9"/>
        <v/>
      </c>
    </row>
    <row r="334" spans="3:4" x14ac:dyDescent="0.25">
      <c r="C334" s="130" t="str">
        <f t="shared" ref="C334:C397" si="10">IF(A334=0,"",VLOOKUP(B334,MatDB,2,FALSE))</f>
        <v/>
      </c>
      <c r="D334" s="118" t="str">
        <f t="shared" si="9"/>
        <v/>
      </c>
    </row>
    <row r="335" spans="3:4" x14ac:dyDescent="0.25">
      <c r="C335" s="130" t="str">
        <f t="shared" si="10"/>
        <v/>
      </c>
      <c r="D335" s="118" t="str">
        <f t="shared" ref="D335:D398" si="11">IF(A335=0,"","Concrete04")</f>
        <v/>
      </c>
    </row>
    <row r="336" spans="3:4" x14ac:dyDescent="0.25">
      <c r="C336" s="130" t="str">
        <f t="shared" si="10"/>
        <v/>
      </c>
      <c r="D336" s="118" t="str">
        <f t="shared" si="11"/>
        <v/>
      </c>
    </row>
    <row r="337" spans="3:4" x14ac:dyDescent="0.25">
      <c r="C337" s="130" t="str">
        <f t="shared" si="10"/>
        <v/>
      </c>
      <c r="D337" s="118" t="str">
        <f t="shared" si="11"/>
        <v/>
      </c>
    </row>
    <row r="338" spans="3:4" x14ac:dyDescent="0.25">
      <c r="C338" s="130" t="str">
        <f t="shared" si="10"/>
        <v/>
      </c>
      <c r="D338" s="118" t="str">
        <f t="shared" si="11"/>
        <v/>
      </c>
    </row>
    <row r="339" spans="3:4" x14ac:dyDescent="0.25">
      <c r="C339" s="130" t="str">
        <f t="shared" si="10"/>
        <v/>
      </c>
      <c r="D339" s="118" t="str">
        <f t="shared" si="11"/>
        <v/>
      </c>
    </row>
    <row r="340" spans="3:4" x14ac:dyDescent="0.25">
      <c r="C340" s="130" t="str">
        <f t="shared" si="10"/>
        <v/>
      </c>
      <c r="D340" s="118" t="str">
        <f t="shared" si="11"/>
        <v/>
      </c>
    </row>
    <row r="341" spans="3:4" x14ac:dyDescent="0.25">
      <c r="C341" s="130" t="str">
        <f t="shared" si="10"/>
        <v/>
      </c>
      <c r="D341" s="118" t="str">
        <f t="shared" si="11"/>
        <v/>
      </c>
    </row>
    <row r="342" spans="3:4" x14ac:dyDescent="0.25">
      <c r="C342" s="130" t="str">
        <f t="shared" si="10"/>
        <v/>
      </c>
      <c r="D342" s="118" t="str">
        <f t="shared" si="11"/>
        <v/>
      </c>
    </row>
    <row r="343" spans="3:4" x14ac:dyDescent="0.25">
      <c r="C343" s="130" t="str">
        <f t="shared" si="10"/>
        <v/>
      </c>
      <c r="D343" s="118" t="str">
        <f t="shared" si="11"/>
        <v/>
      </c>
    </row>
    <row r="344" spans="3:4" x14ac:dyDescent="0.25">
      <c r="C344" s="130" t="str">
        <f t="shared" si="10"/>
        <v/>
      </c>
      <c r="D344" s="118" t="str">
        <f t="shared" si="11"/>
        <v/>
      </c>
    </row>
    <row r="345" spans="3:4" x14ac:dyDescent="0.25">
      <c r="C345" s="130" t="str">
        <f t="shared" si="10"/>
        <v/>
      </c>
      <c r="D345" s="118" t="str">
        <f t="shared" si="11"/>
        <v/>
      </c>
    </row>
    <row r="346" spans="3:4" x14ac:dyDescent="0.25">
      <c r="C346" s="130" t="str">
        <f t="shared" si="10"/>
        <v/>
      </c>
      <c r="D346" s="118" t="str">
        <f t="shared" si="11"/>
        <v/>
      </c>
    </row>
    <row r="347" spans="3:4" x14ac:dyDescent="0.25">
      <c r="C347" s="130" t="str">
        <f t="shared" si="10"/>
        <v/>
      </c>
      <c r="D347" s="118" t="str">
        <f t="shared" si="11"/>
        <v/>
      </c>
    </row>
    <row r="348" spans="3:4" x14ac:dyDescent="0.25">
      <c r="C348" s="130" t="str">
        <f t="shared" si="10"/>
        <v/>
      </c>
      <c r="D348" s="118" t="str">
        <f t="shared" si="11"/>
        <v/>
      </c>
    </row>
    <row r="349" spans="3:4" x14ac:dyDescent="0.25">
      <c r="C349" s="130" t="str">
        <f t="shared" si="10"/>
        <v/>
      </c>
      <c r="D349" s="118" t="str">
        <f t="shared" si="11"/>
        <v/>
      </c>
    </row>
    <row r="350" spans="3:4" x14ac:dyDescent="0.25">
      <c r="C350" s="130" t="str">
        <f t="shared" si="10"/>
        <v/>
      </c>
      <c r="D350" s="118" t="str">
        <f t="shared" si="11"/>
        <v/>
      </c>
    </row>
    <row r="351" spans="3:4" x14ac:dyDescent="0.25">
      <c r="C351" s="130" t="str">
        <f t="shared" si="10"/>
        <v/>
      </c>
      <c r="D351" s="118" t="str">
        <f t="shared" si="11"/>
        <v/>
      </c>
    </row>
    <row r="352" spans="3:4" x14ac:dyDescent="0.25">
      <c r="C352" s="130" t="str">
        <f t="shared" si="10"/>
        <v/>
      </c>
      <c r="D352" s="118" t="str">
        <f t="shared" si="11"/>
        <v/>
      </c>
    </row>
    <row r="353" spans="3:4" x14ac:dyDescent="0.25">
      <c r="C353" s="130" t="str">
        <f t="shared" si="10"/>
        <v/>
      </c>
      <c r="D353" s="118" t="str">
        <f t="shared" si="11"/>
        <v/>
      </c>
    </row>
    <row r="354" spans="3:4" x14ac:dyDescent="0.25">
      <c r="C354" s="130" t="str">
        <f t="shared" si="10"/>
        <v/>
      </c>
      <c r="D354" s="118" t="str">
        <f t="shared" si="11"/>
        <v/>
      </c>
    </row>
    <row r="355" spans="3:4" x14ac:dyDescent="0.25">
      <c r="C355" s="130" t="str">
        <f t="shared" si="10"/>
        <v/>
      </c>
      <c r="D355" s="118" t="str">
        <f t="shared" si="11"/>
        <v/>
      </c>
    </row>
    <row r="356" spans="3:4" x14ac:dyDescent="0.25">
      <c r="C356" s="130" t="str">
        <f t="shared" si="10"/>
        <v/>
      </c>
      <c r="D356" s="118" t="str">
        <f t="shared" si="11"/>
        <v/>
      </c>
    </row>
    <row r="357" spans="3:4" x14ac:dyDescent="0.25">
      <c r="C357" s="130" t="str">
        <f t="shared" si="10"/>
        <v/>
      </c>
      <c r="D357" s="118" t="str">
        <f t="shared" si="11"/>
        <v/>
      </c>
    </row>
    <row r="358" spans="3:4" x14ac:dyDescent="0.25">
      <c r="C358" s="130" t="str">
        <f t="shared" si="10"/>
        <v/>
      </c>
      <c r="D358" s="118" t="str">
        <f t="shared" si="11"/>
        <v/>
      </c>
    </row>
    <row r="359" spans="3:4" x14ac:dyDescent="0.25">
      <c r="C359" s="130" t="str">
        <f t="shared" si="10"/>
        <v/>
      </c>
      <c r="D359" s="118" t="str">
        <f t="shared" si="11"/>
        <v/>
      </c>
    </row>
    <row r="360" spans="3:4" x14ac:dyDescent="0.25">
      <c r="C360" s="130" t="str">
        <f t="shared" si="10"/>
        <v/>
      </c>
      <c r="D360" s="118" t="str">
        <f t="shared" si="11"/>
        <v/>
      </c>
    </row>
    <row r="361" spans="3:4" x14ac:dyDescent="0.25">
      <c r="C361" s="130" t="str">
        <f t="shared" si="10"/>
        <v/>
      </c>
      <c r="D361" s="118" t="str">
        <f t="shared" si="11"/>
        <v/>
      </c>
    </row>
    <row r="362" spans="3:4" x14ac:dyDescent="0.25">
      <c r="C362" s="130" t="str">
        <f t="shared" si="10"/>
        <v/>
      </c>
      <c r="D362" s="118" t="str">
        <f t="shared" si="11"/>
        <v/>
      </c>
    </row>
    <row r="363" spans="3:4" x14ac:dyDescent="0.25">
      <c r="C363" s="130" t="str">
        <f t="shared" si="10"/>
        <v/>
      </c>
      <c r="D363" s="118" t="str">
        <f t="shared" si="11"/>
        <v/>
      </c>
    </row>
    <row r="364" spans="3:4" x14ac:dyDescent="0.25">
      <c r="C364" s="130" t="str">
        <f t="shared" si="10"/>
        <v/>
      </c>
      <c r="D364" s="118" t="str">
        <f t="shared" si="11"/>
        <v/>
      </c>
    </row>
    <row r="365" spans="3:4" x14ac:dyDescent="0.25">
      <c r="C365" s="130" t="str">
        <f t="shared" si="10"/>
        <v/>
      </c>
      <c r="D365" s="118" t="str">
        <f t="shared" si="11"/>
        <v/>
      </c>
    </row>
    <row r="366" spans="3:4" x14ac:dyDescent="0.25">
      <c r="C366" s="130" t="str">
        <f t="shared" si="10"/>
        <v/>
      </c>
      <c r="D366" s="118" t="str">
        <f t="shared" si="11"/>
        <v/>
      </c>
    </row>
    <row r="367" spans="3:4" x14ac:dyDescent="0.25">
      <c r="C367" s="130" t="str">
        <f t="shared" si="10"/>
        <v/>
      </c>
      <c r="D367" s="118" t="str">
        <f t="shared" si="11"/>
        <v/>
      </c>
    </row>
    <row r="368" spans="3:4" x14ac:dyDescent="0.25">
      <c r="C368" s="130" t="str">
        <f t="shared" si="10"/>
        <v/>
      </c>
      <c r="D368" s="118" t="str">
        <f t="shared" si="11"/>
        <v/>
      </c>
    </row>
    <row r="369" spans="3:4" x14ac:dyDescent="0.25">
      <c r="C369" s="130" t="str">
        <f t="shared" si="10"/>
        <v/>
      </c>
      <c r="D369" s="118" t="str">
        <f t="shared" si="11"/>
        <v/>
      </c>
    </row>
    <row r="370" spans="3:4" x14ac:dyDescent="0.25">
      <c r="C370" s="130" t="str">
        <f t="shared" si="10"/>
        <v/>
      </c>
      <c r="D370" s="118" t="str">
        <f t="shared" si="11"/>
        <v/>
      </c>
    </row>
    <row r="371" spans="3:4" x14ac:dyDescent="0.25">
      <c r="C371" s="130" t="str">
        <f t="shared" si="10"/>
        <v/>
      </c>
      <c r="D371" s="118" t="str">
        <f t="shared" si="11"/>
        <v/>
      </c>
    </row>
    <row r="372" spans="3:4" x14ac:dyDescent="0.25">
      <c r="C372" s="130" t="str">
        <f t="shared" si="10"/>
        <v/>
      </c>
      <c r="D372" s="118" t="str">
        <f t="shared" si="11"/>
        <v/>
      </c>
    </row>
    <row r="373" spans="3:4" x14ac:dyDescent="0.25">
      <c r="C373" s="130" t="str">
        <f t="shared" si="10"/>
        <v/>
      </c>
      <c r="D373" s="118" t="str">
        <f t="shared" si="11"/>
        <v/>
      </c>
    </row>
    <row r="374" spans="3:4" x14ac:dyDescent="0.25">
      <c r="C374" s="130" t="str">
        <f t="shared" si="10"/>
        <v/>
      </c>
      <c r="D374" s="118" t="str">
        <f t="shared" si="11"/>
        <v/>
      </c>
    </row>
    <row r="375" spans="3:4" x14ac:dyDescent="0.25">
      <c r="C375" s="130" t="str">
        <f t="shared" si="10"/>
        <v/>
      </c>
      <c r="D375" s="118" t="str">
        <f t="shared" si="11"/>
        <v/>
      </c>
    </row>
    <row r="376" spans="3:4" x14ac:dyDescent="0.25">
      <c r="C376" s="130" t="str">
        <f t="shared" si="10"/>
        <v/>
      </c>
      <c r="D376" s="118" t="str">
        <f t="shared" si="11"/>
        <v/>
      </c>
    </row>
    <row r="377" spans="3:4" x14ac:dyDescent="0.25">
      <c r="C377" s="130" t="str">
        <f t="shared" si="10"/>
        <v/>
      </c>
      <c r="D377" s="118" t="str">
        <f t="shared" si="11"/>
        <v/>
      </c>
    </row>
    <row r="378" spans="3:4" x14ac:dyDescent="0.25">
      <c r="C378" s="130" t="str">
        <f t="shared" si="10"/>
        <v/>
      </c>
      <c r="D378" s="118" t="str">
        <f t="shared" si="11"/>
        <v/>
      </c>
    </row>
    <row r="379" spans="3:4" x14ac:dyDescent="0.25">
      <c r="C379" s="130" t="str">
        <f t="shared" si="10"/>
        <v/>
      </c>
      <c r="D379" s="118" t="str">
        <f t="shared" si="11"/>
        <v/>
      </c>
    </row>
    <row r="380" spans="3:4" x14ac:dyDescent="0.25">
      <c r="C380" s="130" t="str">
        <f t="shared" si="10"/>
        <v/>
      </c>
      <c r="D380" s="118" t="str">
        <f t="shared" si="11"/>
        <v/>
      </c>
    </row>
    <row r="381" spans="3:4" x14ac:dyDescent="0.25">
      <c r="C381" s="130" t="str">
        <f t="shared" si="10"/>
        <v/>
      </c>
      <c r="D381" s="118" t="str">
        <f t="shared" si="11"/>
        <v/>
      </c>
    </row>
    <row r="382" spans="3:4" x14ac:dyDescent="0.25">
      <c r="C382" s="130" t="str">
        <f t="shared" si="10"/>
        <v/>
      </c>
      <c r="D382" s="118" t="str">
        <f t="shared" si="11"/>
        <v/>
      </c>
    </row>
    <row r="383" spans="3:4" x14ac:dyDescent="0.25">
      <c r="C383" s="130" t="str">
        <f t="shared" si="10"/>
        <v/>
      </c>
      <c r="D383" s="118" t="str">
        <f t="shared" si="11"/>
        <v/>
      </c>
    </row>
    <row r="384" spans="3:4" x14ac:dyDescent="0.25">
      <c r="C384" s="130" t="str">
        <f t="shared" si="10"/>
        <v/>
      </c>
      <c r="D384" s="118" t="str">
        <f t="shared" si="11"/>
        <v/>
      </c>
    </row>
    <row r="385" spans="3:4" x14ac:dyDescent="0.25">
      <c r="C385" s="130" t="str">
        <f t="shared" si="10"/>
        <v/>
      </c>
      <c r="D385" s="118" t="str">
        <f t="shared" si="11"/>
        <v/>
      </c>
    </row>
    <row r="386" spans="3:4" x14ac:dyDescent="0.25">
      <c r="C386" s="130" t="str">
        <f t="shared" si="10"/>
        <v/>
      </c>
      <c r="D386" s="118" t="str">
        <f t="shared" si="11"/>
        <v/>
      </c>
    </row>
    <row r="387" spans="3:4" x14ac:dyDescent="0.25">
      <c r="C387" s="130" t="str">
        <f t="shared" si="10"/>
        <v/>
      </c>
      <c r="D387" s="118" t="str">
        <f t="shared" si="11"/>
        <v/>
      </c>
    </row>
    <row r="388" spans="3:4" x14ac:dyDescent="0.25">
      <c r="C388" s="130" t="str">
        <f t="shared" si="10"/>
        <v/>
      </c>
      <c r="D388" s="118" t="str">
        <f t="shared" si="11"/>
        <v/>
      </c>
    </row>
    <row r="389" spans="3:4" x14ac:dyDescent="0.25">
      <c r="C389" s="130" t="str">
        <f t="shared" si="10"/>
        <v/>
      </c>
      <c r="D389" s="118" t="str">
        <f t="shared" si="11"/>
        <v/>
      </c>
    </row>
    <row r="390" spans="3:4" x14ac:dyDescent="0.25">
      <c r="C390" s="130" t="str">
        <f t="shared" si="10"/>
        <v/>
      </c>
      <c r="D390" s="118" t="str">
        <f t="shared" si="11"/>
        <v/>
      </c>
    </row>
    <row r="391" spans="3:4" x14ac:dyDescent="0.25">
      <c r="C391" s="130" t="str">
        <f t="shared" si="10"/>
        <v/>
      </c>
      <c r="D391" s="118" t="str">
        <f t="shared" si="11"/>
        <v/>
      </c>
    </row>
    <row r="392" spans="3:4" x14ac:dyDescent="0.25">
      <c r="C392" s="130" t="str">
        <f t="shared" si="10"/>
        <v/>
      </c>
      <c r="D392" s="118" t="str">
        <f t="shared" si="11"/>
        <v/>
      </c>
    </row>
    <row r="393" spans="3:4" x14ac:dyDescent="0.25">
      <c r="C393" s="130" t="str">
        <f t="shared" si="10"/>
        <v/>
      </c>
      <c r="D393" s="118" t="str">
        <f t="shared" si="11"/>
        <v/>
      </c>
    </row>
    <row r="394" spans="3:4" x14ac:dyDescent="0.25">
      <c r="C394" s="130" t="str">
        <f t="shared" si="10"/>
        <v/>
      </c>
      <c r="D394" s="118" t="str">
        <f t="shared" si="11"/>
        <v/>
      </c>
    </row>
    <row r="395" spans="3:4" x14ac:dyDescent="0.25">
      <c r="C395" s="130" t="str">
        <f t="shared" si="10"/>
        <v/>
      </c>
      <c r="D395" s="118" t="str">
        <f t="shared" si="11"/>
        <v/>
      </c>
    </row>
    <row r="396" spans="3:4" x14ac:dyDescent="0.25">
      <c r="C396" s="130" t="str">
        <f t="shared" si="10"/>
        <v/>
      </c>
      <c r="D396" s="118" t="str">
        <f t="shared" si="11"/>
        <v/>
      </c>
    </row>
    <row r="397" spans="3:4" x14ac:dyDescent="0.25">
      <c r="C397" s="130" t="str">
        <f t="shared" si="10"/>
        <v/>
      </c>
      <c r="D397" s="118" t="str">
        <f t="shared" si="11"/>
        <v/>
      </c>
    </row>
    <row r="398" spans="3:4" x14ac:dyDescent="0.25">
      <c r="C398" s="130" t="str">
        <f t="shared" ref="C398:C461" si="12">IF(A398=0,"",VLOOKUP(B398,MatDB,2,FALSE))</f>
        <v/>
      </c>
      <c r="D398" s="118" t="str">
        <f t="shared" si="11"/>
        <v/>
      </c>
    </row>
    <row r="399" spans="3:4" x14ac:dyDescent="0.25">
      <c r="C399" s="130" t="str">
        <f t="shared" si="12"/>
        <v/>
      </c>
      <c r="D399" s="118" t="str">
        <f t="shared" ref="D399:D462" si="13">IF(A399=0,"","Concrete04")</f>
        <v/>
      </c>
    </row>
    <row r="400" spans="3:4" x14ac:dyDescent="0.25">
      <c r="C400" s="130" t="str">
        <f t="shared" si="12"/>
        <v/>
      </c>
      <c r="D400" s="118" t="str">
        <f t="shared" si="13"/>
        <v/>
      </c>
    </row>
    <row r="401" spans="3:4" x14ac:dyDescent="0.25">
      <c r="C401" s="130" t="str">
        <f t="shared" si="12"/>
        <v/>
      </c>
      <c r="D401" s="118" t="str">
        <f t="shared" si="13"/>
        <v/>
      </c>
    </row>
    <row r="402" spans="3:4" x14ac:dyDescent="0.25">
      <c r="C402" s="130" t="str">
        <f t="shared" si="12"/>
        <v/>
      </c>
      <c r="D402" s="118" t="str">
        <f t="shared" si="13"/>
        <v/>
      </c>
    </row>
    <row r="403" spans="3:4" x14ac:dyDescent="0.25">
      <c r="C403" s="130" t="str">
        <f t="shared" si="12"/>
        <v/>
      </c>
      <c r="D403" s="118" t="str">
        <f t="shared" si="13"/>
        <v/>
      </c>
    </row>
    <row r="404" spans="3:4" x14ac:dyDescent="0.25">
      <c r="C404" s="130" t="str">
        <f t="shared" si="12"/>
        <v/>
      </c>
      <c r="D404" s="118" t="str">
        <f t="shared" si="13"/>
        <v/>
      </c>
    </row>
    <row r="405" spans="3:4" x14ac:dyDescent="0.25">
      <c r="C405" s="130" t="str">
        <f t="shared" si="12"/>
        <v/>
      </c>
      <c r="D405" s="118" t="str">
        <f t="shared" si="13"/>
        <v/>
      </c>
    </row>
    <row r="406" spans="3:4" x14ac:dyDescent="0.25">
      <c r="C406" s="130" t="str">
        <f t="shared" si="12"/>
        <v/>
      </c>
      <c r="D406" s="118" t="str">
        <f t="shared" si="13"/>
        <v/>
      </c>
    </row>
    <row r="407" spans="3:4" x14ac:dyDescent="0.25">
      <c r="C407" s="130" t="str">
        <f t="shared" si="12"/>
        <v/>
      </c>
      <c r="D407" s="118" t="str">
        <f t="shared" si="13"/>
        <v/>
      </c>
    </row>
    <row r="408" spans="3:4" x14ac:dyDescent="0.25">
      <c r="C408" s="130" t="str">
        <f t="shared" si="12"/>
        <v/>
      </c>
      <c r="D408" s="118" t="str">
        <f t="shared" si="13"/>
        <v/>
      </c>
    </row>
    <row r="409" spans="3:4" x14ac:dyDescent="0.25">
      <c r="C409" s="130" t="str">
        <f t="shared" si="12"/>
        <v/>
      </c>
      <c r="D409" s="118" t="str">
        <f t="shared" si="13"/>
        <v/>
      </c>
    </row>
    <row r="410" spans="3:4" x14ac:dyDescent="0.25">
      <c r="C410" s="130" t="str">
        <f t="shared" si="12"/>
        <v/>
      </c>
      <c r="D410" s="118" t="str">
        <f t="shared" si="13"/>
        <v/>
      </c>
    </row>
    <row r="411" spans="3:4" x14ac:dyDescent="0.25">
      <c r="C411" s="130" t="str">
        <f t="shared" si="12"/>
        <v/>
      </c>
      <c r="D411" s="118" t="str">
        <f t="shared" si="13"/>
        <v/>
      </c>
    </row>
    <row r="412" spans="3:4" x14ac:dyDescent="0.25">
      <c r="C412" s="130" t="str">
        <f t="shared" si="12"/>
        <v/>
      </c>
      <c r="D412" s="118" t="str">
        <f t="shared" si="13"/>
        <v/>
      </c>
    </row>
    <row r="413" spans="3:4" x14ac:dyDescent="0.25">
      <c r="C413" s="130" t="str">
        <f t="shared" si="12"/>
        <v/>
      </c>
      <c r="D413" s="118" t="str">
        <f t="shared" si="13"/>
        <v/>
      </c>
    </row>
    <row r="414" spans="3:4" x14ac:dyDescent="0.25">
      <c r="C414" s="130" t="str">
        <f t="shared" si="12"/>
        <v/>
      </c>
      <c r="D414" s="118" t="str">
        <f t="shared" si="13"/>
        <v/>
      </c>
    </row>
    <row r="415" spans="3:4" x14ac:dyDescent="0.25">
      <c r="C415" s="130" t="str">
        <f t="shared" si="12"/>
        <v/>
      </c>
      <c r="D415" s="118" t="str">
        <f t="shared" si="13"/>
        <v/>
      </c>
    </row>
    <row r="416" spans="3:4" x14ac:dyDescent="0.25">
      <c r="C416" s="130" t="str">
        <f t="shared" si="12"/>
        <v/>
      </c>
      <c r="D416" s="118" t="str">
        <f t="shared" si="13"/>
        <v/>
      </c>
    </row>
    <row r="417" spans="3:4" x14ac:dyDescent="0.25">
      <c r="C417" s="130" t="str">
        <f t="shared" si="12"/>
        <v/>
      </c>
      <c r="D417" s="118" t="str">
        <f t="shared" si="13"/>
        <v/>
      </c>
    </row>
    <row r="418" spans="3:4" x14ac:dyDescent="0.25">
      <c r="C418" s="130" t="str">
        <f t="shared" si="12"/>
        <v/>
      </c>
      <c r="D418" s="118" t="str">
        <f t="shared" si="13"/>
        <v/>
      </c>
    </row>
    <row r="419" spans="3:4" x14ac:dyDescent="0.25">
      <c r="C419" s="130" t="str">
        <f t="shared" si="12"/>
        <v/>
      </c>
      <c r="D419" s="118" t="str">
        <f t="shared" si="13"/>
        <v/>
      </c>
    </row>
    <row r="420" spans="3:4" x14ac:dyDescent="0.25">
      <c r="C420" s="130" t="str">
        <f t="shared" si="12"/>
        <v/>
      </c>
      <c r="D420" s="118" t="str">
        <f t="shared" si="13"/>
        <v/>
      </c>
    </row>
    <row r="421" spans="3:4" x14ac:dyDescent="0.25">
      <c r="C421" s="130" t="str">
        <f t="shared" si="12"/>
        <v/>
      </c>
      <c r="D421" s="118" t="str">
        <f t="shared" si="13"/>
        <v/>
      </c>
    </row>
    <row r="422" spans="3:4" x14ac:dyDescent="0.25">
      <c r="C422" s="130" t="str">
        <f t="shared" si="12"/>
        <v/>
      </c>
      <c r="D422" s="118" t="str">
        <f t="shared" si="13"/>
        <v/>
      </c>
    </row>
    <row r="423" spans="3:4" x14ac:dyDescent="0.25">
      <c r="C423" s="130" t="str">
        <f t="shared" si="12"/>
        <v/>
      </c>
      <c r="D423" s="118" t="str">
        <f t="shared" si="13"/>
        <v/>
      </c>
    </row>
    <row r="424" spans="3:4" x14ac:dyDescent="0.25">
      <c r="C424" s="130" t="str">
        <f t="shared" si="12"/>
        <v/>
      </c>
      <c r="D424" s="118" t="str">
        <f t="shared" si="13"/>
        <v/>
      </c>
    </row>
    <row r="425" spans="3:4" x14ac:dyDescent="0.25">
      <c r="C425" s="130" t="str">
        <f t="shared" si="12"/>
        <v/>
      </c>
      <c r="D425" s="118" t="str">
        <f t="shared" si="13"/>
        <v/>
      </c>
    </row>
    <row r="426" spans="3:4" x14ac:dyDescent="0.25">
      <c r="C426" s="130" t="str">
        <f t="shared" si="12"/>
        <v/>
      </c>
      <c r="D426" s="118" t="str">
        <f t="shared" si="13"/>
        <v/>
      </c>
    </row>
    <row r="427" spans="3:4" x14ac:dyDescent="0.25">
      <c r="C427" s="130" t="str">
        <f t="shared" si="12"/>
        <v/>
      </c>
      <c r="D427" s="118" t="str">
        <f t="shared" si="13"/>
        <v/>
      </c>
    </row>
    <row r="428" spans="3:4" x14ac:dyDescent="0.25">
      <c r="C428" s="130" t="str">
        <f t="shared" si="12"/>
        <v/>
      </c>
      <c r="D428" s="118" t="str">
        <f t="shared" si="13"/>
        <v/>
      </c>
    </row>
    <row r="429" spans="3:4" x14ac:dyDescent="0.25">
      <c r="C429" s="130" t="str">
        <f t="shared" si="12"/>
        <v/>
      </c>
      <c r="D429" s="118" t="str">
        <f t="shared" si="13"/>
        <v/>
      </c>
    </row>
    <row r="430" spans="3:4" x14ac:dyDescent="0.25">
      <c r="C430" s="130" t="str">
        <f t="shared" si="12"/>
        <v/>
      </c>
      <c r="D430" s="118" t="str">
        <f t="shared" si="13"/>
        <v/>
      </c>
    </row>
    <row r="431" spans="3:4" x14ac:dyDescent="0.25">
      <c r="C431" s="130" t="str">
        <f t="shared" si="12"/>
        <v/>
      </c>
      <c r="D431" s="118" t="str">
        <f t="shared" si="13"/>
        <v/>
      </c>
    </row>
    <row r="432" spans="3:4" x14ac:dyDescent="0.25">
      <c r="C432" s="130" t="str">
        <f t="shared" si="12"/>
        <v/>
      </c>
      <c r="D432" s="118" t="str">
        <f t="shared" si="13"/>
        <v/>
      </c>
    </row>
    <row r="433" spans="3:4" x14ac:dyDescent="0.25">
      <c r="C433" s="130" t="str">
        <f t="shared" si="12"/>
        <v/>
      </c>
      <c r="D433" s="118" t="str">
        <f t="shared" si="13"/>
        <v/>
      </c>
    </row>
    <row r="434" spans="3:4" x14ac:dyDescent="0.25">
      <c r="C434" s="130" t="str">
        <f t="shared" si="12"/>
        <v/>
      </c>
      <c r="D434" s="118" t="str">
        <f t="shared" si="13"/>
        <v/>
      </c>
    </row>
    <row r="435" spans="3:4" x14ac:dyDescent="0.25">
      <c r="C435" s="130" t="str">
        <f t="shared" si="12"/>
        <v/>
      </c>
      <c r="D435" s="118" t="str">
        <f t="shared" si="13"/>
        <v/>
      </c>
    </row>
    <row r="436" spans="3:4" x14ac:dyDescent="0.25">
      <c r="C436" s="130" t="str">
        <f t="shared" si="12"/>
        <v/>
      </c>
      <c r="D436" s="118" t="str">
        <f t="shared" si="13"/>
        <v/>
      </c>
    </row>
    <row r="437" spans="3:4" x14ac:dyDescent="0.25">
      <c r="C437" s="130" t="str">
        <f t="shared" si="12"/>
        <v/>
      </c>
      <c r="D437" s="118" t="str">
        <f t="shared" si="13"/>
        <v/>
      </c>
    </row>
    <row r="438" spans="3:4" x14ac:dyDescent="0.25">
      <c r="C438" s="130" t="str">
        <f t="shared" si="12"/>
        <v/>
      </c>
      <c r="D438" s="118" t="str">
        <f t="shared" si="13"/>
        <v/>
      </c>
    </row>
    <row r="439" spans="3:4" x14ac:dyDescent="0.25">
      <c r="C439" s="130" t="str">
        <f t="shared" si="12"/>
        <v/>
      </c>
      <c r="D439" s="118" t="str">
        <f t="shared" si="13"/>
        <v/>
      </c>
    </row>
    <row r="440" spans="3:4" x14ac:dyDescent="0.25">
      <c r="C440" s="130" t="str">
        <f t="shared" si="12"/>
        <v/>
      </c>
      <c r="D440" s="118" t="str">
        <f t="shared" si="13"/>
        <v/>
      </c>
    </row>
    <row r="441" spans="3:4" x14ac:dyDescent="0.25">
      <c r="C441" s="130" t="str">
        <f t="shared" si="12"/>
        <v/>
      </c>
      <c r="D441" s="118" t="str">
        <f t="shared" si="13"/>
        <v/>
      </c>
    </row>
    <row r="442" spans="3:4" x14ac:dyDescent="0.25">
      <c r="C442" s="130" t="str">
        <f t="shared" si="12"/>
        <v/>
      </c>
      <c r="D442" s="118" t="str">
        <f t="shared" si="13"/>
        <v/>
      </c>
    </row>
    <row r="443" spans="3:4" x14ac:dyDescent="0.25">
      <c r="C443" s="130" t="str">
        <f t="shared" si="12"/>
        <v/>
      </c>
      <c r="D443" s="118" t="str">
        <f t="shared" si="13"/>
        <v/>
      </c>
    </row>
    <row r="444" spans="3:4" x14ac:dyDescent="0.25">
      <c r="C444" s="130" t="str">
        <f t="shared" si="12"/>
        <v/>
      </c>
      <c r="D444" s="118" t="str">
        <f t="shared" si="13"/>
        <v/>
      </c>
    </row>
    <row r="445" spans="3:4" x14ac:dyDescent="0.25">
      <c r="C445" s="130" t="str">
        <f t="shared" si="12"/>
        <v/>
      </c>
      <c r="D445" s="118" t="str">
        <f t="shared" si="13"/>
        <v/>
      </c>
    </row>
    <row r="446" spans="3:4" x14ac:dyDescent="0.25">
      <c r="C446" s="130" t="str">
        <f t="shared" si="12"/>
        <v/>
      </c>
      <c r="D446" s="118" t="str">
        <f t="shared" si="13"/>
        <v/>
      </c>
    </row>
    <row r="447" spans="3:4" x14ac:dyDescent="0.25">
      <c r="C447" s="130" t="str">
        <f t="shared" si="12"/>
        <v/>
      </c>
      <c r="D447" s="118" t="str">
        <f t="shared" si="13"/>
        <v/>
      </c>
    </row>
    <row r="448" spans="3:4" x14ac:dyDescent="0.25">
      <c r="C448" s="130" t="str">
        <f t="shared" si="12"/>
        <v/>
      </c>
      <c r="D448" s="118" t="str">
        <f t="shared" si="13"/>
        <v/>
      </c>
    </row>
    <row r="449" spans="3:4" x14ac:dyDescent="0.25">
      <c r="C449" s="130" t="str">
        <f t="shared" si="12"/>
        <v/>
      </c>
      <c r="D449" s="118" t="str">
        <f t="shared" si="13"/>
        <v/>
      </c>
    </row>
    <row r="450" spans="3:4" x14ac:dyDescent="0.25">
      <c r="C450" s="130" t="str">
        <f t="shared" si="12"/>
        <v/>
      </c>
      <c r="D450" s="118" t="str">
        <f t="shared" si="13"/>
        <v/>
      </c>
    </row>
    <row r="451" spans="3:4" x14ac:dyDescent="0.25">
      <c r="C451" s="130" t="str">
        <f t="shared" si="12"/>
        <v/>
      </c>
      <c r="D451" s="118" t="str">
        <f t="shared" si="13"/>
        <v/>
      </c>
    </row>
    <row r="452" spans="3:4" x14ac:dyDescent="0.25">
      <c r="C452" s="130" t="str">
        <f t="shared" si="12"/>
        <v/>
      </c>
      <c r="D452" s="118" t="str">
        <f t="shared" si="13"/>
        <v/>
      </c>
    </row>
    <row r="453" spans="3:4" x14ac:dyDescent="0.25">
      <c r="C453" s="130" t="str">
        <f t="shared" si="12"/>
        <v/>
      </c>
      <c r="D453" s="118" t="str">
        <f t="shared" si="13"/>
        <v/>
      </c>
    </row>
    <row r="454" spans="3:4" x14ac:dyDescent="0.25">
      <c r="C454" s="130" t="str">
        <f t="shared" si="12"/>
        <v/>
      </c>
      <c r="D454" s="118" t="str">
        <f t="shared" si="13"/>
        <v/>
      </c>
    </row>
    <row r="455" spans="3:4" x14ac:dyDescent="0.25">
      <c r="C455" s="130" t="str">
        <f t="shared" si="12"/>
        <v/>
      </c>
      <c r="D455" s="118" t="str">
        <f t="shared" si="13"/>
        <v/>
      </c>
    </row>
    <row r="456" spans="3:4" x14ac:dyDescent="0.25">
      <c r="C456" s="130" t="str">
        <f t="shared" si="12"/>
        <v/>
      </c>
      <c r="D456" s="118" t="str">
        <f t="shared" si="13"/>
        <v/>
      </c>
    </row>
    <row r="457" spans="3:4" x14ac:dyDescent="0.25">
      <c r="C457" s="130" t="str">
        <f t="shared" si="12"/>
        <v/>
      </c>
      <c r="D457" s="118" t="str">
        <f t="shared" si="13"/>
        <v/>
      </c>
    </row>
    <row r="458" spans="3:4" x14ac:dyDescent="0.25">
      <c r="C458" s="130" t="str">
        <f t="shared" si="12"/>
        <v/>
      </c>
      <c r="D458" s="118" t="str">
        <f t="shared" si="13"/>
        <v/>
      </c>
    </row>
    <row r="459" spans="3:4" x14ac:dyDescent="0.25">
      <c r="C459" s="130" t="str">
        <f t="shared" si="12"/>
        <v/>
      </c>
      <c r="D459" s="118" t="str">
        <f t="shared" si="13"/>
        <v/>
      </c>
    </row>
    <row r="460" spans="3:4" x14ac:dyDescent="0.25">
      <c r="C460" s="130" t="str">
        <f t="shared" si="12"/>
        <v/>
      </c>
      <c r="D460" s="118" t="str">
        <f t="shared" si="13"/>
        <v/>
      </c>
    </row>
    <row r="461" spans="3:4" x14ac:dyDescent="0.25">
      <c r="C461" s="130" t="str">
        <f t="shared" si="12"/>
        <v/>
      </c>
      <c r="D461" s="118" t="str">
        <f t="shared" si="13"/>
        <v/>
      </c>
    </row>
    <row r="462" spans="3:4" x14ac:dyDescent="0.25">
      <c r="C462" s="130" t="str">
        <f t="shared" ref="C462:C525" si="14">IF(A462=0,"",VLOOKUP(B462,MatDB,2,FALSE))</f>
        <v/>
      </c>
      <c r="D462" s="118" t="str">
        <f t="shared" si="13"/>
        <v/>
      </c>
    </row>
    <row r="463" spans="3:4" x14ac:dyDescent="0.25">
      <c r="C463" s="130" t="str">
        <f t="shared" si="14"/>
        <v/>
      </c>
      <c r="D463" s="118" t="str">
        <f t="shared" ref="D463:D526" si="15">IF(A463=0,"","Concrete04")</f>
        <v/>
      </c>
    </row>
    <row r="464" spans="3:4" x14ac:dyDescent="0.25">
      <c r="C464" s="130" t="str">
        <f t="shared" si="14"/>
        <v/>
      </c>
      <c r="D464" s="118" t="str">
        <f t="shared" si="15"/>
        <v/>
      </c>
    </row>
    <row r="465" spans="3:4" x14ac:dyDescent="0.25">
      <c r="C465" s="130" t="str">
        <f t="shared" si="14"/>
        <v/>
      </c>
      <c r="D465" s="118" t="str">
        <f t="shared" si="15"/>
        <v/>
      </c>
    </row>
    <row r="466" spans="3:4" x14ac:dyDescent="0.25">
      <c r="C466" s="130" t="str">
        <f t="shared" si="14"/>
        <v/>
      </c>
      <c r="D466" s="118" t="str">
        <f t="shared" si="15"/>
        <v/>
      </c>
    </row>
    <row r="467" spans="3:4" x14ac:dyDescent="0.25">
      <c r="C467" s="130" t="str">
        <f t="shared" si="14"/>
        <v/>
      </c>
      <c r="D467" s="118" t="str">
        <f t="shared" si="15"/>
        <v/>
      </c>
    </row>
    <row r="468" spans="3:4" x14ac:dyDescent="0.25">
      <c r="C468" s="130" t="str">
        <f t="shared" si="14"/>
        <v/>
      </c>
      <c r="D468" s="118" t="str">
        <f t="shared" si="15"/>
        <v/>
      </c>
    </row>
    <row r="469" spans="3:4" x14ac:dyDescent="0.25">
      <c r="C469" s="130" t="str">
        <f t="shared" si="14"/>
        <v/>
      </c>
      <c r="D469" s="118" t="str">
        <f t="shared" si="15"/>
        <v/>
      </c>
    </row>
    <row r="470" spans="3:4" x14ac:dyDescent="0.25">
      <c r="C470" s="130" t="str">
        <f t="shared" si="14"/>
        <v/>
      </c>
      <c r="D470" s="118" t="str">
        <f t="shared" si="15"/>
        <v/>
      </c>
    </row>
    <row r="471" spans="3:4" x14ac:dyDescent="0.25">
      <c r="C471" s="130" t="str">
        <f t="shared" si="14"/>
        <v/>
      </c>
      <c r="D471" s="118" t="str">
        <f t="shared" si="15"/>
        <v/>
      </c>
    </row>
    <row r="472" spans="3:4" x14ac:dyDescent="0.25">
      <c r="C472" s="130" t="str">
        <f t="shared" si="14"/>
        <v/>
      </c>
      <c r="D472" s="118" t="str">
        <f t="shared" si="15"/>
        <v/>
      </c>
    </row>
    <row r="473" spans="3:4" x14ac:dyDescent="0.25">
      <c r="C473" s="130" t="str">
        <f t="shared" si="14"/>
        <v/>
      </c>
      <c r="D473" s="118" t="str">
        <f t="shared" si="15"/>
        <v/>
      </c>
    </row>
    <row r="474" spans="3:4" x14ac:dyDescent="0.25">
      <c r="C474" s="130" t="str">
        <f t="shared" si="14"/>
        <v/>
      </c>
      <c r="D474" s="118" t="str">
        <f t="shared" si="15"/>
        <v/>
      </c>
    </row>
    <row r="475" spans="3:4" x14ac:dyDescent="0.25">
      <c r="C475" s="130" t="str">
        <f t="shared" si="14"/>
        <v/>
      </c>
      <c r="D475" s="118" t="str">
        <f t="shared" si="15"/>
        <v/>
      </c>
    </row>
    <row r="476" spans="3:4" x14ac:dyDescent="0.25">
      <c r="C476" s="130" t="str">
        <f t="shared" si="14"/>
        <v/>
      </c>
      <c r="D476" s="118" t="str">
        <f t="shared" si="15"/>
        <v/>
      </c>
    </row>
    <row r="477" spans="3:4" x14ac:dyDescent="0.25">
      <c r="C477" s="130" t="str">
        <f t="shared" si="14"/>
        <v/>
      </c>
      <c r="D477" s="118" t="str">
        <f t="shared" si="15"/>
        <v/>
      </c>
    </row>
    <row r="478" spans="3:4" x14ac:dyDescent="0.25">
      <c r="C478" s="130" t="str">
        <f t="shared" si="14"/>
        <v/>
      </c>
      <c r="D478" s="118" t="str">
        <f t="shared" si="15"/>
        <v/>
      </c>
    </row>
    <row r="479" spans="3:4" x14ac:dyDescent="0.25">
      <c r="C479" s="130" t="str">
        <f t="shared" si="14"/>
        <v/>
      </c>
      <c r="D479" s="118" t="str">
        <f t="shared" si="15"/>
        <v/>
      </c>
    </row>
    <row r="480" spans="3:4" x14ac:dyDescent="0.25">
      <c r="C480" s="130" t="str">
        <f t="shared" si="14"/>
        <v/>
      </c>
      <c r="D480" s="118" t="str">
        <f t="shared" si="15"/>
        <v/>
      </c>
    </row>
    <row r="481" spans="3:4" x14ac:dyDescent="0.25">
      <c r="C481" s="130" t="str">
        <f t="shared" si="14"/>
        <v/>
      </c>
      <c r="D481" s="118" t="str">
        <f t="shared" si="15"/>
        <v/>
      </c>
    </row>
    <row r="482" spans="3:4" x14ac:dyDescent="0.25">
      <c r="C482" s="130" t="str">
        <f t="shared" si="14"/>
        <v/>
      </c>
      <c r="D482" s="118" t="str">
        <f t="shared" si="15"/>
        <v/>
      </c>
    </row>
    <row r="483" spans="3:4" x14ac:dyDescent="0.25">
      <c r="C483" s="130" t="str">
        <f t="shared" si="14"/>
        <v/>
      </c>
      <c r="D483" s="118" t="str">
        <f t="shared" si="15"/>
        <v/>
      </c>
    </row>
    <row r="484" spans="3:4" x14ac:dyDescent="0.25">
      <c r="C484" s="130" t="str">
        <f t="shared" si="14"/>
        <v/>
      </c>
      <c r="D484" s="118" t="str">
        <f t="shared" si="15"/>
        <v/>
      </c>
    </row>
    <row r="485" spans="3:4" x14ac:dyDescent="0.25">
      <c r="C485" s="130" t="str">
        <f t="shared" si="14"/>
        <v/>
      </c>
      <c r="D485" s="118" t="str">
        <f t="shared" si="15"/>
        <v/>
      </c>
    </row>
    <row r="486" spans="3:4" x14ac:dyDescent="0.25">
      <c r="C486" s="130" t="str">
        <f t="shared" si="14"/>
        <v/>
      </c>
      <c r="D486" s="118" t="str">
        <f t="shared" si="15"/>
        <v/>
      </c>
    </row>
    <row r="487" spans="3:4" x14ac:dyDescent="0.25">
      <c r="C487" s="130" t="str">
        <f t="shared" si="14"/>
        <v/>
      </c>
      <c r="D487" s="118" t="str">
        <f t="shared" si="15"/>
        <v/>
      </c>
    </row>
    <row r="488" spans="3:4" x14ac:dyDescent="0.25">
      <c r="C488" s="130" t="str">
        <f t="shared" si="14"/>
        <v/>
      </c>
      <c r="D488" s="118" t="str">
        <f t="shared" si="15"/>
        <v/>
      </c>
    </row>
    <row r="489" spans="3:4" x14ac:dyDescent="0.25">
      <c r="C489" s="130" t="str">
        <f t="shared" si="14"/>
        <v/>
      </c>
      <c r="D489" s="118" t="str">
        <f t="shared" si="15"/>
        <v/>
      </c>
    </row>
    <row r="490" spans="3:4" x14ac:dyDescent="0.25">
      <c r="C490" s="130" t="str">
        <f t="shared" si="14"/>
        <v/>
      </c>
      <c r="D490" s="118" t="str">
        <f t="shared" si="15"/>
        <v/>
      </c>
    </row>
    <row r="491" spans="3:4" x14ac:dyDescent="0.25">
      <c r="C491" s="130" t="str">
        <f t="shared" si="14"/>
        <v/>
      </c>
      <c r="D491" s="118" t="str">
        <f t="shared" si="15"/>
        <v/>
      </c>
    </row>
    <row r="492" spans="3:4" x14ac:dyDescent="0.25">
      <c r="C492" s="130" t="str">
        <f t="shared" si="14"/>
        <v/>
      </c>
      <c r="D492" s="118" t="str">
        <f t="shared" si="15"/>
        <v/>
      </c>
    </row>
    <row r="493" spans="3:4" x14ac:dyDescent="0.25">
      <c r="C493" s="130" t="str">
        <f t="shared" si="14"/>
        <v/>
      </c>
      <c r="D493" s="118" t="str">
        <f t="shared" si="15"/>
        <v/>
      </c>
    </row>
    <row r="494" spans="3:4" x14ac:dyDescent="0.25">
      <c r="C494" s="130" t="str">
        <f t="shared" si="14"/>
        <v/>
      </c>
      <c r="D494" s="118" t="str">
        <f t="shared" si="15"/>
        <v/>
      </c>
    </row>
    <row r="495" spans="3:4" x14ac:dyDescent="0.25">
      <c r="C495" s="130" t="str">
        <f t="shared" si="14"/>
        <v/>
      </c>
      <c r="D495" s="118" t="str">
        <f t="shared" si="15"/>
        <v/>
      </c>
    </row>
    <row r="496" spans="3:4" x14ac:dyDescent="0.25">
      <c r="C496" s="130" t="str">
        <f t="shared" si="14"/>
        <v/>
      </c>
      <c r="D496" s="118" t="str">
        <f t="shared" si="15"/>
        <v/>
      </c>
    </row>
    <row r="497" spans="3:4" x14ac:dyDescent="0.25">
      <c r="C497" s="130" t="str">
        <f t="shared" si="14"/>
        <v/>
      </c>
      <c r="D497" s="118" t="str">
        <f t="shared" si="15"/>
        <v/>
      </c>
    </row>
    <row r="498" spans="3:4" x14ac:dyDescent="0.25">
      <c r="C498" s="130" t="str">
        <f t="shared" si="14"/>
        <v/>
      </c>
      <c r="D498" s="118" t="str">
        <f t="shared" si="15"/>
        <v/>
      </c>
    </row>
    <row r="499" spans="3:4" x14ac:dyDescent="0.25">
      <c r="C499" s="130" t="str">
        <f t="shared" si="14"/>
        <v/>
      </c>
      <c r="D499" s="118" t="str">
        <f t="shared" si="15"/>
        <v/>
      </c>
    </row>
    <row r="500" spans="3:4" x14ac:dyDescent="0.25">
      <c r="C500" s="130" t="str">
        <f t="shared" si="14"/>
        <v/>
      </c>
      <c r="D500" s="118" t="str">
        <f t="shared" si="15"/>
        <v/>
      </c>
    </row>
    <row r="501" spans="3:4" x14ac:dyDescent="0.25">
      <c r="C501" s="130" t="str">
        <f t="shared" si="14"/>
        <v/>
      </c>
      <c r="D501" s="118" t="str">
        <f t="shared" si="15"/>
        <v/>
      </c>
    </row>
    <row r="502" spans="3:4" x14ac:dyDescent="0.25">
      <c r="C502" s="130" t="str">
        <f t="shared" si="14"/>
        <v/>
      </c>
      <c r="D502" s="118" t="str">
        <f t="shared" si="15"/>
        <v/>
      </c>
    </row>
    <row r="503" spans="3:4" x14ac:dyDescent="0.25">
      <c r="C503" s="130" t="str">
        <f t="shared" si="14"/>
        <v/>
      </c>
      <c r="D503" s="118" t="str">
        <f t="shared" si="15"/>
        <v/>
      </c>
    </row>
    <row r="504" spans="3:4" x14ac:dyDescent="0.25">
      <c r="C504" s="130" t="str">
        <f t="shared" si="14"/>
        <v/>
      </c>
      <c r="D504" s="118" t="str">
        <f t="shared" si="15"/>
        <v/>
      </c>
    </row>
    <row r="505" spans="3:4" x14ac:dyDescent="0.25">
      <c r="C505" s="130" t="str">
        <f t="shared" si="14"/>
        <v/>
      </c>
      <c r="D505" s="118" t="str">
        <f t="shared" si="15"/>
        <v/>
      </c>
    </row>
    <row r="506" spans="3:4" x14ac:dyDescent="0.25">
      <c r="C506" s="130" t="str">
        <f t="shared" si="14"/>
        <v/>
      </c>
      <c r="D506" s="118" t="str">
        <f t="shared" si="15"/>
        <v/>
      </c>
    </row>
    <row r="507" spans="3:4" x14ac:dyDescent="0.25">
      <c r="C507" s="130" t="str">
        <f t="shared" si="14"/>
        <v/>
      </c>
      <c r="D507" s="118" t="str">
        <f t="shared" si="15"/>
        <v/>
      </c>
    </row>
    <row r="508" spans="3:4" x14ac:dyDescent="0.25">
      <c r="C508" s="130" t="str">
        <f t="shared" si="14"/>
        <v/>
      </c>
      <c r="D508" s="118" t="str">
        <f t="shared" si="15"/>
        <v/>
      </c>
    </row>
    <row r="509" spans="3:4" x14ac:dyDescent="0.25">
      <c r="C509" s="130" t="str">
        <f t="shared" si="14"/>
        <v/>
      </c>
      <c r="D509" s="118" t="str">
        <f t="shared" si="15"/>
        <v/>
      </c>
    </row>
    <row r="510" spans="3:4" x14ac:dyDescent="0.25">
      <c r="C510" s="130" t="str">
        <f t="shared" si="14"/>
        <v/>
      </c>
      <c r="D510" s="118" t="str">
        <f t="shared" si="15"/>
        <v/>
      </c>
    </row>
    <row r="511" spans="3:4" x14ac:dyDescent="0.25">
      <c r="C511" s="130" t="str">
        <f t="shared" si="14"/>
        <v/>
      </c>
      <c r="D511" s="118" t="str">
        <f t="shared" si="15"/>
        <v/>
      </c>
    </row>
    <row r="512" spans="3:4" x14ac:dyDescent="0.25">
      <c r="C512" s="130" t="str">
        <f t="shared" si="14"/>
        <v/>
      </c>
      <c r="D512" s="118" t="str">
        <f t="shared" si="15"/>
        <v/>
      </c>
    </row>
    <row r="513" spans="3:4" x14ac:dyDescent="0.25">
      <c r="C513" s="130" t="str">
        <f t="shared" si="14"/>
        <v/>
      </c>
      <c r="D513" s="118" t="str">
        <f t="shared" si="15"/>
        <v/>
      </c>
    </row>
    <row r="514" spans="3:4" x14ac:dyDescent="0.25">
      <c r="C514" s="130" t="str">
        <f t="shared" si="14"/>
        <v/>
      </c>
      <c r="D514" s="118" t="str">
        <f t="shared" si="15"/>
        <v/>
      </c>
    </row>
    <row r="515" spans="3:4" x14ac:dyDescent="0.25">
      <c r="C515" s="130" t="str">
        <f t="shared" si="14"/>
        <v/>
      </c>
      <c r="D515" s="118" t="str">
        <f t="shared" si="15"/>
        <v/>
      </c>
    </row>
    <row r="516" spans="3:4" x14ac:dyDescent="0.25">
      <c r="C516" s="130" t="str">
        <f t="shared" si="14"/>
        <v/>
      </c>
      <c r="D516" s="118" t="str">
        <f t="shared" si="15"/>
        <v/>
      </c>
    </row>
    <row r="517" spans="3:4" x14ac:dyDescent="0.25">
      <c r="C517" s="130" t="str">
        <f t="shared" si="14"/>
        <v/>
      </c>
      <c r="D517" s="118" t="str">
        <f t="shared" si="15"/>
        <v/>
      </c>
    </row>
    <row r="518" spans="3:4" x14ac:dyDescent="0.25">
      <c r="C518" s="130" t="str">
        <f t="shared" si="14"/>
        <v/>
      </c>
      <c r="D518" s="118" t="str">
        <f t="shared" si="15"/>
        <v/>
      </c>
    </row>
    <row r="519" spans="3:4" x14ac:dyDescent="0.25">
      <c r="C519" s="130" t="str">
        <f t="shared" si="14"/>
        <v/>
      </c>
      <c r="D519" s="118" t="str">
        <f t="shared" si="15"/>
        <v/>
      </c>
    </row>
    <row r="520" spans="3:4" x14ac:dyDescent="0.25">
      <c r="C520" s="130" t="str">
        <f t="shared" si="14"/>
        <v/>
      </c>
      <c r="D520" s="118" t="str">
        <f t="shared" si="15"/>
        <v/>
      </c>
    </row>
    <row r="521" spans="3:4" x14ac:dyDescent="0.25">
      <c r="C521" s="130" t="str">
        <f t="shared" si="14"/>
        <v/>
      </c>
      <c r="D521" s="118" t="str">
        <f t="shared" si="15"/>
        <v/>
      </c>
    </row>
    <row r="522" spans="3:4" x14ac:dyDescent="0.25">
      <c r="C522" s="130" t="str">
        <f t="shared" si="14"/>
        <v/>
      </c>
      <c r="D522" s="118" t="str">
        <f t="shared" si="15"/>
        <v/>
      </c>
    </row>
    <row r="523" spans="3:4" x14ac:dyDescent="0.25">
      <c r="C523" s="130" t="str">
        <f t="shared" si="14"/>
        <v/>
      </c>
      <c r="D523" s="118" t="str">
        <f t="shared" si="15"/>
        <v/>
      </c>
    </row>
    <row r="524" spans="3:4" x14ac:dyDescent="0.25">
      <c r="C524" s="130" t="str">
        <f t="shared" si="14"/>
        <v/>
      </c>
      <c r="D524" s="118" t="str">
        <f t="shared" si="15"/>
        <v/>
      </c>
    </row>
    <row r="525" spans="3:4" x14ac:dyDescent="0.25">
      <c r="C525" s="130" t="str">
        <f t="shared" si="14"/>
        <v/>
      </c>
      <c r="D525" s="118" t="str">
        <f t="shared" si="15"/>
        <v/>
      </c>
    </row>
    <row r="526" spans="3:4" x14ac:dyDescent="0.25">
      <c r="C526" s="130" t="str">
        <f t="shared" ref="C526:C589" si="16">IF(A526=0,"",VLOOKUP(B526,MatDB,2,FALSE))</f>
        <v/>
      </c>
      <c r="D526" s="118" t="str">
        <f t="shared" si="15"/>
        <v/>
      </c>
    </row>
    <row r="527" spans="3:4" x14ac:dyDescent="0.25">
      <c r="C527" s="130" t="str">
        <f t="shared" si="16"/>
        <v/>
      </c>
      <c r="D527" s="118" t="str">
        <f t="shared" ref="D527:D590" si="17">IF(A527=0,"","Concrete04")</f>
        <v/>
      </c>
    </row>
    <row r="528" spans="3:4" x14ac:dyDescent="0.25">
      <c r="C528" s="130" t="str">
        <f t="shared" si="16"/>
        <v/>
      </c>
      <c r="D528" s="118" t="str">
        <f t="shared" si="17"/>
        <v/>
      </c>
    </row>
    <row r="529" spans="3:4" x14ac:dyDescent="0.25">
      <c r="C529" s="130" t="str">
        <f t="shared" si="16"/>
        <v/>
      </c>
      <c r="D529" s="118" t="str">
        <f t="shared" si="17"/>
        <v/>
      </c>
    </row>
    <row r="530" spans="3:4" x14ac:dyDescent="0.25">
      <c r="C530" s="130" t="str">
        <f t="shared" si="16"/>
        <v/>
      </c>
      <c r="D530" s="118" t="str">
        <f t="shared" si="17"/>
        <v/>
      </c>
    </row>
    <row r="531" spans="3:4" x14ac:dyDescent="0.25">
      <c r="C531" s="130" t="str">
        <f t="shared" si="16"/>
        <v/>
      </c>
      <c r="D531" s="118" t="str">
        <f t="shared" si="17"/>
        <v/>
      </c>
    </row>
    <row r="532" spans="3:4" x14ac:dyDescent="0.25">
      <c r="C532" s="130" t="str">
        <f t="shared" si="16"/>
        <v/>
      </c>
      <c r="D532" s="118" t="str">
        <f t="shared" si="17"/>
        <v/>
      </c>
    </row>
    <row r="533" spans="3:4" x14ac:dyDescent="0.25">
      <c r="C533" s="130" t="str">
        <f t="shared" si="16"/>
        <v/>
      </c>
      <c r="D533" s="118" t="str">
        <f t="shared" si="17"/>
        <v/>
      </c>
    </row>
    <row r="534" spans="3:4" x14ac:dyDescent="0.25">
      <c r="C534" s="130" t="str">
        <f t="shared" si="16"/>
        <v/>
      </c>
      <c r="D534" s="118" t="str">
        <f t="shared" si="17"/>
        <v/>
      </c>
    </row>
    <row r="535" spans="3:4" x14ac:dyDescent="0.25">
      <c r="C535" s="130" t="str">
        <f t="shared" si="16"/>
        <v/>
      </c>
      <c r="D535" s="118" t="str">
        <f t="shared" si="17"/>
        <v/>
      </c>
    </row>
    <row r="536" spans="3:4" x14ac:dyDescent="0.25">
      <c r="C536" s="130" t="str">
        <f t="shared" si="16"/>
        <v/>
      </c>
      <c r="D536" s="118" t="str">
        <f t="shared" si="17"/>
        <v/>
      </c>
    </row>
    <row r="537" spans="3:4" x14ac:dyDescent="0.25">
      <c r="C537" s="130" t="str">
        <f t="shared" si="16"/>
        <v/>
      </c>
      <c r="D537" s="118" t="str">
        <f t="shared" si="17"/>
        <v/>
      </c>
    </row>
    <row r="538" spans="3:4" x14ac:dyDescent="0.25">
      <c r="C538" s="130" t="str">
        <f t="shared" si="16"/>
        <v/>
      </c>
      <c r="D538" s="118" t="str">
        <f t="shared" si="17"/>
        <v/>
      </c>
    </row>
    <row r="539" spans="3:4" x14ac:dyDescent="0.25">
      <c r="C539" s="130" t="str">
        <f t="shared" si="16"/>
        <v/>
      </c>
      <c r="D539" s="118" t="str">
        <f t="shared" si="17"/>
        <v/>
      </c>
    </row>
    <row r="540" spans="3:4" x14ac:dyDescent="0.25">
      <c r="C540" s="130" t="str">
        <f t="shared" si="16"/>
        <v/>
      </c>
      <c r="D540" s="118" t="str">
        <f t="shared" si="17"/>
        <v/>
      </c>
    </row>
    <row r="541" spans="3:4" x14ac:dyDescent="0.25">
      <c r="C541" s="130" t="str">
        <f t="shared" si="16"/>
        <v/>
      </c>
      <c r="D541" s="118" t="str">
        <f t="shared" si="17"/>
        <v/>
      </c>
    </row>
    <row r="542" spans="3:4" x14ac:dyDescent="0.25">
      <c r="C542" s="130" t="str">
        <f t="shared" si="16"/>
        <v/>
      </c>
      <c r="D542" s="118" t="str">
        <f t="shared" si="17"/>
        <v/>
      </c>
    </row>
    <row r="543" spans="3:4" x14ac:dyDescent="0.25">
      <c r="C543" s="130" t="str">
        <f t="shared" si="16"/>
        <v/>
      </c>
      <c r="D543" s="118" t="str">
        <f t="shared" si="17"/>
        <v/>
      </c>
    </row>
    <row r="544" spans="3:4" x14ac:dyDescent="0.25">
      <c r="C544" s="130" t="str">
        <f t="shared" si="16"/>
        <v/>
      </c>
      <c r="D544" s="118" t="str">
        <f t="shared" si="17"/>
        <v/>
      </c>
    </row>
    <row r="545" spans="3:4" x14ac:dyDescent="0.25">
      <c r="C545" s="130" t="str">
        <f t="shared" si="16"/>
        <v/>
      </c>
      <c r="D545" s="118" t="str">
        <f t="shared" si="17"/>
        <v/>
      </c>
    </row>
    <row r="546" spans="3:4" x14ac:dyDescent="0.25">
      <c r="C546" s="130" t="str">
        <f t="shared" si="16"/>
        <v/>
      </c>
      <c r="D546" s="118" t="str">
        <f t="shared" si="17"/>
        <v/>
      </c>
    </row>
    <row r="547" spans="3:4" x14ac:dyDescent="0.25">
      <c r="C547" s="130" t="str">
        <f t="shared" si="16"/>
        <v/>
      </c>
      <c r="D547" s="118" t="str">
        <f t="shared" si="17"/>
        <v/>
      </c>
    </row>
    <row r="548" spans="3:4" x14ac:dyDescent="0.25">
      <c r="C548" s="130" t="str">
        <f t="shared" si="16"/>
        <v/>
      </c>
      <c r="D548" s="118" t="str">
        <f t="shared" si="17"/>
        <v/>
      </c>
    </row>
    <row r="549" spans="3:4" x14ac:dyDescent="0.25">
      <c r="C549" s="130" t="str">
        <f t="shared" si="16"/>
        <v/>
      </c>
      <c r="D549" s="118" t="str">
        <f t="shared" si="17"/>
        <v/>
      </c>
    </row>
    <row r="550" spans="3:4" x14ac:dyDescent="0.25">
      <c r="C550" s="130" t="str">
        <f t="shared" si="16"/>
        <v/>
      </c>
      <c r="D550" s="118" t="str">
        <f t="shared" si="17"/>
        <v/>
      </c>
    </row>
    <row r="551" spans="3:4" x14ac:dyDescent="0.25">
      <c r="C551" s="130" t="str">
        <f t="shared" si="16"/>
        <v/>
      </c>
      <c r="D551" s="118" t="str">
        <f t="shared" si="17"/>
        <v/>
      </c>
    </row>
    <row r="552" spans="3:4" x14ac:dyDescent="0.25">
      <c r="C552" s="130" t="str">
        <f t="shared" si="16"/>
        <v/>
      </c>
      <c r="D552" s="118" t="str">
        <f t="shared" si="17"/>
        <v/>
      </c>
    </row>
    <row r="553" spans="3:4" x14ac:dyDescent="0.25">
      <c r="C553" s="130" t="str">
        <f t="shared" si="16"/>
        <v/>
      </c>
      <c r="D553" s="118" t="str">
        <f t="shared" si="17"/>
        <v/>
      </c>
    </row>
    <row r="554" spans="3:4" x14ac:dyDescent="0.25">
      <c r="C554" s="130" t="str">
        <f t="shared" si="16"/>
        <v/>
      </c>
      <c r="D554" s="118" t="str">
        <f t="shared" si="17"/>
        <v/>
      </c>
    </row>
    <row r="555" spans="3:4" x14ac:dyDescent="0.25">
      <c r="C555" s="130" t="str">
        <f t="shared" si="16"/>
        <v/>
      </c>
      <c r="D555" s="118" t="str">
        <f t="shared" si="17"/>
        <v/>
      </c>
    </row>
    <row r="556" spans="3:4" x14ac:dyDescent="0.25">
      <c r="C556" s="130" t="str">
        <f t="shared" si="16"/>
        <v/>
      </c>
      <c r="D556" s="118" t="str">
        <f t="shared" si="17"/>
        <v/>
      </c>
    </row>
    <row r="557" spans="3:4" x14ac:dyDescent="0.25">
      <c r="C557" s="130" t="str">
        <f t="shared" si="16"/>
        <v/>
      </c>
      <c r="D557" s="118" t="str">
        <f t="shared" si="17"/>
        <v/>
      </c>
    </row>
    <row r="558" spans="3:4" x14ac:dyDescent="0.25">
      <c r="C558" s="130" t="str">
        <f t="shared" si="16"/>
        <v/>
      </c>
      <c r="D558" s="118" t="str">
        <f t="shared" si="17"/>
        <v/>
      </c>
    </row>
    <row r="559" spans="3:4" x14ac:dyDescent="0.25">
      <c r="C559" s="130" t="str">
        <f t="shared" si="16"/>
        <v/>
      </c>
      <c r="D559" s="118" t="str">
        <f t="shared" si="17"/>
        <v/>
      </c>
    </row>
    <row r="560" spans="3:4" x14ac:dyDescent="0.25">
      <c r="C560" s="130" t="str">
        <f t="shared" si="16"/>
        <v/>
      </c>
      <c r="D560" s="118" t="str">
        <f t="shared" si="17"/>
        <v/>
      </c>
    </row>
    <row r="561" spans="3:4" x14ac:dyDescent="0.25">
      <c r="C561" s="130" t="str">
        <f t="shared" si="16"/>
        <v/>
      </c>
      <c r="D561" s="118" t="str">
        <f t="shared" si="17"/>
        <v/>
      </c>
    </row>
    <row r="562" spans="3:4" x14ac:dyDescent="0.25">
      <c r="C562" s="130" t="str">
        <f t="shared" si="16"/>
        <v/>
      </c>
      <c r="D562" s="118" t="str">
        <f t="shared" si="17"/>
        <v/>
      </c>
    </row>
    <row r="563" spans="3:4" x14ac:dyDescent="0.25">
      <c r="C563" s="130" t="str">
        <f t="shared" si="16"/>
        <v/>
      </c>
      <c r="D563" s="118" t="str">
        <f t="shared" si="17"/>
        <v/>
      </c>
    </row>
    <row r="564" spans="3:4" x14ac:dyDescent="0.25">
      <c r="C564" s="130" t="str">
        <f t="shared" si="16"/>
        <v/>
      </c>
      <c r="D564" s="118" t="str">
        <f t="shared" si="17"/>
        <v/>
      </c>
    </row>
    <row r="565" spans="3:4" x14ac:dyDescent="0.25">
      <c r="C565" s="130" t="str">
        <f t="shared" si="16"/>
        <v/>
      </c>
      <c r="D565" s="118" t="str">
        <f t="shared" si="17"/>
        <v/>
      </c>
    </row>
    <row r="566" spans="3:4" x14ac:dyDescent="0.25">
      <c r="C566" s="130" t="str">
        <f t="shared" si="16"/>
        <v/>
      </c>
      <c r="D566" s="118" t="str">
        <f t="shared" si="17"/>
        <v/>
      </c>
    </row>
    <row r="567" spans="3:4" x14ac:dyDescent="0.25">
      <c r="C567" s="130" t="str">
        <f t="shared" si="16"/>
        <v/>
      </c>
      <c r="D567" s="118" t="str">
        <f t="shared" si="17"/>
        <v/>
      </c>
    </row>
    <row r="568" spans="3:4" x14ac:dyDescent="0.25">
      <c r="C568" s="130" t="str">
        <f t="shared" si="16"/>
        <v/>
      </c>
      <c r="D568" s="118" t="str">
        <f t="shared" si="17"/>
        <v/>
      </c>
    </row>
    <row r="569" spans="3:4" x14ac:dyDescent="0.25">
      <c r="C569" s="130" t="str">
        <f t="shared" si="16"/>
        <v/>
      </c>
      <c r="D569" s="118" t="str">
        <f t="shared" si="17"/>
        <v/>
      </c>
    </row>
    <row r="570" spans="3:4" x14ac:dyDescent="0.25">
      <c r="C570" s="130" t="str">
        <f t="shared" si="16"/>
        <v/>
      </c>
      <c r="D570" s="118" t="str">
        <f t="shared" si="17"/>
        <v/>
      </c>
    </row>
    <row r="571" spans="3:4" x14ac:dyDescent="0.25">
      <c r="C571" s="130" t="str">
        <f t="shared" si="16"/>
        <v/>
      </c>
      <c r="D571" s="118" t="str">
        <f t="shared" si="17"/>
        <v/>
      </c>
    </row>
    <row r="572" spans="3:4" x14ac:dyDescent="0.25">
      <c r="C572" s="130" t="str">
        <f t="shared" si="16"/>
        <v/>
      </c>
      <c r="D572" s="118" t="str">
        <f t="shared" si="17"/>
        <v/>
      </c>
    </row>
    <row r="573" spans="3:4" x14ac:dyDescent="0.25">
      <c r="C573" s="130" t="str">
        <f t="shared" si="16"/>
        <v/>
      </c>
      <c r="D573" s="118" t="str">
        <f t="shared" si="17"/>
        <v/>
      </c>
    </row>
    <row r="574" spans="3:4" x14ac:dyDescent="0.25">
      <c r="C574" s="130" t="str">
        <f t="shared" si="16"/>
        <v/>
      </c>
      <c r="D574" s="118" t="str">
        <f t="shared" si="17"/>
        <v/>
      </c>
    </row>
    <row r="575" spans="3:4" x14ac:dyDescent="0.25">
      <c r="C575" s="130" t="str">
        <f t="shared" si="16"/>
        <v/>
      </c>
      <c r="D575" s="118" t="str">
        <f t="shared" si="17"/>
        <v/>
      </c>
    </row>
    <row r="576" spans="3:4" x14ac:dyDescent="0.25">
      <c r="C576" s="130" t="str">
        <f t="shared" si="16"/>
        <v/>
      </c>
      <c r="D576" s="118" t="str">
        <f t="shared" si="17"/>
        <v/>
      </c>
    </row>
    <row r="577" spans="3:4" x14ac:dyDescent="0.25">
      <c r="C577" s="130" t="str">
        <f t="shared" si="16"/>
        <v/>
      </c>
      <c r="D577" s="118" t="str">
        <f t="shared" si="17"/>
        <v/>
      </c>
    </row>
    <row r="578" spans="3:4" x14ac:dyDescent="0.25">
      <c r="C578" s="130" t="str">
        <f t="shared" si="16"/>
        <v/>
      </c>
      <c r="D578" s="118" t="str">
        <f t="shared" si="17"/>
        <v/>
      </c>
    </row>
    <row r="579" spans="3:4" x14ac:dyDescent="0.25">
      <c r="C579" s="130" t="str">
        <f t="shared" si="16"/>
        <v/>
      </c>
      <c r="D579" s="118" t="str">
        <f t="shared" si="17"/>
        <v/>
      </c>
    </row>
    <row r="580" spans="3:4" x14ac:dyDescent="0.25">
      <c r="C580" s="130" t="str">
        <f t="shared" si="16"/>
        <v/>
      </c>
      <c r="D580" s="118" t="str">
        <f t="shared" si="17"/>
        <v/>
      </c>
    </row>
    <row r="581" spans="3:4" x14ac:dyDescent="0.25">
      <c r="C581" s="130" t="str">
        <f t="shared" si="16"/>
        <v/>
      </c>
      <c r="D581" s="118" t="str">
        <f t="shared" si="17"/>
        <v/>
      </c>
    </row>
    <row r="582" spans="3:4" x14ac:dyDescent="0.25">
      <c r="C582" s="130" t="str">
        <f t="shared" si="16"/>
        <v/>
      </c>
      <c r="D582" s="118" t="str">
        <f t="shared" si="17"/>
        <v/>
      </c>
    </row>
    <row r="583" spans="3:4" x14ac:dyDescent="0.25">
      <c r="C583" s="130" t="str">
        <f t="shared" si="16"/>
        <v/>
      </c>
      <c r="D583" s="118" t="str">
        <f t="shared" si="17"/>
        <v/>
      </c>
    </row>
    <row r="584" spans="3:4" x14ac:dyDescent="0.25">
      <c r="C584" s="130" t="str">
        <f t="shared" si="16"/>
        <v/>
      </c>
      <c r="D584" s="118" t="str">
        <f t="shared" si="17"/>
        <v/>
      </c>
    </row>
    <row r="585" spans="3:4" x14ac:dyDescent="0.25">
      <c r="C585" s="130" t="str">
        <f t="shared" si="16"/>
        <v/>
      </c>
      <c r="D585" s="118" t="str">
        <f t="shared" si="17"/>
        <v/>
      </c>
    </row>
    <row r="586" spans="3:4" x14ac:dyDescent="0.25">
      <c r="C586" s="130" t="str">
        <f t="shared" si="16"/>
        <v/>
      </c>
      <c r="D586" s="118" t="str">
        <f t="shared" si="17"/>
        <v/>
      </c>
    </row>
    <row r="587" spans="3:4" x14ac:dyDescent="0.25">
      <c r="C587" s="130" t="str">
        <f t="shared" si="16"/>
        <v/>
      </c>
      <c r="D587" s="118" t="str">
        <f t="shared" si="17"/>
        <v/>
      </c>
    </row>
    <row r="588" spans="3:4" x14ac:dyDescent="0.25">
      <c r="C588" s="130" t="str">
        <f t="shared" si="16"/>
        <v/>
      </c>
      <c r="D588" s="118" t="str">
        <f t="shared" si="17"/>
        <v/>
      </c>
    </row>
    <row r="589" spans="3:4" x14ac:dyDescent="0.25">
      <c r="C589" s="130" t="str">
        <f t="shared" si="16"/>
        <v/>
      </c>
      <c r="D589" s="118" t="str">
        <f t="shared" si="17"/>
        <v/>
      </c>
    </row>
    <row r="590" spans="3:4" x14ac:dyDescent="0.25">
      <c r="C590" s="130" t="str">
        <f t="shared" ref="C590:C653" si="18">IF(A590=0,"",VLOOKUP(B590,MatDB,2,FALSE))</f>
        <v/>
      </c>
      <c r="D590" s="118" t="str">
        <f t="shared" si="17"/>
        <v/>
      </c>
    </row>
    <row r="591" spans="3:4" x14ac:dyDescent="0.25">
      <c r="C591" s="130" t="str">
        <f t="shared" si="18"/>
        <v/>
      </c>
      <c r="D591" s="118" t="str">
        <f t="shared" ref="D591:D654" si="19">IF(A591=0,"","Concrete04")</f>
        <v/>
      </c>
    </row>
    <row r="592" spans="3:4" x14ac:dyDescent="0.25">
      <c r="C592" s="130" t="str">
        <f t="shared" si="18"/>
        <v/>
      </c>
      <c r="D592" s="118" t="str">
        <f t="shared" si="19"/>
        <v/>
      </c>
    </row>
    <row r="593" spans="3:4" x14ac:dyDescent="0.25">
      <c r="C593" s="130" t="str">
        <f t="shared" si="18"/>
        <v/>
      </c>
      <c r="D593" s="118" t="str">
        <f t="shared" si="19"/>
        <v/>
      </c>
    </row>
    <row r="594" spans="3:4" x14ac:dyDescent="0.25">
      <c r="C594" s="130" t="str">
        <f t="shared" si="18"/>
        <v/>
      </c>
      <c r="D594" s="118" t="str">
        <f t="shared" si="19"/>
        <v/>
      </c>
    </row>
    <row r="595" spans="3:4" x14ac:dyDescent="0.25">
      <c r="C595" s="130" t="str">
        <f t="shared" si="18"/>
        <v/>
      </c>
      <c r="D595" s="118" t="str">
        <f t="shared" si="19"/>
        <v/>
      </c>
    </row>
    <row r="596" spans="3:4" x14ac:dyDescent="0.25">
      <c r="C596" s="130" t="str">
        <f t="shared" si="18"/>
        <v/>
      </c>
      <c r="D596" s="118" t="str">
        <f t="shared" si="19"/>
        <v/>
      </c>
    </row>
    <row r="597" spans="3:4" x14ac:dyDescent="0.25">
      <c r="C597" s="130" t="str">
        <f t="shared" si="18"/>
        <v/>
      </c>
      <c r="D597" s="118" t="str">
        <f t="shared" si="19"/>
        <v/>
      </c>
    </row>
    <row r="598" spans="3:4" x14ac:dyDescent="0.25">
      <c r="C598" s="130" t="str">
        <f t="shared" si="18"/>
        <v/>
      </c>
      <c r="D598" s="118" t="str">
        <f t="shared" si="19"/>
        <v/>
      </c>
    </row>
    <row r="599" spans="3:4" x14ac:dyDescent="0.25">
      <c r="C599" s="130" t="str">
        <f t="shared" si="18"/>
        <v/>
      </c>
      <c r="D599" s="118" t="str">
        <f t="shared" si="19"/>
        <v/>
      </c>
    </row>
    <row r="600" spans="3:4" x14ac:dyDescent="0.25">
      <c r="C600" s="130" t="str">
        <f t="shared" si="18"/>
        <v/>
      </c>
      <c r="D600" s="118" t="str">
        <f t="shared" si="19"/>
        <v/>
      </c>
    </row>
    <row r="601" spans="3:4" x14ac:dyDescent="0.25">
      <c r="C601" s="130" t="str">
        <f t="shared" si="18"/>
        <v/>
      </c>
      <c r="D601" s="118" t="str">
        <f t="shared" si="19"/>
        <v/>
      </c>
    </row>
    <row r="602" spans="3:4" x14ac:dyDescent="0.25">
      <c r="C602" s="130" t="str">
        <f t="shared" si="18"/>
        <v/>
      </c>
      <c r="D602" s="118" t="str">
        <f t="shared" si="19"/>
        <v/>
      </c>
    </row>
    <row r="603" spans="3:4" x14ac:dyDescent="0.25">
      <c r="C603" s="130" t="str">
        <f t="shared" si="18"/>
        <v/>
      </c>
      <c r="D603" s="118" t="str">
        <f t="shared" si="19"/>
        <v/>
      </c>
    </row>
    <row r="604" spans="3:4" x14ac:dyDescent="0.25">
      <c r="C604" s="130" t="str">
        <f t="shared" si="18"/>
        <v/>
      </c>
      <c r="D604" s="118" t="str">
        <f t="shared" si="19"/>
        <v/>
      </c>
    </row>
    <row r="605" spans="3:4" x14ac:dyDescent="0.25">
      <c r="C605" s="130" t="str">
        <f t="shared" si="18"/>
        <v/>
      </c>
      <c r="D605" s="118" t="str">
        <f t="shared" si="19"/>
        <v/>
      </c>
    </row>
    <row r="606" spans="3:4" x14ac:dyDescent="0.25">
      <c r="C606" s="130" t="str">
        <f t="shared" si="18"/>
        <v/>
      </c>
      <c r="D606" s="118" t="str">
        <f t="shared" si="19"/>
        <v/>
      </c>
    </row>
    <row r="607" spans="3:4" x14ac:dyDescent="0.25">
      <c r="C607" s="130" t="str">
        <f t="shared" si="18"/>
        <v/>
      </c>
      <c r="D607" s="118" t="str">
        <f t="shared" si="19"/>
        <v/>
      </c>
    </row>
    <row r="608" spans="3:4" x14ac:dyDescent="0.25">
      <c r="C608" s="130" t="str">
        <f t="shared" si="18"/>
        <v/>
      </c>
      <c r="D608" s="118" t="str">
        <f t="shared" si="19"/>
        <v/>
      </c>
    </row>
    <row r="609" spans="3:4" x14ac:dyDescent="0.25">
      <c r="C609" s="130" t="str">
        <f t="shared" si="18"/>
        <v/>
      </c>
      <c r="D609" s="118" t="str">
        <f t="shared" si="19"/>
        <v/>
      </c>
    </row>
    <row r="610" spans="3:4" x14ac:dyDescent="0.25">
      <c r="C610" s="130" t="str">
        <f t="shared" si="18"/>
        <v/>
      </c>
      <c r="D610" s="118" t="str">
        <f t="shared" si="19"/>
        <v/>
      </c>
    </row>
    <row r="611" spans="3:4" x14ac:dyDescent="0.25">
      <c r="C611" s="130" t="str">
        <f t="shared" si="18"/>
        <v/>
      </c>
      <c r="D611" s="118" t="str">
        <f t="shared" si="19"/>
        <v/>
      </c>
    </row>
    <row r="612" spans="3:4" x14ac:dyDescent="0.25">
      <c r="C612" s="130" t="str">
        <f t="shared" si="18"/>
        <v/>
      </c>
      <c r="D612" s="118" t="str">
        <f t="shared" si="19"/>
        <v/>
      </c>
    </row>
    <row r="613" spans="3:4" x14ac:dyDescent="0.25">
      <c r="C613" s="130" t="str">
        <f t="shared" si="18"/>
        <v/>
      </c>
      <c r="D613" s="118" t="str">
        <f t="shared" si="19"/>
        <v/>
      </c>
    </row>
    <row r="614" spans="3:4" x14ac:dyDescent="0.25">
      <c r="C614" s="130" t="str">
        <f t="shared" si="18"/>
        <v/>
      </c>
      <c r="D614" s="118" t="str">
        <f t="shared" si="19"/>
        <v/>
      </c>
    </row>
    <row r="615" spans="3:4" x14ac:dyDescent="0.25">
      <c r="C615" s="130" t="str">
        <f t="shared" si="18"/>
        <v/>
      </c>
      <c r="D615" s="118" t="str">
        <f t="shared" si="19"/>
        <v/>
      </c>
    </row>
    <row r="616" spans="3:4" x14ac:dyDescent="0.25">
      <c r="C616" s="130" t="str">
        <f t="shared" si="18"/>
        <v/>
      </c>
      <c r="D616" s="118" t="str">
        <f t="shared" si="19"/>
        <v/>
      </c>
    </row>
    <row r="617" spans="3:4" x14ac:dyDescent="0.25">
      <c r="C617" s="130" t="str">
        <f t="shared" si="18"/>
        <v/>
      </c>
      <c r="D617" s="118" t="str">
        <f t="shared" si="19"/>
        <v/>
      </c>
    </row>
    <row r="618" spans="3:4" x14ac:dyDescent="0.25">
      <c r="C618" s="130" t="str">
        <f t="shared" si="18"/>
        <v/>
      </c>
      <c r="D618" s="118" t="str">
        <f t="shared" si="19"/>
        <v/>
      </c>
    </row>
    <row r="619" spans="3:4" x14ac:dyDescent="0.25">
      <c r="C619" s="130" t="str">
        <f t="shared" si="18"/>
        <v/>
      </c>
      <c r="D619" s="118" t="str">
        <f t="shared" si="19"/>
        <v/>
      </c>
    </row>
    <row r="620" spans="3:4" x14ac:dyDescent="0.25">
      <c r="C620" s="130" t="str">
        <f t="shared" si="18"/>
        <v/>
      </c>
      <c r="D620" s="118" t="str">
        <f t="shared" si="19"/>
        <v/>
      </c>
    </row>
    <row r="621" spans="3:4" x14ac:dyDescent="0.25">
      <c r="C621" s="130" t="str">
        <f t="shared" si="18"/>
        <v/>
      </c>
      <c r="D621" s="118" t="str">
        <f t="shared" si="19"/>
        <v/>
      </c>
    </row>
    <row r="622" spans="3:4" x14ac:dyDescent="0.25">
      <c r="C622" s="130" t="str">
        <f t="shared" si="18"/>
        <v/>
      </c>
      <c r="D622" s="118" t="str">
        <f t="shared" si="19"/>
        <v/>
      </c>
    </row>
    <row r="623" spans="3:4" x14ac:dyDescent="0.25">
      <c r="C623" s="130" t="str">
        <f t="shared" si="18"/>
        <v/>
      </c>
      <c r="D623" s="118" t="str">
        <f t="shared" si="19"/>
        <v/>
      </c>
    </row>
    <row r="624" spans="3:4" x14ac:dyDescent="0.25">
      <c r="C624" s="130" t="str">
        <f t="shared" si="18"/>
        <v/>
      </c>
      <c r="D624" s="118" t="str">
        <f t="shared" si="19"/>
        <v/>
      </c>
    </row>
    <row r="625" spans="3:4" x14ac:dyDescent="0.25">
      <c r="C625" s="130" t="str">
        <f t="shared" si="18"/>
        <v/>
      </c>
      <c r="D625" s="118" t="str">
        <f t="shared" si="19"/>
        <v/>
      </c>
    </row>
    <row r="626" spans="3:4" x14ac:dyDescent="0.25">
      <c r="C626" s="130" t="str">
        <f t="shared" si="18"/>
        <v/>
      </c>
      <c r="D626" s="118" t="str">
        <f t="shared" si="19"/>
        <v/>
      </c>
    </row>
    <row r="627" spans="3:4" x14ac:dyDescent="0.25">
      <c r="C627" s="130" t="str">
        <f t="shared" si="18"/>
        <v/>
      </c>
      <c r="D627" s="118" t="str">
        <f t="shared" si="19"/>
        <v/>
      </c>
    </row>
    <row r="628" spans="3:4" x14ac:dyDescent="0.25">
      <c r="C628" s="130" t="str">
        <f t="shared" si="18"/>
        <v/>
      </c>
      <c r="D628" s="118" t="str">
        <f t="shared" si="19"/>
        <v/>
      </c>
    </row>
    <row r="629" spans="3:4" x14ac:dyDescent="0.25">
      <c r="C629" s="130" t="str">
        <f t="shared" si="18"/>
        <v/>
      </c>
      <c r="D629" s="118" t="str">
        <f t="shared" si="19"/>
        <v/>
      </c>
    </row>
    <row r="630" spans="3:4" x14ac:dyDescent="0.25">
      <c r="C630" s="130" t="str">
        <f t="shared" si="18"/>
        <v/>
      </c>
      <c r="D630" s="118" t="str">
        <f t="shared" si="19"/>
        <v/>
      </c>
    </row>
    <row r="631" spans="3:4" x14ac:dyDescent="0.25">
      <c r="C631" s="130" t="str">
        <f t="shared" si="18"/>
        <v/>
      </c>
      <c r="D631" s="118" t="str">
        <f t="shared" si="19"/>
        <v/>
      </c>
    </row>
    <row r="632" spans="3:4" x14ac:dyDescent="0.25">
      <c r="C632" s="130" t="str">
        <f t="shared" si="18"/>
        <v/>
      </c>
      <c r="D632" s="118" t="str">
        <f t="shared" si="19"/>
        <v/>
      </c>
    </row>
    <row r="633" spans="3:4" x14ac:dyDescent="0.25">
      <c r="C633" s="130" t="str">
        <f t="shared" si="18"/>
        <v/>
      </c>
      <c r="D633" s="118" t="str">
        <f t="shared" si="19"/>
        <v/>
      </c>
    </row>
    <row r="634" spans="3:4" x14ac:dyDescent="0.25">
      <c r="C634" s="130" t="str">
        <f t="shared" si="18"/>
        <v/>
      </c>
      <c r="D634" s="118" t="str">
        <f t="shared" si="19"/>
        <v/>
      </c>
    </row>
    <row r="635" spans="3:4" x14ac:dyDescent="0.25">
      <c r="C635" s="130" t="str">
        <f t="shared" si="18"/>
        <v/>
      </c>
      <c r="D635" s="118" t="str">
        <f t="shared" si="19"/>
        <v/>
      </c>
    </row>
    <row r="636" spans="3:4" x14ac:dyDescent="0.25">
      <c r="C636" s="130" t="str">
        <f t="shared" si="18"/>
        <v/>
      </c>
      <c r="D636" s="118" t="str">
        <f t="shared" si="19"/>
        <v/>
      </c>
    </row>
    <row r="637" spans="3:4" x14ac:dyDescent="0.25">
      <c r="C637" s="130" t="str">
        <f t="shared" si="18"/>
        <v/>
      </c>
      <c r="D637" s="118" t="str">
        <f t="shared" si="19"/>
        <v/>
      </c>
    </row>
    <row r="638" spans="3:4" x14ac:dyDescent="0.25">
      <c r="C638" s="130" t="str">
        <f t="shared" si="18"/>
        <v/>
      </c>
      <c r="D638" s="118" t="str">
        <f t="shared" si="19"/>
        <v/>
      </c>
    </row>
    <row r="639" spans="3:4" x14ac:dyDescent="0.25">
      <c r="C639" s="130" t="str">
        <f t="shared" si="18"/>
        <v/>
      </c>
      <c r="D639" s="118" t="str">
        <f t="shared" si="19"/>
        <v/>
      </c>
    </row>
    <row r="640" spans="3:4" x14ac:dyDescent="0.25">
      <c r="C640" s="130" t="str">
        <f t="shared" si="18"/>
        <v/>
      </c>
      <c r="D640" s="118" t="str">
        <f t="shared" si="19"/>
        <v/>
      </c>
    </row>
    <row r="641" spans="3:4" x14ac:dyDescent="0.25">
      <c r="C641" s="130" t="str">
        <f t="shared" si="18"/>
        <v/>
      </c>
      <c r="D641" s="118" t="str">
        <f t="shared" si="19"/>
        <v/>
      </c>
    </row>
    <row r="642" spans="3:4" x14ac:dyDescent="0.25">
      <c r="C642" s="130" t="str">
        <f t="shared" si="18"/>
        <v/>
      </c>
      <c r="D642" s="118" t="str">
        <f t="shared" si="19"/>
        <v/>
      </c>
    </row>
    <row r="643" spans="3:4" x14ac:dyDescent="0.25">
      <c r="C643" s="130" t="str">
        <f t="shared" si="18"/>
        <v/>
      </c>
      <c r="D643" s="118" t="str">
        <f t="shared" si="19"/>
        <v/>
      </c>
    </row>
    <row r="644" spans="3:4" x14ac:dyDescent="0.25">
      <c r="C644" s="130" t="str">
        <f t="shared" si="18"/>
        <v/>
      </c>
      <c r="D644" s="118" t="str">
        <f t="shared" si="19"/>
        <v/>
      </c>
    </row>
    <row r="645" spans="3:4" x14ac:dyDescent="0.25">
      <c r="C645" s="130" t="str">
        <f t="shared" si="18"/>
        <v/>
      </c>
      <c r="D645" s="118" t="str">
        <f t="shared" si="19"/>
        <v/>
      </c>
    </row>
    <row r="646" spans="3:4" x14ac:dyDescent="0.25">
      <c r="C646" s="130" t="str">
        <f t="shared" si="18"/>
        <v/>
      </c>
      <c r="D646" s="118" t="str">
        <f t="shared" si="19"/>
        <v/>
      </c>
    </row>
    <row r="647" spans="3:4" x14ac:dyDescent="0.25">
      <c r="C647" s="130" t="str">
        <f t="shared" si="18"/>
        <v/>
      </c>
      <c r="D647" s="118" t="str">
        <f t="shared" si="19"/>
        <v/>
      </c>
    </row>
    <row r="648" spans="3:4" x14ac:dyDescent="0.25">
      <c r="C648" s="130" t="str">
        <f t="shared" si="18"/>
        <v/>
      </c>
      <c r="D648" s="118" t="str">
        <f t="shared" si="19"/>
        <v/>
      </c>
    </row>
    <row r="649" spans="3:4" x14ac:dyDescent="0.25">
      <c r="C649" s="130" t="str">
        <f t="shared" si="18"/>
        <v/>
      </c>
      <c r="D649" s="118" t="str">
        <f t="shared" si="19"/>
        <v/>
      </c>
    </row>
    <row r="650" spans="3:4" x14ac:dyDescent="0.25">
      <c r="C650" s="130" t="str">
        <f t="shared" si="18"/>
        <v/>
      </c>
      <c r="D650" s="118" t="str">
        <f t="shared" si="19"/>
        <v/>
      </c>
    </row>
    <row r="651" spans="3:4" x14ac:dyDescent="0.25">
      <c r="C651" s="130" t="str">
        <f t="shared" si="18"/>
        <v/>
      </c>
      <c r="D651" s="118" t="str">
        <f t="shared" si="19"/>
        <v/>
      </c>
    </row>
    <row r="652" spans="3:4" x14ac:dyDescent="0.25">
      <c r="C652" s="130" t="str">
        <f t="shared" si="18"/>
        <v/>
      </c>
      <c r="D652" s="118" t="str">
        <f t="shared" si="19"/>
        <v/>
      </c>
    </row>
    <row r="653" spans="3:4" x14ac:dyDescent="0.25">
      <c r="C653" s="130" t="str">
        <f t="shared" si="18"/>
        <v/>
      </c>
      <c r="D653" s="118" t="str">
        <f t="shared" si="19"/>
        <v/>
      </c>
    </row>
    <row r="654" spans="3:4" x14ac:dyDescent="0.25">
      <c r="C654" s="130" t="str">
        <f t="shared" ref="C654:C717" si="20">IF(A654=0,"",VLOOKUP(B654,MatDB,2,FALSE))</f>
        <v/>
      </c>
      <c r="D654" s="118" t="str">
        <f t="shared" si="19"/>
        <v/>
      </c>
    </row>
    <row r="655" spans="3:4" x14ac:dyDescent="0.25">
      <c r="C655" s="130" t="str">
        <f t="shared" si="20"/>
        <v/>
      </c>
      <c r="D655" s="118" t="str">
        <f t="shared" ref="D655:D718" si="21">IF(A655=0,"","Concrete04")</f>
        <v/>
      </c>
    </row>
    <row r="656" spans="3:4" x14ac:dyDescent="0.25">
      <c r="C656" s="130" t="str">
        <f t="shared" si="20"/>
        <v/>
      </c>
      <c r="D656" s="118" t="str">
        <f t="shared" si="21"/>
        <v/>
      </c>
    </row>
    <row r="657" spans="3:4" x14ac:dyDescent="0.25">
      <c r="C657" s="130" t="str">
        <f t="shared" si="20"/>
        <v/>
      </c>
      <c r="D657" s="118" t="str">
        <f t="shared" si="21"/>
        <v/>
      </c>
    </row>
    <row r="658" spans="3:4" x14ac:dyDescent="0.25">
      <c r="C658" s="130" t="str">
        <f t="shared" si="20"/>
        <v/>
      </c>
      <c r="D658" s="118" t="str">
        <f t="shared" si="21"/>
        <v/>
      </c>
    </row>
    <row r="659" spans="3:4" x14ac:dyDescent="0.25">
      <c r="C659" s="130" t="str">
        <f t="shared" si="20"/>
        <v/>
      </c>
      <c r="D659" s="118" t="str">
        <f t="shared" si="21"/>
        <v/>
      </c>
    </row>
    <row r="660" spans="3:4" x14ac:dyDescent="0.25">
      <c r="C660" s="130" t="str">
        <f t="shared" si="20"/>
        <v/>
      </c>
      <c r="D660" s="118" t="str">
        <f t="shared" si="21"/>
        <v/>
      </c>
    </row>
    <row r="661" spans="3:4" x14ac:dyDescent="0.25">
      <c r="C661" s="130" t="str">
        <f t="shared" si="20"/>
        <v/>
      </c>
      <c r="D661" s="118" t="str">
        <f t="shared" si="21"/>
        <v/>
      </c>
    </row>
    <row r="662" spans="3:4" x14ac:dyDescent="0.25">
      <c r="C662" s="130" t="str">
        <f t="shared" si="20"/>
        <v/>
      </c>
      <c r="D662" s="118" t="str">
        <f t="shared" si="21"/>
        <v/>
      </c>
    </row>
    <row r="663" spans="3:4" x14ac:dyDescent="0.25">
      <c r="C663" s="130" t="str">
        <f t="shared" si="20"/>
        <v/>
      </c>
      <c r="D663" s="118" t="str">
        <f t="shared" si="21"/>
        <v/>
      </c>
    </row>
    <row r="664" spans="3:4" x14ac:dyDescent="0.25">
      <c r="C664" s="130" t="str">
        <f t="shared" si="20"/>
        <v/>
      </c>
      <c r="D664" s="118" t="str">
        <f t="shared" si="21"/>
        <v/>
      </c>
    </row>
    <row r="665" spans="3:4" x14ac:dyDescent="0.25">
      <c r="C665" s="130" t="str">
        <f t="shared" si="20"/>
        <v/>
      </c>
      <c r="D665" s="118" t="str">
        <f t="shared" si="21"/>
        <v/>
      </c>
    </row>
    <row r="666" spans="3:4" x14ac:dyDescent="0.25">
      <c r="C666" s="130" t="str">
        <f t="shared" si="20"/>
        <v/>
      </c>
      <c r="D666" s="118" t="str">
        <f t="shared" si="21"/>
        <v/>
      </c>
    </row>
    <row r="667" spans="3:4" x14ac:dyDescent="0.25">
      <c r="C667" s="130" t="str">
        <f t="shared" si="20"/>
        <v/>
      </c>
      <c r="D667" s="118" t="str">
        <f t="shared" si="21"/>
        <v/>
      </c>
    </row>
    <row r="668" spans="3:4" x14ac:dyDescent="0.25">
      <c r="C668" s="130" t="str">
        <f t="shared" si="20"/>
        <v/>
      </c>
      <c r="D668" s="118" t="str">
        <f t="shared" si="21"/>
        <v/>
      </c>
    </row>
    <row r="669" spans="3:4" x14ac:dyDescent="0.25">
      <c r="C669" s="130" t="str">
        <f t="shared" si="20"/>
        <v/>
      </c>
      <c r="D669" s="118" t="str">
        <f t="shared" si="21"/>
        <v/>
      </c>
    </row>
    <row r="670" spans="3:4" x14ac:dyDescent="0.25">
      <c r="C670" s="130" t="str">
        <f t="shared" si="20"/>
        <v/>
      </c>
      <c r="D670" s="118" t="str">
        <f t="shared" si="21"/>
        <v/>
      </c>
    </row>
    <row r="671" spans="3:4" x14ac:dyDescent="0.25">
      <c r="C671" s="130" t="str">
        <f t="shared" si="20"/>
        <v/>
      </c>
      <c r="D671" s="118" t="str">
        <f t="shared" si="21"/>
        <v/>
      </c>
    </row>
    <row r="672" spans="3:4" x14ac:dyDescent="0.25">
      <c r="C672" s="130" t="str">
        <f t="shared" si="20"/>
        <v/>
      </c>
      <c r="D672" s="118" t="str">
        <f t="shared" si="21"/>
        <v/>
      </c>
    </row>
    <row r="673" spans="3:4" x14ac:dyDescent="0.25">
      <c r="C673" s="130" t="str">
        <f t="shared" si="20"/>
        <v/>
      </c>
      <c r="D673" s="118" t="str">
        <f t="shared" si="21"/>
        <v/>
      </c>
    </row>
    <row r="674" spans="3:4" x14ac:dyDescent="0.25">
      <c r="C674" s="130" t="str">
        <f t="shared" si="20"/>
        <v/>
      </c>
      <c r="D674" s="118" t="str">
        <f t="shared" si="21"/>
        <v/>
      </c>
    </row>
    <row r="675" spans="3:4" x14ac:dyDescent="0.25">
      <c r="C675" s="130" t="str">
        <f t="shared" si="20"/>
        <v/>
      </c>
      <c r="D675" s="118" t="str">
        <f t="shared" si="21"/>
        <v/>
      </c>
    </row>
    <row r="676" spans="3:4" x14ac:dyDescent="0.25">
      <c r="C676" s="130" t="str">
        <f t="shared" si="20"/>
        <v/>
      </c>
      <c r="D676" s="118" t="str">
        <f t="shared" si="21"/>
        <v/>
      </c>
    </row>
    <row r="677" spans="3:4" x14ac:dyDescent="0.25">
      <c r="C677" s="130" t="str">
        <f t="shared" si="20"/>
        <v/>
      </c>
      <c r="D677" s="118" t="str">
        <f t="shared" si="21"/>
        <v/>
      </c>
    </row>
    <row r="678" spans="3:4" x14ac:dyDescent="0.25">
      <c r="C678" s="130" t="str">
        <f t="shared" si="20"/>
        <v/>
      </c>
      <c r="D678" s="118" t="str">
        <f t="shared" si="21"/>
        <v/>
      </c>
    </row>
    <row r="679" spans="3:4" x14ac:dyDescent="0.25">
      <c r="C679" s="130" t="str">
        <f t="shared" si="20"/>
        <v/>
      </c>
      <c r="D679" s="118" t="str">
        <f t="shared" si="21"/>
        <v/>
      </c>
    </row>
    <row r="680" spans="3:4" x14ac:dyDescent="0.25">
      <c r="C680" s="130" t="str">
        <f t="shared" si="20"/>
        <v/>
      </c>
      <c r="D680" s="118" t="str">
        <f t="shared" si="21"/>
        <v/>
      </c>
    </row>
    <row r="681" spans="3:4" x14ac:dyDescent="0.25">
      <c r="C681" s="130" t="str">
        <f t="shared" si="20"/>
        <v/>
      </c>
      <c r="D681" s="118" t="str">
        <f t="shared" si="21"/>
        <v/>
      </c>
    </row>
    <row r="682" spans="3:4" x14ac:dyDescent="0.25">
      <c r="C682" s="130" t="str">
        <f t="shared" si="20"/>
        <v/>
      </c>
      <c r="D682" s="118" t="str">
        <f t="shared" si="21"/>
        <v/>
      </c>
    </row>
    <row r="683" spans="3:4" x14ac:dyDescent="0.25">
      <c r="C683" s="130" t="str">
        <f t="shared" si="20"/>
        <v/>
      </c>
      <c r="D683" s="118" t="str">
        <f t="shared" si="21"/>
        <v/>
      </c>
    </row>
    <row r="684" spans="3:4" x14ac:dyDescent="0.25">
      <c r="C684" s="130" t="str">
        <f t="shared" si="20"/>
        <v/>
      </c>
      <c r="D684" s="118" t="str">
        <f t="shared" si="21"/>
        <v/>
      </c>
    </row>
    <row r="685" spans="3:4" x14ac:dyDescent="0.25">
      <c r="C685" s="130" t="str">
        <f t="shared" si="20"/>
        <v/>
      </c>
      <c r="D685" s="118" t="str">
        <f t="shared" si="21"/>
        <v/>
      </c>
    </row>
    <row r="686" spans="3:4" x14ac:dyDescent="0.25">
      <c r="C686" s="130" t="str">
        <f t="shared" si="20"/>
        <v/>
      </c>
      <c r="D686" s="118" t="str">
        <f t="shared" si="21"/>
        <v/>
      </c>
    </row>
    <row r="687" spans="3:4" x14ac:dyDescent="0.25">
      <c r="C687" s="130" t="str">
        <f t="shared" si="20"/>
        <v/>
      </c>
      <c r="D687" s="118" t="str">
        <f t="shared" si="21"/>
        <v/>
      </c>
    </row>
    <row r="688" spans="3:4" x14ac:dyDescent="0.25">
      <c r="C688" s="130" t="str">
        <f t="shared" si="20"/>
        <v/>
      </c>
      <c r="D688" s="118" t="str">
        <f t="shared" si="21"/>
        <v/>
      </c>
    </row>
    <row r="689" spans="3:4" x14ac:dyDescent="0.25">
      <c r="C689" s="130" t="str">
        <f t="shared" si="20"/>
        <v/>
      </c>
      <c r="D689" s="118" t="str">
        <f t="shared" si="21"/>
        <v/>
      </c>
    </row>
    <row r="690" spans="3:4" x14ac:dyDescent="0.25">
      <c r="C690" s="130" t="str">
        <f t="shared" si="20"/>
        <v/>
      </c>
      <c r="D690" s="118" t="str">
        <f t="shared" si="21"/>
        <v/>
      </c>
    </row>
    <row r="691" spans="3:4" x14ac:dyDescent="0.25">
      <c r="C691" s="130" t="str">
        <f t="shared" si="20"/>
        <v/>
      </c>
      <c r="D691" s="118" t="str">
        <f t="shared" si="21"/>
        <v/>
      </c>
    </row>
    <row r="692" spans="3:4" x14ac:dyDescent="0.25">
      <c r="C692" s="130" t="str">
        <f t="shared" si="20"/>
        <v/>
      </c>
      <c r="D692" s="118" t="str">
        <f t="shared" si="21"/>
        <v/>
      </c>
    </row>
    <row r="693" spans="3:4" x14ac:dyDescent="0.25">
      <c r="C693" s="130" t="str">
        <f t="shared" si="20"/>
        <v/>
      </c>
      <c r="D693" s="118" t="str">
        <f t="shared" si="21"/>
        <v/>
      </c>
    </row>
    <row r="694" spans="3:4" x14ac:dyDescent="0.25">
      <c r="C694" s="130" t="str">
        <f t="shared" si="20"/>
        <v/>
      </c>
      <c r="D694" s="118" t="str">
        <f t="shared" si="21"/>
        <v/>
      </c>
    </row>
    <row r="695" spans="3:4" x14ac:dyDescent="0.25">
      <c r="C695" s="130" t="str">
        <f t="shared" si="20"/>
        <v/>
      </c>
      <c r="D695" s="118" t="str">
        <f t="shared" si="21"/>
        <v/>
      </c>
    </row>
    <row r="696" spans="3:4" x14ac:dyDescent="0.25">
      <c r="C696" s="130" t="str">
        <f t="shared" si="20"/>
        <v/>
      </c>
      <c r="D696" s="118" t="str">
        <f t="shared" si="21"/>
        <v/>
      </c>
    </row>
    <row r="697" spans="3:4" x14ac:dyDescent="0.25">
      <c r="C697" s="130" t="str">
        <f t="shared" si="20"/>
        <v/>
      </c>
      <c r="D697" s="118" t="str">
        <f t="shared" si="21"/>
        <v/>
      </c>
    </row>
    <row r="698" spans="3:4" x14ac:dyDescent="0.25">
      <c r="C698" s="130" t="str">
        <f t="shared" si="20"/>
        <v/>
      </c>
      <c r="D698" s="118" t="str">
        <f t="shared" si="21"/>
        <v/>
      </c>
    </row>
    <row r="699" spans="3:4" x14ac:dyDescent="0.25">
      <c r="C699" s="130" t="str">
        <f t="shared" si="20"/>
        <v/>
      </c>
      <c r="D699" s="118" t="str">
        <f t="shared" si="21"/>
        <v/>
      </c>
    </row>
    <row r="700" spans="3:4" x14ac:dyDescent="0.25">
      <c r="C700" s="130" t="str">
        <f t="shared" si="20"/>
        <v/>
      </c>
      <c r="D700" s="118" t="str">
        <f t="shared" si="21"/>
        <v/>
      </c>
    </row>
    <row r="701" spans="3:4" x14ac:dyDescent="0.25">
      <c r="C701" s="130" t="str">
        <f t="shared" si="20"/>
        <v/>
      </c>
      <c r="D701" s="118" t="str">
        <f t="shared" si="21"/>
        <v/>
      </c>
    </row>
    <row r="702" spans="3:4" x14ac:dyDescent="0.25">
      <c r="C702" s="130" t="str">
        <f t="shared" si="20"/>
        <v/>
      </c>
      <c r="D702" s="118" t="str">
        <f t="shared" si="21"/>
        <v/>
      </c>
    </row>
    <row r="703" spans="3:4" x14ac:dyDescent="0.25">
      <c r="C703" s="130" t="str">
        <f t="shared" si="20"/>
        <v/>
      </c>
      <c r="D703" s="118" t="str">
        <f t="shared" si="21"/>
        <v/>
      </c>
    </row>
    <row r="704" spans="3:4" x14ac:dyDescent="0.25">
      <c r="C704" s="130" t="str">
        <f t="shared" si="20"/>
        <v/>
      </c>
      <c r="D704" s="118" t="str">
        <f t="shared" si="21"/>
        <v/>
      </c>
    </row>
    <row r="705" spans="3:4" x14ac:dyDescent="0.25">
      <c r="C705" s="130" t="str">
        <f t="shared" si="20"/>
        <v/>
      </c>
      <c r="D705" s="118" t="str">
        <f t="shared" si="21"/>
        <v/>
      </c>
    </row>
    <row r="706" spans="3:4" x14ac:dyDescent="0.25">
      <c r="C706" s="130" t="str">
        <f t="shared" si="20"/>
        <v/>
      </c>
      <c r="D706" s="118" t="str">
        <f t="shared" si="21"/>
        <v/>
      </c>
    </row>
    <row r="707" spans="3:4" x14ac:dyDescent="0.25">
      <c r="C707" s="130" t="str">
        <f t="shared" si="20"/>
        <v/>
      </c>
      <c r="D707" s="118" t="str">
        <f t="shared" si="21"/>
        <v/>
      </c>
    </row>
    <row r="708" spans="3:4" x14ac:dyDescent="0.25">
      <c r="C708" s="130" t="str">
        <f t="shared" si="20"/>
        <v/>
      </c>
      <c r="D708" s="118" t="str">
        <f t="shared" si="21"/>
        <v/>
      </c>
    </row>
    <row r="709" spans="3:4" x14ac:dyDescent="0.25">
      <c r="C709" s="130" t="str">
        <f t="shared" si="20"/>
        <v/>
      </c>
      <c r="D709" s="118" t="str">
        <f t="shared" si="21"/>
        <v/>
      </c>
    </row>
    <row r="710" spans="3:4" x14ac:dyDescent="0.25">
      <c r="C710" s="130" t="str">
        <f t="shared" si="20"/>
        <v/>
      </c>
      <c r="D710" s="118" t="str">
        <f t="shared" si="21"/>
        <v/>
      </c>
    </row>
    <row r="711" spans="3:4" x14ac:dyDescent="0.25">
      <c r="C711" s="130" t="str">
        <f t="shared" si="20"/>
        <v/>
      </c>
      <c r="D711" s="118" t="str">
        <f t="shared" si="21"/>
        <v/>
      </c>
    </row>
    <row r="712" spans="3:4" x14ac:dyDescent="0.25">
      <c r="C712" s="130" t="str">
        <f t="shared" si="20"/>
        <v/>
      </c>
      <c r="D712" s="118" t="str">
        <f t="shared" si="21"/>
        <v/>
      </c>
    </row>
    <row r="713" spans="3:4" x14ac:dyDescent="0.25">
      <c r="C713" s="130" t="str">
        <f t="shared" si="20"/>
        <v/>
      </c>
      <c r="D713" s="118" t="str">
        <f t="shared" si="21"/>
        <v/>
      </c>
    </row>
    <row r="714" spans="3:4" x14ac:dyDescent="0.25">
      <c r="C714" s="130" t="str">
        <f t="shared" si="20"/>
        <v/>
      </c>
      <c r="D714" s="118" t="str">
        <f t="shared" si="21"/>
        <v/>
      </c>
    </row>
    <row r="715" spans="3:4" x14ac:dyDescent="0.25">
      <c r="C715" s="130" t="str">
        <f t="shared" si="20"/>
        <v/>
      </c>
      <c r="D715" s="118" t="str">
        <f t="shared" si="21"/>
        <v/>
      </c>
    </row>
    <row r="716" spans="3:4" x14ac:dyDescent="0.25">
      <c r="C716" s="130" t="str">
        <f t="shared" si="20"/>
        <v/>
      </c>
      <c r="D716" s="118" t="str">
        <f t="shared" si="21"/>
        <v/>
      </c>
    </row>
    <row r="717" spans="3:4" x14ac:dyDescent="0.25">
      <c r="C717" s="130" t="str">
        <f t="shared" si="20"/>
        <v/>
      </c>
      <c r="D717" s="118" t="str">
        <f t="shared" si="21"/>
        <v/>
      </c>
    </row>
    <row r="718" spans="3:4" x14ac:dyDescent="0.25">
      <c r="C718" s="130" t="str">
        <f t="shared" ref="C718:C781" si="22">IF(A718=0,"",VLOOKUP(B718,MatDB,2,FALSE))</f>
        <v/>
      </c>
      <c r="D718" s="118" t="str">
        <f t="shared" si="21"/>
        <v/>
      </c>
    </row>
    <row r="719" spans="3:4" x14ac:dyDescent="0.25">
      <c r="C719" s="130" t="str">
        <f t="shared" si="22"/>
        <v/>
      </c>
      <c r="D719" s="118" t="str">
        <f t="shared" ref="D719:D782" si="23">IF(A719=0,"","Concrete04")</f>
        <v/>
      </c>
    </row>
    <row r="720" spans="3:4" x14ac:dyDescent="0.25">
      <c r="C720" s="130" t="str">
        <f t="shared" si="22"/>
        <v/>
      </c>
      <c r="D720" s="118" t="str">
        <f t="shared" si="23"/>
        <v/>
      </c>
    </row>
    <row r="721" spans="3:4" x14ac:dyDescent="0.25">
      <c r="C721" s="130" t="str">
        <f t="shared" si="22"/>
        <v/>
      </c>
      <c r="D721" s="118" t="str">
        <f t="shared" si="23"/>
        <v/>
      </c>
    </row>
    <row r="722" spans="3:4" x14ac:dyDescent="0.25">
      <c r="C722" s="130" t="str">
        <f t="shared" si="22"/>
        <v/>
      </c>
      <c r="D722" s="118" t="str">
        <f t="shared" si="23"/>
        <v/>
      </c>
    </row>
    <row r="723" spans="3:4" x14ac:dyDescent="0.25">
      <c r="C723" s="130" t="str">
        <f t="shared" si="22"/>
        <v/>
      </c>
      <c r="D723" s="118" t="str">
        <f t="shared" si="23"/>
        <v/>
      </c>
    </row>
    <row r="724" spans="3:4" x14ac:dyDescent="0.25">
      <c r="C724" s="130" t="str">
        <f t="shared" si="22"/>
        <v/>
      </c>
      <c r="D724" s="118" t="str">
        <f t="shared" si="23"/>
        <v/>
      </c>
    </row>
    <row r="725" spans="3:4" x14ac:dyDescent="0.25">
      <c r="C725" s="130" t="str">
        <f t="shared" si="22"/>
        <v/>
      </c>
      <c r="D725" s="118" t="str">
        <f t="shared" si="23"/>
        <v/>
      </c>
    </row>
    <row r="726" spans="3:4" x14ac:dyDescent="0.25">
      <c r="C726" s="130" t="str">
        <f t="shared" si="22"/>
        <v/>
      </c>
      <c r="D726" s="118" t="str">
        <f t="shared" si="23"/>
        <v/>
      </c>
    </row>
    <row r="727" spans="3:4" x14ac:dyDescent="0.25">
      <c r="C727" s="130" t="str">
        <f t="shared" si="22"/>
        <v/>
      </c>
      <c r="D727" s="118" t="str">
        <f t="shared" si="23"/>
        <v/>
      </c>
    </row>
    <row r="728" spans="3:4" x14ac:dyDescent="0.25">
      <c r="C728" s="130" t="str">
        <f t="shared" si="22"/>
        <v/>
      </c>
      <c r="D728" s="118" t="str">
        <f t="shared" si="23"/>
        <v/>
      </c>
    </row>
    <row r="729" spans="3:4" x14ac:dyDescent="0.25">
      <c r="C729" s="130" t="str">
        <f t="shared" si="22"/>
        <v/>
      </c>
      <c r="D729" s="118" t="str">
        <f t="shared" si="23"/>
        <v/>
      </c>
    </row>
    <row r="730" spans="3:4" x14ac:dyDescent="0.25">
      <c r="C730" s="130" t="str">
        <f t="shared" si="22"/>
        <v/>
      </c>
      <c r="D730" s="118" t="str">
        <f t="shared" si="23"/>
        <v/>
      </c>
    </row>
    <row r="731" spans="3:4" x14ac:dyDescent="0.25">
      <c r="C731" s="130" t="str">
        <f t="shared" si="22"/>
        <v/>
      </c>
      <c r="D731" s="118" t="str">
        <f t="shared" si="23"/>
        <v/>
      </c>
    </row>
    <row r="732" spans="3:4" x14ac:dyDescent="0.25">
      <c r="C732" s="130" t="str">
        <f t="shared" si="22"/>
        <v/>
      </c>
      <c r="D732" s="118" t="str">
        <f t="shared" si="23"/>
        <v/>
      </c>
    </row>
    <row r="733" spans="3:4" x14ac:dyDescent="0.25">
      <c r="C733" s="130" t="str">
        <f t="shared" si="22"/>
        <v/>
      </c>
      <c r="D733" s="118" t="str">
        <f t="shared" si="23"/>
        <v/>
      </c>
    </row>
    <row r="734" spans="3:4" x14ac:dyDescent="0.25">
      <c r="C734" s="130" t="str">
        <f t="shared" si="22"/>
        <v/>
      </c>
      <c r="D734" s="118" t="str">
        <f t="shared" si="23"/>
        <v/>
      </c>
    </row>
    <row r="735" spans="3:4" x14ac:dyDescent="0.25">
      <c r="C735" s="130" t="str">
        <f t="shared" si="22"/>
        <v/>
      </c>
      <c r="D735" s="118" t="str">
        <f t="shared" si="23"/>
        <v/>
      </c>
    </row>
    <row r="736" spans="3:4" x14ac:dyDescent="0.25">
      <c r="C736" s="130" t="str">
        <f t="shared" si="22"/>
        <v/>
      </c>
      <c r="D736" s="118" t="str">
        <f t="shared" si="23"/>
        <v/>
      </c>
    </row>
    <row r="737" spans="3:4" x14ac:dyDescent="0.25">
      <c r="C737" s="130" t="str">
        <f t="shared" si="22"/>
        <v/>
      </c>
      <c r="D737" s="118" t="str">
        <f t="shared" si="23"/>
        <v/>
      </c>
    </row>
    <row r="738" spans="3:4" x14ac:dyDescent="0.25">
      <c r="C738" s="130" t="str">
        <f t="shared" si="22"/>
        <v/>
      </c>
      <c r="D738" s="118" t="str">
        <f t="shared" si="23"/>
        <v/>
      </c>
    </row>
    <row r="739" spans="3:4" x14ac:dyDescent="0.25">
      <c r="C739" s="130" t="str">
        <f t="shared" si="22"/>
        <v/>
      </c>
      <c r="D739" s="118" t="str">
        <f t="shared" si="23"/>
        <v/>
      </c>
    </row>
    <row r="740" spans="3:4" x14ac:dyDescent="0.25">
      <c r="C740" s="130" t="str">
        <f t="shared" si="22"/>
        <v/>
      </c>
      <c r="D740" s="118" t="str">
        <f t="shared" si="23"/>
        <v/>
      </c>
    </row>
    <row r="741" spans="3:4" x14ac:dyDescent="0.25">
      <c r="C741" s="130" t="str">
        <f t="shared" si="22"/>
        <v/>
      </c>
      <c r="D741" s="118" t="str">
        <f t="shared" si="23"/>
        <v/>
      </c>
    </row>
    <row r="742" spans="3:4" x14ac:dyDescent="0.25">
      <c r="C742" s="130" t="str">
        <f t="shared" si="22"/>
        <v/>
      </c>
      <c r="D742" s="118" t="str">
        <f t="shared" si="23"/>
        <v/>
      </c>
    </row>
    <row r="743" spans="3:4" x14ac:dyDescent="0.25">
      <c r="C743" s="130" t="str">
        <f t="shared" si="22"/>
        <v/>
      </c>
      <c r="D743" s="118" t="str">
        <f t="shared" si="23"/>
        <v/>
      </c>
    </row>
    <row r="744" spans="3:4" x14ac:dyDescent="0.25">
      <c r="C744" s="130" t="str">
        <f t="shared" si="22"/>
        <v/>
      </c>
      <c r="D744" s="118" t="str">
        <f t="shared" si="23"/>
        <v/>
      </c>
    </row>
    <row r="745" spans="3:4" x14ac:dyDescent="0.25">
      <c r="C745" s="130" t="str">
        <f t="shared" si="22"/>
        <v/>
      </c>
      <c r="D745" s="118" t="str">
        <f t="shared" si="23"/>
        <v/>
      </c>
    </row>
    <row r="746" spans="3:4" x14ac:dyDescent="0.25">
      <c r="C746" s="130" t="str">
        <f t="shared" si="22"/>
        <v/>
      </c>
      <c r="D746" s="118" t="str">
        <f t="shared" si="23"/>
        <v/>
      </c>
    </row>
    <row r="747" spans="3:4" x14ac:dyDescent="0.25">
      <c r="C747" s="130" t="str">
        <f t="shared" si="22"/>
        <v/>
      </c>
      <c r="D747" s="118" t="str">
        <f t="shared" si="23"/>
        <v/>
      </c>
    </row>
    <row r="748" spans="3:4" x14ac:dyDescent="0.25">
      <c r="C748" s="130" t="str">
        <f t="shared" si="22"/>
        <v/>
      </c>
      <c r="D748" s="118" t="str">
        <f t="shared" si="23"/>
        <v/>
      </c>
    </row>
    <row r="749" spans="3:4" x14ac:dyDescent="0.25">
      <c r="C749" s="130" t="str">
        <f t="shared" si="22"/>
        <v/>
      </c>
      <c r="D749" s="118" t="str">
        <f t="shared" si="23"/>
        <v/>
      </c>
    </row>
    <row r="750" spans="3:4" x14ac:dyDescent="0.25">
      <c r="C750" s="130" t="str">
        <f t="shared" si="22"/>
        <v/>
      </c>
      <c r="D750" s="118" t="str">
        <f t="shared" si="23"/>
        <v/>
      </c>
    </row>
    <row r="751" spans="3:4" x14ac:dyDescent="0.25">
      <c r="C751" s="130" t="str">
        <f t="shared" si="22"/>
        <v/>
      </c>
      <c r="D751" s="118" t="str">
        <f t="shared" si="23"/>
        <v/>
      </c>
    </row>
    <row r="752" spans="3:4" x14ac:dyDescent="0.25">
      <c r="C752" s="130" t="str">
        <f t="shared" si="22"/>
        <v/>
      </c>
      <c r="D752" s="118" t="str">
        <f t="shared" si="23"/>
        <v/>
      </c>
    </row>
    <row r="753" spans="3:4" x14ac:dyDescent="0.25">
      <c r="C753" s="130" t="str">
        <f t="shared" si="22"/>
        <v/>
      </c>
      <c r="D753" s="118" t="str">
        <f t="shared" si="23"/>
        <v/>
      </c>
    </row>
    <row r="754" spans="3:4" x14ac:dyDescent="0.25">
      <c r="C754" s="130" t="str">
        <f t="shared" si="22"/>
        <v/>
      </c>
      <c r="D754" s="118" t="str">
        <f t="shared" si="23"/>
        <v/>
      </c>
    </row>
    <row r="755" spans="3:4" x14ac:dyDescent="0.25">
      <c r="C755" s="130" t="str">
        <f t="shared" si="22"/>
        <v/>
      </c>
      <c r="D755" s="118" t="str">
        <f t="shared" si="23"/>
        <v/>
      </c>
    </row>
    <row r="756" spans="3:4" x14ac:dyDescent="0.25">
      <c r="C756" s="130" t="str">
        <f t="shared" si="22"/>
        <v/>
      </c>
      <c r="D756" s="118" t="str">
        <f t="shared" si="23"/>
        <v/>
      </c>
    </row>
    <row r="757" spans="3:4" x14ac:dyDescent="0.25">
      <c r="C757" s="130" t="str">
        <f t="shared" si="22"/>
        <v/>
      </c>
      <c r="D757" s="118" t="str">
        <f t="shared" si="23"/>
        <v/>
      </c>
    </row>
    <row r="758" spans="3:4" x14ac:dyDescent="0.25">
      <c r="C758" s="130" t="str">
        <f t="shared" si="22"/>
        <v/>
      </c>
      <c r="D758" s="118" t="str">
        <f t="shared" si="23"/>
        <v/>
      </c>
    </row>
    <row r="759" spans="3:4" x14ac:dyDescent="0.25">
      <c r="C759" s="130" t="str">
        <f t="shared" si="22"/>
        <v/>
      </c>
      <c r="D759" s="118" t="str">
        <f t="shared" si="23"/>
        <v/>
      </c>
    </row>
    <row r="760" spans="3:4" x14ac:dyDescent="0.25">
      <c r="C760" s="130" t="str">
        <f t="shared" si="22"/>
        <v/>
      </c>
      <c r="D760" s="118" t="str">
        <f t="shared" si="23"/>
        <v/>
      </c>
    </row>
    <row r="761" spans="3:4" x14ac:dyDescent="0.25">
      <c r="C761" s="130" t="str">
        <f t="shared" si="22"/>
        <v/>
      </c>
      <c r="D761" s="118" t="str">
        <f t="shared" si="23"/>
        <v/>
      </c>
    </row>
    <row r="762" spans="3:4" x14ac:dyDescent="0.25">
      <c r="C762" s="130" t="str">
        <f t="shared" si="22"/>
        <v/>
      </c>
      <c r="D762" s="118" t="str">
        <f t="shared" si="23"/>
        <v/>
      </c>
    </row>
    <row r="763" spans="3:4" x14ac:dyDescent="0.25">
      <c r="C763" s="130" t="str">
        <f t="shared" si="22"/>
        <v/>
      </c>
      <c r="D763" s="118" t="str">
        <f t="shared" si="23"/>
        <v/>
      </c>
    </row>
    <row r="764" spans="3:4" x14ac:dyDescent="0.25">
      <c r="C764" s="130" t="str">
        <f t="shared" si="22"/>
        <v/>
      </c>
      <c r="D764" s="118" t="str">
        <f t="shared" si="23"/>
        <v/>
      </c>
    </row>
    <row r="765" spans="3:4" x14ac:dyDescent="0.25">
      <c r="C765" s="130" t="str">
        <f t="shared" si="22"/>
        <v/>
      </c>
      <c r="D765" s="118" t="str">
        <f t="shared" si="23"/>
        <v/>
      </c>
    </row>
    <row r="766" spans="3:4" x14ac:dyDescent="0.25">
      <c r="C766" s="130" t="str">
        <f t="shared" si="22"/>
        <v/>
      </c>
      <c r="D766" s="118" t="str">
        <f t="shared" si="23"/>
        <v/>
      </c>
    </row>
    <row r="767" spans="3:4" x14ac:dyDescent="0.25">
      <c r="C767" s="130" t="str">
        <f t="shared" si="22"/>
        <v/>
      </c>
      <c r="D767" s="118" t="str">
        <f t="shared" si="23"/>
        <v/>
      </c>
    </row>
    <row r="768" spans="3:4" x14ac:dyDescent="0.25">
      <c r="C768" s="130" t="str">
        <f t="shared" si="22"/>
        <v/>
      </c>
      <c r="D768" s="118" t="str">
        <f t="shared" si="23"/>
        <v/>
      </c>
    </row>
    <row r="769" spans="3:4" x14ac:dyDescent="0.25">
      <c r="C769" s="130" t="str">
        <f t="shared" si="22"/>
        <v/>
      </c>
      <c r="D769" s="118" t="str">
        <f t="shared" si="23"/>
        <v/>
      </c>
    </row>
    <row r="770" spans="3:4" x14ac:dyDescent="0.25">
      <c r="C770" s="130" t="str">
        <f t="shared" si="22"/>
        <v/>
      </c>
      <c r="D770" s="118" t="str">
        <f t="shared" si="23"/>
        <v/>
      </c>
    </row>
    <row r="771" spans="3:4" x14ac:dyDescent="0.25">
      <c r="C771" s="130" t="str">
        <f t="shared" si="22"/>
        <v/>
      </c>
      <c r="D771" s="118" t="str">
        <f t="shared" si="23"/>
        <v/>
      </c>
    </row>
    <row r="772" spans="3:4" x14ac:dyDescent="0.25">
      <c r="C772" s="130" t="str">
        <f t="shared" si="22"/>
        <v/>
      </c>
      <c r="D772" s="118" t="str">
        <f t="shared" si="23"/>
        <v/>
      </c>
    </row>
    <row r="773" spans="3:4" x14ac:dyDescent="0.25">
      <c r="C773" s="130" t="str">
        <f t="shared" si="22"/>
        <v/>
      </c>
      <c r="D773" s="118" t="str">
        <f t="shared" si="23"/>
        <v/>
      </c>
    </row>
    <row r="774" spans="3:4" x14ac:dyDescent="0.25">
      <c r="C774" s="130" t="str">
        <f t="shared" si="22"/>
        <v/>
      </c>
      <c r="D774" s="118" t="str">
        <f t="shared" si="23"/>
        <v/>
      </c>
    </row>
    <row r="775" spans="3:4" x14ac:dyDescent="0.25">
      <c r="C775" s="130" t="str">
        <f t="shared" si="22"/>
        <v/>
      </c>
      <c r="D775" s="118" t="str">
        <f t="shared" si="23"/>
        <v/>
      </c>
    </row>
    <row r="776" spans="3:4" x14ac:dyDescent="0.25">
      <c r="C776" s="130" t="str">
        <f t="shared" si="22"/>
        <v/>
      </c>
      <c r="D776" s="118" t="str">
        <f t="shared" si="23"/>
        <v/>
      </c>
    </row>
    <row r="777" spans="3:4" x14ac:dyDescent="0.25">
      <c r="C777" s="130" t="str">
        <f t="shared" si="22"/>
        <v/>
      </c>
      <c r="D777" s="118" t="str">
        <f t="shared" si="23"/>
        <v/>
      </c>
    </row>
    <row r="778" spans="3:4" x14ac:dyDescent="0.25">
      <c r="C778" s="130" t="str">
        <f t="shared" si="22"/>
        <v/>
      </c>
      <c r="D778" s="118" t="str">
        <f t="shared" si="23"/>
        <v/>
      </c>
    </row>
    <row r="779" spans="3:4" x14ac:dyDescent="0.25">
      <c r="C779" s="130" t="str">
        <f t="shared" si="22"/>
        <v/>
      </c>
      <c r="D779" s="118" t="str">
        <f t="shared" si="23"/>
        <v/>
      </c>
    </row>
    <row r="780" spans="3:4" x14ac:dyDescent="0.25">
      <c r="C780" s="130" t="str">
        <f t="shared" si="22"/>
        <v/>
      </c>
      <c r="D780" s="118" t="str">
        <f t="shared" si="23"/>
        <v/>
      </c>
    </row>
    <row r="781" spans="3:4" x14ac:dyDescent="0.25">
      <c r="C781" s="130" t="str">
        <f t="shared" si="22"/>
        <v/>
      </c>
      <c r="D781" s="118" t="str">
        <f t="shared" si="23"/>
        <v/>
      </c>
    </row>
    <row r="782" spans="3:4" x14ac:dyDescent="0.25">
      <c r="C782" s="130" t="str">
        <f t="shared" ref="C782:C845" si="24">IF(A782=0,"",VLOOKUP(B782,MatDB,2,FALSE))</f>
        <v/>
      </c>
      <c r="D782" s="118" t="str">
        <f t="shared" si="23"/>
        <v/>
      </c>
    </row>
    <row r="783" spans="3:4" x14ac:dyDescent="0.25">
      <c r="C783" s="130" t="str">
        <f t="shared" si="24"/>
        <v/>
      </c>
      <c r="D783" s="118" t="str">
        <f t="shared" ref="D783:D846" si="25">IF(A783=0,"","Concrete04")</f>
        <v/>
      </c>
    </row>
    <row r="784" spans="3:4" x14ac:dyDescent="0.25">
      <c r="C784" s="130" t="str">
        <f t="shared" si="24"/>
        <v/>
      </c>
      <c r="D784" s="118" t="str">
        <f t="shared" si="25"/>
        <v/>
      </c>
    </row>
    <row r="785" spans="3:4" x14ac:dyDescent="0.25">
      <c r="C785" s="130" t="str">
        <f t="shared" si="24"/>
        <v/>
      </c>
      <c r="D785" s="118" t="str">
        <f t="shared" si="25"/>
        <v/>
      </c>
    </row>
    <row r="786" spans="3:4" x14ac:dyDescent="0.25">
      <c r="C786" s="130" t="str">
        <f t="shared" si="24"/>
        <v/>
      </c>
      <c r="D786" s="118" t="str">
        <f t="shared" si="25"/>
        <v/>
      </c>
    </row>
    <row r="787" spans="3:4" x14ac:dyDescent="0.25">
      <c r="C787" s="130" t="str">
        <f t="shared" si="24"/>
        <v/>
      </c>
      <c r="D787" s="118" t="str">
        <f t="shared" si="25"/>
        <v/>
      </c>
    </row>
    <row r="788" spans="3:4" x14ac:dyDescent="0.25">
      <c r="C788" s="130" t="str">
        <f t="shared" si="24"/>
        <v/>
      </c>
      <c r="D788" s="118" t="str">
        <f t="shared" si="25"/>
        <v/>
      </c>
    </row>
    <row r="789" spans="3:4" x14ac:dyDescent="0.25">
      <c r="C789" s="130" t="str">
        <f t="shared" si="24"/>
        <v/>
      </c>
      <c r="D789" s="118" t="str">
        <f t="shared" si="25"/>
        <v/>
      </c>
    </row>
    <row r="790" spans="3:4" x14ac:dyDescent="0.25">
      <c r="C790" s="130" t="str">
        <f t="shared" si="24"/>
        <v/>
      </c>
      <c r="D790" s="118" t="str">
        <f t="shared" si="25"/>
        <v/>
      </c>
    </row>
    <row r="791" spans="3:4" x14ac:dyDescent="0.25">
      <c r="C791" s="130" t="str">
        <f t="shared" si="24"/>
        <v/>
      </c>
      <c r="D791" s="118" t="str">
        <f t="shared" si="25"/>
        <v/>
      </c>
    </row>
    <row r="792" spans="3:4" x14ac:dyDescent="0.25">
      <c r="C792" s="130" t="str">
        <f t="shared" si="24"/>
        <v/>
      </c>
      <c r="D792" s="118" t="str">
        <f t="shared" si="25"/>
        <v/>
      </c>
    </row>
    <row r="793" spans="3:4" x14ac:dyDescent="0.25">
      <c r="C793" s="130" t="str">
        <f t="shared" si="24"/>
        <v/>
      </c>
      <c r="D793" s="118" t="str">
        <f t="shared" si="25"/>
        <v/>
      </c>
    </row>
    <row r="794" spans="3:4" x14ac:dyDescent="0.25">
      <c r="C794" s="130" t="str">
        <f t="shared" si="24"/>
        <v/>
      </c>
      <c r="D794" s="118" t="str">
        <f t="shared" si="25"/>
        <v/>
      </c>
    </row>
    <row r="795" spans="3:4" x14ac:dyDescent="0.25">
      <c r="C795" s="130" t="str">
        <f t="shared" si="24"/>
        <v/>
      </c>
      <c r="D795" s="118" t="str">
        <f t="shared" si="25"/>
        <v/>
      </c>
    </row>
    <row r="796" spans="3:4" x14ac:dyDescent="0.25">
      <c r="C796" s="130" t="str">
        <f t="shared" si="24"/>
        <v/>
      </c>
      <c r="D796" s="118" t="str">
        <f t="shared" si="25"/>
        <v/>
      </c>
    </row>
    <row r="797" spans="3:4" x14ac:dyDescent="0.25">
      <c r="C797" s="130" t="str">
        <f t="shared" si="24"/>
        <v/>
      </c>
      <c r="D797" s="118" t="str">
        <f t="shared" si="25"/>
        <v/>
      </c>
    </row>
    <row r="798" spans="3:4" x14ac:dyDescent="0.25">
      <c r="C798" s="130" t="str">
        <f t="shared" si="24"/>
        <v/>
      </c>
      <c r="D798" s="118" t="str">
        <f t="shared" si="25"/>
        <v/>
      </c>
    </row>
    <row r="799" spans="3:4" x14ac:dyDescent="0.25">
      <c r="C799" s="130" t="str">
        <f t="shared" si="24"/>
        <v/>
      </c>
      <c r="D799" s="118" t="str">
        <f t="shared" si="25"/>
        <v/>
      </c>
    </row>
    <row r="800" spans="3:4" x14ac:dyDescent="0.25">
      <c r="C800" s="130" t="str">
        <f t="shared" si="24"/>
        <v/>
      </c>
      <c r="D800" s="118" t="str">
        <f t="shared" si="25"/>
        <v/>
      </c>
    </row>
    <row r="801" spans="3:4" x14ac:dyDescent="0.25">
      <c r="C801" s="130" t="str">
        <f t="shared" si="24"/>
        <v/>
      </c>
      <c r="D801" s="118" t="str">
        <f t="shared" si="25"/>
        <v/>
      </c>
    </row>
    <row r="802" spans="3:4" x14ac:dyDescent="0.25">
      <c r="C802" s="130" t="str">
        <f t="shared" si="24"/>
        <v/>
      </c>
      <c r="D802" s="118" t="str">
        <f t="shared" si="25"/>
        <v/>
      </c>
    </row>
    <row r="803" spans="3:4" x14ac:dyDescent="0.25">
      <c r="C803" s="130" t="str">
        <f t="shared" si="24"/>
        <v/>
      </c>
      <c r="D803" s="118" t="str">
        <f t="shared" si="25"/>
        <v/>
      </c>
    </row>
    <row r="804" spans="3:4" x14ac:dyDescent="0.25">
      <c r="C804" s="130" t="str">
        <f t="shared" si="24"/>
        <v/>
      </c>
      <c r="D804" s="118" t="str">
        <f t="shared" si="25"/>
        <v/>
      </c>
    </row>
    <row r="805" spans="3:4" x14ac:dyDescent="0.25">
      <c r="C805" s="130" t="str">
        <f t="shared" si="24"/>
        <v/>
      </c>
      <c r="D805" s="118" t="str">
        <f t="shared" si="25"/>
        <v/>
      </c>
    </row>
    <row r="806" spans="3:4" x14ac:dyDescent="0.25">
      <c r="C806" s="130" t="str">
        <f t="shared" si="24"/>
        <v/>
      </c>
      <c r="D806" s="118" t="str">
        <f t="shared" si="25"/>
        <v/>
      </c>
    </row>
    <row r="807" spans="3:4" x14ac:dyDescent="0.25">
      <c r="C807" s="130" t="str">
        <f t="shared" si="24"/>
        <v/>
      </c>
      <c r="D807" s="118" t="str">
        <f t="shared" si="25"/>
        <v/>
      </c>
    </row>
    <row r="808" spans="3:4" x14ac:dyDescent="0.25">
      <c r="C808" s="130" t="str">
        <f t="shared" si="24"/>
        <v/>
      </c>
      <c r="D808" s="118" t="str">
        <f t="shared" si="25"/>
        <v/>
      </c>
    </row>
    <row r="809" spans="3:4" x14ac:dyDescent="0.25">
      <c r="C809" s="130" t="str">
        <f t="shared" si="24"/>
        <v/>
      </c>
      <c r="D809" s="118" t="str">
        <f t="shared" si="25"/>
        <v/>
      </c>
    </row>
    <row r="810" spans="3:4" x14ac:dyDescent="0.25">
      <c r="C810" s="130" t="str">
        <f t="shared" si="24"/>
        <v/>
      </c>
      <c r="D810" s="118" t="str">
        <f t="shared" si="25"/>
        <v/>
      </c>
    </row>
    <row r="811" spans="3:4" x14ac:dyDescent="0.25">
      <c r="C811" s="130" t="str">
        <f t="shared" si="24"/>
        <v/>
      </c>
      <c r="D811" s="118" t="str">
        <f t="shared" si="25"/>
        <v/>
      </c>
    </row>
    <row r="812" spans="3:4" x14ac:dyDescent="0.25">
      <c r="C812" s="130" t="str">
        <f t="shared" si="24"/>
        <v/>
      </c>
      <c r="D812" s="118" t="str">
        <f t="shared" si="25"/>
        <v/>
      </c>
    </row>
    <row r="813" spans="3:4" x14ac:dyDescent="0.25">
      <c r="C813" s="130" t="str">
        <f t="shared" si="24"/>
        <v/>
      </c>
      <c r="D813" s="118" t="str">
        <f t="shared" si="25"/>
        <v/>
      </c>
    </row>
    <row r="814" spans="3:4" x14ac:dyDescent="0.25">
      <c r="C814" s="130" t="str">
        <f t="shared" si="24"/>
        <v/>
      </c>
      <c r="D814" s="118" t="str">
        <f t="shared" si="25"/>
        <v/>
      </c>
    </row>
    <row r="815" spans="3:4" x14ac:dyDescent="0.25">
      <c r="C815" s="130" t="str">
        <f t="shared" si="24"/>
        <v/>
      </c>
      <c r="D815" s="118" t="str">
        <f t="shared" si="25"/>
        <v/>
      </c>
    </row>
    <row r="816" spans="3:4" x14ac:dyDescent="0.25">
      <c r="C816" s="130" t="str">
        <f t="shared" si="24"/>
        <v/>
      </c>
      <c r="D816" s="118" t="str">
        <f t="shared" si="25"/>
        <v/>
      </c>
    </row>
    <row r="817" spans="3:4" x14ac:dyDescent="0.25">
      <c r="C817" s="130" t="str">
        <f t="shared" si="24"/>
        <v/>
      </c>
      <c r="D817" s="118" t="str">
        <f t="shared" si="25"/>
        <v/>
      </c>
    </row>
    <row r="818" spans="3:4" x14ac:dyDescent="0.25">
      <c r="C818" s="130" t="str">
        <f t="shared" si="24"/>
        <v/>
      </c>
      <c r="D818" s="118" t="str">
        <f t="shared" si="25"/>
        <v/>
      </c>
    </row>
    <row r="819" spans="3:4" x14ac:dyDescent="0.25">
      <c r="C819" s="130" t="str">
        <f t="shared" si="24"/>
        <v/>
      </c>
      <c r="D819" s="118" t="str">
        <f t="shared" si="25"/>
        <v/>
      </c>
    </row>
    <row r="820" spans="3:4" x14ac:dyDescent="0.25">
      <c r="C820" s="130" t="str">
        <f t="shared" si="24"/>
        <v/>
      </c>
      <c r="D820" s="118" t="str">
        <f t="shared" si="25"/>
        <v/>
      </c>
    </row>
    <row r="821" spans="3:4" x14ac:dyDescent="0.25">
      <c r="C821" s="130" t="str">
        <f t="shared" si="24"/>
        <v/>
      </c>
      <c r="D821" s="118" t="str">
        <f t="shared" si="25"/>
        <v/>
      </c>
    </row>
    <row r="822" spans="3:4" x14ac:dyDescent="0.25">
      <c r="C822" s="130" t="str">
        <f t="shared" si="24"/>
        <v/>
      </c>
      <c r="D822" s="118" t="str">
        <f t="shared" si="25"/>
        <v/>
      </c>
    </row>
    <row r="823" spans="3:4" x14ac:dyDescent="0.25">
      <c r="C823" s="130" t="str">
        <f t="shared" si="24"/>
        <v/>
      </c>
      <c r="D823" s="118" t="str">
        <f t="shared" si="25"/>
        <v/>
      </c>
    </row>
    <row r="824" spans="3:4" x14ac:dyDescent="0.25">
      <c r="C824" s="130" t="str">
        <f t="shared" si="24"/>
        <v/>
      </c>
      <c r="D824" s="118" t="str">
        <f t="shared" si="25"/>
        <v/>
      </c>
    </row>
    <row r="825" spans="3:4" x14ac:dyDescent="0.25">
      <c r="C825" s="130" t="str">
        <f t="shared" si="24"/>
        <v/>
      </c>
      <c r="D825" s="118" t="str">
        <f t="shared" si="25"/>
        <v/>
      </c>
    </row>
    <row r="826" spans="3:4" x14ac:dyDescent="0.25">
      <c r="C826" s="130" t="str">
        <f t="shared" si="24"/>
        <v/>
      </c>
      <c r="D826" s="118" t="str">
        <f t="shared" si="25"/>
        <v/>
      </c>
    </row>
    <row r="827" spans="3:4" x14ac:dyDescent="0.25">
      <c r="C827" s="130" t="str">
        <f t="shared" si="24"/>
        <v/>
      </c>
      <c r="D827" s="118" t="str">
        <f t="shared" si="25"/>
        <v/>
      </c>
    </row>
    <row r="828" spans="3:4" x14ac:dyDescent="0.25">
      <c r="C828" s="130" t="str">
        <f t="shared" si="24"/>
        <v/>
      </c>
      <c r="D828" s="118" t="str">
        <f t="shared" si="25"/>
        <v/>
      </c>
    </row>
    <row r="829" spans="3:4" x14ac:dyDescent="0.25">
      <c r="C829" s="130" t="str">
        <f t="shared" si="24"/>
        <v/>
      </c>
      <c r="D829" s="118" t="str">
        <f t="shared" si="25"/>
        <v/>
      </c>
    </row>
    <row r="830" spans="3:4" x14ac:dyDescent="0.25">
      <c r="C830" s="130" t="str">
        <f t="shared" si="24"/>
        <v/>
      </c>
      <c r="D830" s="118" t="str">
        <f t="shared" si="25"/>
        <v/>
      </c>
    </row>
    <row r="831" spans="3:4" x14ac:dyDescent="0.25">
      <c r="C831" s="130" t="str">
        <f t="shared" si="24"/>
        <v/>
      </c>
      <c r="D831" s="118" t="str">
        <f t="shared" si="25"/>
        <v/>
      </c>
    </row>
    <row r="832" spans="3:4" x14ac:dyDescent="0.25">
      <c r="C832" s="130" t="str">
        <f t="shared" si="24"/>
        <v/>
      </c>
      <c r="D832" s="118" t="str">
        <f t="shared" si="25"/>
        <v/>
      </c>
    </row>
    <row r="833" spans="3:4" x14ac:dyDescent="0.25">
      <c r="C833" s="130" t="str">
        <f t="shared" si="24"/>
        <v/>
      </c>
      <c r="D833" s="118" t="str">
        <f t="shared" si="25"/>
        <v/>
      </c>
    </row>
    <row r="834" spans="3:4" x14ac:dyDescent="0.25">
      <c r="C834" s="130" t="str">
        <f t="shared" si="24"/>
        <v/>
      </c>
      <c r="D834" s="118" t="str">
        <f t="shared" si="25"/>
        <v/>
      </c>
    </row>
    <row r="835" spans="3:4" x14ac:dyDescent="0.25">
      <c r="C835" s="130" t="str">
        <f t="shared" si="24"/>
        <v/>
      </c>
      <c r="D835" s="118" t="str">
        <f t="shared" si="25"/>
        <v/>
      </c>
    </row>
    <row r="836" spans="3:4" x14ac:dyDescent="0.25">
      <c r="C836" s="130" t="str">
        <f t="shared" si="24"/>
        <v/>
      </c>
      <c r="D836" s="118" t="str">
        <f t="shared" si="25"/>
        <v/>
      </c>
    </row>
    <row r="837" spans="3:4" x14ac:dyDescent="0.25">
      <c r="C837" s="130" t="str">
        <f t="shared" si="24"/>
        <v/>
      </c>
      <c r="D837" s="118" t="str">
        <f t="shared" si="25"/>
        <v/>
      </c>
    </row>
    <row r="838" spans="3:4" x14ac:dyDescent="0.25">
      <c r="C838" s="130" t="str">
        <f t="shared" si="24"/>
        <v/>
      </c>
      <c r="D838" s="118" t="str">
        <f t="shared" si="25"/>
        <v/>
      </c>
    </row>
    <row r="839" spans="3:4" x14ac:dyDescent="0.25">
      <c r="C839" s="130" t="str">
        <f t="shared" si="24"/>
        <v/>
      </c>
      <c r="D839" s="118" t="str">
        <f t="shared" si="25"/>
        <v/>
      </c>
    </row>
    <row r="840" spans="3:4" x14ac:dyDescent="0.25">
      <c r="C840" s="130" t="str">
        <f t="shared" si="24"/>
        <v/>
      </c>
      <c r="D840" s="118" t="str">
        <f t="shared" si="25"/>
        <v/>
      </c>
    </row>
    <row r="841" spans="3:4" x14ac:dyDescent="0.25">
      <c r="C841" s="130" t="str">
        <f t="shared" si="24"/>
        <v/>
      </c>
      <c r="D841" s="118" t="str">
        <f t="shared" si="25"/>
        <v/>
      </c>
    </row>
    <row r="842" spans="3:4" x14ac:dyDescent="0.25">
      <c r="C842" s="130" t="str">
        <f t="shared" si="24"/>
        <v/>
      </c>
      <c r="D842" s="118" t="str">
        <f t="shared" si="25"/>
        <v/>
      </c>
    </row>
    <row r="843" spans="3:4" x14ac:dyDescent="0.25">
      <c r="C843" s="130" t="str">
        <f t="shared" si="24"/>
        <v/>
      </c>
      <c r="D843" s="118" t="str">
        <f t="shared" si="25"/>
        <v/>
      </c>
    </row>
    <row r="844" spans="3:4" x14ac:dyDescent="0.25">
      <c r="C844" s="130" t="str">
        <f t="shared" si="24"/>
        <v/>
      </c>
      <c r="D844" s="118" t="str">
        <f t="shared" si="25"/>
        <v/>
      </c>
    </row>
    <row r="845" spans="3:4" x14ac:dyDescent="0.25">
      <c r="C845" s="130" t="str">
        <f t="shared" si="24"/>
        <v/>
      </c>
      <c r="D845" s="118" t="str">
        <f t="shared" si="25"/>
        <v/>
      </c>
    </row>
    <row r="846" spans="3:4" x14ac:dyDescent="0.25">
      <c r="C846" s="130" t="str">
        <f t="shared" ref="C846:C909" si="26">IF(A846=0,"",VLOOKUP(B846,MatDB,2,FALSE))</f>
        <v/>
      </c>
      <c r="D846" s="118" t="str">
        <f t="shared" si="25"/>
        <v/>
      </c>
    </row>
    <row r="847" spans="3:4" x14ac:dyDescent="0.25">
      <c r="C847" s="130" t="str">
        <f t="shared" si="26"/>
        <v/>
      </c>
      <c r="D847" s="118" t="str">
        <f t="shared" ref="D847:D910" si="27">IF(A847=0,"","Concrete04")</f>
        <v/>
      </c>
    </row>
    <row r="848" spans="3:4" x14ac:dyDescent="0.25">
      <c r="C848" s="130" t="str">
        <f t="shared" si="26"/>
        <v/>
      </c>
      <c r="D848" s="118" t="str">
        <f t="shared" si="27"/>
        <v/>
      </c>
    </row>
    <row r="849" spans="3:4" x14ac:dyDescent="0.25">
      <c r="C849" s="130" t="str">
        <f t="shared" si="26"/>
        <v/>
      </c>
      <c r="D849" s="118" t="str">
        <f t="shared" si="27"/>
        <v/>
      </c>
    </row>
    <row r="850" spans="3:4" x14ac:dyDescent="0.25">
      <c r="C850" s="130" t="str">
        <f t="shared" si="26"/>
        <v/>
      </c>
      <c r="D850" s="118" t="str">
        <f t="shared" si="27"/>
        <v/>
      </c>
    </row>
    <row r="851" spans="3:4" x14ac:dyDescent="0.25">
      <c r="C851" s="130" t="str">
        <f t="shared" si="26"/>
        <v/>
      </c>
      <c r="D851" s="118" t="str">
        <f t="shared" si="27"/>
        <v/>
      </c>
    </row>
    <row r="852" spans="3:4" x14ac:dyDescent="0.25">
      <c r="C852" s="130" t="str">
        <f t="shared" si="26"/>
        <v/>
      </c>
      <c r="D852" s="118" t="str">
        <f t="shared" si="27"/>
        <v/>
      </c>
    </row>
    <row r="853" spans="3:4" x14ac:dyDescent="0.25">
      <c r="C853" s="130" t="str">
        <f t="shared" si="26"/>
        <v/>
      </c>
      <c r="D853" s="118" t="str">
        <f t="shared" si="27"/>
        <v/>
      </c>
    </row>
    <row r="854" spans="3:4" x14ac:dyDescent="0.25">
      <c r="C854" s="130" t="str">
        <f t="shared" si="26"/>
        <v/>
      </c>
      <c r="D854" s="118" t="str">
        <f t="shared" si="27"/>
        <v/>
      </c>
    </row>
    <row r="855" spans="3:4" x14ac:dyDescent="0.25">
      <c r="C855" s="130" t="str">
        <f t="shared" si="26"/>
        <v/>
      </c>
      <c r="D855" s="118" t="str">
        <f t="shared" si="27"/>
        <v/>
      </c>
    </row>
    <row r="856" spans="3:4" x14ac:dyDescent="0.25">
      <c r="C856" s="130" t="str">
        <f t="shared" si="26"/>
        <v/>
      </c>
      <c r="D856" s="118" t="str">
        <f t="shared" si="27"/>
        <v/>
      </c>
    </row>
    <row r="857" spans="3:4" x14ac:dyDescent="0.25">
      <c r="C857" s="130" t="str">
        <f t="shared" si="26"/>
        <v/>
      </c>
      <c r="D857" s="118" t="str">
        <f t="shared" si="27"/>
        <v/>
      </c>
    </row>
    <row r="858" spans="3:4" x14ac:dyDescent="0.25">
      <c r="C858" s="130" t="str">
        <f t="shared" si="26"/>
        <v/>
      </c>
      <c r="D858" s="118" t="str">
        <f t="shared" si="27"/>
        <v/>
      </c>
    </row>
    <row r="859" spans="3:4" x14ac:dyDescent="0.25">
      <c r="C859" s="130" t="str">
        <f t="shared" si="26"/>
        <v/>
      </c>
      <c r="D859" s="118" t="str">
        <f t="shared" si="27"/>
        <v/>
      </c>
    </row>
    <row r="860" spans="3:4" x14ac:dyDescent="0.25">
      <c r="C860" s="130" t="str">
        <f t="shared" si="26"/>
        <v/>
      </c>
      <c r="D860" s="118" t="str">
        <f t="shared" si="27"/>
        <v/>
      </c>
    </row>
    <row r="861" spans="3:4" x14ac:dyDescent="0.25">
      <c r="C861" s="130" t="str">
        <f t="shared" si="26"/>
        <v/>
      </c>
      <c r="D861" s="118" t="str">
        <f t="shared" si="27"/>
        <v/>
      </c>
    </row>
    <row r="862" spans="3:4" x14ac:dyDescent="0.25">
      <c r="C862" s="130" t="str">
        <f t="shared" si="26"/>
        <v/>
      </c>
      <c r="D862" s="118" t="str">
        <f t="shared" si="27"/>
        <v/>
      </c>
    </row>
    <row r="863" spans="3:4" x14ac:dyDescent="0.25">
      <c r="C863" s="130" t="str">
        <f t="shared" si="26"/>
        <v/>
      </c>
      <c r="D863" s="118" t="str">
        <f t="shared" si="27"/>
        <v/>
      </c>
    </row>
    <row r="864" spans="3:4" x14ac:dyDescent="0.25">
      <c r="C864" s="130" t="str">
        <f t="shared" si="26"/>
        <v/>
      </c>
      <c r="D864" s="118" t="str">
        <f t="shared" si="27"/>
        <v/>
      </c>
    </row>
    <row r="865" spans="3:4" x14ac:dyDescent="0.25">
      <c r="C865" s="130" t="str">
        <f t="shared" si="26"/>
        <v/>
      </c>
      <c r="D865" s="118" t="str">
        <f t="shared" si="27"/>
        <v/>
      </c>
    </row>
    <row r="866" spans="3:4" x14ac:dyDescent="0.25">
      <c r="C866" s="130" t="str">
        <f t="shared" si="26"/>
        <v/>
      </c>
      <c r="D866" s="118" t="str">
        <f t="shared" si="27"/>
        <v/>
      </c>
    </row>
    <row r="867" spans="3:4" x14ac:dyDescent="0.25">
      <c r="C867" s="130" t="str">
        <f t="shared" si="26"/>
        <v/>
      </c>
      <c r="D867" s="118" t="str">
        <f t="shared" si="27"/>
        <v/>
      </c>
    </row>
    <row r="868" spans="3:4" x14ac:dyDescent="0.25">
      <c r="C868" s="130" t="str">
        <f t="shared" si="26"/>
        <v/>
      </c>
      <c r="D868" s="118" t="str">
        <f t="shared" si="27"/>
        <v/>
      </c>
    </row>
    <row r="869" spans="3:4" x14ac:dyDescent="0.25">
      <c r="C869" s="130" t="str">
        <f t="shared" si="26"/>
        <v/>
      </c>
      <c r="D869" s="118" t="str">
        <f t="shared" si="27"/>
        <v/>
      </c>
    </row>
    <row r="870" spans="3:4" x14ac:dyDescent="0.25">
      <c r="C870" s="130" t="str">
        <f t="shared" si="26"/>
        <v/>
      </c>
      <c r="D870" s="118" t="str">
        <f t="shared" si="27"/>
        <v/>
      </c>
    </row>
    <row r="871" spans="3:4" x14ac:dyDescent="0.25">
      <c r="C871" s="130" t="str">
        <f t="shared" si="26"/>
        <v/>
      </c>
      <c r="D871" s="118" t="str">
        <f t="shared" si="27"/>
        <v/>
      </c>
    </row>
    <row r="872" spans="3:4" x14ac:dyDescent="0.25">
      <c r="C872" s="130" t="str">
        <f t="shared" si="26"/>
        <v/>
      </c>
      <c r="D872" s="118" t="str">
        <f t="shared" si="27"/>
        <v/>
      </c>
    </row>
    <row r="873" spans="3:4" x14ac:dyDescent="0.25">
      <c r="C873" s="130" t="str">
        <f t="shared" si="26"/>
        <v/>
      </c>
      <c r="D873" s="118" t="str">
        <f t="shared" si="27"/>
        <v/>
      </c>
    </row>
    <row r="874" spans="3:4" x14ac:dyDescent="0.25">
      <c r="C874" s="130" t="str">
        <f t="shared" si="26"/>
        <v/>
      </c>
      <c r="D874" s="118" t="str">
        <f t="shared" si="27"/>
        <v/>
      </c>
    </row>
    <row r="875" spans="3:4" x14ac:dyDescent="0.25">
      <c r="C875" s="130" t="str">
        <f t="shared" si="26"/>
        <v/>
      </c>
      <c r="D875" s="118" t="str">
        <f t="shared" si="27"/>
        <v/>
      </c>
    </row>
    <row r="876" spans="3:4" x14ac:dyDescent="0.25">
      <c r="C876" s="130" t="str">
        <f t="shared" si="26"/>
        <v/>
      </c>
      <c r="D876" s="118" t="str">
        <f t="shared" si="27"/>
        <v/>
      </c>
    </row>
    <row r="877" spans="3:4" x14ac:dyDescent="0.25">
      <c r="C877" s="130" t="str">
        <f t="shared" si="26"/>
        <v/>
      </c>
      <c r="D877" s="118" t="str">
        <f t="shared" si="27"/>
        <v/>
      </c>
    </row>
    <row r="878" spans="3:4" x14ac:dyDescent="0.25">
      <c r="C878" s="130" t="str">
        <f t="shared" si="26"/>
        <v/>
      </c>
      <c r="D878" s="118" t="str">
        <f t="shared" si="27"/>
        <v/>
      </c>
    </row>
    <row r="879" spans="3:4" x14ac:dyDescent="0.25">
      <c r="C879" s="130" t="str">
        <f t="shared" si="26"/>
        <v/>
      </c>
      <c r="D879" s="118" t="str">
        <f t="shared" si="27"/>
        <v/>
      </c>
    </row>
    <row r="880" spans="3:4" x14ac:dyDescent="0.25">
      <c r="C880" s="130" t="str">
        <f t="shared" si="26"/>
        <v/>
      </c>
      <c r="D880" s="118" t="str">
        <f t="shared" si="27"/>
        <v/>
      </c>
    </row>
    <row r="881" spans="3:4" x14ac:dyDescent="0.25">
      <c r="C881" s="130" t="str">
        <f t="shared" si="26"/>
        <v/>
      </c>
      <c r="D881" s="118" t="str">
        <f t="shared" si="27"/>
        <v/>
      </c>
    </row>
    <row r="882" spans="3:4" x14ac:dyDescent="0.25">
      <c r="C882" s="130" t="str">
        <f t="shared" si="26"/>
        <v/>
      </c>
      <c r="D882" s="118" t="str">
        <f t="shared" si="27"/>
        <v/>
      </c>
    </row>
    <row r="883" spans="3:4" x14ac:dyDescent="0.25">
      <c r="C883" s="130" t="str">
        <f t="shared" si="26"/>
        <v/>
      </c>
      <c r="D883" s="118" t="str">
        <f t="shared" si="27"/>
        <v/>
      </c>
    </row>
    <row r="884" spans="3:4" x14ac:dyDescent="0.25">
      <c r="C884" s="130" t="str">
        <f t="shared" si="26"/>
        <v/>
      </c>
      <c r="D884" s="118" t="str">
        <f t="shared" si="27"/>
        <v/>
      </c>
    </row>
    <row r="885" spans="3:4" x14ac:dyDescent="0.25">
      <c r="C885" s="130" t="str">
        <f t="shared" si="26"/>
        <v/>
      </c>
      <c r="D885" s="118" t="str">
        <f t="shared" si="27"/>
        <v/>
      </c>
    </row>
    <row r="886" spans="3:4" x14ac:dyDescent="0.25">
      <c r="C886" s="130" t="str">
        <f t="shared" si="26"/>
        <v/>
      </c>
      <c r="D886" s="118" t="str">
        <f t="shared" si="27"/>
        <v/>
      </c>
    </row>
    <row r="887" spans="3:4" x14ac:dyDescent="0.25">
      <c r="C887" s="130" t="str">
        <f t="shared" si="26"/>
        <v/>
      </c>
      <c r="D887" s="118" t="str">
        <f t="shared" si="27"/>
        <v/>
      </c>
    </row>
    <row r="888" spans="3:4" x14ac:dyDescent="0.25">
      <c r="C888" s="130" t="str">
        <f t="shared" si="26"/>
        <v/>
      </c>
      <c r="D888" s="118" t="str">
        <f t="shared" si="27"/>
        <v/>
      </c>
    </row>
    <row r="889" spans="3:4" x14ac:dyDescent="0.25">
      <c r="C889" s="130" t="str">
        <f t="shared" si="26"/>
        <v/>
      </c>
      <c r="D889" s="118" t="str">
        <f t="shared" si="27"/>
        <v/>
      </c>
    </row>
    <row r="890" spans="3:4" x14ac:dyDescent="0.25">
      <c r="C890" s="130" t="str">
        <f t="shared" si="26"/>
        <v/>
      </c>
      <c r="D890" s="118" t="str">
        <f t="shared" si="27"/>
        <v/>
      </c>
    </row>
    <row r="891" spans="3:4" x14ac:dyDescent="0.25">
      <c r="C891" s="130" t="str">
        <f t="shared" si="26"/>
        <v/>
      </c>
      <c r="D891" s="118" t="str">
        <f t="shared" si="27"/>
        <v/>
      </c>
    </row>
    <row r="892" spans="3:4" x14ac:dyDescent="0.25">
      <c r="C892" s="130" t="str">
        <f t="shared" si="26"/>
        <v/>
      </c>
      <c r="D892" s="118" t="str">
        <f t="shared" si="27"/>
        <v/>
      </c>
    </row>
    <row r="893" spans="3:4" x14ac:dyDescent="0.25">
      <c r="C893" s="130" t="str">
        <f t="shared" si="26"/>
        <v/>
      </c>
      <c r="D893" s="118" t="str">
        <f t="shared" si="27"/>
        <v/>
      </c>
    </row>
    <row r="894" spans="3:4" x14ac:dyDescent="0.25">
      <c r="C894" s="130" t="str">
        <f t="shared" si="26"/>
        <v/>
      </c>
      <c r="D894" s="118" t="str">
        <f t="shared" si="27"/>
        <v/>
      </c>
    </row>
    <row r="895" spans="3:4" x14ac:dyDescent="0.25">
      <c r="C895" s="130" t="str">
        <f t="shared" si="26"/>
        <v/>
      </c>
      <c r="D895" s="118" t="str">
        <f t="shared" si="27"/>
        <v/>
      </c>
    </row>
    <row r="896" spans="3:4" x14ac:dyDescent="0.25">
      <c r="C896" s="130" t="str">
        <f t="shared" si="26"/>
        <v/>
      </c>
      <c r="D896" s="118" t="str">
        <f t="shared" si="27"/>
        <v/>
      </c>
    </row>
    <row r="897" spans="3:4" x14ac:dyDescent="0.25">
      <c r="C897" s="130" t="str">
        <f t="shared" si="26"/>
        <v/>
      </c>
      <c r="D897" s="118" t="str">
        <f t="shared" si="27"/>
        <v/>
      </c>
    </row>
    <row r="898" spans="3:4" x14ac:dyDescent="0.25">
      <c r="C898" s="130" t="str">
        <f t="shared" si="26"/>
        <v/>
      </c>
      <c r="D898" s="118" t="str">
        <f t="shared" si="27"/>
        <v/>
      </c>
    </row>
    <row r="899" spans="3:4" x14ac:dyDescent="0.25">
      <c r="C899" s="130" t="str">
        <f t="shared" si="26"/>
        <v/>
      </c>
      <c r="D899" s="118" t="str">
        <f t="shared" si="27"/>
        <v/>
      </c>
    </row>
    <row r="900" spans="3:4" x14ac:dyDescent="0.25">
      <c r="C900" s="130" t="str">
        <f t="shared" si="26"/>
        <v/>
      </c>
      <c r="D900" s="118" t="str">
        <f t="shared" si="27"/>
        <v/>
      </c>
    </row>
    <row r="901" spans="3:4" x14ac:dyDescent="0.25">
      <c r="C901" s="130" t="str">
        <f t="shared" si="26"/>
        <v/>
      </c>
      <c r="D901" s="118" t="str">
        <f t="shared" si="27"/>
        <v/>
      </c>
    </row>
    <row r="902" spans="3:4" x14ac:dyDescent="0.25">
      <c r="C902" s="130" t="str">
        <f t="shared" si="26"/>
        <v/>
      </c>
      <c r="D902" s="118" t="str">
        <f t="shared" si="27"/>
        <v/>
      </c>
    </row>
    <row r="903" spans="3:4" x14ac:dyDescent="0.25">
      <c r="C903" s="130" t="str">
        <f t="shared" si="26"/>
        <v/>
      </c>
      <c r="D903" s="118" t="str">
        <f t="shared" si="27"/>
        <v/>
      </c>
    </row>
    <row r="904" spans="3:4" x14ac:dyDescent="0.25">
      <c r="C904" s="130" t="str">
        <f t="shared" si="26"/>
        <v/>
      </c>
      <c r="D904" s="118" t="str">
        <f t="shared" si="27"/>
        <v/>
      </c>
    </row>
    <row r="905" spans="3:4" x14ac:dyDescent="0.25">
      <c r="C905" s="130" t="str">
        <f t="shared" si="26"/>
        <v/>
      </c>
      <c r="D905" s="118" t="str">
        <f t="shared" si="27"/>
        <v/>
      </c>
    </row>
    <row r="906" spans="3:4" x14ac:dyDescent="0.25">
      <c r="C906" s="130" t="str">
        <f t="shared" si="26"/>
        <v/>
      </c>
      <c r="D906" s="118" t="str">
        <f t="shared" si="27"/>
        <v/>
      </c>
    </row>
    <row r="907" spans="3:4" x14ac:dyDescent="0.25">
      <c r="C907" s="130" t="str">
        <f t="shared" si="26"/>
        <v/>
      </c>
      <c r="D907" s="118" t="str">
        <f t="shared" si="27"/>
        <v/>
      </c>
    </row>
    <row r="908" spans="3:4" x14ac:dyDescent="0.25">
      <c r="C908" s="130" t="str">
        <f t="shared" si="26"/>
        <v/>
      </c>
      <c r="D908" s="118" t="str">
        <f t="shared" si="27"/>
        <v/>
      </c>
    </row>
    <row r="909" spans="3:4" x14ac:dyDescent="0.25">
      <c r="C909" s="130" t="str">
        <f t="shared" si="26"/>
        <v/>
      </c>
      <c r="D909" s="118" t="str">
        <f t="shared" si="27"/>
        <v/>
      </c>
    </row>
    <row r="910" spans="3:4" x14ac:dyDescent="0.25">
      <c r="C910" s="130" t="str">
        <f t="shared" ref="C910:C973" si="28">IF(A910=0,"",VLOOKUP(B910,MatDB,2,FALSE))</f>
        <v/>
      </c>
      <c r="D910" s="118" t="str">
        <f t="shared" si="27"/>
        <v/>
      </c>
    </row>
    <row r="911" spans="3:4" x14ac:dyDescent="0.25">
      <c r="C911" s="130" t="str">
        <f t="shared" si="28"/>
        <v/>
      </c>
      <c r="D911" s="118" t="str">
        <f t="shared" ref="D911:D974" si="29">IF(A911=0,"","Concrete04")</f>
        <v/>
      </c>
    </row>
    <row r="912" spans="3:4" x14ac:dyDescent="0.25">
      <c r="C912" s="130" t="str">
        <f t="shared" si="28"/>
        <v/>
      </c>
      <c r="D912" s="118" t="str">
        <f t="shared" si="29"/>
        <v/>
      </c>
    </row>
    <row r="913" spans="3:4" x14ac:dyDescent="0.25">
      <c r="C913" s="130" t="str">
        <f t="shared" si="28"/>
        <v/>
      </c>
      <c r="D913" s="118" t="str">
        <f t="shared" si="29"/>
        <v/>
      </c>
    </row>
    <row r="914" spans="3:4" x14ac:dyDescent="0.25">
      <c r="C914" s="130" t="str">
        <f t="shared" si="28"/>
        <v/>
      </c>
      <c r="D914" s="118" t="str">
        <f t="shared" si="29"/>
        <v/>
      </c>
    </row>
    <row r="915" spans="3:4" x14ac:dyDescent="0.25">
      <c r="C915" s="130" t="str">
        <f t="shared" si="28"/>
        <v/>
      </c>
      <c r="D915" s="118" t="str">
        <f t="shared" si="29"/>
        <v/>
      </c>
    </row>
    <row r="916" spans="3:4" x14ac:dyDescent="0.25">
      <c r="C916" s="130" t="str">
        <f t="shared" si="28"/>
        <v/>
      </c>
      <c r="D916" s="118" t="str">
        <f t="shared" si="29"/>
        <v/>
      </c>
    </row>
    <row r="917" spans="3:4" x14ac:dyDescent="0.25">
      <c r="C917" s="130" t="str">
        <f t="shared" si="28"/>
        <v/>
      </c>
      <c r="D917" s="118" t="str">
        <f t="shared" si="29"/>
        <v/>
      </c>
    </row>
    <row r="918" spans="3:4" x14ac:dyDescent="0.25">
      <c r="C918" s="130" t="str">
        <f t="shared" si="28"/>
        <v/>
      </c>
      <c r="D918" s="118" t="str">
        <f t="shared" si="29"/>
        <v/>
      </c>
    </row>
    <row r="919" spans="3:4" x14ac:dyDescent="0.25">
      <c r="C919" s="130" t="str">
        <f t="shared" si="28"/>
        <v/>
      </c>
      <c r="D919" s="118" t="str">
        <f t="shared" si="29"/>
        <v/>
      </c>
    </row>
    <row r="920" spans="3:4" x14ac:dyDescent="0.25">
      <c r="C920" s="130" t="str">
        <f t="shared" si="28"/>
        <v/>
      </c>
      <c r="D920" s="118" t="str">
        <f t="shared" si="29"/>
        <v/>
      </c>
    </row>
    <row r="921" spans="3:4" x14ac:dyDescent="0.25">
      <c r="C921" s="130" t="str">
        <f t="shared" si="28"/>
        <v/>
      </c>
      <c r="D921" s="118" t="str">
        <f t="shared" si="29"/>
        <v/>
      </c>
    </row>
    <row r="922" spans="3:4" x14ac:dyDescent="0.25">
      <c r="C922" s="130" t="str">
        <f t="shared" si="28"/>
        <v/>
      </c>
      <c r="D922" s="118" t="str">
        <f t="shared" si="29"/>
        <v/>
      </c>
    </row>
    <row r="923" spans="3:4" x14ac:dyDescent="0.25">
      <c r="C923" s="130" t="str">
        <f t="shared" si="28"/>
        <v/>
      </c>
      <c r="D923" s="118" t="str">
        <f t="shared" si="29"/>
        <v/>
      </c>
    </row>
    <row r="924" spans="3:4" x14ac:dyDescent="0.25">
      <c r="C924" s="130" t="str">
        <f t="shared" si="28"/>
        <v/>
      </c>
      <c r="D924" s="118" t="str">
        <f t="shared" si="29"/>
        <v/>
      </c>
    </row>
    <row r="925" spans="3:4" x14ac:dyDescent="0.25">
      <c r="C925" s="130" t="str">
        <f t="shared" si="28"/>
        <v/>
      </c>
      <c r="D925" s="118" t="str">
        <f t="shared" si="29"/>
        <v/>
      </c>
    </row>
    <row r="926" spans="3:4" x14ac:dyDescent="0.25">
      <c r="C926" s="130" t="str">
        <f t="shared" si="28"/>
        <v/>
      </c>
      <c r="D926" s="118" t="str">
        <f t="shared" si="29"/>
        <v/>
      </c>
    </row>
    <row r="927" spans="3:4" x14ac:dyDescent="0.25">
      <c r="C927" s="130" t="str">
        <f t="shared" si="28"/>
        <v/>
      </c>
      <c r="D927" s="118" t="str">
        <f t="shared" si="29"/>
        <v/>
      </c>
    </row>
    <row r="928" spans="3:4" x14ac:dyDescent="0.25">
      <c r="C928" s="130" t="str">
        <f t="shared" si="28"/>
        <v/>
      </c>
      <c r="D928" s="118" t="str">
        <f t="shared" si="29"/>
        <v/>
      </c>
    </row>
    <row r="929" spans="3:4" x14ac:dyDescent="0.25">
      <c r="C929" s="130" t="str">
        <f t="shared" si="28"/>
        <v/>
      </c>
      <c r="D929" s="118" t="str">
        <f t="shared" si="29"/>
        <v/>
      </c>
    </row>
    <row r="930" spans="3:4" x14ac:dyDescent="0.25">
      <c r="C930" s="130" t="str">
        <f t="shared" si="28"/>
        <v/>
      </c>
      <c r="D930" s="118" t="str">
        <f t="shared" si="29"/>
        <v/>
      </c>
    </row>
    <row r="931" spans="3:4" x14ac:dyDescent="0.25">
      <c r="C931" s="130" t="str">
        <f t="shared" si="28"/>
        <v/>
      </c>
      <c r="D931" s="118" t="str">
        <f t="shared" si="29"/>
        <v/>
      </c>
    </row>
    <row r="932" spans="3:4" x14ac:dyDescent="0.25">
      <c r="C932" s="130" t="str">
        <f t="shared" si="28"/>
        <v/>
      </c>
      <c r="D932" s="118" t="str">
        <f t="shared" si="29"/>
        <v/>
      </c>
    </row>
    <row r="933" spans="3:4" x14ac:dyDescent="0.25">
      <c r="C933" s="130" t="str">
        <f t="shared" si="28"/>
        <v/>
      </c>
      <c r="D933" s="118" t="str">
        <f t="shared" si="29"/>
        <v/>
      </c>
    </row>
    <row r="934" spans="3:4" x14ac:dyDescent="0.25">
      <c r="C934" s="130" t="str">
        <f t="shared" si="28"/>
        <v/>
      </c>
      <c r="D934" s="118" t="str">
        <f t="shared" si="29"/>
        <v/>
      </c>
    </row>
    <row r="935" spans="3:4" x14ac:dyDescent="0.25">
      <c r="C935" s="130" t="str">
        <f t="shared" si="28"/>
        <v/>
      </c>
      <c r="D935" s="118" t="str">
        <f t="shared" si="29"/>
        <v/>
      </c>
    </row>
    <row r="936" spans="3:4" x14ac:dyDescent="0.25">
      <c r="C936" s="130" t="str">
        <f t="shared" si="28"/>
        <v/>
      </c>
      <c r="D936" s="118" t="str">
        <f t="shared" si="29"/>
        <v/>
      </c>
    </row>
    <row r="937" spans="3:4" x14ac:dyDescent="0.25">
      <c r="C937" s="130" t="str">
        <f t="shared" si="28"/>
        <v/>
      </c>
      <c r="D937" s="118" t="str">
        <f t="shared" si="29"/>
        <v/>
      </c>
    </row>
    <row r="938" spans="3:4" x14ac:dyDescent="0.25">
      <c r="C938" s="130" t="str">
        <f t="shared" si="28"/>
        <v/>
      </c>
      <c r="D938" s="118" t="str">
        <f t="shared" si="29"/>
        <v/>
      </c>
    </row>
    <row r="939" spans="3:4" x14ac:dyDescent="0.25">
      <c r="C939" s="130" t="str">
        <f t="shared" si="28"/>
        <v/>
      </c>
      <c r="D939" s="118" t="str">
        <f t="shared" si="29"/>
        <v/>
      </c>
    </row>
    <row r="940" spans="3:4" x14ac:dyDescent="0.25">
      <c r="C940" s="130" t="str">
        <f t="shared" si="28"/>
        <v/>
      </c>
      <c r="D940" s="118" t="str">
        <f t="shared" si="29"/>
        <v/>
      </c>
    </row>
    <row r="941" spans="3:4" x14ac:dyDescent="0.25">
      <c r="C941" s="130" t="str">
        <f t="shared" si="28"/>
        <v/>
      </c>
      <c r="D941" s="118" t="str">
        <f t="shared" si="29"/>
        <v/>
      </c>
    </row>
    <row r="942" spans="3:4" x14ac:dyDescent="0.25">
      <c r="C942" s="130" t="str">
        <f t="shared" si="28"/>
        <v/>
      </c>
      <c r="D942" s="118" t="str">
        <f t="shared" si="29"/>
        <v/>
      </c>
    </row>
    <row r="943" spans="3:4" x14ac:dyDescent="0.25">
      <c r="C943" s="130" t="str">
        <f t="shared" si="28"/>
        <v/>
      </c>
      <c r="D943" s="118" t="str">
        <f t="shared" si="29"/>
        <v/>
      </c>
    </row>
    <row r="944" spans="3:4" x14ac:dyDescent="0.25">
      <c r="C944" s="130" t="str">
        <f t="shared" si="28"/>
        <v/>
      </c>
      <c r="D944" s="118" t="str">
        <f t="shared" si="29"/>
        <v/>
      </c>
    </row>
    <row r="945" spans="3:4" x14ac:dyDescent="0.25">
      <c r="C945" s="130" t="str">
        <f t="shared" si="28"/>
        <v/>
      </c>
      <c r="D945" s="118" t="str">
        <f t="shared" si="29"/>
        <v/>
      </c>
    </row>
    <row r="946" spans="3:4" x14ac:dyDescent="0.25">
      <c r="C946" s="130" t="str">
        <f t="shared" si="28"/>
        <v/>
      </c>
      <c r="D946" s="118" t="str">
        <f t="shared" si="29"/>
        <v/>
      </c>
    </row>
    <row r="947" spans="3:4" x14ac:dyDescent="0.25">
      <c r="C947" s="130" t="str">
        <f t="shared" si="28"/>
        <v/>
      </c>
      <c r="D947" s="118" t="str">
        <f t="shared" si="29"/>
        <v/>
      </c>
    </row>
    <row r="948" spans="3:4" x14ac:dyDescent="0.25">
      <c r="C948" s="130" t="str">
        <f t="shared" si="28"/>
        <v/>
      </c>
      <c r="D948" s="118" t="str">
        <f t="shared" si="29"/>
        <v/>
      </c>
    </row>
    <row r="949" spans="3:4" x14ac:dyDescent="0.25">
      <c r="C949" s="130" t="str">
        <f t="shared" si="28"/>
        <v/>
      </c>
      <c r="D949" s="118" t="str">
        <f t="shared" si="29"/>
        <v/>
      </c>
    </row>
    <row r="950" spans="3:4" x14ac:dyDescent="0.25">
      <c r="C950" s="130" t="str">
        <f t="shared" si="28"/>
        <v/>
      </c>
      <c r="D950" s="118" t="str">
        <f t="shared" si="29"/>
        <v/>
      </c>
    </row>
    <row r="951" spans="3:4" x14ac:dyDescent="0.25">
      <c r="C951" s="130" t="str">
        <f t="shared" si="28"/>
        <v/>
      </c>
      <c r="D951" s="118" t="str">
        <f t="shared" si="29"/>
        <v/>
      </c>
    </row>
    <row r="952" spans="3:4" x14ac:dyDescent="0.25">
      <c r="C952" s="130" t="str">
        <f t="shared" si="28"/>
        <v/>
      </c>
      <c r="D952" s="118" t="str">
        <f t="shared" si="29"/>
        <v/>
      </c>
    </row>
    <row r="953" spans="3:4" x14ac:dyDescent="0.25">
      <c r="C953" s="130" t="str">
        <f t="shared" si="28"/>
        <v/>
      </c>
      <c r="D953" s="118" t="str">
        <f t="shared" si="29"/>
        <v/>
      </c>
    </row>
    <row r="954" spans="3:4" x14ac:dyDescent="0.25">
      <c r="C954" s="130" t="str">
        <f t="shared" si="28"/>
        <v/>
      </c>
      <c r="D954" s="118" t="str">
        <f t="shared" si="29"/>
        <v/>
      </c>
    </row>
    <row r="955" spans="3:4" x14ac:dyDescent="0.25">
      <c r="C955" s="130" t="str">
        <f t="shared" si="28"/>
        <v/>
      </c>
      <c r="D955" s="118" t="str">
        <f t="shared" si="29"/>
        <v/>
      </c>
    </row>
    <row r="956" spans="3:4" x14ac:dyDescent="0.25">
      <c r="C956" s="130" t="str">
        <f t="shared" si="28"/>
        <v/>
      </c>
      <c r="D956" s="118" t="str">
        <f t="shared" si="29"/>
        <v/>
      </c>
    </row>
    <row r="957" spans="3:4" x14ac:dyDescent="0.25">
      <c r="C957" s="130" t="str">
        <f t="shared" si="28"/>
        <v/>
      </c>
      <c r="D957" s="118" t="str">
        <f t="shared" si="29"/>
        <v/>
      </c>
    </row>
    <row r="958" spans="3:4" x14ac:dyDescent="0.25">
      <c r="C958" s="130" t="str">
        <f t="shared" si="28"/>
        <v/>
      </c>
      <c r="D958" s="118" t="str">
        <f t="shared" si="29"/>
        <v/>
      </c>
    </row>
    <row r="959" spans="3:4" x14ac:dyDescent="0.25">
      <c r="C959" s="130" t="str">
        <f t="shared" si="28"/>
        <v/>
      </c>
      <c r="D959" s="118" t="str">
        <f t="shared" si="29"/>
        <v/>
      </c>
    </row>
    <row r="960" spans="3:4" x14ac:dyDescent="0.25">
      <c r="C960" s="130" t="str">
        <f t="shared" si="28"/>
        <v/>
      </c>
      <c r="D960" s="118" t="str">
        <f t="shared" si="29"/>
        <v/>
      </c>
    </row>
    <row r="961" spans="3:4" x14ac:dyDescent="0.25">
      <c r="C961" s="130" t="str">
        <f t="shared" si="28"/>
        <v/>
      </c>
      <c r="D961" s="118" t="str">
        <f t="shared" si="29"/>
        <v/>
      </c>
    </row>
    <row r="962" spans="3:4" x14ac:dyDescent="0.25">
      <c r="C962" s="130" t="str">
        <f t="shared" si="28"/>
        <v/>
      </c>
      <c r="D962" s="118" t="str">
        <f t="shared" si="29"/>
        <v/>
      </c>
    </row>
    <row r="963" spans="3:4" x14ac:dyDescent="0.25">
      <c r="C963" s="130" t="str">
        <f t="shared" si="28"/>
        <v/>
      </c>
      <c r="D963" s="118" t="str">
        <f t="shared" si="29"/>
        <v/>
      </c>
    </row>
    <row r="964" spans="3:4" x14ac:dyDescent="0.25">
      <c r="C964" s="130" t="str">
        <f t="shared" si="28"/>
        <v/>
      </c>
      <c r="D964" s="118" t="str">
        <f t="shared" si="29"/>
        <v/>
      </c>
    </row>
    <row r="965" spans="3:4" x14ac:dyDescent="0.25">
      <c r="C965" s="130" t="str">
        <f t="shared" si="28"/>
        <v/>
      </c>
      <c r="D965" s="118" t="str">
        <f t="shared" si="29"/>
        <v/>
      </c>
    </row>
    <row r="966" spans="3:4" x14ac:dyDescent="0.25">
      <c r="C966" s="130" t="str">
        <f t="shared" si="28"/>
        <v/>
      </c>
      <c r="D966" s="118" t="str">
        <f t="shared" si="29"/>
        <v/>
      </c>
    </row>
    <row r="967" spans="3:4" x14ac:dyDescent="0.25">
      <c r="C967" s="130" t="str">
        <f t="shared" si="28"/>
        <v/>
      </c>
      <c r="D967" s="118" t="str">
        <f t="shared" si="29"/>
        <v/>
      </c>
    </row>
    <row r="968" spans="3:4" x14ac:dyDescent="0.25">
      <c r="C968" s="130" t="str">
        <f t="shared" si="28"/>
        <v/>
      </c>
      <c r="D968" s="118" t="str">
        <f t="shared" si="29"/>
        <v/>
      </c>
    </row>
    <row r="969" spans="3:4" x14ac:dyDescent="0.25">
      <c r="C969" s="130" t="str">
        <f t="shared" si="28"/>
        <v/>
      </c>
      <c r="D969" s="118" t="str">
        <f t="shared" si="29"/>
        <v/>
      </c>
    </row>
    <row r="970" spans="3:4" x14ac:dyDescent="0.25">
      <c r="C970" s="130" t="str">
        <f t="shared" si="28"/>
        <v/>
      </c>
      <c r="D970" s="118" t="str">
        <f t="shared" si="29"/>
        <v/>
      </c>
    </row>
    <row r="971" spans="3:4" x14ac:dyDescent="0.25">
      <c r="C971" s="130" t="str">
        <f t="shared" si="28"/>
        <v/>
      </c>
      <c r="D971" s="118" t="str">
        <f t="shared" si="29"/>
        <v/>
      </c>
    </row>
    <row r="972" spans="3:4" x14ac:dyDescent="0.25">
      <c r="C972" s="130" t="str">
        <f t="shared" si="28"/>
        <v/>
      </c>
      <c r="D972" s="118" t="str">
        <f t="shared" si="29"/>
        <v/>
      </c>
    </row>
    <row r="973" spans="3:4" x14ac:dyDescent="0.25">
      <c r="C973" s="130" t="str">
        <f t="shared" si="28"/>
        <v/>
      </c>
      <c r="D973" s="118" t="str">
        <f t="shared" si="29"/>
        <v/>
      </c>
    </row>
    <row r="974" spans="3:4" x14ac:dyDescent="0.25">
      <c r="C974" s="130" t="str">
        <f t="shared" ref="C974:C1013" si="30">IF(A974=0,"",VLOOKUP(B974,MatDB,2,FALSE))</f>
        <v/>
      </c>
      <c r="D974" s="118" t="str">
        <f t="shared" si="29"/>
        <v/>
      </c>
    </row>
    <row r="975" spans="3:4" x14ac:dyDescent="0.25">
      <c r="C975" s="130" t="str">
        <f t="shared" si="30"/>
        <v/>
      </c>
      <c r="D975" s="118" t="str">
        <f t="shared" ref="D975:D1013" si="31">IF(A975=0,"","Concrete04")</f>
        <v/>
      </c>
    </row>
    <row r="976" spans="3:4" x14ac:dyDescent="0.25">
      <c r="C976" s="130" t="str">
        <f t="shared" si="30"/>
        <v/>
      </c>
      <c r="D976" s="118" t="str">
        <f t="shared" si="31"/>
        <v/>
      </c>
    </row>
    <row r="977" spans="3:4" x14ac:dyDescent="0.25">
      <c r="C977" s="130" t="str">
        <f t="shared" si="30"/>
        <v/>
      </c>
      <c r="D977" s="118" t="str">
        <f t="shared" si="31"/>
        <v/>
      </c>
    </row>
    <row r="978" spans="3:4" x14ac:dyDescent="0.25">
      <c r="C978" s="130" t="str">
        <f t="shared" si="30"/>
        <v/>
      </c>
      <c r="D978" s="118" t="str">
        <f t="shared" si="31"/>
        <v/>
      </c>
    </row>
    <row r="979" spans="3:4" x14ac:dyDescent="0.25">
      <c r="C979" s="130" t="str">
        <f t="shared" si="30"/>
        <v/>
      </c>
      <c r="D979" s="118" t="str">
        <f t="shared" si="31"/>
        <v/>
      </c>
    </row>
    <row r="980" spans="3:4" x14ac:dyDescent="0.25">
      <c r="C980" s="130" t="str">
        <f t="shared" si="30"/>
        <v/>
      </c>
      <c r="D980" s="118" t="str">
        <f t="shared" si="31"/>
        <v/>
      </c>
    </row>
    <row r="981" spans="3:4" x14ac:dyDescent="0.25">
      <c r="C981" s="130" t="str">
        <f t="shared" si="30"/>
        <v/>
      </c>
      <c r="D981" s="118" t="str">
        <f t="shared" si="31"/>
        <v/>
      </c>
    </row>
    <row r="982" spans="3:4" x14ac:dyDescent="0.25">
      <c r="C982" s="130" t="str">
        <f t="shared" si="30"/>
        <v/>
      </c>
      <c r="D982" s="118" t="str">
        <f t="shared" si="31"/>
        <v/>
      </c>
    </row>
    <row r="983" spans="3:4" x14ac:dyDescent="0.25">
      <c r="C983" s="130" t="str">
        <f t="shared" si="30"/>
        <v/>
      </c>
      <c r="D983" s="118" t="str">
        <f t="shared" si="31"/>
        <v/>
      </c>
    </row>
    <row r="984" spans="3:4" x14ac:dyDescent="0.25">
      <c r="C984" s="130" t="str">
        <f t="shared" si="30"/>
        <v/>
      </c>
      <c r="D984" s="118" t="str">
        <f t="shared" si="31"/>
        <v/>
      </c>
    </row>
    <row r="985" spans="3:4" x14ac:dyDescent="0.25">
      <c r="C985" s="130" t="str">
        <f t="shared" si="30"/>
        <v/>
      </c>
      <c r="D985" s="118" t="str">
        <f t="shared" si="31"/>
        <v/>
      </c>
    </row>
    <row r="986" spans="3:4" x14ac:dyDescent="0.25">
      <c r="C986" s="130" t="str">
        <f t="shared" si="30"/>
        <v/>
      </c>
      <c r="D986" s="118" t="str">
        <f t="shared" si="31"/>
        <v/>
      </c>
    </row>
    <row r="987" spans="3:4" x14ac:dyDescent="0.25">
      <c r="C987" s="130" t="str">
        <f t="shared" si="30"/>
        <v/>
      </c>
      <c r="D987" s="118" t="str">
        <f t="shared" si="31"/>
        <v/>
      </c>
    </row>
    <row r="988" spans="3:4" x14ac:dyDescent="0.25">
      <c r="C988" s="130" t="str">
        <f t="shared" si="30"/>
        <v/>
      </c>
      <c r="D988" s="118" t="str">
        <f t="shared" si="31"/>
        <v/>
      </c>
    </row>
    <row r="989" spans="3:4" x14ac:dyDescent="0.25">
      <c r="C989" s="130" t="str">
        <f t="shared" si="30"/>
        <v/>
      </c>
      <c r="D989" s="118" t="str">
        <f t="shared" si="31"/>
        <v/>
      </c>
    </row>
    <row r="990" spans="3:4" x14ac:dyDescent="0.25">
      <c r="C990" s="130" t="str">
        <f t="shared" si="30"/>
        <v/>
      </c>
      <c r="D990" s="118" t="str">
        <f t="shared" si="31"/>
        <v/>
      </c>
    </row>
    <row r="991" spans="3:4" x14ac:dyDescent="0.25">
      <c r="C991" s="130" t="str">
        <f t="shared" si="30"/>
        <v/>
      </c>
      <c r="D991" s="118" t="str">
        <f t="shared" si="31"/>
        <v/>
      </c>
    </row>
    <row r="992" spans="3:4" x14ac:dyDescent="0.25">
      <c r="C992" s="130" t="str">
        <f t="shared" si="30"/>
        <v/>
      </c>
      <c r="D992" s="118" t="str">
        <f t="shared" si="31"/>
        <v/>
      </c>
    </row>
    <row r="993" spans="3:4" x14ac:dyDescent="0.25">
      <c r="C993" s="130" t="str">
        <f t="shared" si="30"/>
        <v/>
      </c>
      <c r="D993" s="118" t="str">
        <f t="shared" si="31"/>
        <v/>
      </c>
    </row>
    <row r="994" spans="3:4" x14ac:dyDescent="0.25">
      <c r="C994" s="130" t="str">
        <f t="shared" si="30"/>
        <v/>
      </c>
      <c r="D994" s="118" t="str">
        <f t="shared" si="31"/>
        <v/>
      </c>
    </row>
    <row r="995" spans="3:4" x14ac:dyDescent="0.25">
      <c r="C995" s="130" t="str">
        <f t="shared" si="30"/>
        <v/>
      </c>
      <c r="D995" s="118" t="str">
        <f t="shared" si="31"/>
        <v/>
      </c>
    </row>
    <row r="996" spans="3:4" x14ac:dyDescent="0.25">
      <c r="C996" s="130" t="str">
        <f t="shared" si="30"/>
        <v/>
      </c>
      <c r="D996" s="118" t="str">
        <f t="shared" si="31"/>
        <v/>
      </c>
    </row>
    <row r="997" spans="3:4" x14ac:dyDescent="0.25">
      <c r="C997" s="130" t="str">
        <f t="shared" si="30"/>
        <v/>
      </c>
      <c r="D997" s="118" t="str">
        <f t="shared" si="31"/>
        <v/>
      </c>
    </row>
    <row r="998" spans="3:4" x14ac:dyDescent="0.25">
      <c r="C998" s="130" t="str">
        <f t="shared" si="30"/>
        <v/>
      </c>
      <c r="D998" s="118" t="str">
        <f t="shared" si="31"/>
        <v/>
      </c>
    </row>
    <row r="999" spans="3:4" x14ac:dyDescent="0.25">
      <c r="C999" s="130" t="str">
        <f t="shared" si="30"/>
        <v/>
      </c>
      <c r="D999" s="118" t="str">
        <f t="shared" si="31"/>
        <v/>
      </c>
    </row>
    <row r="1000" spans="3:4" x14ac:dyDescent="0.25">
      <c r="C1000" s="130" t="str">
        <f t="shared" si="30"/>
        <v/>
      </c>
      <c r="D1000" s="118" t="str">
        <f t="shared" si="31"/>
        <v/>
      </c>
    </row>
    <row r="1001" spans="3:4" x14ac:dyDescent="0.25">
      <c r="C1001" s="130" t="str">
        <f t="shared" si="30"/>
        <v/>
      </c>
      <c r="D1001" s="118" t="str">
        <f t="shared" si="31"/>
        <v/>
      </c>
    </row>
    <row r="1002" spans="3:4" x14ac:dyDescent="0.25">
      <c r="C1002" s="130" t="str">
        <f t="shared" si="30"/>
        <v/>
      </c>
      <c r="D1002" s="118" t="str">
        <f t="shared" si="31"/>
        <v/>
      </c>
    </row>
    <row r="1003" spans="3:4" x14ac:dyDescent="0.25">
      <c r="C1003" s="130" t="str">
        <f t="shared" si="30"/>
        <v/>
      </c>
      <c r="D1003" s="118" t="str">
        <f t="shared" si="31"/>
        <v/>
      </c>
    </row>
    <row r="1004" spans="3:4" x14ac:dyDescent="0.25">
      <c r="C1004" s="130" t="str">
        <f t="shared" si="30"/>
        <v/>
      </c>
      <c r="D1004" s="118" t="str">
        <f t="shared" si="31"/>
        <v/>
      </c>
    </row>
    <row r="1005" spans="3:4" x14ac:dyDescent="0.25">
      <c r="C1005" s="130" t="str">
        <f t="shared" si="30"/>
        <v/>
      </c>
      <c r="D1005" s="118" t="str">
        <f t="shared" si="31"/>
        <v/>
      </c>
    </row>
    <row r="1006" spans="3:4" x14ac:dyDescent="0.25">
      <c r="C1006" s="130" t="str">
        <f t="shared" si="30"/>
        <v/>
      </c>
      <c r="D1006" s="118" t="str">
        <f t="shared" si="31"/>
        <v/>
      </c>
    </row>
    <row r="1007" spans="3:4" x14ac:dyDescent="0.25">
      <c r="C1007" s="130" t="str">
        <f t="shared" si="30"/>
        <v/>
      </c>
      <c r="D1007" s="118" t="str">
        <f t="shared" si="31"/>
        <v/>
      </c>
    </row>
    <row r="1008" spans="3:4" x14ac:dyDescent="0.25">
      <c r="C1008" s="130" t="str">
        <f t="shared" si="30"/>
        <v/>
      </c>
      <c r="D1008" s="118" t="str">
        <f t="shared" si="31"/>
        <v/>
      </c>
    </row>
    <row r="1009" spans="3:4" x14ac:dyDescent="0.25">
      <c r="C1009" s="130" t="str">
        <f t="shared" si="30"/>
        <v/>
      </c>
      <c r="D1009" s="118" t="str">
        <f t="shared" si="31"/>
        <v/>
      </c>
    </row>
    <row r="1010" spans="3:4" x14ac:dyDescent="0.25">
      <c r="C1010" s="130" t="str">
        <f t="shared" si="30"/>
        <v/>
      </c>
      <c r="D1010" s="118" t="str">
        <f t="shared" si="31"/>
        <v/>
      </c>
    </row>
    <row r="1011" spans="3:4" x14ac:dyDescent="0.25">
      <c r="C1011" s="130" t="str">
        <f t="shared" si="30"/>
        <v/>
      </c>
      <c r="D1011" s="118" t="str">
        <f t="shared" si="31"/>
        <v/>
      </c>
    </row>
    <row r="1012" spans="3:4" x14ac:dyDescent="0.25">
      <c r="C1012" s="130" t="str">
        <f t="shared" si="30"/>
        <v/>
      </c>
      <c r="D1012" s="118" t="str">
        <f t="shared" si="31"/>
        <v/>
      </c>
    </row>
    <row r="1013" spans="3:4" x14ac:dyDescent="0.25">
      <c r="C1013" s="130" t="str">
        <f t="shared" si="30"/>
        <v/>
      </c>
      <c r="D1013" s="118" t="str">
        <f t="shared" si="31"/>
        <v/>
      </c>
    </row>
  </sheetData>
  <dataValidations xWindow="1277" yWindow="694" count="3">
    <dataValidation type="list" allowBlank="1" showInputMessage="1" showErrorMessage="1" errorTitle="Invalid Input" error="Choose from the list" sqref="B14:B1048576" xr:uid="{38EDBE46-D010-4584-B5C9-ACF83AFEAFB3}">
      <formula1>Base_Mat_Conc</formula1>
    </dataValidation>
    <dataValidation type="custom" allowBlank="1" showInputMessage="1" showErrorMessage="1" errorTitle="Invalid Input" error="Please enter a text/string value only." sqref="A14:A1048576" xr:uid="{1A6E5A41-C015-43F3-9799-90BDFA26683A}">
      <formula1>ISTEXT(A14)</formula1>
    </dataValidation>
    <dataValidation type="decimal" allowBlank="1" showInputMessage="1" showErrorMessage="1" errorTitle="Invalid Input" error="Please enter a float value only." sqref="E14:J1048576" xr:uid="{701051CC-D32B-4082-A864-E2290FA83D58}">
      <formula1>0</formula1>
      <formula2>1000000000000</formula2>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35A780-D16C-4363-990A-84BFD224ECBB}">
  <sheetPr codeName="Sheet7"/>
  <dimension ref="A1:P1019"/>
  <sheetViews>
    <sheetView zoomScale="130" zoomScaleNormal="130" workbookViewId="0">
      <selection activeCell="A3" sqref="A3"/>
    </sheetView>
  </sheetViews>
  <sheetFormatPr defaultColWidth="8.85546875" defaultRowHeight="15" x14ac:dyDescent="0.25"/>
  <cols>
    <col min="1" max="2" width="20.7109375" style="145" customWidth="1"/>
    <col min="3" max="4" width="20.7109375" style="133" customWidth="1"/>
    <col min="5" max="8" width="10.7109375" style="144" customWidth="1"/>
    <col min="9" max="9" width="10.7109375" style="146" customWidth="1"/>
    <col min="10" max="16" width="10.7109375" style="144" customWidth="1"/>
    <col min="17" max="16384" width="8.85546875" style="135"/>
  </cols>
  <sheetData>
    <row r="1" spans="1:11" s="135" customFormat="1" ht="15.75" x14ac:dyDescent="0.25">
      <c r="A1" s="132" t="s">
        <v>200</v>
      </c>
      <c r="B1" s="133"/>
      <c r="C1" s="133"/>
      <c r="D1" s="133"/>
      <c r="E1" s="134"/>
      <c r="F1" s="134"/>
      <c r="G1" s="134"/>
      <c r="H1" s="134"/>
      <c r="I1" s="134"/>
      <c r="J1" s="134"/>
      <c r="K1" s="134"/>
    </row>
    <row r="2" spans="1:11" s="135" customFormat="1" ht="15.75" x14ac:dyDescent="0.25">
      <c r="A2" s="100" t="s">
        <v>250</v>
      </c>
      <c r="B2" s="133"/>
      <c r="C2" s="133"/>
      <c r="D2" s="133"/>
      <c r="E2" s="134"/>
      <c r="F2" s="134"/>
      <c r="G2" s="134"/>
      <c r="H2" s="134"/>
      <c r="I2" s="134"/>
      <c r="J2" s="134"/>
      <c r="K2" s="134"/>
    </row>
    <row r="3" spans="1:11" s="135" customFormat="1" ht="15.75" x14ac:dyDescent="0.25">
      <c r="A3" s="100" t="s">
        <v>251</v>
      </c>
      <c r="B3" s="133"/>
      <c r="C3" s="133"/>
      <c r="D3" s="133"/>
      <c r="E3" s="134"/>
      <c r="F3" s="134"/>
      <c r="G3" s="134"/>
      <c r="H3" s="134"/>
      <c r="I3" s="134"/>
      <c r="J3" s="134"/>
      <c r="K3" s="134"/>
    </row>
    <row r="4" spans="1:11" s="135" customFormat="1" ht="15.75" x14ac:dyDescent="0.25">
      <c r="A4" s="100" t="s">
        <v>286</v>
      </c>
      <c r="B4" s="133"/>
      <c r="C4" s="133"/>
      <c r="D4" s="133"/>
      <c r="E4" s="134"/>
      <c r="F4" s="134"/>
      <c r="G4" s="134"/>
      <c r="H4" s="134"/>
      <c r="I4" s="134"/>
      <c r="J4" s="134"/>
      <c r="K4" s="134"/>
    </row>
    <row r="5" spans="1:11" s="135" customFormat="1" ht="15.75" x14ac:dyDescent="0.25">
      <c r="A5" s="100" t="s">
        <v>252</v>
      </c>
      <c r="B5" s="133"/>
      <c r="C5" s="133"/>
      <c r="D5" s="133"/>
      <c r="E5" s="134"/>
      <c r="F5" s="134"/>
      <c r="G5" s="134"/>
      <c r="H5" s="134"/>
      <c r="I5" s="134"/>
      <c r="J5" s="134"/>
      <c r="K5" s="134"/>
    </row>
    <row r="6" spans="1:11" s="135" customFormat="1" ht="15.75" x14ac:dyDescent="0.25">
      <c r="A6" s="136" t="s">
        <v>263</v>
      </c>
      <c r="B6" s="133"/>
      <c r="C6" s="133"/>
      <c r="D6" s="133"/>
      <c r="E6" s="134"/>
      <c r="F6" s="134"/>
      <c r="G6" s="134"/>
      <c r="H6" s="134"/>
      <c r="I6" s="134"/>
      <c r="J6" s="134"/>
      <c r="K6" s="134"/>
    </row>
    <row r="7" spans="1:11" s="135" customFormat="1" ht="15.75" x14ac:dyDescent="0.25">
      <c r="A7" s="136" t="s">
        <v>264</v>
      </c>
      <c r="B7" s="133"/>
      <c r="C7" s="133"/>
      <c r="D7" s="133"/>
      <c r="E7" s="134"/>
      <c r="F7" s="134"/>
      <c r="G7" s="134"/>
      <c r="H7" s="134"/>
      <c r="I7" s="134"/>
      <c r="J7" s="134"/>
      <c r="K7" s="134"/>
    </row>
    <row r="8" spans="1:11" s="135" customFormat="1" ht="15.75" x14ac:dyDescent="0.25">
      <c r="A8" s="136" t="s">
        <v>265</v>
      </c>
      <c r="B8" s="133"/>
      <c r="C8" s="133"/>
      <c r="D8" s="133"/>
      <c r="E8" s="134"/>
      <c r="F8" s="134"/>
      <c r="G8" s="134"/>
      <c r="H8" s="134"/>
      <c r="I8" s="134"/>
      <c r="J8" s="134"/>
      <c r="K8" s="134"/>
    </row>
    <row r="9" spans="1:11" s="135" customFormat="1" ht="15.75" x14ac:dyDescent="0.25">
      <c r="A9" s="136" t="s">
        <v>266</v>
      </c>
      <c r="B9" s="133"/>
      <c r="C9" s="133"/>
      <c r="D9" s="133"/>
      <c r="E9" s="134"/>
      <c r="F9" s="134"/>
      <c r="G9" s="134"/>
      <c r="H9" s="134"/>
      <c r="I9" s="134"/>
      <c r="J9" s="134"/>
      <c r="K9" s="134"/>
    </row>
    <row r="10" spans="1:11" s="135" customFormat="1" ht="15.75" x14ac:dyDescent="0.25">
      <c r="A10" s="136" t="s">
        <v>271</v>
      </c>
      <c r="B10" s="133"/>
      <c r="C10" s="133"/>
      <c r="D10" s="133"/>
      <c r="E10" s="134"/>
      <c r="F10" s="134"/>
      <c r="G10" s="134"/>
      <c r="H10" s="134"/>
      <c r="I10" s="134"/>
      <c r="J10" s="134"/>
      <c r="K10" s="134"/>
    </row>
    <row r="11" spans="1:11" s="135" customFormat="1" ht="15.75" x14ac:dyDescent="0.25">
      <c r="A11" s="136" t="s">
        <v>272</v>
      </c>
      <c r="B11" s="133"/>
      <c r="C11" s="133"/>
      <c r="D11" s="133"/>
      <c r="E11" s="134"/>
      <c r="F11" s="134"/>
      <c r="G11" s="134"/>
      <c r="H11" s="134"/>
      <c r="I11" s="134"/>
      <c r="J11" s="134"/>
      <c r="K11" s="134"/>
    </row>
    <row r="12" spans="1:11" s="135" customFormat="1" ht="15.75" x14ac:dyDescent="0.25">
      <c r="A12" s="136" t="s">
        <v>274</v>
      </c>
      <c r="B12" s="133"/>
      <c r="C12" s="133"/>
      <c r="D12" s="133"/>
      <c r="E12" s="134"/>
      <c r="F12" s="134"/>
      <c r="G12" s="134"/>
      <c r="H12" s="134"/>
      <c r="I12" s="134"/>
      <c r="J12" s="134"/>
      <c r="K12" s="134"/>
    </row>
    <row r="13" spans="1:11" s="135" customFormat="1" ht="15.75" x14ac:dyDescent="0.25">
      <c r="A13" s="136" t="s">
        <v>275</v>
      </c>
      <c r="B13" s="133"/>
      <c r="C13" s="133"/>
      <c r="D13" s="133"/>
      <c r="E13" s="134"/>
      <c r="F13" s="134"/>
      <c r="G13" s="134"/>
      <c r="H13" s="134"/>
      <c r="I13" s="134"/>
      <c r="J13" s="134"/>
      <c r="K13" s="134"/>
    </row>
    <row r="14" spans="1:11" s="135" customFormat="1" ht="15.75" x14ac:dyDescent="0.25">
      <c r="A14" s="136" t="s">
        <v>276</v>
      </c>
      <c r="B14" s="133"/>
      <c r="C14" s="133"/>
      <c r="D14" s="133"/>
      <c r="E14" s="134"/>
      <c r="F14" s="134"/>
      <c r="G14" s="134"/>
      <c r="H14" s="134"/>
      <c r="I14" s="134"/>
      <c r="J14" s="134"/>
      <c r="K14" s="134"/>
    </row>
    <row r="15" spans="1:11" s="135" customFormat="1" ht="15.75" x14ac:dyDescent="0.25">
      <c r="A15" s="136" t="s">
        <v>279</v>
      </c>
      <c r="B15" s="133"/>
      <c r="C15" s="133"/>
      <c r="D15" s="133"/>
      <c r="E15" s="134"/>
      <c r="F15" s="134"/>
      <c r="G15" s="134"/>
      <c r="H15" s="134"/>
      <c r="I15" s="134"/>
      <c r="J15" s="134"/>
      <c r="K15" s="134"/>
    </row>
    <row r="16" spans="1:11" s="135" customFormat="1" ht="15.75" x14ac:dyDescent="0.25">
      <c r="A16" s="136" t="s">
        <v>277</v>
      </c>
      <c r="B16" s="133"/>
      <c r="C16" s="133"/>
      <c r="D16" s="133"/>
      <c r="E16" s="134"/>
      <c r="F16" s="134"/>
      <c r="G16" s="134"/>
      <c r="H16" s="134"/>
      <c r="I16" s="134"/>
      <c r="J16" s="134"/>
      <c r="K16" s="134"/>
    </row>
    <row r="17" spans="1:16" s="135" customFormat="1" ht="15.75" x14ac:dyDescent="0.25">
      <c r="A17" s="136" t="s">
        <v>278</v>
      </c>
      <c r="B17" s="133"/>
      <c r="C17" s="133"/>
      <c r="D17" s="133"/>
      <c r="E17" s="134"/>
      <c r="F17" s="134"/>
      <c r="G17" s="134"/>
      <c r="H17" s="134"/>
      <c r="I17" s="134"/>
      <c r="J17" s="134"/>
      <c r="K17" s="134"/>
    </row>
    <row r="18" spans="1:16" s="135" customFormat="1" ht="15.75" x14ac:dyDescent="0.25">
      <c r="A18" s="137"/>
      <c r="B18" s="138"/>
      <c r="C18" s="138"/>
      <c r="D18" s="138"/>
      <c r="E18" s="139"/>
      <c r="F18" s="139"/>
      <c r="G18" s="139"/>
      <c r="H18" s="139"/>
      <c r="I18" s="139"/>
      <c r="J18" s="139"/>
      <c r="K18" s="139"/>
    </row>
    <row r="19" spans="1:16" s="141" customFormat="1" ht="15.75" x14ac:dyDescent="0.25">
      <c r="A19" s="86" t="s">
        <v>10</v>
      </c>
      <c r="B19" s="86" t="s">
        <v>18</v>
      </c>
      <c r="C19" s="86" t="s">
        <v>8</v>
      </c>
      <c r="D19" s="86" t="s">
        <v>19</v>
      </c>
      <c r="E19" s="86" t="s">
        <v>12</v>
      </c>
      <c r="F19" s="86" t="s">
        <v>13</v>
      </c>
      <c r="G19" s="86" t="s">
        <v>27</v>
      </c>
      <c r="H19" s="86" t="s">
        <v>28</v>
      </c>
      <c r="I19" s="86" t="s">
        <v>29</v>
      </c>
      <c r="J19" s="86" t="s">
        <v>30</v>
      </c>
      <c r="K19" s="86" t="s">
        <v>31</v>
      </c>
      <c r="L19" s="140" t="s">
        <v>267</v>
      </c>
      <c r="M19" s="140" t="s">
        <v>268</v>
      </c>
      <c r="N19" s="140" t="s">
        <v>269</v>
      </c>
      <c r="O19" s="140" t="s">
        <v>270</v>
      </c>
      <c r="P19" s="140" t="s">
        <v>273</v>
      </c>
    </row>
    <row r="20" spans="1:16" s="135" customFormat="1" ht="15.75" x14ac:dyDescent="0.25">
      <c r="A20" s="109" t="s">
        <v>32</v>
      </c>
      <c r="B20" s="109" t="s">
        <v>17</v>
      </c>
      <c r="C20" s="118" t="str">
        <f t="shared" ref="C20:C83" si="0">IF(A20=0,"",VLOOKUP(B20,MatDB,2,FALSE))</f>
        <v>Rebar</v>
      </c>
      <c r="D20" s="118" t="str">
        <f>IF(A20=0,"","Steel02")</f>
        <v>Steel02</v>
      </c>
      <c r="E20" s="121">
        <f>420</f>
        <v>420</v>
      </c>
      <c r="F20" s="121">
        <f>525</f>
        <v>525</v>
      </c>
      <c r="G20" s="131">
        <v>0.08</v>
      </c>
      <c r="H20" s="131">
        <v>0</v>
      </c>
      <c r="I20" s="142">
        <v>20</v>
      </c>
      <c r="J20" s="143">
        <v>0.92500000000000004</v>
      </c>
      <c r="K20" s="143">
        <v>0.15</v>
      </c>
      <c r="L20" s="144">
        <v>0</v>
      </c>
      <c r="M20" s="144">
        <v>1</v>
      </c>
      <c r="N20" s="144">
        <v>0</v>
      </c>
      <c r="O20" s="144">
        <v>1</v>
      </c>
      <c r="P20" s="144">
        <v>0</v>
      </c>
    </row>
    <row r="21" spans="1:16" s="135" customFormat="1" ht="15.75" x14ac:dyDescent="0.25">
      <c r="A21" s="109"/>
      <c r="B21" s="109"/>
      <c r="C21" s="118" t="str">
        <f t="shared" si="0"/>
        <v/>
      </c>
      <c r="D21" s="118" t="str">
        <f t="shared" ref="D21:D84" si="1">IF(A21=0,"","Steel02")</f>
        <v/>
      </c>
      <c r="E21" s="121"/>
      <c r="F21" s="121"/>
      <c r="G21" s="121"/>
      <c r="H21" s="121"/>
      <c r="I21" s="142"/>
      <c r="J21" s="121"/>
      <c r="K21" s="121"/>
      <c r="L21" s="144"/>
      <c r="M21" s="144"/>
      <c r="N21" s="144"/>
      <c r="O21" s="144"/>
      <c r="P21" s="144"/>
    </row>
    <row r="22" spans="1:16" s="135" customFormat="1" ht="15.75" x14ac:dyDescent="0.25">
      <c r="A22" s="109"/>
      <c r="B22" s="109"/>
      <c r="C22" s="118" t="str">
        <f t="shared" si="0"/>
        <v/>
      </c>
      <c r="D22" s="118" t="str">
        <f t="shared" si="1"/>
        <v/>
      </c>
      <c r="E22" s="121"/>
      <c r="F22" s="121"/>
      <c r="G22" s="121"/>
      <c r="H22" s="121"/>
      <c r="I22" s="142"/>
      <c r="J22" s="121"/>
      <c r="K22" s="121"/>
      <c r="L22" s="144"/>
      <c r="M22" s="144"/>
      <c r="N22" s="144"/>
      <c r="O22" s="144"/>
      <c r="P22" s="144"/>
    </row>
    <row r="23" spans="1:16" s="135" customFormat="1" ht="15.75" x14ac:dyDescent="0.25">
      <c r="A23" s="109"/>
      <c r="B23" s="109"/>
      <c r="C23" s="118" t="str">
        <f t="shared" si="0"/>
        <v/>
      </c>
      <c r="D23" s="118" t="str">
        <f t="shared" si="1"/>
        <v/>
      </c>
      <c r="E23" s="121"/>
      <c r="F23" s="121"/>
      <c r="G23" s="121"/>
      <c r="H23" s="121"/>
      <c r="I23" s="142"/>
      <c r="J23" s="121"/>
      <c r="K23" s="121"/>
      <c r="L23" s="144"/>
      <c r="M23" s="144"/>
      <c r="N23" s="144"/>
      <c r="O23" s="144"/>
      <c r="P23" s="144"/>
    </row>
    <row r="24" spans="1:16" s="135" customFormat="1" ht="15.75" x14ac:dyDescent="0.25">
      <c r="A24" s="109"/>
      <c r="B24" s="109"/>
      <c r="C24" s="118" t="str">
        <f t="shared" si="0"/>
        <v/>
      </c>
      <c r="D24" s="118" t="str">
        <f t="shared" si="1"/>
        <v/>
      </c>
      <c r="E24" s="121"/>
      <c r="F24" s="121"/>
      <c r="G24" s="121"/>
      <c r="H24" s="121"/>
      <c r="I24" s="142"/>
      <c r="J24" s="121"/>
      <c r="K24" s="121"/>
      <c r="L24" s="144"/>
      <c r="M24" s="144"/>
      <c r="N24" s="144"/>
      <c r="O24" s="144"/>
      <c r="P24" s="144"/>
    </row>
    <row r="25" spans="1:16" s="135" customFormat="1" ht="15.75" x14ac:dyDescent="0.25">
      <c r="A25" s="109"/>
      <c r="B25" s="109"/>
      <c r="C25" s="118" t="str">
        <f t="shared" si="0"/>
        <v/>
      </c>
      <c r="D25" s="118" t="str">
        <f t="shared" si="1"/>
        <v/>
      </c>
      <c r="E25" s="121"/>
      <c r="F25" s="121"/>
      <c r="G25" s="121"/>
      <c r="H25" s="121"/>
      <c r="I25" s="142"/>
      <c r="J25" s="121"/>
      <c r="K25" s="121"/>
      <c r="L25" s="144"/>
      <c r="M25" s="144"/>
      <c r="N25" s="144"/>
      <c r="O25" s="144"/>
      <c r="P25" s="144"/>
    </row>
    <row r="26" spans="1:16" s="135" customFormat="1" ht="15.75" x14ac:dyDescent="0.25">
      <c r="A26" s="109"/>
      <c r="B26" s="109"/>
      <c r="C26" s="118" t="str">
        <f t="shared" si="0"/>
        <v/>
      </c>
      <c r="D26" s="118" t="str">
        <f t="shared" si="1"/>
        <v/>
      </c>
      <c r="E26" s="121"/>
      <c r="F26" s="121"/>
      <c r="G26" s="121"/>
      <c r="H26" s="121"/>
      <c r="I26" s="142"/>
      <c r="J26" s="121"/>
      <c r="K26" s="121"/>
      <c r="L26" s="144"/>
      <c r="M26" s="144"/>
      <c r="N26" s="144"/>
      <c r="O26" s="144"/>
      <c r="P26" s="144"/>
    </row>
    <row r="27" spans="1:16" s="135" customFormat="1" ht="15.75" x14ac:dyDescent="0.25">
      <c r="A27" s="109"/>
      <c r="B27" s="109"/>
      <c r="C27" s="118" t="str">
        <f t="shared" si="0"/>
        <v/>
      </c>
      <c r="D27" s="118" t="str">
        <f t="shared" si="1"/>
        <v/>
      </c>
      <c r="E27" s="121"/>
      <c r="F27" s="121"/>
      <c r="G27" s="121"/>
      <c r="H27" s="121"/>
      <c r="I27" s="142"/>
      <c r="J27" s="121"/>
      <c r="K27" s="121"/>
      <c r="L27" s="144"/>
      <c r="M27" s="144"/>
      <c r="N27" s="144"/>
      <c r="O27" s="144"/>
      <c r="P27" s="144"/>
    </row>
    <row r="28" spans="1:16" s="135" customFormat="1" ht="15.75" x14ac:dyDescent="0.25">
      <c r="A28" s="109"/>
      <c r="B28" s="109"/>
      <c r="C28" s="118" t="str">
        <f t="shared" si="0"/>
        <v/>
      </c>
      <c r="D28" s="118" t="str">
        <f t="shared" si="1"/>
        <v/>
      </c>
      <c r="E28" s="121"/>
      <c r="F28" s="121"/>
      <c r="G28" s="121"/>
      <c r="H28" s="121"/>
      <c r="I28" s="142"/>
      <c r="J28" s="121"/>
      <c r="K28" s="121"/>
      <c r="L28" s="144"/>
      <c r="M28" s="144"/>
      <c r="N28" s="144"/>
      <c r="O28" s="144"/>
      <c r="P28" s="144"/>
    </row>
    <row r="29" spans="1:16" s="135" customFormat="1" ht="15.75" x14ac:dyDescent="0.25">
      <c r="A29" s="109"/>
      <c r="B29" s="109"/>
      <c r="C29" s="118" t="str">
        <f t="shared" si="0"/>
        <v/>
      </c>
      <c r="D29" s="118" t="str">
        <f t="shared" si="1"/>
        <v/>
      </c>
      <c r="E29" s="121"/>
      <c r="F29" s="121"/>
      <c r="G29" s="121"/>
      <c r="H29" s="121"/>
      <c r="I29" s="142"/>
      <c r="J29" s="121"/>
      <c r="K29" s="121"/>
      <c r="L29" s="144"/>
      <c r="M29" s="144"/>
      <c r="N29" s="144"/>
      <c r="O29" s="144"/>
      <c r="P29" s="144"/>
    </row>
    <row r="30" spans="1:16" s="135" customFormat="1" ht="15.75" x14ac:dyDescent="0.25">
      <c r="A30" s="109"/>
      <c r="B30" s="109"/>
      <c r="C30" s="118" t="str">
        <f t="shared" si="0"/>
        <v/>
      </c>
      <c r="D30" s="118" t="str">
        <f t="shared" si="1"/>
        <v/>
      </c>
      <c r="E30" s="121"/>
      <c r="F30" s="121"/>
      <c r="G30" s="121"/>
      <c r="H30" s="121"/>
      <c r="I30" s="142"/>
      <c r="J30" s="121"/>
      <c r="K30" s="121"/>
      <c r="L30" s="144"/>
      <c r="M30" s="144"/>
      <c r="N30" s="144"/>
      <c r="O30" s="144"/>
      <c r="P30" s="144"/>
    </row>
    <row r="31" spans="1:16" s="135" customFormat="1" ht="15.75" x14ac:dyDescent="0.25">
      <c r="A31" s="109"/>
      <c r="B31" s="109"/>
      <c r="C31" s="118" t="str">
        <f t="shared" si="0"/>
        <v/>
      </c>
      <c r="D31" s="118" t="str">
        <f t="shared" si="1"/>
        <v/>
      </c>
      <c r="E31" s="121"/>
      <c r="F31" s="121"/>
      <c r="G31" s="121"/>
      <c r="H31" s="121"/>
      <c r="I31" s="142"/>
      <c r="J31" s="121"/>
      <c r="K31" s="121"/>
      <c r="L31" s="144"/>
      <c r="M31" s="144"/>
      <c r="N31" s="144"/>
      <c r="O31" s="144"/>
      <c r="P31" s="144"/>
    </row>
    <row r="32" spans="1:16" s="135" customFormat="1" ht="15.75" x14ac:dyDescent="0.25">
      <c r="A32" s="109"/>
      <c r="B32" s="109"/>
      <c r="C32" s="118" t="str">
        <f t="shared" si="0"/>
        <v/>
      </c>
      <c r="D32" s="118" t="str">
        <f t="shared" si="1"/>
        <v/>
      </c>
      <c r="E32" s="121"/>
      <c r="F32" s="121"/>
      <c r="G32" s="121"/>
      <c r="H32" s="121"/>
      <c r="I32" s="142"/>
      <c r="J32" s="121"/>
      <c r="K32" s="121"/>
      <c r="L32" s="144"/>
      <c r="M32" s="144"/>
      <c r="N32" s="144"/>
      <c r="O32" s="144"/>
      <c r="P32" s="144"/>
    </row>
    <row r="33" spans="1:16" s="135" customFormat="1" ht="15.75" x14ac:dyDescent="0.25">
      <c r="A33" s="109"/>
      <c r="B33" s="109"/>
      <c r="C33" s="118" t="str">
        <f t="shared" si="0"/>
        <v/>
      </c>
      <c r="D33" s="118" t="str">
        <f t="shared" si="1"/>
        <v/>
      </c>
      <c r="E33" s="121"/>
      <c r="F33" s="121"/>
      <c r="G33" s="121"/>
      <c r="H33" s="121"/>
      <c r="I33" s="142"/>
      <c r="J33" s="121"/>
      <c r="K33" s="121"/>
      <c r="L33" s="144"/>
      <c r="M33" s="144"/>
      <c r="N33" s="144"/>
      <c r="O33" s="144"/>
      <c r="P33" s="144"/>
    </row>
    <row r="34" spans="1:16" s="135" customFormat="1" ht="15.75" x14ac:dyDescent="0.25">
      <c r="A34" s="109"/>
      <c r="B34" s="109"/>
      <c r="C34" s="118" t="str">
        <f t="shared" si="0"/>
        <v/>
      </c>
      <c r="D34" s="118" t="str">
        <f t="shared" si="1"/>
        <v/>
      </c>
      <c r="E34" s="121"/>
      <c r="F34" s="121"/>
      <c r="G34" s="121"/>
      <c r="H34" s="121"/>
      <c r="I34" s="142"/>
      <c r="J34" s="121"/>
      <c r="K34" s="121"/>
      <c r="L34" s="144"/>
      <c r="M34" s="144"/>
      <c r="N34" s="144"/>
      <c r="O34" s="144"/>
      <c r="P34" s="144"/>
    </row>
    <row r="35" spans="1:16" s="135" customFormat="1" ht="15.75" x14ac:dyDescent="0.25">
      <c r="A35" s="109"/>
      <c r="B35" s="109"/>
      <c r="C35" s="118" t="str">
        <f t="shared" si="0"/>
        <v/>
      </c>
      <c r="D35" s="118" t="str">
        <f t="shared" si="1"/>
        <v/>
      </c>
      <c r="E35" s="121"/>
      <c r="F35" s="121"/>
      <c r="G35" s="121"/>
      <c r="H35" s="121"/>
      <c r="I35" s="142"/>
      <c r="J35" s="121"/>
      <c r="K35" s="121"/>
      <c r="L35" s="144"/>
      <c r="M35" s="144"/>
      <c r="N35" s="144"/>
      <c r="O35" s="144"/>
      <c r="P35" s="144"/>
    </row>
    <row r="36" spans="1:16" s="135" customFormat="1" ht="15.75" x14ac:dyDescent="0.25">
      <c r="A36" s="109"/>
      <c r="B36" s="109"/>
      <c r="C36" s="118" t="str">
        <f t="shared" si="0"/>
        <v/>
      </c>
      <c r="D36" s="118" t="str">
        <f t="shared" si="1"/>
        <v/>
      </c>
      <c r="E36" s="121"/>
      <c r="F36" s="121"/>
      <c r="G36" s="121"/>
      <c r="H36" s="121"/>
      <c r="I36" s="142"/>
      <c r="J36" s="121"/>
      <c r="K36" s="121"/>
      <c r="L36" s="144"/>
      <c r="M36" s="144"/>
      <c r="N36" s="144"/>
      <c r="O36" s="144"/>
      <c r="P36" s="144"/>
    </row>
    <row r="37" spans="1:16" s="135" customFormat="1" ht="15.75" x14ac:dyDescent="0.25">
      <c r="A37" s="109"/>
      <c r="B37" s="109"/>
      <c r="C37" s="118" t="str">
        <f t="shared" si="0"/>
        <v/>
      </c>
      <c r="D37" s="118" t="str">
        <f t="shared" si="1"/>
        <v/>
      </c>
      <c r="E37" s="121"/>
      <c r="F37" s="121"/>
      <c r="G37" s="121"/>
      <c r="H37" s="121"/>
      <c r="I37" s="142"/>
      <c r="J37" s="121"/>
      <c r="K37" s="121"/>
      <c r="L37" s="144"/>
      <c r="M37" s="144"/>
      <c r="N37" s="144"/>
      <c r="O37" s="144"/>
      <c r="P37" s="144"/>
    </row>
    <row r="38" spans="1:16" s="135" customFormat="1" ht="15.75" x14ac:dyDescent="0.25">
      <c r="A38" s="109"/>
      <c r="B38" s="109"/>
      <c r="C38" s="118" t="str">
        <f t="shared" si="0"/>
        <v/>
      </c>
      <c r="D38" s="118" t="str">
        <f t="shared" si="1"/>
        <v/>
      </c>
      <c r="E38" s="121"/>
      <c r="F38" s="121"/>
      <c r="G38" s="121"/>
      <c r="H38" s="121"/>
      <c r="I38" s="142"/>
      <c r="J38" s="121"/>
      <c r="K38" s="121"/>
      <c r="L38" s="144"/>
      <c r="M38" s="144"/>
      <c r="N38" s="144"/>
      <c r="O38" s="144"/>
      <c r="P38" s="144"/>
    </row>
    <row r="39" spans="1:16" s="135" customFormat="1" ht="15.75" x14ac:dyDescent="0.25">
      <c r="A39" s="109"/>
      <c r="B39" s="109"/>
      <c r="C39" s="118" t="str">
        <f t="shared" si="0"/>
        <v/>
      </c>
      <c r="D39" s="118" t="str">
        <f t="shared" si="1"/>
        <v/>
      </c>
      <c r="E39" s="121"/>
      <c r="F39" s="121"/>
      <c r="G39" s="121"/>
      <c r="H39" s="121"/>
      <c r="I39" s="142"/>
      <c r="J39" s="121"/>
      <c r="K39" s="121"/>
      <c r="L39" s="144"/>
      <c r="M39" s="144"/>
      <c r="N39" s="144"/>
      <c r="O39" s="144"/>
      <c r="P39" s="144"/>
    </row>
    <row r="40" spans="1:16" s="135" customFormat="1" ht="15.75" x14ac:dyDescent="0.25">
      <c r="A40" s="109"/>
      <c r="B40" s="109"/>
      <c r="C40" s="118" t="str">
        <f t="shared" si="0"/>
        <v/>
      </c>
      <c r="D40" s="118" t="str">
        <f t="shared" si="1"/>
        <v/>
      </c>
      <c r="E40" s="121"/>
      <c r="F40" s="121"/>
      <c r="G40" s="121"/>
      <c r="H40" s="121"/>
      <c r="I40" s="142"/>
      <c r="J40" s="121"/>
      <c r="K40" s="121"/>
      <c r="L40" s="144"/>
      <c r="M40" s="144"/>
      <c r="N40" s="144"/>
      <c r="O40" s="144"/>
      <c r="P40" s="144"/>
    </row>
    <row r="41" spans="1:16" s="135" customFormat="1" ht="15.75" x14ac:dyDescent="0.25">
      <c r="A41" s="109"/>
      <c r="B41" s="109"/>
      <c r="C41" s="118" t="str">
        <f t="shared" si="0"/>
        <v/>
      </c>
      <c r="D41" s="118" t="str">
        <f t="shared" si="1"/>
        <v/>
      </c>
      <c r="E41" s="121"/>
      <c r="F41" s="121"/>
      <c r="G41" s="121"/>
      <c r="H41" s="121"/>
      <c r="I41" s="142"/>
      <c r="J41" s="121"/>
      <c r="K41" s="121"/>
      <c r="L41" s="144"/>
      <c r="M41" s="144"/>
      <c r="N41" s="144"/>
      <c r="O41" s="144"/>
      <c r="P41" s="144"/>
    </row>
    <row r="42" spans="1:16" s="135" customFormat="1" ht="15.75" x14ac:dyDescent="0.25">
      <c r="A42" s="109"/>
      <c r="B42" s="109"/>
      <c r="C42" s="118" t="str">
        <f t="shared" si="0"/>
        <v/>
      </c>
      <c r="D42" s="118" t="str">
        <f t="shared" si="1"/>
        <v/>
      </c>
      <c r="E42" s="121"/>
      <c r="F42" s="121"/>
      <c r="G42" s="121"/>
      <c r="H42" s="121"/>
      <c r="I42" s="142"/>
      <c r="J42" s="121"/>
      <c r="K42" s="121"/>
      <c r="L42" s="144"/>
      <c r="M42" s="144"/>
      <c r="N42" s="144"/>
      <c r="O42" s="144"/>
      <c r="P42" s="144"/>
    </row>
    <row r="43" spans="1:16" s="135" customFormat="1" ht="15.75" x14ac:dyDescent="0.25">
      <c r="A43" s="109"/>
      <c r="B43" s="109"/>
      <c r="C43" s="118" t="str">
        <f t="shared" si="0"/>
        <v/>
      </c>
      <c r="D43" s="118" t="str">
        <f t="shared" si="1"/>
        <v/>
      </c>
      <c r="E43" s="121"/>
      <c r="F43" s="121"/>
      <c r="G43" s="121"/>
      <c r="H43" s="121"/>
      <c r="I43" s="142"/>
      <c r="J43" s="121"/>
      <c r="K43" s="121"/>
      <c r="L43" s="144"/>
      <c r="M43" s="144"/>
      <c r="N43" s="144"/>
      <c r="O43" s="144"/>
      <c r="P43" s="144"/>
    </row>
    <row r="44" spans="1:16" s="135" customFormat="1" ht="15.75" x14ac:dyDescent="0.25">
      <c r="A44" s="109"/>
      <c r="B44" s="109"/>
      <c r="C44" s="118" t="str">
        <f t="shared" si="0"/>
        <v/>
      </c>
      <c r="D44" s="118" t="str">
        <f t="shared" si="1"/>
        <v/>
      </c>
      <c r="E44" s="121"/>
      <c r="F44" s="121"/>
      <c r="G44" s="121"/>
      <c r="H44" s="121"/>
      <c r="I44" s="142"/>
      <c r="J44" s="121"/>
      <c r="K44" s="121"/>
      <c r="L44" s="144"/>
      <c r="M44" s="144"/>
      <c r="N44" s="144"/>
      <c r="O44" s="144"/>
      <c r="P44" s="144"/>
    </row>
    <row r="45" spans="1:16" s="135" customFormat="1" ht="15.75" x14ac:dyDescent="0.25">
      <c r="A45" s="109"/>
      <c r="B45" s="109"/>
      <c r="C45" s="118" t="str">
        <f t="shared" si="0"/>
        <v/>
      </c>
      <c r="D45" s="118" t="str">
        <f t="shared" si="1"/>
        <v/>
      </c>
      <c r="E45" s="121"/>
      <c r="F45" s="121"/>
      <c r="G45" s="121"/>
      <c r="H45" s="121"/>
      <c r="I45" s="142"/>
      <c r="J45" s="121"/>
      <c r="K45" s="121"/>
      <c r="L45" s="144"/>
      <c r="M45" s="144"/>
      <c r="N45" s="144"/>
      <c r="O45" s="144"/>
      <c r="P45" s="144"/>
    </row>
    <row r="46" spans="1:16" s="135" customFormat="1" ht="15.75" x14ac:dyDescent="0.25">
      <c r="A46" s="109"/>
      <c r="B46" s="109"/>
      <c r="C46" s="118" t="str">
        <f t="shared" si="0"/>
        <v/>
      </c>
      <c r="D46" s="118" t="str">
        <f t="shared" si="1"/>
        <v/>
      </c>
      <c r="E46" s="121"/>
      <c r="F46" s="121"/>
      <c r="G46" s="121"/>
      <c r="H46" s="121"/>
      <c r="I46" s="142"/>
      <c r="J46" s="121"/>
      <c r="K46" s="121"/>
      <c r="L46" s="144"/>
      <c r="M46" s="144"/>
      <c r="N46" s="144"/>
      <c r="O46" s="144"/>
      <c r="P46" s="144"/>
    </row>
    <row r="47" spans="1:16" s="135" customFormat="1" ht="15.75" x14ac:dyDescent="0.25">
      <c r="A47" s="109"/>
      <c r="B47" s="109"/>
      <c r="C47" s="118" t="str">
        <f t="shared" si="0"/>
        <v/>
      </c>
      <c r="D47" s="118" t="str">
        <f t="shared" si="1"/>
        <v/>
      </c>
      <c r="E47" s="121"/>
      <c r="F47" s="121"/>
      <c r="G47" s="121"/>
      <c r="H47" s="121"/>
      <c r="I47" s="142"/>
      <c r="J47" s="121"/>
      <c r="K47" s="121"/>
      <c r="L47" s="144"/>
      <c r="M47" s="144"/>
      <c r="N47" s="144"/>
      <c r="O47" s="144"/>
      <c r="P47" s="144"/>
    </row>
    <row r="48" spans="1:16" s="135" customFormat="1" ht="15.75" x14ac:dyDescent="0.25">
      <c r="A48" s="109"/>
      <c r="B48" s="109"/>
      <c r="C48" s="118" t="str">
        <f t="shared" si="0"/>
        <v/>
      </c>
      <c r="D48" s="118" t="str">
        <f t="shared" si="1"/>
        <v/>
      </c>
      <c r="E48" s="121"/>
      <c r="F48" s="121"/>
      <c r="G48" s="121"/>
      <c r="H48" s="121"/>
      <c r="I48" s="142"/>
      <c r="J48" s="121"/>
      <c r="K48" s="121"/>
      <c r="L48" s="144"/>
      <c r="M48" s="144"/>
      <c r="N48" s="144"/>
      <c r="O48" s="144"/>
      <c r="P48" s="144"/>
    </row>
    <row r="49" spans="1:16" s="135" customFormat="1" ht="15.75" x14ac:dyDescent="0.25">
      <c r="A49" s="109"/>
      <c r="B49" s="109"/>
      <c r="C49" s="118" t="str">
        <f t="shared" si="0"/>
        <v/>
      </c>
      <c r="D49" s="118" t="str">
        <f t="shared" si="1"/>
        <v/>
      </c>
      <c r="E49" s="121"/>
      <c r="F49" s="121"/>
      <c r="G49" s="121"/>
      <c r="H49" s="121"/>
      <c r="I49" s="142"/>
      <c r="J49" s="121"/>
      <c r="K49" s="121"/>
      <c r="L49" s="144"/>
      <c r="M49" s="144"/>
      <c r="N49" s="144"/>
      <c r="O49" s="144"/>
      <c r="P49" s="144"/>
    </row>
    <row r="50" spans="1:16" s="135" customFormat="1" ht="15.75" x14ac:dyDescent="0.25">
      <c r="A50" s="109"/>
      <c r="B50" s="109"/>
      <c r="C50" s="118" t="str">
        <f t="shared" si="0"/>
        <v/>
      </c>
      <c r="D50" s="118" t="str">
        <f t="shared" si="1"/>
        <v/>
      </c>
      <c r="E50" s="121"/>
      <c r="F50" s="121"/>
      <c r="G50" s="121"/>
      <c r="H50" s="121"/>
      <c r="I50" s="142"/>
      <c r="J50" s="121"/>
      <c r="K50" s="121"/>
      <c r="L50" s="144"/>
      <c r="M50" s="144"/>
      <c r="N50" s="144"/>
      <c r="O50" s="144"/>
      <c r="P50" s="144"/>
    </row>
    <row r="51" spans="1:16" s="135" customFormat="1" ht="15.75" x14ac:dyDescent="0.25">
      <c r="A51" s="109"/>
      <c r="B51" s="109"/>
      <c r="C51" s="118" t="str">
        <f t="shared" si="0"/>
        <v/>
      </c>
      <c r="D51" s="118" t="str">
        <f t="shared" si="1"/>
        <v/>
      </c>
      <c r="E51" s="121"/>
      <c r="F51" s="121"/>
      <c r="G51" s="121"/>
      <c r="H51" s="121"/>
      <c r="I51" s="142"/>
      <c r="J51" s="121"/>
      <c r="K51" s="121"/>
      <c r="L51" s="144"/>
      <c r="M51" s="144"/>
      <c r="N51" s="144"/>
      <c r="O51" s="144"/>
      <c r="P51" s="144"/>
    </row>
    <row r="52" spans="1:16" s="135" customFormat="1" ht="15.75" x14ac:dyDescent="0.25">
      <c r="A52" s="109"/>
      <c r="B52" s="109"/>
      <c r="C52" s="118" t="str">
        <f t="shared" si="0"/>
        <v/>
      </c>
      <c r="D52" s="118" t="str">
        <f t="shared" si="1"/>
        <v/>
      </c>
      <c r="E52" s="121"/>
      <c r="F52" s="121"/>
      <c r="G52" s="121"/>
      <c r="H52" s="121"/>
      <c r="I52" s="142"/>
      <c r="J52" s="121"/>
      <c r="K52" s="121"/>
      <c r="L52" s="144"/>
      <c r="M52" s="144"/>
      <c r="N52" s="144"/>
      <c r="O52" s="144"/>
      <c r="P52" s="144"/>
    </row>
    <row r="53" spans="1:16" s="135" customFormat="1" ht="15.75" x14ac:dyDescent="0.25">
      <c r="A53" s="109"/>
      <c r="B53" s="109"/>
      <c r="C53" s="118" t="str">
        <f t="shared" si="0"/>
        <v/>
      </c>
      <c r="D53" s="118" t="str">
        <f t="shared" si="1"/>
        <v/>
      </c>
      <c r="E53" s="121"/>
      <c r="F53" s="121"/>
      <c r="G53" s="121"/>
      <c r="H53" s="121"/>
      <c r="I53" s="142"/>
      <c r="J53" s="121"/>
      <c r="K53" s="121"/>
      <c r="L53" s="144"/>
      <c r="M53" s="144"/>
      <c r="N53" s="144"/>
      <c r="O53" s="144"/>
      <c r="P53" s="144"/>
    </row>
    <row r="54" spans="1:16" s="135" customFormat="1" ht="15.75" x14ac:dyDescent="0.25">
      <c r="A54" s="109"/>
      <c r="B54" s="109"/>
      <c r="C54" s="118" t="str">
        <f t="shared" si="0"/>
        <v/>
      </c>
      <c r="D54" s="118" t="str">
        <f t="shared" si="1"/>
        <v/>
      </c>
      <c r="E54" s="121"/>
      <c r="F54" s="121"/>
      <c r="G54" s="121"/>
      <c r="H54" s="121"/>
      <c r="I54" s="142"/>
      <c r="J54" s="121"/>
      <c r="K54" s="121"/>
      <c r="L54" s="144"/>
      <c r="M54" s="144"/>
      <c r="N54" s="144"/>
      <c r="O54" s="144"/>
      <c r="P54" s="144"/>
    </row>
    <row r="55" spans="1:16" s="135" customFormat="1" ht="15.75" x14ac:dyDescent="0.25">
      <c r="A55" s="109"/>
      <c r="B55" s="109"/>
      <c r="C55" s="118" t="str">
        <f t="shared" si="0"/>
        <v/>
      </c>
      <c r="D55" s="118" t="str">
        <f t="shared" si="1"/>
        <v/>
      </c>
      <c r="E55" s="121"/>
      <c r="F55" s="121"/>
      <c r="G55" s="121"/>
      <c r="H55" s="121"/>
      <c r="I55" s="142"/>
      <c r="J55" s="121"/>
      <c r="K55" s="121"/>
      <c r="L55" s="144"/>
      <c r="M55" s="144"/>
      <c r="N55" s="144"/>
      <c r="O55" s="144"/>
      <c r="P55" s="144"/>
    </row>
    <row r="56" spans="1:16" s="135" customFormat="1" ht="15.75" x14ac:dyDescent="0.25">
      <c r="A56" s="109"/>
      <c r="B56" s="109"/>
      <c r="C56" s="118" t="str">
        <f t="shared" si="0"/>
        <v/>
      </c>
      <c r="D56" s="118" t="str">
        <f t="shared" si="1"/>
        <v/>
      </c>
      <c r="E56" s="121"/>
      <c r="F56" s="121"/>
      <c r="G56" s="121"/>
      <c r="H56" s="121"/>
      <c r="I56" s="142"/>
      <c r="J56" s="121"/>
      <c r="K56" s="121"/>
      <c r="L56" s="144"/>
      <c r="M56" s="144"/>
      <c r="N56" s="144"/>
      <c r="O56" s="144"/>
      <c r="P56" s="144"/>
    </row>
    <row r="57" spans="1:16" s="135" customFormat="1" ht="15.75" x14ac:dyDescent="0.25">
      <c r="A57" s="109"/>
      <c r="B57" s="109"/>
      <c r="C57" s="118" t="str">
        <f t="shared" si="0"/>
        <v/>
      </c>
      <c r="D57" s="118" t="str">
        <f t="shared" si="1"/>
        <v/>
      </c>
      <c r="E57" s="121"/>
      <c r="F57" s="121"/>
      <c r="G57" s="121"/>
      <c r="H57" s="121"/>
      <c r="I57" s="142"/>
      <c r="J57" s="121"/>
      <c r="K57" s="121"/>
      <c r="L57" s="144"/>
      <c r="M57" s="144"/>
      <c r="N57" s="144"/>
      <c r="O57" s="144"/>
      <c r="P57" s="144"/>
    </row>
    <row r="58" spans="1:16" s="135" customFormat="1" ht="15.75" x14ac:dyDescent="0.25">
      <c r="A58" s="109"/>
      <c r="B58" s="109"/>
      <c r="C58" s="118" t="str">
        <f t="shared" si="0"/>
        <v/>
      </c>
      <c r="D58" s="118" t="str">
        <f t="shared" si="1"/>
        <v/>
      </c>
      <c r="E58" s="121"/>
      <c r="F58" s="121"/>
      <c r="G58" s="121"/>
      <c r="H58" s="121"/>
      <c r="I58" s="142"/>
      <c r="J58" s="121"/>
      <c r="K58" s="121"/>
      <c r="L58" s="144"/>
      <c r="M58" s="144"/>
      <c r="N58" s="144"/>
      <c r="O58" s="144"/>
      <c r="P58" s="144"/>
    </row>
    <row r="59" spans="1:16" s="135" customFormat="1" ht="15.75" x14ac:dyDescent="0.25">
      <c r="A59" s="109"/>
      <c r="B59" s="109"/>
      <c r="C59" s="118" t="str">
        <f t="shared" si="0"/>
        <v/>
      </c>
      <c r="D59" s="118" t="str">
        <f t="shared" si="1"/>
        <v/>
      </c>
      <c r="E59" s="121"/>
      <c r="F59" s="121"/>
      <c r="G59" s="121"/>
      <c r="H59" s="121"/>
      <c r="I59" s="142"/>
      <c r="J59" s="121"/>
      <c r="K59" s="121"/>
      <c r="L59" s="144"/>
      <c r="M59" s="144"/>
      <c r="N59" s="144"/>
      <c r="O59" s="144"/>
      <c r="P59" s="144"/>
    </row>
    <row r="60" spans="1:16" s="135" customFormat="1" ht="15.75" x14ac:dyDescent="0.25">
      <c r="A60" s="109"/>
      <c r="B60" s="109"/>
      <c r="C60" s="118" t="str">
        <f t="shared" si="0"/>
        <v/>
      </c>
      <c r="D60" s="118" t="str">
        <f t="shared" si="1"/>
        <v/>
      </c>
      <c r="E60" s="121"/>
      <c r="F60" s="121"/>
      <c r="G60" s="121"/>
      <c r="H60" s="121"/>
      <c r="I60" s="142"/>
      <c r="J60" s="121"/>
      <c r="K60" s="121"/>
      <c r="L60" s="144"/>
      <c r="M60" s="144"/>
      <c r="N60" s="144"/>
      <c r="O60" s="144"/>
      <c r="P60" s="144"/>
    </row>
    <row r="61" spans="1:16" s="135" customFormat="1" ht="15.75" x14ac:dyDescent="0.25">
      <c r="A61" s="109"/>
      <c r="B61" s="109"/>
      <c r="C61" s="118" t="str">
        <f t="shared" si="0"/>
        <v/>
      </c>
      <c r="D61" s="118" t="str">
        <f t="shared" si="1"/>
        <v/>
      </c>
      <c r="E61" s="121"/>
      <c r="F61" s="121"/>
      <c r="G61" s="121"/>
      <c r="H61" s="121"/>
      <c r="I61" s="142"/>
      <c r="J61" s="121"/>
      <c r="K61" s="121"/>
      <c r="L61" s="144"/>
      <c r="M61" s="144"/>
      <c r="N61" s="144"/>
      <c r="O61" s="144"/>
      <c r="P61" s="144"/>
    </row>
    <row r="62" spans="1:16" s="135" customFormat="1" ht="15.75" x14ac:dyDescent="0.25">
      <c r="A62" s="109"/>
      <c r="B62" s="109"/>
      <c r="C62" s="118" t="str">
        <f t="shared" si="0"/>
        <v/>
      </c>
      <c r="D62" s="118" t="str">
        <f t="shared" si="1"/>
        <v/>
      </c>
      <c r="E62" s="121"/>
      <c r="F62" s="121"/>
      <c r="G62" s="121"/>
      <c r="H62" s="121"/>
      <c r="I62" s="142"/>
      <c r="J62" s="121"/>
      <c r="K62" s="121"/>
      <c r="L62" s="144"/>
      <c r="M62" s="144"/>
      <c r="N62" s="144"/>
      <c r="O62" s="144"/>
      <c r="P62" s="144"/>
    </row>
    <row r="63" spans="1:16" s="135" customFormat="1" ht="15.75" x14ac:dyDescent="0.25">
      <c r="A63" s="109"/>
      <c r="B63" s="109"/>
      <c r="C63" s="118" t="str">
        <f t="shared" si="0"/>
        <v/>
      </c>
      <c r="D63" s="118" t="str">
        <f t="shared" si="1"/>
        <v/>
      </c>
      <c r="E63" s="121"/>
      <c r="F63" s="121"/>
      <c r="G63" s="121"/>
      <c r="H63" s="121"/>
      <c r="I63" s="142"/>
      <c r="J63" s="121"/>
      <c r="K63" s="121"/>
      <c r="L63" s="144"/>
      <c r="M63" s="144"/>
      <c r="N63" s="144"/>
      <c r="O63" s="144"/>
      <c r="P63" s="144"/>
    </row>
    <row r="64" spans="1:16" s="135" customFormat="1" ht="15.75" x14ac:dyDescent="0.25">
      <c r="A64" s="109"/>
      <c r="B64" s="109"/>
      <c r="C64" s="118" t="str">
        <f t="shared" si="0"/>
        <v/>
      </c>
      <c r="D64" s="118" t="str">
        <f t="shared" si="1"/>
        <v/>
      </c>
      <c r="E64" s="121"/>
      <c r="F64" s="121"/>
      <c r="G64" s="121"/>
      <c r="H64" s="121"/>
      <c r="I64" s="142"/>
      <c r="J64" s="121"/>
      <c r="K64" s="121"/>
      <c r="L64" s="144"/>
      <c r="M64" s="144"/>
      <c r="N64" s="144"/>
      <c r="O64" s="144"/>
      <c r="P64" s="144"/>
    </row>
    <row r="65" spans="1:16" s="135" customFormat="1" ht="15.75" x14ac:dyDescent="0.25">
      <c r="A65" s="109"/>
      <c r="B65" s="109"/>
      <c r="C65" s="118" t="str">
        <f t="shared" si="0"/>
        <v/>
      </c>
      <c r="D65" s="118" t="str">
        <f t="shared" si="1"/>
        <v/>
      </c>
      <c r="E65" s="121"/>
      <c r="F65" s="121"/>
      <c r="G65" s="121"/>
      <c r="H65" s="121"/>
      <c r="I65" s="142"/>
      <c r="J65" s="121"/>
      <c r="K65" s="121"/>
      <c r="L65" s="144"/>
      <c r="M65" s="144"/>
      <c r="N65" s="144"/>
      <c r="O65" s="144"/>
      <c r="P65" s="144"/>
    </row>
    <row r="66" spans="1:16" s="135" customFormat="1" ht="15.75" x14ac:dyDescent="0.25">
      <c r="A66" s="109"/>
      <c r="B66" s="109"/>
      <c r="C66" s="118" t="str">
        <f t="shared" si="0"/>
        <v/>
      </c>
      <c r="D66" s="118" t="str">
        <f t="shared" si="1"/>
        <v/>
      </c>
      <c r="E66" s="121"/>
      <c r="F66" s="121"/>
      <c r="G66" s="121"/>
      <c r="H66" s="121"/>
      <c r="I66" s="142"/>
      <c r="J66" s="121"/>
      <c r="K66" s="121"/>
      <c r="L66" s="144"/>
      <c r="M66" s="144"/>
      <c r="N66" s="144"/>
      <c r="O66" s="144"/>
      <c r="P66" s="144"/>
    </row>
    <row r="67" spans="1:16" s="135" customFormat="1" ht="15.75" x14ac:dyDescent="0.25">
      <c r="A67" s="109"/>
      <c r="B67" s="109"/>
      <c r="C67" s="118" t="str">
        <f t="shared" si="0"/>
        <v/>
      </c>
      <c r="D67" s="118" t="str">
        <f t="shared" si="1"/>
        <v/>
      </c>
      <c r="E67" s="121"/>
      <c r="F67" s="121"/>
      <c r="G67" s="121"/>
      <c r="H67" s="121"/>
      <c r="I67" s="142"/>
      <c r="J67" s="121"/>
      <c r="K67" s="121"/>
      <c r="L67" s="144"/>
      <c r="M67" s="144"/>
      <c r="N67" s="144"/>
      <c r="O67" s="144"/>
      <c r="P67" s="144"/>
    </row>
    <row r="68" spans="1:16" s="135" customFormat="1" ht="15.75" x14ac:dyDescent="0.25">
      <c r="A68" s="109"/>
      <c r="B68" s="109"/>
      <c r="C68" s="118" t="str">
        <f t="shared" si="0"/>
        <v/>
      </c>
      <c r="D68" s="118" t="str">
        <f t="shared" si="1"/>
        <v/>
      </c>
      <c r="E68" s="121"/>
      <c r="F68" s="121"/>
      <c r="G68" s="121"/>
      <c r="H68" s="121"/>
      <c r="I68" s="142"/>
      <c r="J68" s="121"/>
      <c r="K68" s="121"/>
      <c r="L68" s="144"/>
      <c r="M68" s="144"/>
      <c r="N68" s="144"/>
      <c r="O68" s="144"/>
      <c r="P68" s="144"/>
    </row>
    <row r="69" spans="1:16" s="135" customFormat="1" ht="15.75" x14ac:dyDescent="0.25">
      <c r="A69" s="109"/>
      <c r="B69" s="109"/>
      <c r="C69" s="118" t="str">
        <f t="shared" si="0"/>
        <v/>
      </c>
      <c r="D69" s="118" t="str">
        <f t="shared" si="1"/>
        <v/>
      </c>
      <c r="E69" s="121"/>
      <c r="F69" s="121"/>
      <c r="G69" s="121"/>
      <c r="H69" s="121"/>
      <c r="I69" s="142"/>
      <c r="J69" s="121"/>
      <c r="K69" s="121"/>
      <c r="L69" s="144"/>
      <c r="M69" s="144"/>
      <c r="N69" s="144"/>
      <c r="O69" s="144"/>
      <c r="P69" s="144"/>
    </row>
    <row r="70" spans="1:16" s="135" customFormat="1" ht="15.75" x14ac:dyDescent="0.25">
      <c r="A70" s="109"/>
      <c r="B70" s="109"/>
      <c r="C70" s="118" t="str">
        <f t="shared" si="0"/>
        <v/>
      </c>
      <c r="D70" s="118" t="str">
        <f t="shared" si="1"/>
        <v/>
      </c>
      <c r="E70" s="121"/>
      <c r="F70" s="121"/>
      <c r="G70" s="121"/>
      <c r="H70" s="121"/>
      <c r="I70" s="142"/>
      <c r="J70" s="121"/>
      <c r="K70" s="121"/>
      <c r="L70" s="144"/>
      <c r="M70" s="144"/>
      <c r="N70" s="144"/>
      <c r="O70" s="144"/>
      <c r="P70" s="144"/>
    </row>
    <row r="71" spans="1:16" s="135" customFormat="1" ht="15.75" x14ac:dyDescent="0.25">
      <c r="A71" s="109"/>
      <c r="B71" s="109"/>
      <c r="C71" s="118" t="str">
        <f t="shared" si="0"/>
        <v/>
      </c>
      <c r="D71" s="118" t="str">
        <f t="shared" si="1"/>
        <v/>
      </c>
      <c r="E71" s="121"/>
      <c r="F71" s="121"/>
      <c r="G71" s="121"/>
      <c r="H71" s="121"/>
      <c r="I71" s="142"/>
      <c r="J71" s="121"/>
      <c r="K71" s="121"/>
      <c r="L71" s="144"/>
      <c r="M71" s="144"/>
      <c r="N71" s="144"/>
      <c r="O71" s="144"/>
      <c r="P71" s="144"/>
    </row>
    <row r="72" spans="1:16" s="135" customFormat="1" ht="15.75" x14ac:dyDescent="0.25">
      <c r="A72" s="109"/>
      <c r="B72" s="109"/>
      <c r="C72" s="118" t="str">
        <f t="shared" si="0"/>
        <v/>
      </c>
      <c r="D72" s="118" t="str">
        <f t="shared" si="1"/>
        <v/>
      </c>
      <c r="E72" s="121"/>
      <c r="F72" s="121"/>
      <c r="G72" s="121"/>
      <c r="H72" s="121"/>
      <c r="I72" s="142"/>
      <c r="J72" s="121"/>
      <c r="K72" s="121"/>
      <c r="L72" s="144"/>
      <c r="M72" s="144"/>
      <c r="N72" s="144"/>
      <c r="O72" s="144"/>
      <c r="P72" s="144"/>
    </row>
    <row r="73" spans="1:16" s="135" customFormat="1" ht="15.75" x14ac:dyDescent="0.25">
      <c r="A73" s="109"/>
      <c r="B73" s="109"/>
      <c r="C73" s="118" t="str">
        <f t="shared" si="0"/>
        <v/>
      </c>
      <c r="D73" s="118" t="str">
        <f t="shared" si="1"/>
        <v/>
      </c>
      <c r="E73" s="121"/>
      <c r="F73" s="121"/>
      <c r="G73" s="121"/>
      <c r="H73" s="121"/>
      <c r="I73" s="142"/>
      <c r="J73" s="121"/>
      <c r="K73" s="121"/>
      <c r="L73" s="144"/>
      <c r="M73" s="144"/>
      <c r="N73" s="144"/>
      <c r="O73" s="144"/>
      <c r="P73" s="144"/>
    </row>
    <row r="74" spans="1:16" s="135" customFormat="1" ht="15.75" x14ac:dyDescent="0.25">
      <c r="A74" s="109"/>
      <c r="B74" s="109"/>
      <c r="C74" s="118" t="str">
        <f t="shared" si="0"/>
        <v/>
      </c>
      <c r="D74" s="118" t="str">
        <f t="shared" si="1"/>
        <v/>
      </c>
      <c r="E74" s="121"/>
      <c r="F74" s="121"/>
      <c r="G74" s="121"/>
      <c r="H74" s="121"/>
      <c r="I74" s="142"/>
      <c r="J74" s="121"/>
      <c r="K74" s="121"/>
      <c r="L74" s="144"/>
      <c r="M74" s="144"/>
      <c r="N74" s="144"/>
      <c r="O74" s="144"/>
      <c r="P74" s="144"/>
    </row>
    <row r="75" spans="1:16" s="135" customFormat="1" ht="15.75" x14ac:dyDescent="0.25">
      <c r="A75" s="109"/>
      <c r="B75" s="109"/>
      <c r="C75" s="118" t="str">
        <f t="shared" si="0"/>
        <v/>
      </c>
      <c r="D75" s="118" t="str">
        <f t="shared" si="1"/>
        <v/>
      </c>
      <c r="E75" s="121"/>
      <c r="F75" s="121"/>
      <c r="G75" s="121"/>
      <c r="H75" s="121"/>
      <c r="I75" s="142"/>
      <c r="J75" s="121"/>
      <c r="K75" s="121"/>
      <c r="L75" s="144"/>
      <c r="M75" s="144"/>
      <c r="N75" s="144"/>
      <c r="O75" s="144"/>
      <c r="P75" s="144"/>
    </row>
    <row r="76" spans="1:16" s="135" customFormat="1" ht="15.75" x14ac:dyDescent="0.25">
      <c r="A76" s="109"/>
      <c r="B76" s="109"/>
      <c r="C76" s="118" t="str">
        <f t="shared" si="0"/>
        <v/>
      </c>
      <c r="D76" s="118" t="str">
        <f t="shared" si="1"/>
        <v/>
      </c>
      <c r="E76" s="121"/>
      <c r="F76" s="121"/>
      <c r="G76" s="121"/>
      <c r="H76" s="121"/>
      <c r="I76" s="142"/>
      <c r="J76" s="121"/>
      <c r="K76" s="121"/>
      <c r="L76" s="144"/>
      <c r="M76" s="144"/>
      <c r="N76" s="144"/>
      <c r="O76" s="144"/>
      <c r="P76" s="144"/>
    </row>
    <row r="77" spans="1:16" s="135" customFormat="1" ht="15.75" x14ac:dyDescent="0.25">
      <c r="A77" s="109"/>
      <c r="B77" s="109"/>
      <c r="C77" s="118" t="str">
        <f t="shared" si="0"/>
        <v/>
      </c>
      <c r="D77" s="118" t="str">
        <f t="shared" si="1"/>
        <v/>
      </c>
      <c r="E77" s="121"/>
      <c r="F77" s="121"/>
      <c r="G77" s="121"/>
      <c r="H77" s="121"/>
      <c r="I77" s="142"/>
      <c r="J77" s="121"/>
      <c r="K77" s="121"/>
      <c r="L77" s="144"/>
      <c r="M77" s="144"/>
      <c r="N77" s="144"/>
      <c r="O77" s="144"/>
      <c r="P77" s="144"/>
    </row>
    <row r="78" spans="1:16" s="135" customFormat="1" ht="15.75" x14ac:dyDescent="0.25">
      <c r="A78" s="109"/>
      <c r="B78" s="109"/>
      <c r="C78" s="118" t="str">
        <f t="shared" si="0"/>
        <v/>
      </c>
      <c r="D78" s="118" t="str">
        <f t="shared" si="1"/>
        <v/>
      </c>
      <c r="E78" s="121"/>
      <c r="F78" s="121"/>
      <c r="G78" s="121"/>
      <c r="H78" s="121"/>
      <c r="I78" s="142"/>
      <c r="J78" s="121"/>
      <c r="K78" s="121"/>
      <c r="L78" s="144"/>
      <c r="M78" s="144"/>
      <c r="N78" s="144"/>
      <c r="O78" s="144"/>
      <c r="P78" s="144"/>
    </row>
    <row r="79" spans="1:16" s="135" customFormat="1" ht="15.75" x14ac:dyDescent="0.25">
      <c r="A79" s="109"/>
      <c r="B79" s="109"/>
      <c r="C79" s="118" t="str">
        <f t="shared" si="0"/>
        <v/>
      </c>
      <c r="D79" s="118" t="str">
        <f t="shared" si="1"/>
        <v/>
      </c>
      <c r="E79" s="121"/>
      <c r="F79" s="121"/>
      <c r="G79" s="121"/>
      <c r="H79" s="121"/>
      <c r="I79" s="142"/>
      <c r="J79" s="121"/>
      <c r="K79" s="121"/>
      <c r="L79" s="144"/>
      <c r="M79" s="144"/>
      <c r="N79" s="144"/>
      <c r="O79" s="144"/>
      <c r="P79" s="144"/>
    </row>
    <row r="80" spans="1:16" s="135" customFormat="1" ht="15.75" x14ac:dyDescent="0.25">
      <c r="A80" s="109"/>
      <c r="B80" s="109"/>
      <c r="C80" s="118" t="str">
        <f t="shared" si="0"/>
        <v/>
      </c>
      <c r="D80" s="118" t="str">
        <f t="shared" si="1"/>
        <v/>
      </c>
      <c r="E80" s="121"/>
      <c r="F80" s="121"/>
      <c r="G80" s="121"/>
      <c r="H80" s="121"/>
      <c r="I80" s="142"/>
      <c r="J80" s="121"/>
      <c r="K80" s="121"/>
      <c r="L80" s="144"/>
      <c r="M80" s="144"/>
      <c r="N80" s="144"/>
      <c r="O80" s="144"/>
      <c r="P80" s="144"/>
    </row>
    <row r="81" spans="1:16" s="135" customFormat="1" ht="15.75" x14ac:dyDescent="0.25">
      <c r="A81" s="109"/>
      <c r="B81" s="109"/>
      <c r="C81" s="118" t="str">
        <f t="shared" si="0"/>
        <v/>
      </c>
      <c r="D81" s="118" t="str">
        <f t="shared" si="1"/>
        <v/>
      </c>
      <c r="E81" s="121"/>
      <c r="F81" s="121"/>
      <c r="G81" s="121"/>
      <c r="H81" s="121"/>
      <c r="I81" s="142"/>
      <c r="J81" s="121"/>
      <c r="K81" s="121"/>
      <c r="L81" s="144"/>
      <c r="M81" s="144"/>
      <c r="N81" s="144"/>
      <c r="O81" s="144"/>
      <c r="P81" s="144"/>
    </row>
    <row r="82" spans="1:16" s="135" customFormat="1" ht="15.75" x14ac:dyDescent="0.25">
      <c r="A82" s="109"/>
      <c r="B82" s="109"/>
      <c r="C82" s="118" t="str">
        <f t="shared" si="0"/>
        <v/>
      </c>
      <c r="D82" s="118" t="str">
        <f t="shared" si="1"/>
        <v/>
      </c>
      <c r="E82" s="121"/>
      <c r="F82" s="121"/>
      <c r="G82" s="121"/>
      <c r="H82" s="121"/>
      <c r="I82" s="142"/>
      <c r="J82" s="121"/>
      <c r="K82" s="121"/>
      <c r="L82" s="144"/>
      <c r="M82" s="144"/>
      <c r="N82" s="144"/>
      <c r="O82" s="144"/>
      <c r="P82" s="144"/>
    </row>
    <row r="83" spans="1:16" s="135" customFormat="1" ht="15.75" x14ac:dyDescent="0.25">
      <c r="A83" s="109"/>
      <c r="B83" s="109"/>
      <c r="C83" s="118" t="str">
        <f t="shared" si="0"/>
        <v/>
      </c>
      <c r="D83" s="118" t="str">
        <f t="shared" si="1"/>
        <v/>
      </c>
      <c r="E83" s="121"/>
      <c r="F83" s="121"/>
      <c r="G83" s="121"/>
      <c r="H83" s="121"/>
      <c r="I83" s="142"/>
      <c r="J83" s="121"/>
      <c r="K83" s="121"/>
      <c r="L83" s="144"/>
      <c r="M83" s="144"/>
      <c r="N83" s="144"/>
      <c r="O83" s="144"/>
      <c r="P83" s="144"/>
    </row>
    <row r="84" spans="1:16" s="135" customFormat="1" ht="15.75" x14ac:dyDescent="0.25">
      <c r="A84" s="109"/>
      <c r="B84" s="109"/>
      <c r="C84" s="118" t="str">
        <f t="shared" ref="C84:C147" si="2">IF(A84=0,"",VLOOKUP(B84,MatDB,2,FALSE))</f>
        <v/>
      </c>
      <c r="D84" s="118" t="str">
        <f t="shared" si="1"/>
        <v/>
      </c>
      <c r="E84" s="121"/>
      <c r="F84" s="121"/>
      <c r="G84" s="121"/>
      <c r="H84" s="121"/>
      <c r="I84" s="142"/>
      <c r="J84" s="121"/>
      <c r="K84" s="121"/>
      <c r="L84" s="144"/>
      <c r="M84" s="144"/>
      <c r="N84" s="144"/>
      <c r="O84" s="144"/>
      <c r="P84" s="144"/>
    </row>
    <row r="85" spans="1:16" s="135" customFormat="1" ht="15.75" x14ac:dyDescent="0.25">
      <c r="A85" s="109"/>
      <c r="B85" s="109"/>
      <c r="C85" s="118" t="str">
        <f t="shared" si="2"/>
        <v/>
      </c>
      <c r="D85" s="118" t="str">
        <f t="shared" ref="D85:D148" si="3">IF(A85=0,"","Steel02")</f>
        <v/>
      </c>
      <c r="E85" s="121"/>
      <c r="F85" s="121"/>
      <c r="G85" s="121"/>
      <c r="H85" s="121"/>
      <c r="I85" s="142"/>
      <c r="J85" s="121"/>
      <c r="K85" s="121"/>
      <c r="L85" s="144"/>
      <c r="M85" s="144"/>
      <c r="N85" s="144"/>
      <c r="O85" s="144"/>
      <c r="P85" s="144"/>
    </row>
    <row r="86" spans="1:16" s="135" customFormat="1" ht="15.75" x14ac:dyDescent="0.25">
      <c r="A86" s="109"/>
      <c r="B86" s="109"/>
      <c r="C86" s="118" t="str">
        <f t="shared" si="2"/>
        <v/>
      </c>
      <c r="D86" s="118" t="str">
        <f t="shared" si="3"/>
        <v/>
      </c>
      <c r="E86" s="121"/>
      <c r="F86" s="121"/>
      <c r="G86" s="121"/>
      <c r="H86" s="121"/>
      <c r="I86" s="142"/>
      <c r="J86" s="121"/>
      <c r="K86" s="121"/>
      <c r="L86" s="144"/>
      <c r="M86" s="144"/>
      <c r="N86" s="144"/>
      <c r="O86" s="144"/>
      <c r="P86" s="144"/>
    </row>
    <row r="87" spans="1:16" s="135" customFormat="1" ht="15.75" x14ac:dyDescent="0.25">
      <c r="A87" s="109"/>
      <c r="B87" s="109"/>
      <c r="C87" s="118" t="str">
        <f t="shared" si="2"/>
        <v/>
      </c>
      <c r="D87" s="118" t="str">
        <f t="shared" si="3"/>
        <v/>
      </c>
      <c r="E87" s="121"/>
      <c r="F87" s="121"/>
      <c r="G87" s="121"/>
      <c r="H87" s="121"/>
      <c r="I87" s="142"/>
      <c r="J87" s="121"/>
      <c r="K87" s="121"/>
      <c r="L87" s="144"/>
      <c r="M87" s="144"/>
      <c r="N87" s="144"/>
      <c r="O87" s="144"/>
      <c r="P87" s="144"/>
    </row>
    <row r="88" spans="1:16" s="135" customFormat="1" ht="15.75" x14ac:dyDescent="0.25">
      <c r="A88" s="109"/>
      <c r="B88" s="109"/>
      <c r="C88" s="118" t="str">
        <f t="shared" si="2"/>
        <v/>
      </c>
      <c r="D88" s="118" t="str">
        <f t="shared" si="3"/>
        <v/>
      </c>
      <c r="E88" s="121"/>
      <c r="F88" s="121"/>
      <c r="G88" s="121"/>
      <c r="H88" s="121"/>
      <c r="I88" s="142"/>
      <c r="J88" s="121"/>
      <c r="K88" s="121"/>
      <c r="L88" s="144"/>
      <c r="M88" s="144"/>
      <c r="N88" s="144"/>
      <c r="O88" s="144"/>
      <c r="P88" s="144"/>
    </row>
    <row r="89" spans="1:16" s="135" customFormat="1" ht="15.75" x14ac:dyDescent="0.25">
      <c r="A89" s="109"/>
      <c r="B89" s="109"/>
      <c r="C89" s="118" t="str">
        <f t="shared" si="2"/>
        <v/>
      </c>
      <c r="D89" s="118" t="str">
        <f t="shared" si="3"/>
        <v/>
      </c>
      <c r="E89" s="121"/>
      <c r="F89" s="121"/>
      <c r="G89" s="121"/>
      <c r="H89" s="121"/>
      <c r="I89" s="142"/>
      <c r="J89" s="121"/>
      <c r="K89" s="121"/>
      <c r="L89" s="144"/>
      <c r="M89" s="144"/>
      <c r="N89" s="144"/>
      <c r="O89" s="144"/>
      <c r="P89" s="144"/>
    </row>
    <row r="90" spans="1:16" s="135" customFormat="1" ht="15.75" x14ac:dyDescent="0.25">
      <c r="A90" s="109"/>
      <c r="B90" s="109"/>
      <c r="C90" s="118" t="str">
        <f t="shared" si="2"/>
        <v/>
      </c>
      <c r="D90" s="118" t="str">
        <f t="shared" si="3"/>
        <v/>
      </c>
      <c r="E90" s="121"/>
      <c r="F90" s="121"/>
      <c r="G90" s="121"/>
      <c r="H90" s="121"/>
      <c r="I90" s="142"/>
      <c r="J90" s="121"/>
      <c r="K90" s="121"/>
      <c r="L90" s="144"/>
      <c r="M90" s="144"/>
      <c r="N90" s="144"/>
      <c r="O90" s="144"/>
      <c r="P90" s="144"/>
    </row>
    <row r="91" spans="1:16" s="135" customFormat="1" ht="15.75" x14ac:dyDescent="0.25">
      <c r="A91" s="109"/>
      <c r="B91" s="109"/>
      <c r="C91" s="118" t="str">
        <f t="shared" si="2"/>
        <v/>
      </c>
      <c r="D91" s="118" t="str">
        <f t="shared" si="3"/>
        <v/>
      </c>
      <c r="E91" s="121"/>
      <c r="F91" s="121"/>
      <c r="G91" s="121"/>
      <c r="H91" s="121"/>
      <c r="I91" s="142"/>
      <c r="J91" s="121"/>
      <c r="K91" s="121"/>
      <c r="L91" s="144"/>
      <c r="M91" s="144"/>
      <c r="N91" s="144"/>
      <c r="O91" s="144"/>
      <c r="P91" s="144"/>
    </row>
    <row r="92" spans="1:16" s="135" customFormat="1" ht="15.75" x14ac:dyDescent="0.25">
      <c r="A92" s="109"/>
      <c r="B92" s="109"/>
      <c r="C92" s="118" t="str">
        <f t="shared" si="2"/>
        <v/>
      </c>
      <c r="D92" s="118" t="str">
        <f t="shared" si="3"/>
        <v/>
      </c>
      <c r="E92" s="121"/>
      <c r="F92" s="121"/>
      <c r="G92" s="121"/>
      <c r="H92" s="121"/>
      <c r="I92" s="142"/>
      <c r="J92" s="121"/>
      <c r="K92" s="121"/>
      <c r="L92" s="144"/>
      <c r="M92" s="144"/>
      <c r="N92" s="144"/>
      <c r="O92" s="144"/>
      <c r="P92" s="144"/>
    </row>
    <row r="93" spans="1:16" s="135" customFormat="1" ht="15.75" x14ac:dyDescent="0.25">
      <c r="A93" s="109"/>
      <c r="B93" s="109"/>
      <c r="C93" s="118" t="str">
        <f t="shared" si="2"/>
        <v/>
      </c>
      <c r="D93" s="118" t="str">
        <f t="shared" si="3"/>
        <v/>
      </c>
      <c r="E93" s="121"/>
      <c r="F93" s="121"/>
      <c r="G93" s="121"/>
      <c r="H93" s="121"/>
      <c r="I93" s="142"/>
      <c r="J93" s="121"/>
      <c r="K93" s="121"/>
      <c r="L93" s="144"/>
      <c r="M93" s="144"/>
      <c r="N93" s="144"/>
      <c r="O93" s="144"/>
      <c r="P93" s="144"/>
    </row>
    <row r="94" spans="1:16" s="135" customFormat="1" ht="15.75" x14ac:dyDescent="0.25">
      <c r="A94" s="109"/>
      <c r="B94" s="109"/>
      <c r="C94" s="118" t="str">
        <f t="shared" si="2"/>
        <v/>
      </c>
      <c r="D94" s="118" t="str">
        <f t="shared" si="3"/>
        <v/>
      </c>
      <c r="E94" s="121"/>
      <c r="F94" s="121"/>
      <c r="G94" s="121"/>
      <c r="H94" s="121"/>
      <c r="I94" s="142"/>
      <c r="J94" s="121"/>
      <c r="K94" s="121"/>
      <c r="L94" s="144"/>
      <c r="M94" s="144"/>
      <c r="N94" s="144"/>
      <c r="O94" s="144"/>
      <c r="P94" s="144"/>
    </row>
    <row r="95" spans="1:16" s="135" customFormat="1" ht="15.75" x14ac:dyDescent="0.25">
      <c r="A95" s="109"/>
      <c r="B95" s="109"/>
      <c r="C95" s="118" t="str">
        <f t="shared" si="2"/>
        <v/>
      </c>
      <c r="D95" s="118" t="str">
        <f t="shared" si="3"/>
        <v/>
      </c>
      <c r="E95" s="121"/>
      <c r="F95" s="121"/>
      <c r="G95" s="121"/>
      <c r="H95" s="121"/>
      <c r="I95" s="142"/>
      <c r="J95" s="121"/>
      <c r="K95" s="121"/>
      <c r="L95" s="144"/>
      <c r="M95" s="144"/>
      <c r="N95" s="144"/>
      <c r="O95" s="144"/>
      <c r="P95" s="144"/>
    </row>
    <row r="96" spans="1:16" s="135" customFormat="1" ht="15.75" x14ac:dyDescent="0.25">
      <c r="A96" s="109"/>
      <c r="B96" s="109"/>
      <c r="C96" s="118" t="str">
        <f t="shared" si="2"/>
        <v/>
      </c>
      <c r="D96" s="118" t="str">
        <f t="shared" si="3"/>
        <v/>
      </c>
      <c r="E96" s="121"/>
      <c r="F96" s="121"/>
      <c r="G96" s="121"/>
      <c r="H96" s="121"/>
      <c r="I96" s="142"/>
      <c r="J96" s="121"/>
      <c r="K96" s="121"/>
      <c r="L96" s="144"/>
      <c r="M96" s="144"/>
      <c r="N96" s="144"/>
      <c r="O96" s="144"/>
      <c r="P96" s="144"/>
    </row>
    <row r="97" spans="1:16" s="135" customFormat="1" ht="15.75" x14ac:dyDescent="0.25">
      <c r="A97" s="109"/>
      <c r="B97" s="109"/>
      <c r="C97" s="118" t="str">
        <f t="shared" si="2"/>
        <v/>
      </c>
      <c r="D97" s="118" t="str">
        <f t="shared" si="3"/>
        <v/>
      </c>
      <c r="E97" s="121"/>
      <c r="F97" s="121"/>
      <c r="G97" s="121"/>
      <c r="H97" s="121"/>
      <c r="I97" s="142"/>
      <c r="J97" s="121"/>
      <c r="K97" s="121"/>
      <c r="L97" s="144"/>
      <c r="M97" s="144"/>
      <c r="N97" s="144"/>
      <c r="O97" s="144"/>
      <c r="P97" s="144"/>
    </row>
    <row r="98" spans="1:16" s="135" customFormat="1" ht="15.75" x14ac:dyDescent="0.25">
      <c r="A98" s="109"/>
      <c r="B98" s="109"/>
      <c r="C98" s="118" t="str">
        <f t="shared" si="2"/>
        <v/>
      </c>
      <c r="D98" s="118" t="str">
        <f t="shared" si="3"/>
        <v/>
      </c>
      <c r="E98" s="121"/>
      <c r="F98" s="121"/>
      <c r="G98" s="121"/>
      <c r="H98" s="121"/>
      <c r="I98" s="142"/>
      <c r="J98" s="121"/>
      <c r="K98" s="121"/>
      <c r="L98" s="144"/>
      <c r="M98" s="144"/>
      <c r="N98" s="144"/>
      <c r="O98" s="144"/>
      <c r="P98" s="144"/>
    </row>
    <row r="99" spans="1:16" s="135" customFormat="1" ht="15.75" x14ac:dyDescent="0.25">
      <c r="A99" s="109"/>
      <c r="B99" s="109"/>
      <c r="C99" s="118" t="str">
        <f t="shared" si="2"/>
        <v/>
      </c>
      <c r="D99" s="118" t="str">
        <f t="shared" si="3"/>
        <v/>
      </c>
      <c r="E99" s="121"/>
      <c r="F99" s="121"/>
      <c r="G99" s="121"/>
      <c r="H99" s="121"/>
      <c r="I99" s="142"/>
      <c r="J99" s="121"/>
      <c r="K99" s="121"/>
      <c r="L99" s="144"/>
      <c r="M99" s="144"/>
      <c r="N99" s="144"/>
      <c r="O99" s="144"/>
      <c r="P99" s="144"/>
    </row>
    <row r="100" spans="1:16" s="135" customFormat="1" ht="15.75" x14ac:dyDescent="0.25">
      <c r="A100" s="109"/>
      <c r="B100" s="109"/>
      <c r="C100" s="118" t="str">
        <f t="shared" si="2"/>
        <v/>
      </c>
      <c r="D100" s="118" t="str">
        <f t="shared" si="3"/>
        <v/>
      </c>
      <c r="E100" s="121"/>
      <c r="F100" s="121"/>
      <c r="G100" s="121"/>
      <c r="H100" s="121"/>
      <c r="I100" s="142"/>
      <c r="J100" s="121"/>
      <c r="K100" s="121"/>
      <c r="L100" s="144"/>
      <c r="M100" s="144"/>
      <c r="N100" s="144"/>
      <c r="O100" s="144"/>
      <c r="P100" s="144"/>
    </row>
    <row r="101" spans="1:16" s="135" customFormat="1" ht="15.75" x14ac:dyDescent="0.25">
      <c r="A101" s="109"/>
      <c r="B101" s="109"/>
      <c r="C101" s="118" t="str">
        <f t="shared" si="2"/>
        <v/>
      </c>
      <c r="D101" s="118" t="str">
        <f t="shared" si="3"/>
        <v/>
      </c>
      <c r="E101" s="121"/>
      <c r="F101" s="121"/>
      <c r="G101" s="121"/>
      <c r="H101" s="121"/>
      <c r="I101" s="142"/>
      <c r="J101" s="121"/>
      <c r="K101" s="121"/>
      <c r="L101" s="144"/>
      <c r="M101" s="144"/>
      <c r="N101" s="144"/>
      <c r="O101" s="144"/>
      <c r="P101" s="144"/>
    </row>
    <row r="102" spans="1:16" s="135" customFormat="1" ht="15.75" x14ac:dyDescent="0.25">
      <c r="A102" s="109"/>
      <c r="B102" s="109"/>
      <c r="C102" s="118" t="str">
        <f t="shared" si="2"/>
        <v/>
      </c>
      <c r="D102" s="118" t="str">
        <f t="shared" si="3"/>
        <v/>
      </c>
      <c r="E102" s="121"/>
      <c r="F102" s="121"/>
      <c r="G102" s="121"/>
      <c r="H102" s="121"/>
      <c r="I102" s="142"/>
      <c r="J102" s="121"/>
      <c r="K102" s="121"/>
      <c r="L102" s="144"/>
      <c r="M102" s="144"/>
      <c r="N102" s="144"/>
      <c r="O102" s="144"/>
      <c r="P102" s="144"/>
    </row>
    <row r="103" spans="1:16" s="135" customFormat="1" ht="15.75" x14ac:dyDescent="0.25">
      <c r="A103" s="109"/>
      <c r="B103" s="109"/>
      <c r="C103" s="118" t="str">
        <f t="shared" si="2"/>
        <v/>
      </c>
      <c r="D103" s="118" t="str">
        <f t="shared" si="3"/>
        <v/>
      </c>
      <c r="E103" s="121"/>
      <c r="F103" s="121"/>
      <c r="G103" s="121"/>
      <c r="H103" s="121"/>
      <c r="I103" s="142"/>
      <c r="J103" s="121"/>
      <c r="K103" s="121"/>
      <c r="L103" s="144"/>
      <c r="M103" s="144"/>
      <c r="N103" s="144"/>
      <c r="O103" s="144"/>
      <c r="P103" s="144"/>
    </row>
    <row r="104" spans="1:16" s="135" customFormat="1" ht="15.75" x14ac:dyDescent="0.25">
      <c r="A104" s="109"/>
      <c r="B104" s="109"/>
      <c r="C104" s="118" t="str">
        <f t="shared" si="2"/>
        <v/>
      </c>
      <c r="D104" s="118" t="str">
        <f t="shared" si="3"/>
        <v/>
      </c>
      <c r="E104" s="121"/>
      <c r="F104" s="121"/>
      <c r="G104" s="121"/>
      <c r="H104" s="121"/>
      <c r="I104" s="142"/>
      <c r="J104" s="121"/>
      <c r="K104" s="121"/>
      <c r="L104" s="144"/>
      <c r="M104" s="144"/>
      <c r="N104" s="144"/>
      <c r="O104" s="144"/>
      <c r="P104" s="144"/>
    </row>
    <row r="105" spans="1:16" s="135" customFormat="1" ht="15.75" x14ac:dyDescent="0.25">
      <c r="A105" s="109"/>
      <c r="B105" s="109"/>
      <c r="C105" s="118" t="str">
        <f t="shared" si="2"/>
        <v/>
      </c>
      <c r="D105" s="118" t="str">
        <f t="shared" si="3"/>
        <v/>
      </c>
      <c r="E105" s="121"/>
      <c r="F105" s="121"/>
      <c r="G105" s="121"/>
      <c r="H105" s="121"/>
      <c r="I105" s="142"/>
      <c r="J105" s="121"/>
      <c r="K105" s="121"/>
      <c r="L105" s="144"/>
      <c r="M105" s="144"/>
      <c r="N105" s="144"/>
      <c r="O105" s="144"/>
      <c r="P105" s="144"/>
    </row>
    <row r="106" spans="1:16" s="135" customFormat="1" ht="15.75" x14ac:dyDescent="0.25">
      <c r="A106" s="109"/>
      <c r="B106" s="109"/>
      <c r="C106" s="118" t="str">
        <f t="shared" si="2"/>
        <v/>
      </c>
      <c r="D106" s="118" t="str">
        <f t="shared" si="3"/>
        <v/>
      </c>
      <c r="E106" s="121"/>
      <c r="F106" s="121"/>
      <c r="G106" s="121"/>
      <c r="H106" s="121"/>
      <c r="I106" s="142"/>
      <c r="J106" s="121"/>
      <c r="K106" s="121"/>
      <c r="L106" s="144"/>
      <c r="M106" s="144"/>
      <c r="N106" s="144"/>
      <c r="O106" s="144"/>
      <c r="P106" s="144"/>
    </row>
    <row r="107" spans="1:16" s="135" customFormat="1" ht="15.75" x14ac:dyDescent="0.25">
      <c r="A107" s="109"/>
      <c r="B107" s="109"/>
      <c r="C107" s="118" t="str">
        <f t="shared" si="2"/>
        <v/>
      </c>
      <c r="D107" s="118" t="str">
        <f t="shared" si="3"/>
        <v/>
      </c>
      <c r="E107" s="121"/>
      <c r="F107" s="121"/>
      <c r="G107" s="121"/>
      <c r="H107" s="121"/>
      <c r="I107" s="142"/>
      <c r="J107" s="121"/>
      <c r="K107" s="121"/>
      <c r="L107" s="144"/>
      <c r="M107" s="144"/>
      <c r="N107" s="144"/>
      <c r="O107" s="144"/>
      <c r="P107" s="144"/>
    </row>
    <row r="108" spans="1:16" s="135" customFormat="1" ht="15.75" x14ac:dyDescent="0.25">
      <c r="A108" s="109"/>
      <c r="B108" s="109"/>
      <c r="C108" s="118" t="str">
        <f t="shared" si="2"/>
        <v/>
      </c>
      <c r="D108" s="118" t="str">
        <f t="shared" si="3"/>
        <v/>
      </c>
      <c r="E108" s="121"/>
      <c r="F108" s="121"/>
      <c r="G108" s="121"/>
      <c r="H108" s="121"/>
      <c r="I108" s="142"/>
      <c r="J108" s="121"/>
      <c r="K108" s="121"/>
      <c r="L108" s="144"/>
      <c r="M108" s="144"/>
      <c r="N108" s="144"/>
      <c r="O108" s="144"/>
      <c r="P108" s="144"/>
    </row>
    <row r="109" spans="1:16" s="135" customFormat="1" ht="15.75" x14ac:dyDescent="0.25">
      <c r="A109" s="109"/>
      <c r="B109" s="109"/>
      <c r="C109" s="118" t="str">
        <f t="shared" si="2"/>
        <v/>
      </c>
      <c r="D109" s="118" t="str">
        <f t="shared" si="3"/>
        <v/>
      </c>
      <c r="E109" s="121"/>
      <c r="F109" s="121"/>
      <c r="G109" s="121"/>
      <c r="H109" s="121"/>
      <c r="I109" s="142"/>
      <c r="J109" s="121"/>
      <c r="K109" s="121"/>
      <c r="L109" s="144"/>
      <c r="M109" s="144"/>
      <c r="N109" s="144"/>
      <c r="O109" s="144"/>
      <c r="P109" s="144"/>
    </row>
    <row r="110" spans="1:16" s="135" customFormat="1" ht="15.75" x14ac:dyDescent="0.25">
      <c r="A110" s="109"/>
      <c r="B110" s="109"/>
      <c r="C110" s="118" t="str">
        <f t="shared" si="2"/>
        <v/>
      </c>
      <c r="D110" s="118" t="str">
        <f t="shared" si="3"/>
        <v/>
      </c>
      <c r="E110" s="121"/>
      <c r="F110" s="121"/>
      <c r="G110" s="121"/>
      <c r="H110" s="121"/>
      <c r="I110" s="142"/>
      <c r="J110" s="121"/>
      <c r="K110" s="121"/>
      <c r="L110" s="144"/>
      <c r="M110" s="144"/>
      <c r="N110" s="144"/>
      <c r="O110" s="144"/>
      <c r="P110" s="144"/>
    </row>
    <row r="111" spans="1:16" s="135" customFormat="1" ht="15.75" x14ac:dyDescent="0.25">
      <c r="A111" s="109"/>
      <c r="B111" s="109"/>
      <c r="C111" s="118" t="str">
        <f t="shared" si="2"/>
        <v/>
      </c>
      <c r="D111" s="118" t="str">
        <f t="shared" si="3"/>
        <v/>
      </c>
      <c r="E111" s="121"/>
      <c r="F111" s="121"/>
      <c r="G111" s="121"/>
      <c r="H111" s="121"/>
      <c r="I111" s="142"/>
      <c r="J111" s="121"/>
      <c r="K111" s="121"/>
      <c r="L111" s="144"/>
      <c r="M111" s="144"/>
      <c r="N111" s="144"/>
      <c r="O111" s="144"/>
      <c r="P111" s="144"/>
    </row>
    <row r="112" spans="1:16" s="135" customFormat="1" ht="15.75" x14ac:dyDescent="0.25">
      <c r="A112" s="109"/>
      <c r="B112" s="109"/>
      <c r="C112" s="118" t="str">
        <f t="shared" si="2"/>
        <v/>
      </c>
      <c r="D112" s="118" t="str">
        <f t="shared" si="3"/>
        <v/>
      </c>
      <c r="E112" s="121"/>
      <c r="F112" s="121"/>
      <c r="G112" s="121"/>
      <c r="H112" s="121"/>
      <c r="I112" s="142"/>
      <c r="J112" s="121"/>
      <c r="K112" s="121"/>
      <c r="L112" s="144"/>
      <c r="M112" s="144"/>
      <c r="N112" s="144"/>
      <c r="O112" s="144"/>
      <c r="P112" s="144"/>
    </row>
    <row r="113" spans="1:16" s="135" customFormat="1" ht="15.75" x14ac:dyDescent="0.25">
      <c r="A113" s="109"/>
      <c r="B113" s="109"/>
      <c r="C113" s="118" t="str">
        <f t="shared" si="2"/>
        <v/>
      </c>
      <c r="D113" s="118" t="str">
        <f t="shared" si="3"/>
        <v/>
      </c>
      <c r="E113" s="121"/>
      <c r="F113" s="121"/>
      <c r="G113" s="121"/>
      <c r="H113" s="121"/>
      <c r="I113" s="142"/>
      <c r="J113" s="121"/>
      <c r="K113" s="121"/>
      <c r="L113" s="144"/>
      <c r="M113" s="144"/>
      <c r="N113" s="144"/>
      <c r="O113" s="144"/>
      <c r="P113" s="144"/>
    </row>
    <row r="114" spans="1:16" s="135" customFormat="1" ht="15.75" x14ac:dyDescent="0.25">
      <c r="A114" s="109"/>
      <c r="B114" s="109"/>
      <c r="C114" s="118" t="str">
        <f t="shared" si="2"/>
        <v/>
      </c>
      <c r="D114" s="118" t="str">
        <f t="shared" si="3"/>
        <v/>
      </c>
      <c r="E114" s="121"/>
      <c r="F114" s="121"/>
      <c r="G114" s="121"/>
      <c r="H114" s="121"/>
      <c r="I114" s="142"/>
      <c r="J114" s="121"/>
      <c r="K114" s="121"/>
      <c r="L114" s="144"/>
      <c r="M114" s="144"/>
      <c r="N114" s="144"/>
      <c r="O114" s="144"/>
      <c r="P114" s="144"/>
    </row>
    <row r="115" spans="1:16" s="135" customFormat="1" ht="15.75" x14ac:dyDescent="0.25">
      <c r="A115" s="109"/>
      <c r="B115" s="109"/>
      <c r="C115" s="118" t="str">
        <f t="shared" si="2"/>
        <v/>
      </c>
      <c r="D115" s="118" t="str">
        <f t="shared" si="3"/>
        <v/>
      </c>
      <c r="E115" s="121"/>
      <c r="F115" s="121"/>
      <c r="G115" s="121"/>
      <c r="H115" s="121"/>
      <c r="I115" s="142"/>
      <c r="J115" s="121"/>
      <c r="K115" s="121"/>
      <c r="L115" s="144"/>
      <c r="M115" s="144"/>
      <c r="N115" s="144"/>
      <c r="O115" s="144"/>
      <c r="P115" s="144"/>
    </row>
    <row r="116" spans="1:16" s="135" customFormat="1" ht="15.75" x14ac:dyDescent="0.25">
      <c r="A116" s="109"/>
      <c r="B116" s="109"/>
      <c r="C116" s="118" t="str">
        <f t="shared" si="2"/>
        <v/>
      </c>
      <c r="D116" s="118" t="str">
        <f t="shared" si="3"/>
        <v/>
      </c>
      <c r="E116" s="121"/>
      <c r="F116" s="121"/>
      <c r="G116" s="121"/>
      <c r="H116" s="121"/>
      <c r="I116" s="142"/>
      <c r="J116" s="121"/>
      <c r="K116" s="121"/>
      <c r="L116" s="144"/>
      <c r="M116" s="144"/>
      <c r="N116" s="144"/>
      <c r="O116" s="144"/>
      <c r="P116" s="144"/>
    </row>
    <row r="117" spans="1:16" s="135" customFormat="1" ht="15.75" x14ac:dyDescent="0.25">
      <c r="A117" s="109"/>
      <c r="B117" s="109"/>
      <c r="C117" s="118" t="str">
        <f t="shared" si="2"/>
        <v/>
      </c>
      <c r="D117" s="118" t="str">
        <f t="shared" si="3"/>
        <v/>
      </c>
      <c r="E117" s="121"/>
      <c r="F117" s="121"/>
      <c r="G117" s="121"/>
      <c r="H117" s="121"/>
      <c r="I117" s="142"/>
      <c r="J117" s="121"/>
      <c r="K117" s="121"/>
      <c r="L117" s="144"/>
      <c r="M117" s="144"/>
      <c r="N117" s="144"/>
      <c r="O117" s="144"/>
      <c r="P117" s="144"/>
    </row>
    <row r="118" spans="1:16" s="135" customFormat="1" ht="15.75" x14ac:dyDescent="0.25">
      <c r="A118" s="109"/>
      <c r="B118" s="109"/>
      <c r="C118" s="118" t="str">
        <f t="shared" si="2"/>
        <v/>
      </c>
      <c r="D118" s="118" t="str">
        <f t="shared" si="3"/>
        <v/>
      </c>
      <c r="E118" s="121"/>
      <c r="F118" s="121"/>
      <c r="G118" s="121"/>
      <c r="H118" s="121"/>
      <c r="I118" s="142"/>
      <c r="J118" s="121"/>
      <c r="K118" s="121"/>
      <c r="L118" s="144"/>
      <c r="M118" s="144"/>
      <c r="N118" s="144"/>
      <c r="O118" s="144"/>
      <c r="P118" s="144"/>
    </row>
    <row r="119" spans="1:16" s="135" customFormat="1" ht="15.75" x14ac:dyDescent="0.25">
      <c r="A119" s="109"/>
      <c r="B119" s="109"/>
      <c r="C119" s="118" t="str">
        <f t="shared" si="2"/>
        <v/>
      </c>
      <c r="D119" s="118" t="str">
        <f t="shared" si="3"/>
        <v/>
      </c>
      <c r="E119" s="121"/>
      <c r="F119" s="121"/>
      <c r="G119" s="121"/>
      <c r="H119" s="121"/>
      <c r="I119" s="142"/>
      <c r="J119" s="121"/>
      <c r="K119" s="121"/>
      <c r="L119" s="144"/>
      <c r="M119" s="144"/>
      <c r="N119" s="144"/>
      <c r="O119" s="144"/>
      <c r="P119" s="144"/>
    </row>
    <row r="120" spans="1:16" s="135" customFormat="1" ht="15.75" x14ac:dyDescent="0.25">
      <c r="A120" s="109"/>
      <c r="B120" s="109"/>
      <c r="C120" s="118" t="str">
        <f t="shared" si="2"/>
        <v/>
      </c>
      <c r="D120" s="118" t="str">
        <f t="shared" si="3"/>
        <v/>
      </c>
      <c r="E120" s="121"/>
      <c r="F120" s="121"/>
      <c r="G120" s="121"/>
      <c r="H120" s="121"/>
      <c r="I120" s="142"/>
      <c r="J120" s="121"/>
      <c r="K120" s="121"/>
      <c r="L120" s="144"/>
      <c r="M120" s="144"/>
      <c r="N120" s="144"/>
      <c r="O120" s="144"/>
      <c r="P120" s="144"/>
    </row>
    <row r="121" spans="1:16" s="135" customFormat="1" ht="15.75" x14ac:dyDescent="0.25">
      <c r="A121" s="109"/>
      <c r="B121" s="109"/>
      <c r="C121" s="118" t="str">
        <f t="shared" si="2"/>
        <v/>
      </c>
      <c r="D121" s="118" t="str">
        <f t="shared" si="3"/>
        <v/>
      </c>
      <c r="E121" s="121"/>
      <c r="F121" s="121"/>
      <c r="G121" s="121"/>
      <c r="H121" s="121"/>
      <c r="I121" s="142"/>
      <c r="J121" s="121"/>
      <c r="K121" s="121"/>
      <c r="L121" s="144"/>
      <c r="M121" s="144"/>
      <c r="N121" s="144"/>
      <c r="O121" s="144"/>
      <c r="P121" s="144"/>
    </row>
    <row r="122" spans="1:16" s="135" customFormat="1" ht="15.75" x14ac:dyDescent="0.25">
      <c r="A122" s="109"/>
      <c r="B122" s="109"/>
      <c r="C122" s="118" t="str">
        <f t="shared" si="2"/>
        <v/>
      </c>
      <c r="D122" s="118" t="str">
        <f t="shared" si="3"/>
        <v/>
      </c>
      <c r="E122" s="121"/>
      <c r="F122" s="121"/>
      <c r="G122" s="121"/>
      <c r="H122" s="121"/>
      <c r="I122" s="142"/>
      <c r="J122" s="121"/>
      <c r="K122" s="121"/>
      <c r="L122" s="144"/>
      <c r="M122" s="144"/>
      <c r="N122" s="144"/>
      <c r="O122" s="144"/>
      <c r="P122" s="144"/>
    </row>
    <row r="123" spans="1:16" s="135" customFormat="1" ht="15.75" x14ac:dyDescent="0.25">
      <c r="A123" s="109"/>
      <c r="B123" s="109"/>
      <c r="C123" s="118" t="str">
        <f t="shared" si="2"/>
        <v/>
      </c>
      <c r="D123" s="118" t="str">
        <f t="shared" si="3"/>
        <v/>
      </c>
      <c r="E123" s="121"/>
      <c r="F123" s="121"/>
      <c r="G123" s="121"/>
      <c r="H123" s="121"/>
      <c r="I123" s="142"/>
      <c r="J123" s="121"/>
      <c r="K123" s="121"/>
      <c r="L123" s="144"/>
      <c r="M123" s="144"/>
      <c r="N123" s="144"/>
      <c r="O123" s="144"/>
      <c r="P123" s="144"/>
    </row>
    <row r="124" spans="1:16" s="135" customFormat="1" ht="15.75" x14ac:dyDescent="0.25">
      <c r="A124" s="109"/>
      <c r="B124" s="109"/>
      <c r="C124" s="118" t="str">
        <f t="shared" si="2"/>
        <v/>
      </c>
      <c r="D124" s="118" t="str">
        <f t="shared" si="3"/>
        <v/>
      </c>
      <c r="E124" s="121"/>
      <c r="F124" s="121"/>
      <c r="G124" s="121"/>
      <c r="H124" s="121"/>
      <c r="I124" s="142"/>
      <c r="J124" s="121"/>
      <c r="K124" s="121"/>
      <c r="L124" s="144"/>
      <c r="M124" s="144"/>
      <c r="N124" s="144"/>
      <c r="O124" s="144"/>
      <c r="P124" s="144"/>
    </row>
    <row r="125" spans="1:16" s="135" customFormat="1" ht="15.75" x14ac:dyDescent="0.25">
      <c r="A125" s="109"/>
      <c r="B125" s="109"/>
      <c r="C125" s="118" t="str">
        <f t="shared" si="2"/>
        <v/>
      </c>
      <c r="D125" s="118" t="str">
        <f t="shared" si="3"/>
        <v/>
      </c>
      <c r="E125" s="121"/>
      <c r="F125" s="121"/>
      <c r="G125" s="121"/>
      <c r="H125" s="121"/>
      <c r="I125" s="142"/>
      <c r="J125" s="121"/>
      <c r="K125" s="121"/>
      <c r="L125" s="144"/>
      <c r="M125" s="144"/>
      <c r="N125" s="144"/>
      <c r="O125" s="144"/>
      <c r="P125" s="144"/>
    </row>
    <row r="126" spans="1:16" s="135" customFormat="1" ht="15.75" x14ac:dyDescent="0.25">
      <c r="A126" s="109"/>
      <c r="B126" s="109"/>
      <c r="C126" s="118" t="str">
        <f t="shared" si="2"/>
        <v/>
      </c>
      <c r="D126" s="118" t="str">
        <f t="shared" si="3"/>
        <v/>
      </c>
      <c r="E126" s="121"/>
      <c r="F126" s="121"/>
      <c r="G126" s="121"/>
      <c r="H126" s="121"/>
      <c r="I126" s="142"/>
      <c r="J126" s="121"/>
      <c r="K126" s="121"/>
      <c r="L126" s="144"/>
      <c r="M126" s="144"/>
      <c r="N126" s="144"/>
      <c r="O126" s="144"/>
      <c r="P126" s="144"/>
    </row>
    <row r="127" spans="1:16" s="135" customFormat="1" ht="15.75" x14ac:dyDescent="0.25">
      <c r="A127" s="109"/>
      <c r="B127" s="109"/>
      <c r="C127" s="118" t="str">
        <f t="shared" si="2"/>
        <v/>
      </c>
      <c r="D127" s="118" t="str">
        <f t="shared" si="3"/>
        <v/>
      </c>
      <c r="E127" s="121"/>
      <c r="F127" s="121"/>
      <c r="G127" s="121"/>
      <c r="H127" s="121"/>
      <c r="I127" s="142"/>
      <c r="J127" s="121"/>
      <c r="K127" s="121"/>
      <c r="L127" s="144"/>
      <c r="M127" s="144"/>
      <c r="N127" s="144"/>
      <c r="O127" s="144"/>
      <c r="P127" s="144"/>
    </row>
    <row r="128" spans="1:16" s="135" customFormat="1" ht="15.75" x14ac:dyDescent="0.25">
      <c r="A128" s="109"/>
      <c r="B128" s="109"/>
      <c r="C128" s="118" t="str">
        <f t="shared" si="2"/>
        <v/>
      </c>
      <c r="D128" s="118" t="str">
        <f t="shared" si="3"/>
        <v/>
      </c>
      <c r="E128" s="121"/>
      <c r="F128" s="121"/>
      <c r="G128" s="121"/>
      <c r="H128" s="121"/>
      <c r="I128" s="142"/>
      <c r="J128" s="121"/>
      <c r="K128" s="121"/>
      <c r="L128" s="144"/>
      <c r="M128" s="144"/>
      <c r="N128" s="144"/>
      <c r="O128" s="144"/>
      <c r="P128" s="144"/>
    </row>
    <row r="129" spans="1:16" s="135" customFormat="1" ht="15.75" x14ac:dyDescent="0.25">
      <c r="A129" s="109"/>
      <c r="B129" s="109"/>
      <c r="C129" s="118" t="str">
        <f t="shared" si="2"/>
        <v/>
      </c>
      <c r="D129" s="118" t="str">
        <f t="shared" si="3"/>
        <v/>
      </c>
      <c r="E129" s="121"/>
      <c r="F129" s="121"/>
      <c r="G129" s="121"/>
      <c r="H129" s="121"/>
      <c r="I129" s="142"/>
      <c r="J129" s="121"/>
      <c r="K129" s="121"/>
      <c r="L129" s="144"/>
      <c r="M129" s="144"/>
      <c r="N129" s="144"/>
      <c r="O129" s="144"/>
      <c r="P129" s="144"/>
    </row>
    <row r="130" spans="1:16" s="135" customFormat="1" ht="15.75" x14ac:dyDescent="0.25">
      <c r="A130" s="109"/>
      <c r="B130" s="109"/>
      <c r="C130" s="118" t="str">
        <f t="shared" si="2"/>
        <v/>
      </c>
      <c r="D130" s="118" t="str">
        <f t="shared" si="3"/>
        <v/>
      </c>
      <c r="E130" s="121"/>
      <c r="F130" s="121"/>
      <c r="G130" s="121"/>
      <c r="H130" s="121"/>
      <c r="I130" s="142"/>
      <c r="J130" s="121"/>
      <c r="K130" s="121"/>
      <c r="L130" s="144"/>
      <c r="M130" s="144"/>
      <c r="N130" s="144"/>
      <c r="O130" s="144"/>
      <c r="P130" s="144"/>
    </row>
    <row r="131" spans="1:16" s="135" customFormat="1" ht="15.75" x14ac:dyDescent="0.25">
      <c r="A131" s="109"/>
      <c r="B131" s="109"/>
      <c r="C131" s="118" t="str">
        <f t="shared" si="2"/>
        <v/>
      </c>
      <c r="D131" s="118" t="str">
        <f t="shared" si="3"/>
        <v/>
      </c>
      <c r="E131" s="121"/>
      <c r="F131" s="121"/>
      <c r="G131" s="121"/>
      <c r="H131" s="121"/>
      <c r="I131" s="142"/>
      <c r="J131" s="121"/>
      <c r="K131" s="121"/>
      <c r="L131" s="144"/>
      <c r="M131" s="144"/>
      <c r="N131" s="144"/>
      <c r="O131" s="144"/>
      <c r="P131" s="144"/>
    </row>
    <row r="132" spans="1:16" s="135" customFormat="1" ht="15.75" x14ac:dyDescent="0.25">
      <c r="A132" s="109"/>
      <c r="B132" s="109"/>
      <c r="C132" s="118" t="str">
        <f t="shared" si="2"/>
        <v/>
      </c>
      <c r="D132" s="118" t="str">
        <f t="shared" si="3"/>
        <v/>
      </c>
      <c r="E132" s="121"/>
      <c r="F132" s="121"/>
      <c r="G132" s="121"/>
      <c r="H132" s="121"/>
      <c r="I132" s="142"/>
      <c r="J132" s="121"/>
      <c r="K132" s="121"/>
      <c r="L132" s="144"/>
      <c r="M132" s="144"/>
      <c r="N132" s="144"/>
      <c r="O132" s="144"/>
      <c r="P132" s="144"/>
    </row>
    <row r="133" spans="1:16" s="135" customFormat="1" ht="15.75" x14ac:dyDescent="0.25">
      <c r="A133" s="109"/>
      <c r="B133" s="109"/>
      <c r="C133" s="118" t="str">
        <f t="shared" si="2"/>
        <v/>
      </c>
      <c r="D133" s="118" t="str">
        <f t="shared" si="3"/>
        <v/>
      </c>
      <c r="E133" s="121"/>
      <c r="F133" s="121"/>
      <c r="G133" s="121"/>
      <c r="H133" s="121"/>
      <c r="I133" s="142"/>
      <c r="J133" s="121"/>
      <c r="K133" s="121"/>
      <c r="L133" s="144"/>
      <c r="M133" s="144"/>
      <c r="N133" s="144"/>
      <c r="O133" s="144"/>
      <c r="P133" s="144"/>
    </row>
    <row r="134" spans="1:16" s="135" customFormat="1" ht="15.75" x14ac:dyDescent="0.25">
      <c r="A134" s="109"/>
      <c r="B134" s="109"/>
      <c r="C134" s="118" t="str">
        <f t="shared" si="2"/>
        <v/>
      </c>
      <c r="D134" s="118" t="str">
        <f t="shared" si="3"/>
        <v/>
      </c>
      <c r="E134" s="121"/>
      <c r="F134" s="121"/>
      <c r="G134" s="121"/>
      <c r="H134" s="121"/>
      <c r="I134" s="142"/>
      <c r="J134" s="121"/>
      <c r="K134" s="121"/>
      <c r="L134" s="144"/>
      <c r="M134" s="144"/>
      <c r="N134" s="144"/>
      <c r="O134" s="144"/>
      <c r="P134" s="144"/>
    </row>
    <row r="135" spans="1:16" s="135" customFormat="1" ht="15.75" x14ac:dyDescent="0.25">
      <c r="A135" s="109"/>
      <c r="B135" s="109"/>
      <c r="C135" s="118" t="str">
        <f t="shared" si="2"/>
        <v/>
      </c>
      <c r="D135" s="118" t="str">
        <f t="shared" si="3"/>
        <v/>
      </c>
      <c r="E135" s="121"/>
      <c r="F135" s="121"/>
      <c r="G135" s="121"/>
      <c r="H135" s="121"/>
      <c r="I135" s="142"/>
      <c r="J135" s="121"/>
      <c r="K135" s="121"/>
      <c r="L135" s="144"/>
      <c r="M135" s="144"/>
      <c r="N135" s="144"/>
      <c r="O135" s="144"/>
      <c r="P135" s="144"/>
    </row>
    <row r="136" spans="1:16" s="135" customFormat="1" ht="15.75" x14ac:dyDescent="0.25">
      <c r="A136" s="109"/>
      <c r="B136" s="109"/>
      <c r="C136" s="118" t="str">
        <f t="shared" si="2"/>
        <v/>
      </c>
      <c r="D136" s="118" t="str">
        <f t="shared" si="3"/>
        <v/>
      </c>
      <c r="E136" s="121"/>
      <c r="F136" s="121"/>
      <c r="G136" s="121"/>
      <c r="H136" s="121"/>
      <c r="I136" s="142"/>
      <c r="J136" s="121"/>
      <c r="K136" s="121"/>
      <c r="L136" s="144"/>
      <c r="M136" s="144"/>
      <c r="N136" s="144"/>
      <c r="O136" s="144"/>
      <c r="P136" s="144"/>
    </row>
    <row r="137" spans="1:16" s="135" customFormat="1" ht="15.75" x14ac:dyDescent="0.25">
      <c r="A137" s="109"/>
      <c r="B137" s="109"/>
      <c r="C137" s="118" t="str">
        <f t="shared" si="2"/>
        <v/>
      </c>
      <c r="D137" s="118" t="str">
        <f t="shared" si="3"/>
        <v/>
      </c>
      <c r="E137" s="121"/>
      <c r="F137" s="121"/>
      <c r="G137" s="121"/>
      <c r="H137" s="121"/>
      <c r="I137" s="142"/>
      <c r="J137" s="121"/>
      <c r="K137" s="121"/>
      <c r="L137" s="144"/>
      <c r="M137" s="144"/>
      <c r="N137" s="144"/>
      <c r="O137" s="144"/>
      <c r="P137" s="144"/>
    </row>
    <row r="138" spans="1:16" s="135" customFormat="1" ht="15.75" x14ac:dyDescent="0.25">
      <c r="A138" s="109"/>
      <c r="B138" s="109"/>
      <c r="C138" s="118" t="str">
        <f t="shared" si="2"/>
        <v/>
      </c>
      <c r="D138" s="118" t="str">
        <f t="shared" si="3"/>
        <v/>
      </c>
      <c r="E138" s="121"/>
      <c r="F138" s="121"/>
      <c r="G138" s="121"/>
      <c r="H138" s="121"/>
      <c r="I138" s="142"/>
      <c r="J138" s="121"/>
      <c r="K138" s="121"/>
      <c r="L138" s="144"/>
      <c r="M138" s="144"/>
      <c r="N138" s="144"/>
      <c r="O138" s="144"/>
      <c r="P138" s="144"/>
    </row>
    <row r="139" spans="1:16" s="135" customFormat="1" ht="15.75" x14ac:dyDescent="0.25">
      <c r="A139" s="109"/>
      <c r="B139" s="109"/>
      <c r="C139" s="118" t="str">
        <f t="shared" si="2"/>
        <v/>
      </c>
      <c r="D139" s="118" t="str">
        <f t="shared" si="3"/>
        <v/>
      </c>
      <c r="E139" s="121"/>
      <c r="F139" s="121"/>
      <c r="G139" s="121"/>
      <c r="H139" s="121"/>
      <c r="I139" s="142"/>
      <c r="J139" s="121"/>
      <c r="K139" s="121"/>
      <c r="L139" s="144"/>
      <c r="M139" s="144"/>
      <c r="N139" s="144"/>
      <c r="O139" s="144"/>
      <c r="P139" s="144"/>
    </row>
    <row r="140" spans="1:16" s="135" customFormat="1" ht="15.75" x14ac:dyDescent="0.25">
      <c r="A140" s="109"/>
      <c r="B140" s="109"/>
      <c r="C140" s="118" t="str">
        <f t="shared" si="2"/>
        <v/>
      </c>
      <c r="D140" s="118" t="str">
        <f t="shared" si="3"/>
        <v/>
      </c>
      <c r="E140" s="121"/>
      <c r="F140" s="121"/>
      <c r="G140" s="121"/>
      <c r="H140" s="121"/>
      <c r="I140" s="142"/>
      <c r="J140" s="121"/>
      <c r="K140" s="121"/>
      <c r="L140" s="144"/>
      <c r="M140" s="144"/>
      <c r="N140" s="144"/>
      <c r="O140" s="144"/>
      <c r="P140" s="144"/>
    </row>
    <row r="141" spans="1:16" s="135" customFormat="1" ht="15.75" x14ac:dyDescent="0.25">
      <c r="A141" s="109"/>
      <c r="B141" s="109"/>
      <c r="C141" s="118" t="str">
        <f t="shared" si="2"/>
        <v/>
      </c>
      <c r="D141" s="118" t="str">
        <f t="shared" si="3"/>
        <v/>
      </c>
      <c r="E141" s="121"/>
      <c r="F141" s="121"/>
      <c r="G141" s="121"/>
      <c r="H141" s="121"/>
      <c r="I141" s="142"/>
      <c r="J141" s="121"/>
      <c r="K141" s="121"/>
      <c r="L141" s="144"/>
      <c r="M141" s="144"/>
      <c r="N141" s="144"/>
      <c r="O141" s="144"/>
      <c r="P141" s="144"/>
    </row>
    <row r="142" spans="1:16" s="135" customFormat="1" ht="15.75" x14ac:dyDescent="0.25">
      <c r="A142" s="109"/>
      <c r="B142" s="109"/>
      <c r="C142" s="118" t="str">
        <f t="shared" si="2"/>
        <v/>
      </c>
      <c r="D142" s="118" t="str">
        <f t="shared" si="3"/>
        <v/>
      </c>
      <c r="E142" s="121"/>
      <c r="F142" s="121"/>
      <c r="G142" s="121"/>
      <c r="H142" s="121"/>
      <c r="I142" s="142"/>
      <c r="J142" s="121"/>
      <c r="K142" s="121"/>
      <c r="L142" s="144"/>
      <c r="M142" s="144"/>
      <c r="N142" s="144"/>
      <c r="O142" s="144"/>
      <c r="P142" s="144"/>
    </row>
    <row r="143" spans="1:16" s="135" customFormat="1" ht="15.75" x14ac:dyDescent="0.25">
      <c r="A143" s="109"/>
      <c r="B143" s="109"/>
      <c r="C143" s="118" t="str">
        <f t="shared" si="2"/>
        <v/>
      </c>
      <c r="D143" s="118" t="str">
        <f t="shared" si="3"/>
        <v/>
      </c>
      <c r="E143" s="121"/>
      <c r="F143" s="121"/>
      <c r="G143" s="121"/>
      <c r="H143" s="121"/>
      <c r="I143" s="142"/>
      <c r="J143" s="121"/>
      <c r="K143" s="121"/>
      <c r="L143" s="144"/>
      <c r="M143" s="144"/>
      <c r="N143" s="144"/>
      <c r="O143" s="144"/>
      <c r="P143" s="144"/>
    </row>
    <row r="144" spans="1:16" s="135" customFormat="1" ht="15.75" x14ac:dyDescent="0.25">
      <c r="A144" s="109"/>
      <c r="B144" s="109"/>
      <c r="C144" s="118" t="str">
        <f t="shared" si="2"/>
        <v/>
      </c>
      <c r="D144" s="118" t="str">
        <f t="shared" si="3"/>
        <v/>
      </c>
      <c r="E144" s="121"/>
      <c r="F144" s="121"/>
      <c r="G144" s="121"/>
      <c r="H144" s="121"/>
      <c r="I144" s="142"/>
      <c r="J144" s="121"/>
      <c r="K144" s="121"/>
      <c r="L144" s="144"/>
      <c r="M144" s="144"/>
      <c r="N144" s="144"/>
      <c r="O144" s="144"/>
      <c r="P144" s="144"/>
    </row>
    <row r="145" spans="1:16" s="135" customFormat="1" ht="15.75" x14ac:dyDescent="0.25">
      <c r="A145" s="109"/>
      <c r="B145" s="109"/>
      <c r="C145" s="118" t="str">
        <f t="shared" si="2"/>
        <v/>
      </c>
      <c r="D145" s="118" t="str">
        <f t="shared" si="3"/>
        <v/>
      </c>
      <c r="E145" s="121"/>
      <c r="F145" s="121"/>
      <c r="G145" s="121"/>
      <c r="H145" s="121"/>
      <c r="I145" s="142"/>
      <c r="J145" s="121"/>
      <c r="K145" s="121"/>
      <c r="L145" s="144"/>
      <c r="M145" s="144"/>
      <c r="N145" s="144"/>
      <c r="O145" s="144"/>
      <c r="P145" s="144"/>
    </row>
    <row r="146" spans="1:16" s="135" customFormat="1" ht="15.75" x14ac:dyDescent="0.25">
      <c r="A146" s="109"/>
      <c r="B146" s="109"/>
      <c r="C146" s="118" t="str">
        <f t="shared" si="2"/>
        <v/>
      </c>
      <c r="D146" s="118" t="str">
        <f t="shared" si="3"/>
        <v/>
      </c>
      <c r="E146" s="121"/>
      <c r="F146" s="121"/>
      <c r="G146" s="121"/>
      <c r="H146" s="121"/>
      <c r="I146" s="142"/>
      <c r="J146" s="121"/>
      <c r="K146" s="121"/>
      <c r="L146" s="144"/>
      <c r="M146" s="144"/>
      <c r="N146" s="144"/>
      <c r="O146" s="144"/>
      <c r="P146" s="144"/>
    </row>
    <row r="147" spans="1:16" s="135" customFormat="1" ht="15.75" x14ac:dyDescent="0.25">
      <c r="A147" s="109"/>
      <c r="B147" s="109"/>
      <c r="C147" s="118" t="str">
        <f t="shared" si="2"/>
        <v/>
      </c>
      <c r="D147" s="118" t="str">
        <f t="shared" si="3"/>
        <v/>
      </c>
      <c r="E147" s="121"/>
      <c r="F147" s="121"/>
      <c r="G147" s="121"/>
      <c r="H147" s="121"/>
      <c r="I147" s="142"/>
      <c r="J147" s="121"/>
      <c r="K147" s="121"/>
      <c r="L147" s="144"/>
      <c r="M147" s="144"/>
      <c r="N147" s="144"/>
      <c r="O147" s="144"/>
      <c r="P147" s="144"/>
    </row>
    <row r="148" spans="1:16" s="135" customFormat="1" ht="15.75" x14ac:dyDescent="0.25">
      <c r="A148" s="109"/>
      <c r="B148" s="109"/>
      <c r="C148" s="118" t="str">
        <f t="shared" ref="C148:C211" si="4">IF(A148=0,"",VLOOKUP(B148,MatDB,2,FALSE))</f>
        <v/>
      </c>
      <c r="D148" s="118" t="str">
        <f t="shared" si="3"/>
        <v/>
      </c>
      <c r="E148" s="121"/>
      <c r="F148" s="121"/>
      <c r="G148" s="121"/>
      <c r="H148" s="121"/>
      <c r="I148" s="142"/>
      <c r="J148" s="121"/>
      <c r="K148" s="121"/>
      <c r="L148" s="144"/>
      <c r="M148" s="144"/>
      <c r="N148" s="144"/>
      <c r="O148" s="144"/>
      <c r="P148" s="144"/>
    </row>
    <row r="149" spans="1:16" s="135" customFormat="1" ht="15.75" x14ac:dyDescent="0.25">
      <c r="A149" s="109"/>
      <c r="B149" s="109"/>
      <c r="C149" s="118" t="str">
        <f t="shared" si="4"/>
        <v/>
      </c>
      <c r="D149" s="118" t="str">
        <f t="shared" ref="D149:D212" si="5">IF(A149=0,"","Steel02")</f>
        <v/>
      </c>
      <c r="E149" s="121"/>
      <c r="F149" s="121"/>
      <c r="G149" s="121"/>
      <c r="H149" s="121"/>
      <c r="I149" s="142"/>
      <c r="J149" s="121"/>
      <c r="K149" s="121"/>
      <c r="L149" s="144"/>
      <c r="M149" s="144"/>
      <c r="N149" s="144"/>
      <c r="O149" s="144"/>
      <c r="P149" s="144"/>
    </row>
    <row r="150" spans="1:16" s="135" customFormat="1" ht="15.75" x14ac:dyDescent="0.25">
      <c r="A150" s="109"/>
      <c r="B150" s="109"/>
      <c r="C150" s="118" t="str">
        <f t="shared" si="4"/>
        <v/>
      </c>
      <c r="D150" s="118" t="str">
        <f t="shared" si="5"/>
        <v/>
      </c>
      <c r="E150" s="121"/>
      <c r="F150" s="121"/>
      <c r="G150" s="121"/>
      <c r="H150" s="121"/>
      <c r="I150" s="142"/>
      <c r="J150" s="121"/>
      <c r="K150" s="121"/>
      <c r="L150" s="144"/>
      <c r="M150" s="144"/>
      <c r="N150" s="144"/>
      <c r="O150" s="144"/>
      <c r="P150" s="144"/>
    </row>
    <row r="151" spans="1:16" s="135" customFormat="1" ht="15.75" x14ac:dyDescent="0.25">
      <c r="A151" s="109"/>
      <c r="B151" s="109"/>
      <c r="C151" s="118" t="str">
        <f t="shared" si="4"/>
        <v/>
      </c>
      <c r="D151" s="118" t="str">
        <f t="shared" si="5"/>
        <v/>
      </c>
      <c r="E151" s="121"/>
      <c r="F151" s="121"/>
      <c r="G151" s="121"/>
      <c r="H151" s="121"/>
      <c r="I151" s="142"/>
      <c r="J151" s="121"/>
      <c r="K151" s="121"/>
      <c r="L151" s="144"/>
      <c r="M151" s="144"/>
      <c r="N151" s="144"/>
      <c r="O151" s="144"/>
      <c r="P151" s="144"/>
    </row>
    <row r="152" spans="1:16" s="135" customFormat="1" ht="15.75" x14ac:dyDescent="0.25">
      <c r="A152" s="109"/>
      <c r="B152" s="109"/>
      <c r="C152" s="118" t="str">
        <f t="shared" si="4"/>
        <v/>
      </c>
      <c r="D152" s="118" t="str">
        <f t="shared" si="5"/>
        <v/>
      </c>
      <c r="E152" s="121"/>
      <c r="F152" s="121"/>
      <c r="G152" s="121"/>
      <c r="H152" s="121"/>
      <c r="I152" s="142"/>
      <c r="J152" s="121"/>
      <c r="K152" s="121"/>
      <c r="L152" s="144"/>
      <c r="M152" s="144"/>
      <c r="N152" s="144"/>
      <c r="O152" s="144"/>
      <c r="P152" s="144"/>
    </row>
    <row r="153" spans="1:16" s="135" customFormat="1" ht="15.75" x14ac:dyDescent="0.25">
      <c r="A153" s="109"/>
      <c r="B153" s="109"/>
      <c r="C153" s="118" t="str">
        <f t="shared" si="4"/>
        <v/>
      </c>
      <c r="D153" s="118" t="str">
        <f t="shared" si="5"/>
        <v/>
      </c>
      <c r="E153" s="121"/>
      <c r="F153" s="121"/>
      <c r="G153" s="121"/>
      <c r="H153" s="121"/>
      <c r="I153" s="142"/>
      <c r="J153" s="121"/>
      <c r="K153" s="121"/>
      <c r="L153" s="144"/>
      <c r="M153" s="144"/>
      <c r="N153" s="144"/>
      <c r="O153" s="144"/>
      <c r="P153" s="144"/>
    </row>
    <row r="154" spans="1:16" s="135" customFormat="1" ht="15.75" x14ac:dyDescent="0.25">
      <c r="A154" s="109"/>
      <c r="B154" s="109"/>
      <c r="C154" s="118" t="str">
        <f t="shared" si="4"/>
        <v/>
      </c>
      <c r="D154" s="118" t="str">
        <f t="shared" si="5"/>
        <v/>
      </c>
      <c r="E154" s="121"/>
      <c r="F154" s="121"/>
      <c r="G154" s="121"/>
      <c r="H154" s="121"/>
      <c r="I154" s="142"/>
      <c r="J154" s="121"/>
      <c r="K154" s="121"/>
      <c r="L154" s="144"/>
      <c r="M154" s="144"/>
      <c r="N154" s="144"/>
      <c r="O154" s="144"/>
      <c r="P154" s="144"/>
    </row>
    <row r="155" spans="1:16" s="135" customFormat="1" ht="15.75" x14ac:dyDescent="0.25">
      <c r="A155" s="109"/>
      <c r="B155" s="109"/>
      <c r="C155" s="118" t="str">
        <f t="shared" si="4"/>
        <v/>
      </c>
      <c r="D155" s="118" t="str">
        <f t="shared" si="5"/>
        <v/>
      </c>
      <c r="E155" s="121"/>
      <c r="F155" s="121"/>
      <c r="G155" s="121"/>
      <c r="H155" s="121"/>
      <c r="I155" s="142"/>
      <c r="J155" s="121"/>
      <c r="K155" s="121"/>
      <c r="L155" s="144"/>
      <c r="M155" s="144"/>
      <c r="N155" s="144"/>
      <c r="O155" s="144"/>
      <c r="P155" s="144"/>
    </row>
    <row r="156" spans="1:16" s="135" customFormat="1" ht="15.75" x14ac:dyDescent="0.25">
      <c r="A156" s="109"/>
      <c r="B156" s="109"/>
      <c r="C156" s="118" t="str">
        <f t="shared" si="4"/>
        <v/>
      </c>
      <c r="D156" s="118" t="str">
        <f t="shared" si="5"/>
        <v/>
      </c>
      <c r="E156" s="121"/>
      <c r="F156" s="121"/>
      <c r="G156" s="121"/>
      <c r="H156" s="121"/>
      <c r="I156" s="142"/>
      <c r="J156" s="121"/>
      <c r="K156" s="121"/>
      <c r="L156" s="144"/>
      <c r="M156" s="144"/>
      <c r="N156" s="144"/>
      <c r="O156" s="144"/>
      <c r="P156" s="144"/>
    </row>
    <row r="157" spans="1:16" s="135" customFormat="1" ht="15.75" x14ac:dyDescent="0.25">
      <c r="A157" s="109"/>
      <c r="B157" s="109"/>
      <c r="C157" s="118" t="str">
        <f t="shared" si="4"/>
        <v/>
      </c>
      <c r="D157" s="118" t="str">
        <f t="shared" si="5"/>
        <v/>
      </c>
      <c r="E157" s="121"/>
      <c r="F157" s="121"/>
      <c r="G157" s="121"/>
      <c r="H157" s="121"/>
      <c r="I157" s="142"/>
      <c r="J157" s="121"/>
      <c r="K157" s="121"/>
      <c r="L157" s="144"/>
      <c r="M157" s="144"/>
      <c r="N157" s="144"/>
      <c r="O157" s="144"/>
      <c r="P157" s="144"/>
    </row>
    <row r="158" spans="1:16" s="135" customFormat="1" ht="15.75" x14ac:dyDescent="0.25">
      <c r="A158" s="109"/>
      <c r="B158" s="109"/>
      <c r="C158" s="118" t="str">
        <f t="shared" si="4"/>
        <v/>
      </c>
      <c r="D158" s="118" t="str">
        <f t="shared" si="5"/>
        <v/>
      </c>
      <c r="E158" s="121"/>
      <c r="F158" s="121"/>
      <c r="G158" s="121"/>
      <c r="H158" s="121"/>
      <c r="I158" s="142"/>
      <c r="J158" s="121"/>
      <c r="K158" s="121"/>
      <c r="L158" s="144"/>
      <c r="M158" s="144"/>
      <c r="N158" s="144"/>
      <c r="O158" s="144"/>
      <c r="P158" s="144"/>
    </row>
    <row r="159" spans="1:16" s="135" customFormat="1" ht="15.75" x14ac:dyDescent="0.25">
      <c r="A159" s="109"/>
      <c r="B159" s="109"/>
      <c r="C159" s="118" t="str">
        <f t="shared" si="4"/>
        <v/>
      </c>
      <c r="D159" s="118" t="str">
        <f t="shared" si="5"/>
        <v/>
      </c>
      <c r="E159" s="121"/>
      <c r="F159" s="121"/>
      <c r="G159" s="121"/>
      <c r="H159" s="121"/>
      <c r="I159" s="142"/>
      <c r="J159" s="121"/>
      <c r="K159" s="121"/>
      <c r="L159" s="144"/>
      <c r="M159" s="144"/>
      <c r="N159" s="144"/>
      <c r="O159" s="144"/>
      <c r="P159" s="144"/>
    </row>
    <row r="160" spans="1:16" s="135" customFormat="1" ht="15.75" x14ac:dyDescent="0.25">
      <c r="A160" s="109"/>
      <c r="B160" s="109"/>
      <c r="C160" s="118" t="str">
        <f t="shared" si="4"/>
        <v/>
      </c>
      <c r="D160" s="118" t="str">
        <f t="shared" si="5"/>
        <v/>
      </c>
      <c r="E160" s="121"/>
      <c r="F160" s="121"/>
      <c r="G160" s="121"/>
      <c r="H160" s="121"/>
      <c r="I160" s="142"/>
      <c r="J160" s="121"/>
      <c r="K160" s="121"/>
      <c r="L160" s="144"/>
      <c r="M160" s="144"/>
      <c r="N160" s="144"/>
      <c r="O160" s="144"/>
      <c r="P160" s="144"/>
    </row>
    <row r="161" spans="1:16" s="135" customFormat="1" ht="15.75" x14ac:dyDescent="0.25">
      <c r="A161" s="109"/>
      <c r="B161" s="109"/>
      <c r="C161" s="118" t="str">
        <f t="shared" si="4"/>
        <v/>
      </c>
      <c r="D161" s="118" t="str">
        <f t="shared" si="5"/>
        <v/>
      </c>
      <c r="E161" s="121"/>
      <c r="F161" s="121"/>
      <c r="G161" s="121"/>
      <c r="H161" s="121"/>
      <c r="I161" s="142"/>
      <c r="J161" s="121"/>
      <c r="K161" s="121"/>
      <c r="L161" s="144"/>
      <c r="M161" s="144"/>
      <c r="N161" s="144"/>
      <c r="O161" s="144"/>
      <c r="P161" s="144"/>
    </row>
    <row r="162" spans="1:16" s="135" customFormat="1" ht="15.75" x14ac:dyDescent="0.25">
      <c r="A162" s="109"/>
      <c r="B162" s="109"/>
      <c r="C162" s="118" t="str">
        <f t="shared" si="4"/>
        <v/>
      </c>
      <c r="D162" s="118" t="str">
        <f t="shared" si="5"/>
        <v/>
      </c>
      <c r="E162" s="121"/>
      <c r="F162" s="121"/>
      <c r="G162" s="121"/>
      <c r="H162" s="121"/>
      <c r="I162" s="142"/>
      <c r="J162" s="121"/>
      <c r="K162" s="121"/>
      <c r="L162" s="144"/>
      <c r="M162" s="144"/>
      <c r="N162" s="144"/>
      <c r="O162" s="144"/>
      <c r="P162" s="144"/>
    </row>
    <row r="163" spans="1:16" s="135" customFormat="1" ht="15.75" x14ac:dyDescent="0.25">
      <c r="A163" s="109"/>
      <c r="B163" s="109"/>
      <c r="C163" s="118" t="str">
        <f t="shared" si="4"/>
        <v/>
      </c>
      <c r="D163" s="118" t="str">
        <f t="shared" si="5"/>
        <v/>
      </c>
      <c r="E163" s="121"/>
      <c r="F163" s="121"/>
      <c r="G163" s="121"/>
      <c r="H163" s="121"/>
      <c r="I163" s="142"/>
      <c r="J163" s="121"/>
      <c r="K163" s="121"/>
      <c r="L163" s="144"/>
      <c r="M163" s="144"/>
      <c r="N163" s="144"/>
      <c r="O163" s="144"/>
      <c r="P163" s="144"/>
    </row>
    <row r="164" spans="1:16" s="135" customFormat="1" ht="15.75" x14ac:dyDescent="0.25">
      <c r="A164" s="109"/>
      <c r="B164" s="109"/>
      <c r="C164" s="118" t="str">
        <f t="shared" si="4"/>
        <v/>
      </c>
      <c r="D164" s="118" t="str">
        <f t="shared" si="5"/>
        <v/>
      </c>
      <c r="E164" s="121"/>
      <c r="F164" s="121"/>
      <c r="G164" s="121"/>
      <c r="H164" s="121"/>
      <c r="I164" s="142"/>
      <c r="J164" s="121"/>
      <c r="K164" s="121"/>
      <c r="L164" s="144"/>
      <c r="M164" s="144"/>
      <c r="N164" s="144"/>
      <c r="O164" s="144"/>
      <c r="P164" s="144"/>
    </row>
    <row r="165" spans="1:16" s="135" customFormat="1" ht="15.75" x14ac:dyDescent="0.25">
      <c r="A165" s="109"/>
      <c r="B165" s="109"/>
      <c r="C165" s="118" t="str">
        <f t="shared" si="4"/>
        <v/>
      </c>
      <c r="D165" s="118" t="str">
        <f t="shared" si="5"/>
        <v/>
      </c>
      <c r="E165" s="121"/>
      <c r="F165" s="121"/>
      <c r="G165" s="121"/>
      <c r="H165" s="121"/>
      <c r="I165" s="142"/>
      <c r="J165" s="121"/>
      <c r="K165" s="121"/>
      <c r="L165" s="144"/>
      <c r="M165" s="144"/>
      <c r="N165" s="144"/>
      <c r="O165" s="144"/>
      <c r="P165" s="144"/>
    </row>
    <row r="166" spans="1:16" s="135" customFormat="1" ht="15.75" x14ac:dyDescent="0.25">
      <c r="A166" s="109"/>
      <c r="B166" s="109"/>
      <c r="C166" s="118" t="str">
        <f t="shared" si="4"/>
        <v/>
      </c>
      <c r="D166" s="118" t="str">
        <f t="shared" si="5"/>
        <v/>
      </c>
      <c r="E166" s="121"/>
      <c r="F166" s="121"/>
      <c r="G166" s="121"/>
      <c r="H166" s="121"/>
      <c r="I166" s="142"/>
      <c r="J166" s="121"/>
      <c r="K166" s="121"/>
      <c r="L166" s="144"/>
      <c r="M166" s="144"/>
      <c r="N166" s="144"/>
      <c r="O166" s="144"/>
      <c r="P166" s="144"/>
    </row>
    <row r="167" spans="1:16" s="135" customFormat="1" ht="15.75" x14ac:dyDescent="0.25">
      <c r="A167" s="109"/>
      <c r="B167" s="109"/>
      <c r="C167" s="118" t="str">
        <f t="shared" si="4"/>
        <v/>
      </c>
      <c r="D167" s="118" t="str">
        <f t="shared" si="5"/>
        <v/>
      </c>
      <c r="E167" s="121"/>
      <c r="F167" s="121"/>
      <c r="G167" s="121"/>
      <c r="H167" s="121"/>
      <c r="I167" s="142"/>
      <c r="J167" s="121"/>
      <c r="K167" s="121"/>
      <c r="L167" s="144"/>
      <c r="M167" s="144"/>
      <c r="N167" s="144"/>
      <c r="O167" s="144"/>
      <c r="P167" s="144"/>
    </row>
    <row r="168" spans="1:16" s="135" customFormat="1" ht="15.75" x14ac:dyDescent="0.25">
      <c r="A168" s="109"/>
      <c r="B168" s="109"/>
      <c r="C168" s="118" t="str">
        <f t="shared" si="4"/>
        <v/>
      </c>
      <c r="D168" s="118" t="str">
        <f t="shared" si="5"/>
        <v/>
      </c>
      <c r="E168" s="121"/>
      <c r="F168" s="121"/>
      <c r="G168" s="121"/>
      <c r="H168" s="121"/>
      <c r="I168" s="142"/>
      <c r="J168" s="121"/>
      <c r="K168" s="121"/>
      <c r="L168" s="144"/>
      <c r="M168" s="144"/>
      <c r="N168" s="144"/>
      <c r="O168" s="144"/>
      <c r="P168" s="144"/>
    </row>
    <row r="169" spans="1:16" s="135" customFormat="1" ht="15.75" x14ac:dyDescent="0.25">
      <c r="A169" s="109"/>
      <c r="B169" s="109"/>
      <c r="C169" s="118" t="str">
        <f t="shared" si="4"/>
        <v/>
      </c>
      <c r="D169" s="118" t="str">
        <f t="shared" si="5"/>
        <v/>
      </c>
      <c r="E169" s="121"/>
      <c r="F169" s="121"/>
      <c r="G169" s="121"/>
      <c r="H169" s="121"/>
      <c r="I169" s="142"/>
      <c r="J169" s="121"/>
      <c r="K169" s="121"/>
      <c r="L169" s="144"/>
      <c r="M169" s="144"/>
      <c r="N169" s="144"/>
      <c r="O169" s="144"/>
      <c r="P169" s="144"/>
    </row>
    <row r="170" spans="1:16" s="135" customFormat="1" ht="15.75" x14ac:dyDescent="0.25">
      <c r="A170" s="109"/>
      <c r="B170" s="109"/>
      <c r="C170" s="118" t="str">
        <f t="shared" si="4"/>
        <v/>
      </c>
      <c r="D170" s="118" t="str">
        <f t="shared" si="5"/>
        <v/>
      </c>
      <c r="E170" s="121"/>
      <c r="F170" s="121"/>
      <c r="G170" s="121"/>
      <c r="H170" s="121"/>
      <c r="I170" s="142"/>
      <c r="J170" s="121"/>
      <c r="K170" s="121"/>
      <c r="L170" s="144"/>
      <c r="M170" s="144"/>
      <c r="N170" s="144"/>
      <c r="O170" s="144"/>
      <c r="P170" s="144"/>
    </row>
    <row r="171" spans="1:16" s="135" customFormat="1" ht="15.75" x14ac:dyDescent="0.25">
      <c r="A171" s="109"/>
      <c r="B171" s="109"/>
      <c r="C171" s="118" t="str">
        <f t="shared" si="4"/>
        <v/>
      </c>
      <c r="D171" s="118" t="str">
        <f t="shared" si="5"/>
        <v/>
      </c>
      <c r="E171" s="121"/>
      <c r="F171" s="121"/>
      <c r="G171" s="121"/>
      <c r="H171" s="121"/>
      <c r="I171" s="142"/>
      <c r="J171" s="121"/>
      <c r="K171" s="121"/>
      <c r="L171" s="144"/>
      <c r="M171" s="144"/>
      <c r="N171" s="144"/>
      <c r="O171" s="144"/>
      <c r="P171" s="144"/>
    </row>
    <row r="172" spans="1:16" s="135" customFormat="1" ht="15.75" x14ac:dyDescent="0.25">
      <c r="A172" s="109"/>
      <c r="B172" s="109"/>
      <c r="C172" s="118" t="str">
        <f t="shared" si="4"/>
        <v/>
      </c>
      <c r="D172" s="118" t="str">
        <f t="shared" si="5"/>
        <v/>
      </c>
      <c r="E172" s="121"/>
      <c r="F172" s="121"/>
      <c r="G172" s="121"/>
      <c r="H172" s="121"/>
      <c r="I172" s="142"/>
      <c r="J172" s="121"/>
      <c r="K172" s="121"/>
      <c r="L172" s="144"/>
      <c r="M172" s="144"/>
      <c r="N172" s="144"/>
      <c r="O172" s="144"/>
      <c r="P172" s="144"/>
    </row>
    <row r="173" spans="1:16" s="135" customFormat="1" ht="15.75" x14ac:dyDescent="0.25">
      <c r="A173" s="109"/>
      <c r="B173" s="109"/>
      <c r="C173" s="118" t="str">
        <f t="shared" si="4"/>
        <v/>
      </c>
      <c r="D173" s="118" t="str">
        <f t="shared" si="5"/>
        <v/>
      </c>
      <c r="E173" s="121"/>
      <c r="F173" s="121"/>
      <c r="G173" s="121"/>
      <c r="H173" s="121"/>
      <c r="I173" s="142"/>
      <c r="J173" s="121"/>
      <c r="K173" s="121"/>
      <c r="L173" s="144"/>
      <c r="M173" s="144"/>
      <c r="N173" s="144"/>
      <c r="O173" s="144"/>
      <c r="P173" s="144"/>
    </row>
    <row r="174" spans="1:16" s="135" customFormat="1" ht="15.75" x14ac:dyDescent="0.25">
      <c r="A174" s="109"/>
      <c r="B174" s="109"/>
      <c r="C174" s="118" t="str">
        <f t="shared" si="4"/>
        <v/>
      </c>
      <c r="D174" s="118" t="str">
        <f t="shared" si="5"/>
        <v/>
      </c>
      <c r="E174" s="121"/>
      <c r="F174" s="121"/>
      <c r="G174" s="121"/>
      <c r="H174" s="121"/>
      <c r="I174" s="142"/>
      <c r="J174" s="121"/>
      <c r="K174" s="121"/>
      <c r="L174" s="144"/>
      <c r="M174" s="144"/>
      <c r="N174" s="144"/>
      <c r="O174" s="144"/>
      <c r="P174" s="144"/>
    </row>
    <row r="175" spans="1:16" s="135" customFormat="1" ht="15.75" x14ac:dyDescent="0.25">
      <c r="A175" s="109"/>
      <c r="B175" s="109"/>
      <c r="C175" s="118" t="str">
        <f t="shared" si="4"/>
        <v/>
      </c>
      <c r="D175" s="118" t="str">
        <f t="shared" si="5"/>
        <v/>
      </c>
      <c r="E175" s="121"/>
      <c r="F175" s="121"/>
      <c r="G175" s="121"/>
      <c r="H175" s="121"/>
      <c r="I175" s="142"/>
      <c r="J175" s="121"/>
      <c r="K175" s="121"/>
      <c r="L175" s="144"/>
      <c r="M175" s="144"/>
      <c r="N175" s="144"/>
      <c r="O175" s="144"/>
      <c r="P175" s="144"/>
    </row>
    <row r="176" spans="1:16" s="135" customFormat="1" ht="15.75" x14ac:dyDescent="0.25">
      <c r="A176" s="109"/>
      <c r="B176" s="109"/>
      <c r="C176" s="118" t="str">
        <f t="shared" si="4"/>
        <v/>
      </c>
      <c r="D176" s="118" t="str">
        <f t="shared" si="5"/>
        <v/>
      </c>
      <c r="E176" s="121"/>
      <c r="F176" s="121"/>
      <c r="G176" s="121"/>
      <c r="H176" s="121"/>
      <c r="I176" s="142"/>
      <c r="J176" s="121"/>
      <c r="K176" s="121"/>
      <c r="L176" s="144"/>
      <c r="M176" s="144"/>
      <c r="N176" s="144"/>
      <c r="O176" s="144"/>
      <c r="P176" s="144"/>
    </row>
    <row r="177" spans="1:16" s="135" customFormat="1" ht="15.75" x14ac:dyDescent="0.25">
      <c r="A177" s="109"/>
      <c r="B177" s="109"/>
      <c r="C177" s="118" t="str">
        <f t="shared" si="4"/>
        <v/>
      </c>
      <c r="D177" s="118" t="str">
        <f t="shared" si="5"/>
        <v/>
      </c>
      <c r="E177" s="121"/>
      <c r="F177" s="121"/>
      <c r="G177" s="121"/>
      <c r="H177" s="121"/>
      <c r="I177" s="142"/>
      <c r="J177" s="121"/>
      <c r="K177" s="121"/>
      <c r="L177" s="144"/>
      <c r="M177" s="144"/>
      <c r="N177" s="144"/>
      <c r="O177" s="144"/>
      <c r="P177" s="144"/>
    </row>
    <row r="178" spans="1:16" s="135" customFormat="1" ht="15.75" x14ac:dyDescent="0.25">
      <c r="A178" s="109"/>
      <c r="B178" s="109"/>
      <c r="C178" s="118" t="str">
        <f t="shared" si="4"/>
        <v/>
      </c>
      <c r="D178" s="118" t="str">
        <f t="shared" si="5"/>
        <v/>
      </c>
      <c r="E178" s="121"/>
      <c r="F178" s="121"/>
      <c r="G178" s="121"/>
      <c r="H178" s="121"/>
      <c r="I178" s="142"/>
      <c r="J178" s="121"/>
      <c r="K178" s="121"/>
      <c r="L178" s="144"/>
      <c r="M178" s="144"/>
      <c r="N178" s="144"/>
      <c r="O178" s="144"/>
      <c r="P178" s="144"/>
    </row>
    <row r="179" spans="1:16" s="135" customFormat="1" ht="15.75" x14ac:dyDescent="0.25">
      <c r="A179" s="109"/>
      <c r="B179" s="109"/>
      <c r="C179" s="118" t="str">
        <f t="shared" si="4"/>
        <v/>
      </c>
      <c r="D179" s="118" t="str">
        <f t="shared" si="5"/>
        <v/>
      </c>
      <c r="E179" s="121"/>
      <c r="F179" s="121"/>
      <c r="G179" s="121"/>
      <c r="H179" s="121"/>
      <c r="I179" s="142"/>
      <c r="J179" s="121"/>
      <c r="K179" s="121"/>
      <c r="L179" s="144"/>
      <c r="M179" s="144"/>
      <c r="N179" s="144"/>
      <c r="O179" s="144"/>
      <c r="P179" s="144"/>
    </row>
    <row r="180" spans="1:16" s="135" customFormat="1" ht="15.75" x14ac:dyDescent="0.25">
      <c r="A180" s="109"/>
      <c r="B180" s="109"/>
      <c r="C180" s="118" t="str">
        <f t="shared" si="4"/>
        <v/>
      </c>
      <c r="D180" s="118" t="str">
        <f t="shared" si="5"/>
        <v/>
      </c>
      <c r="E180" s="121"/>
      <c r="F180" s="121"/>
      <c r="G180" s="121"/>
      <c r="H180" s="121"/>
      <c r="I180" s="142"/>
      <c r="J180" s="121"/>
      <c r="K180" s="121"/>
      <c r="L180" s="144"/>
      <c r="M180" s="144"/>
      <c r="N180" s="144"/>
      <c r="O180" s="144"/>
      <c r="P180" s="144"/>
    </row>
    <row r="181" spans="1:16" s="135" customFormat="1" ht="15.75" x14ac:dyDescent="0.25">
      <c r="A181" s="109"/>
      <c r="B181" s="109"/>
      <c r="C181" s="118" t="str">
        <f t="shared" si="4"/>
        <v/>
      </c>
      <c r="D181" s="118" t="str">
        <f t="shared" si="5"/>
        <v/>
      </c>
      <c r="E181" s="121"/>
      <c r="F181" s="121"/>
      <c r="G181" s="121"/>
      <c r="H181" s="121"/>
      <c r="I181" s="142"/>
      <c r="J181" s="121"/>
      <c r="K181" s="121"/>
      <c r="L181" s="144"/>
      <c r="M181" s="144"/>
      <c r="N181" s="144"/>
      <c r="O181" s="144"/>
      <c r="P181" s="144"/>
    </row>
    <row r="182" spans="1:16" s="135" customFormat="1" ht="15.75" x14ac:dyDescent="0.25">
      <c r="A182" s="109"/>
      <c r="B182" s="109"/>
      <c r="C182" s="118" t="str">
        <f t="shared" si="4"/>
        <v/>
      </c>
      <c r="D182" s="118" t="str">
        <f t="shared" si="5"/>
        <v/>
      </c>
      <c r="E182" s="121"/>
      <c r="F182" s="121"/>
      <c r="G182" s="121"/>
      <c r="H182" s="121"/>
      <c r="I182" s="142"/>
      <c r="J182" s="121"/>
      <c r="K182" s="121"/>
      <c r="L182" s="144"/>
      <c r="M182" s="144"/>
      <c r="N182" s="144"/>
      <c r="O182" s="144"/>
      <c r="P182" s="144"/>
    </row>
    <row r="183" spans="1:16" s="135" customFormat="1" ht="15.75" x14ac:dyDescent="0.25">
      <c r="A183" s="109"/>
      <c r="B183" s="109"/>
      <c r="C183" s="118" t="str">
        <f t="shared" si="4"/>
        <v/>
      </c>
      <c r="D183" s="118" t="str">
        <f t="shared" si="5"/>
        <v/>
      </c>
      <c r="E183" s="121"/>
      <c r="F183" s="121"/>
      <c r="G183" s="121"/>
      <c r="H183" s="121"/>
      <c r="I183" s="142"/>
      <c r="J183" s="121"/>
      <c r="K183" s="121"/>
      <c r="L183" s="144"/>
      <c r="M183" s="144"/>
      <c r="N183" s="144"/>
      <c r="O183" s="144"/>
      <c r="P183" s="144"/>
    </row>
    <row r="184" spans="1:16" s="135" customFormat="1" ht="15.75" x14ac:dyDescent="0.25">
      <c r="A184" s="109"/>
      <c r="B184" s="109"/>
      <c r="C184" s="118" t="str">
        <f t="shared" si="4"/>
        <v/>
      </c>
      <c r="D184" s="118" t="str">
        <f t="shared" si="5"/>
        <v/>
      </c>
      <c r="E184" s="121"/>
      <c r="F184" s="121"/>
      <c r="G184" s="121"/>
      <c r="H184" s="121"/>
      <c r="I184" s="142"/>
      <c r="J184" s="121"/>
      <c r="K184" s="121"/>
      <c r="L184" s="144"/>
      <c r="M184" s="144"/>
      <c r="N184" s="144"/>
      <c r="O184" s="144"/>
      <c r="P184" s="144"/>
    </row>
    <row r="185" spans="1:16" s="135" customFormat="1" ht="15.75" x14ac:dyDescent="0.25">
      <c r="A185" s="109"/>
      <c r="B185" s="109"/>
      <c r="C185" s="118" t="str">
        <f t="shared" si="4"/>
        <v/>
      </c>
      <c r="D185" s="118" t="str">
        <f t="shared" si="5"/>
        <v/>
      </c>
      <c r="E185" s="121"/>
      <c r="F185" s="121"/>
      <c r="G185" s="121"/>
      <c r="H185" s="121"/>
      <c r="I185" s="142"/>
      <c r="J185" s="121"/>
      <c r="K185" s="121"/>
      <c r="L185" s="144"/>
      <c r="M185" s="144"/>
      <c r="N185" s="144"/>
      <c r="O185" s="144"/>
      <c r="P185" s="144"/>
    </row>
    <row r="186" spans="1:16" s="135" customFormat="1" ht="15.75" x14ac:dyDescent="0.25">
      <c r="A186" s="109"/>
      <c r="B186" s="109"/>
      <c r="C186" s="118" t="str">
        <f t="shared" si="4"/>
        <v/>
      </c>
      <c r="D186" s="118" t="str">
        <f t="shared" si="5"/>
        <v/>
      </c>
      <c r="E186" s="121"/>
      <c r="F186" s="121"/>
      <c r="G186" s="121"/>
      <c r="H186" s="121"/>
      <c r="I186" s="142"/>
      <c r="J186" s="121"/>
      <c r="K186" s="121"/>
      <c r="L186" s="144"/>
      <c r="M186" s="144"/>
      <c r="N186" s="144"/>
      <c r="O186" s="144"/>
      <c r="P186" s="144"/>
    </row>
    <row r="187" spans="1:16" s="135" customFormat="1" ht="15.75" x14ac:dyDescent="0.25">
      <c r="A187" s="109"/>
      <c r="B187" s="109"/>
      <c r="C187" s="118" t="str">
        <f t="shared" si="4"/>
        <v/>
      </c>
      <c r="D187" s="118" t="str">
        <f t="shared" si="5"/>
        <v/>
      </c>
      <c r="E187" s="121"/>
      <c r="F187" s="121"/>
      <c r="G187" s="121"/>
      <c r="H187" s="121"/>
      <c r="I187" s="142"/>
      <c r="J187" s="121"/>
      <c r="K187" s="121"/>
      <c r="L187" s="144"/>
      <c r="M187" s="144"/>
      <c r="N187" s="144"/>
      <c r="O187" s="144"/>
      <c r="P187" s="144"/>
    </row>
    <row r="188" spans="1:16" s="135" customFormat="1" ht="15.75" x14ac:dyDescent="0.25">
      <c r="A188" s="109"/>
      <c r="B188" s="109"/>
      <c r="C188" s="118" t="str">
        <f t="shared" si="4"/>
        <v/>
      </c>
      <c r="D188" s="118" t="str">
        <f t="shared" si="5"/>
        <v/>
      </c>
      <c r="E188" s="121"/>
      <c r="F188" s="121"/>
      <c r="G188" s="121"/>
      <c r="H188" s="121"/>
      <c r="I188" s="142"/>
      <c r="J188" s="121"/>
      <c r="K188" s="121"/>
      <c r="L188" s="144"/>
      <c r="M188" s="144"/>
      <c r="N188" s="144"/>
      <c r="O188" s="144"/>
      <c r="P188" s="144"/>
    </row>
    <row r="189" spans="1:16" s="135" customFormat="1" ht="15.75" x14ac:dyDescent="0.25">
      <c r="A189" s="109"/>
      <c r="B189" s="109"/>
      <c r="C189" s="118" t="str">
        <f t="shared" si="4"/>
        <v/>
      </c>
      <c r="D189" s="118" t="str">
        <f t="shared" si="5"/>
        <v/>
      </c>
      <c r="E189" s="121"/>
      <c r="F189" s="121"/>
      <c r="G189" s="121"/>
      <c r="H189" s="121"/>
      <c r="I189" s="142"/>
      <c r="J189" s="121"/>
      <c r="K189" s="121"/>
      <c r="L189" s="144"/>
      <c r="M189" s="144"/>
      <c r="N189" s="144"/>
      <c r="O189" s="144"/>
      <c r="P189" s="144"/>
    </row>
    <row r="190" spans="1:16" s="135" customFormat="1" ht="15.75" x14ac:dyDescent="0.25">
      <c r="A190" s="109"/>
      <c r="B190" s="109"/>
      <c r="C190" s="118" t="str">
        <f t="shared" si="4"/>
        <v/>
      </c>
      <c r="D190" s="118" t="str">
        <f t="shared" si="5"/>
        <v/>
      </c>
      <c r="E190" s="121"/>
      <c r="F190" s="121"/>
      <c r="G190" s="121"/>
      <c r="H190" s="121"/>
      <c r="I190" s="142"/>
      <c r="J190" s="121"/>
      <c r="K190" s="121"/>
      <c r="L190" s="144"/>
      <c r="M190" s="144"/>
      <c r="N190" s="144"/>
      <c r="O190" s="144"/>
      <c r="P190" s="144"/>
    </row>
    <row r="191" spans="1:16" s="135" customFormat="1" ht="15.75" x14ac:dyDescent="0.25">
      <c r="A191" s="109"/>
      <c r="B191" s="109"/>
      <c r="C191" s="118" t="str">
        <f t="shared" si="4"/>
        <v/>
      </c>
      <c r="D191" s="118" t="str">
        <f t="shared" si="5"/>
        <v/>
      </c>
      <c r="E191" s="121"/>
      <c r="F191" s="121"/>
      <c r="G191" s="121"/>
      <c r="H191" s="121"/>
      <c r="I191" s="142"/>
      <c r="J191" s="121"/>
      <c r="K191" s="121"/>
      <c r="L191" s="144"/>
      <c r="M191" s="144"/>
      <c r="N191" s="144"/>
      <c r="O191" s="144"/>
      <c r="P191" s="144"/>
    </row>
    <row r="192" spans="1:16" s="135" customFormat="1" ht="15.75" x14ac:dyDescent="0.25">
      <c r="A192" s="109"/>
      <c r="B192" s="109"/>
      <c r="C192" s="118" t="str">
        <f t="shared" si="4"/>
        <v/>
      </c>
      <c r="D192" s="118" t="str">
        <f t="shared" si="5"/>
        <v/>
      </c>
      <c r="E192" s="121"/>
      <c r="F192" s="121"/>
      <c r="G192" s="121"/>
      <c r="H192" s="121"/>
      <c r="I192" s="142"/>
      <c r="J192" s="121"/>
      <c r="K192" s="121"/>
      <c r="L192" s="144"/>
      <c r="M192" s="144"/>
      <c r="N192" s="144"/>
      <c r="O192" s="144"/>
      <c r="P192" s="144"/>
    </row>
    <row r="193" spans="1:16" s="135" customFormat="1" ht="15.75" x14ac:dyDescent="0.25">
      <c r="A193" s="109"/>
      <c r="B193" s="109"/>
      <c r="C193" s="118" t="str">
        <f t="shared" si="4"/>
        <v/>
      </c>
      <c r="D193" s="118" t="str">
        <f t="shared" si="5"/>
        <v/>
      </c>
      <c r="E193" s="121"/>
      <c r="F193" s="121"/>
      <c r="G193" s="121"/>
      <c r="H193" s="121"/>
      <c r="I193" s="142"/>
      <c r="J193" s="121"/>
      <c r="K193" s="121"/>
      <c r="L193" s="144"/>
      <c r="M193" s="144"/>
      <c r="N193" s="144"/>
      <c r="O193" s="144"/>
      <c r="P193" s="144"/>
    </row>
    <row r="194" spans="1:16" s="135" customFormat="1" ht="15.75" x14ac:dyDescent="0.25">
      <c r="A194" s="109"/>
      <c r="B194" s="109"/>
      <c r="C194" s="118" t="str">
        <f t="shared" si="4"/>
        <v/>
      </c>
      <c r="D194" s="118" t="str">
        <f t="shared" si="5"/>
        <v/>
      </c>
      <c r="E194" s="121"/>
      <c r="F194" s="121"/>
      <c r="G194" s="121"/>
      <c r="H194" s="121"/>
      <c r="I194" s="142"/>
      <c r="J194" s="121"/>
      <c r="K194" s="121"/>
      <c r="L194" s="144"/>
      <c r="M194" s="144"/>
      <c r="N194" s="144"/>
      <c r="O194" s="144"/>
      <c r="P194" s="144"/>
    </row>
    <row r="195" spans="1:16" s="135" customFormat="1" ht="15.75" x14ac:dyDescent="0.25">
      <c r="A195" s="109"/>
      <c r="B195" s="109"/>
      <c r="C195" s="118" t="str">
        <f t="shared" si="4"/>
        <v/>
      </c>
      <c r="D195" s="118" t="str">
        <f t="shared" si="5"/>
        <v/>
      </c>
      <c r="E195" s="121"/>
      <c r="F195" s="121"/>
      <c r="G195" s="121"/>
      <c r="H195" s="121"/>
      <c r="I195" s="142"/>
      <c r="J195" s="121"/>
      <c r="K195" s="121"/>
      <c r="L195" s="144"/>
      <c r="M195" s="144"/>
      <c r="N195" s="144"/>
      <c r="O195" s="144"/>
      <c r="P195" s="144"/>
    </row>
    <row r="196" spans="1:16" s="135" customFormat="1" ht="15.75" x14ac:dyDescent="0.25">
      <c r="A196" s="109"/>
      <c r="B196" s="109"/>
      <c r="C196" s="118" t="str">
        <f t="shared" si="4"/>
        <v/>
      </c>
      <c r="D196" s="118" t="str">
        <f t="shared" si="5"/>
        <v/>
      </c>
      <c r="E196" s="121"/>
      <c r="F196" s="121"/>
      <c r="G196" s="121"/>
      <c r="H196" s="121"/>
      <c r="I196" s="142"/>
      <c r="J196" s="121"/>
      <c r="K196" s="121"/>
      <c r="L196" s="144"/>
      <c r="M196" s="144"/>
      <c r="N196" s="144"/>
      <c r="O196" s="144"/>
      <c r="P196" s="144"/>
    </row>
    <row r="197" spans="1:16" s="135" customFormat="1" ht="15.75" x14ac:dyDescent="0.25">
      <c r="A197" s="109"/>
      <c r="B197" s="109"/>
      <c r="C197" s="118" t="str">
        <f t="shared" si="4"/>
        <v/>
      </c>
      <c r="D197" s="118" t="str">
        <f t="shared" si="5"/>
        <v/>
      </c>
      <c r="E197" s="121"/>
      <c r="F197" s="121"/>
      <c r="G197" s="121"/>
      <c r="H197" s="121"/>
      <c r="I197" s="142"/>
      <c r="J197" s="121"/>
      <c r="K197" s="121"/>
      <c r="L197" s="144"/>
      <c r="M197" s="144"/>
      <c r="N197" s="144"/>
      <c r="O197" s="144"/>
      <c r="P197" s="144"/>
    </row>
    <row r="198" spans="1:16" s="135" customFormat="1" ht="15.75" x14ac:dyDescent="0.25">
      <c r="A198" s="109"/>
      <c r="B198" s="109"/>
      <c r="C198" s="118" t="str">
        <f t="shared" si="4"/>
        <v/>
      </c>
      <c r="D198" s="118" t="str">
        <f t="shared" si="5"/>
        <v/>
      </c>
      <c r="E198" s="121"/>
      <c r="F198" s="121"/>
      <c r="G198" s="121"/>
      <c r="H198" s="121"/>
      <c r="I198" s="142"/>
      <c r="J198" s="121"/>
      <c r="K198" s="121"/>
      <c r="L198" s="144"/>
      <c r="M198" s="144"/>
      <c r="N198" s="144"/>
      <c r="O198" s="144"/>
      <c r="P198" s="144"/>
    </row>
    <row r="199" spans="1:16" s="135" customFormat="1" ht="15.75" x14ac:dyDescent="0.25">
      <c r="A199" s="109"/>
      <c r="B199" s="109"/>
      <c r="C199" s="118" t="str">
        <f t="shared" si="4"/>
        <v/>
      </c>
      <c r="D199" s="118" t="str">
        <f t="shared" si="5"/>
        <v/>
      </c>
      <c r="E199" s="121"/>
      <c r="F199" s="121"/>
      <c r="G199" s="121"/>
      <c r="H199" s="121"/>
      <c r="I199" s="142"/>
      <c r="J199" s="121"/>
      <c r="K199" s="121"/>
      <c r="L199" s="144"/>
      <c r="M199" s="144"/>
      <c r="N199" s="144"/>
      <c r="O199" s="144"/>
      <c r="P199" s="144"/>
    </row>
    <row r="200" spans="1:16" s="135" customFormat="1" ht="15.75" x14ac:dyDescent="0.25">
      <c r="A200" s="109"/>
      <c r="B200" s="109"/>
      <c r="C200" s="118" t="str">
        <f t="shared" si="4"/>
        <v/>
      </c>
      <c r="D200" s="118" t="str">
        <f t="shared" si="5"/>
        <v/>
      </c>
      <c r="E200" s="121"/>
      <c r="F200" s="121"/>
      <c r="G200" s="121"/>
      <c r="H200" s="121"/>
      <c r="I200" s="142"/>
      <c r="J200" s="121"/>
      <c r="K200" s="121"/>
      <c r="L200" s="144"/>
      <c r="M200" s="144"/>
      <c r="N200" s="144"/>
      <c r="O200" s="144"/>
      <c r="P200" s="144"/>
    </row>
    <row r="201" spans="1:16" s="135" customFormat="1" ht="15.75" x14ac:dyDescent="0.25">
      <c r="A201" s="109"/>
      <c r="B201" s="109"/>
      <c r="C201" s="118" t="str">
        <f t="shared" si="4"/>
        <v/>
      </c>
      <c r="D201" s="118" t="str">
        <f t="shared" si="5"/>
        <v/>
      </c>
      <c r="E201" s="121"/>
      <c r="F201" s="121"/>
      <c r="G201" s="121"/>
      <c r="H201" s="121"/>
      <c r="I201" s="142"/>
      <c r="J201" s="121"/>
      <c r="K201" s="121"/>
      <c r="L201" s="144"/>
      <c r="M201" s="144"/>
      <c r="N201" s="144"/>
      <c r="O201" s="144"/>
      <c r="P201" s="144"/>
    </row>
    <row r="202" spans="1:16" s="135" customFormat="1" ht="15.75" x14ac:dyDescent="0.25">
      <c r="A202" s="109"/>
      <c r="B202" s="109"/>
      <c r="C202" s="118" t="str">
        <f t="shared" si="4"/>
        <v/>
      </c>
      <c r="D202" s="118" t="str">
        <f t="shared" si="5"/>
        <v/>
      </c>
      <c r="E202" s="121"/>
      <c r="F202" s="121"/>
      <c r="G202" s="121"/>
      <c r="H202" s="121"/>
      <c r="I202" s="142"/>
      <c r="J202" s="121"/>
      <c r="K202" s="121"/>
      <c r="L202" s="144"/>
      <c r="M202" s="144"/>
      <c r="N202" s="144"/>
      <c r="O202" s="144"/>
      <c r="P202" s="144"/>
    </row>
    <row r="203" spans="1:16" s="135" customFormat="1" ht="15.75" x14ac:dyDescent="0.25">
      <c r="A203" s="109"/>
      <c r="B203" s="109"/>
      <c r="C203" s="118" t="str">
        <f t="shared" si="4"/>
        <v/>
      </c>
      <c r="D203" s="118" t="str">
        <f t="shared" si="5"/>
        <v/>
      </c>
      <c r="E203" s="121"/>
      <c r="F203" s="121"/>
      <c r="G203" s="121"/>
      <c r="H203" s="121"/>
      <c r="I203" s="142"/>
      <c r="J203" s="121"/>
      <c r="K203" s="121"/>
      <c r="L203" s="144"/>
      <c r="M203" s="144"/>
      <c r="N203" s="144"/>
      <c r="O203" s="144"/>
      <c r="P203" s="144"/>
    </row>
    <row r="204" spans="1:16" s="135" customFormat="1" ht="15.75" x14ac:dyDescent="0.25">
      <c r="A204" s="109"/>
      <c r="B204" s="109"/>
      <c r="C204" s="118" t="str">
        <f t="shared" si="4"/>
        <v/>
      </c>
      <c r="D204" s="118" t="str">
        <f t="shared" si="5"/>
        <v/>
      </c>
      <c r="E204" s="121"/>
      <c r="F204" s="121"/>
      <c r="G204" s="121"/>
      <c r="H204" s="121"/>
      <c r="I204" s="142"/>
      <c r="J204" s="121"/>
      <c r="K204" s="121"/>
      <c r="L204" s="144"/>
      <c r="M204" s="144"/>
      <c r="N204" s="144"/>
      <c r="O204" s="144"/>
      <c r="P204" s="144"/>
    </row>
    <row r="205" spans="1:16" s="135" customFormat="1" ht="15.75" x14ac:dyDescent="0.25">
      <c r="A205" s="109"/>
      <c r="B205" s="109"/>
      <c r="C205" s="118" t="str">
        <f t="shared" si="4"/>
        <v/>
      </c>
      <c r="D205" s="118" t="str">
        <f t="shared" si="5"/>
        <v/>
      </c>
      <c r="E205" s="121"/>
      <c r="F205" s="121"/>
      <c r="G205" s="121"/>
      <c r="H205" s="121"/>
      <c r="I205" s="142"/>
      <c r="J205" s="121"/>
      <c r="K205" s="121"/>
      <c r="L205" s="144"/>
      <c r="M205" s="144"/>
      <c r="N205" s="144"/>
      <c r="O205" s="144"/>
      <c r="P205" s="144"/>
    </row>
    <row r="206" spans="1:16" s="135" customFormat="1" ht="15.75" x14ac:dyDescent="0.25">
      <c r="A206" s="109"/>
      <c r="B206" s="109"/>
      <c r="C206" s="118" t="str">
        <f t="shared" si="4"/>
        <v/>
      </c>
      <c r="D206" s="118" t="str">
        <f t="shared" si="5"/>
        <v/>
      </c>
      <c r="E206" s="121"/>
      <c r="F206" s="121"/>
      <c r="G206" s="121"/>
      <c r="H206" s="121"/>
      <c r="I206" s="142"/>
      <c r="J206" s="121"/>
      <c r="K206" s="121"/>
      <c r="L206" s="144"/>
      <c r="M206" s="144"/>
      <c r="N206" s="144"/>
      <c r="O206" s="144"/>
      <c r="P206" s="144"/>
    </row>
    <row r="207" spans="1:16" s="135" customFormat="1" ht="15.75" x14ac:dyDescent="0.25">
      <c r="A207" s="109"/>
      <c r="B207" s="109"/>
      <c r="C207" s="118" t="str">
        <f t="shared" si="4"/>
        <v/>
      </c>
      <c r="D207" s="118" t="str">
        <f t="shared" si="5"/>
        <v/>
      </c>
      <c r="E207" s="121"/>
      <c r="F207" s="121"/>
      <c r="G207" s="121"/>
      <c r="H207" s="121"/>
      <c r="I207" s="142"/>
      <c r="J207" s="121"/>
      <c r="K207" s="121"/>
      <c r="L207" s="144"/>
      <c r="M207" s="144"/>
      <c r="N207" s="144"/>
      <c r="O207" s="144"/>
      <c r="P207" s="144"/>
    </row>
    <row r="208" spans="1:16" s="135" customFormat="1" ht="15.75" x14ac:dyDescent="0.25">
      <c r="A208" s="109"/>
      <c r="B208" s="109"/>
      <c r="C208" s="118" t="str">
        <f t="shared" si="4"/>
        <v/>
      </c>
      <c r="D208" s="118" t="str">
        <f t="shared" si="5"/>
        <v/>
      </c>
      <c r="E208" s="121"/>
      <c r="F208" s="121"/>
      <c r="G208" s="121"/>
      <c r="H208" s="121"/>
      <c r="I208" s="142"/>
      <c r="J208" s="121"/>
      <c r="K208" s="121"/>
      <c r="L208" s="144"/>
      <c r="M208" s="144"/>
      <c r="N208" s="144"/>
      <c r="O208" s="144"/>
      <c r="P208" s="144"/>
    </row>
    <row r="209" spans="1:16" s="135" customFormat="1" ht="15.75" x14ac:dyDescent="0.25">
      <c r="A209" s="109"/>
      <c r="B209" s="109"/>
      <c r="C209" s="118" t="str">
        <f t="shared" si="4"/>
        <v/>
      </c>
      <c r="D209" s="118" t="str">
        <f t="shared" si="5"/>
        <v/>
      </c>
      <c r="E209" s="121"/>
      <c r="F209" s="121"/>
      <c r="G209" s="121"/>
      <c r="H209" s="121"/>
      <c r="I209" s="142"/>
      <c r="J209" s="121"/>
      <c r="K209" s="121"/>
      <c r="L209" s="144"/>
      <c r="M209" s="144"/>
      <c r="N209" s="144"/>
      <c r="O209" s="144"/>
      <c r="P209" s="144"/>
    </row>
    <row r="210" spans="1:16" s="135" customFormat="1" ht="15.75" x14ac:dyDescent="0.25">
      <c r="A210" s="109"/>
      <c r="B210" s="109"/>
      <c r="C210" s="118" t="str">
        <f t="shared" si="4"/>
        <v/>
      </c>
      <c r="D210" s="118" t="str">
        <f t="shared" si="5"/>
        <v/>
      </c>
      <c r="E210" s="121"/>
      <c r="F210" s="121"/>
      <c r="G210" s="121"/>
      <c r="H210" s="121"/>
      <c r="I210" s="142"/>
      <c r="J210" s="121"/>
      <c r="K210" s="121"/>
      <c r="L210" s="144"/>
      <c r="M210" s="144"/>
      <c r="N210" s="144"/>
      <c r="O210" s="144"/>
      <c r="P210" s="144"/>
    </row>
    <row r="211" spans="1:16" s="135" customFormat="1" ht="15.75" x14ac:dyDescent="0.25">
      <c r="A211" s="109"/>
      <c r="B211" s="109"/>
      <c r="C211" s="118" t="str">
        <f t="shared" si="4"/>
        <v/>
      </c>
      <c r="D211" s="118" t="str">
        <f t="shared" si="5"/>
        <v/>
      </c>
      <c r="E211" s="121"/>
      <c r="F211" s="121"/>
      <c r="G211" s="121"/>
      <c r="H211" s="121"/>
      <c r="I211" s="142"/>
      <c r="J211" s="121"/>
      <c r="K211" s="121"/>
      <c r="L211" s="144"/>
      <c r="M211" s="144"/>
      <c r="N211" s="144"/>
      <c r="O211" s="144"/>
      <c r="P211" s="144"/>
    </row>
    <row r="212" spans="1:16" s="135" customFormat="1" ht="15.75" x14ac:dyDescent="0.25">
      <c r="A212" s="109"/>
      <c r="B212" s="109"/>
      <c r="C212" s="118" t="str">
        <f t="shared" ref="C212:C275" si="6">IF(A212=0,"",VLOOKUP(B212,MatDB,2,FALSE))</f>
        <v/>
      </c>
      <c r="D212" s="118" t="str">
        <f t="shared" si="5"/>
        <v/>
      </c>
      <c r="E212" s="121"/>
      <c r="F212" s="121"/>
      <c r="G212" s="121"/>
      <c r="H212" s="121"/>
      <c r="I212" s="142"/>
      <c r="J212" s="121"/>
      <c r="K212" s="121"/>
      <c r="L212" s="144"/>
      <c r="M212" s="144"/>
      <c r="N212" s="144"/>
      <c r="O212" s="144"/>
      <c r="P212" s="144"/>
    </row>
    <row r="213" spans="1:16" s="135" customFormat="1" ht="15.75" x14ac:dyDescent="0.25">
      <c r="A213" s="109"/>
      <c r="B213" s="109"/>
      <c r="C213" s="118" t="str">
        <f t="shared" si="6"/>
        <v/>
      </c>
      <c r="D213" s="118" t="str">
        <f t="shared" ref="D213:D276" si="7">IF(A213=0,"","Steel02")</f>
        <v/>
      </c>
      <c r="E213" s="121"/>
      <c r="F213" s="121"/>
      <c r="G213" s="121"/>
      <c r="H213" s="121"/>
      <c r="I213" s="142"/>
      <c r="J213" s="121"/>
      <c r="K213" s="121"/>
      <c r="L213" s="144"/>
      <c r="M213" s="144"/>
      <c r="N213" s="144"/>
      <c r="O213" s="144"/>
      <c r="P213" s="144"/>
    </row>
    <row r="214" spans="1:16" s="135" customFormat="1" ht="15.75" x14ac:dyDescent="0.25">
      <c r="A214" s="109"/>
      <c r="B214" s="109"/>
      <c r="C214" s="118" t="str">
        <f t="shared" si="6"/>
        <v/>
      </c>
      <c r="D214" s="118" t="str">
        <f t="shared" si="7"/>
        <v/>
      </c>
      <c r="E214" s="121"/>
      <c r="F214" s="121"/>
      <c r="G214" s="121"/>
      <c r="H214" s="121"/>
      <c r="I214" s="142"/>
      <c r="J214" s="121"/>
      <c r="K214" s="121"/>
      <c r="L214" s="144"/>
      <c r="M214" s="144"/>
      <c r="N214" s="144"/>
      <c r="O214" s="144"/>
      <c r="P214" s="144"/>
    </row>
    <row r="215" spans="1:16" s="135" customFormat="1" ht="15.75" x14ac:dyDescent="0.25">
      <c r="A215" s="109"/>
      <c r="B215" s="109"/>
      <c r="C215" s="118" t="str">
        <f t="shared" si="6"/>
        <v/>
      </c>
      <c r="D215" s="118" t="str">
        <f t="shared" si="7"/>
        <v/>
      </c>
      <c r="E215" s="121"/>
      <c r="F215" s="121"/>
      <c r="G215" s="121"/>
      <c r="H215" s="121"/>
      <c r="I215" s="142"/>
      <c r="J215" s="121"/>
      <c r="K215" s="121"/>
      <c r="L215" s="144"/>
      <c r="M215" s="144"/>
      <c r="N215" s="144"/>
      <c r="O215" s="144"/>
      <c r="P215" s="144"/>
    </row>
    <row r="216" spans="1:16" s="135" customFormat="1" ht="15.75" x14ac:dyDescent="0.25">
      <c r="A216" s="109"/>
      <c r="B216" s="109"/>
      <c r="C216" s="118" t="str">
        <f t="shared" si="6"/>
        <v/>
      </c>
      <c r="D216" s="118" t="str">
        <f t="shared" si="7"/>
        <v/>
      </c>
      <c r="E216" s="121"/>
      <c r="F216" s="121"/>
      <c r="G216" s="121"/>
      <c r="H216" s="121"/>
      <c r="I216" s="142"/>
      <c r="J216" s="121"/>
      <c r="K216" s="121"/>
      <c r="L216" s="144"/>
      <c r="M216" s="144"/>
      <c r="N216" s="144"/>
      <c r="O216" s="144"/>
      <c r="P216" s="144"/>
    </row>
    <row r="217" spans="1:16" s="135" customFormat="1" ht="15.75" x14ac:dyDescent="0.25">
      <c r="A217" s="109"/>
      <c r="B217" s="109"/>
      <c r="C217" s="118" t="str">
        <f t="shared" si="6"/>
        <v/>
      </c>
      <c r="D217" s="118" t="str">
        <f t="shared" si="7"/>
        <v/>
      </c>
      <c r="E217" s="121"/>
      <c r="F217" s="121"/>
      <c r="G217" s="121"/>
      <c r="H217" s="121"/>
      <c r="I217" s="142"/>
      <c r="J217" s="121"/>
      <c r="K217" s="121"/>
      <c r="L217" s="144"/>
      <c r="M217" s="144"/>
      <c r="N217" s="144"/>
      <c r="O217" s="144"/>
      <c r="P217" s="144"/>
    </row>
    <row r="218" spans="1:16" s="135" customFormat="1" ht="15.75" x14ac:dyDescent="0.25">
      <c r="A218" s="109"/>
      <c r="B218" s="109"/>
      <c r="C218" s="118" t="str">
        <f t="shared" si="6"/>
        <v/>
      </c>
      <c r="D218" s="118" t="str">
        <f t="shared" si="7"/>
        <v/>
      </c>
      <c r="E218" s="121"/>
      <c r="F218" s="121"/>
      <c r="G218" s="121"/>
      <c r="H218" s="121"/>
      <c r="I218" s="142"/>
      <c r="J218" s="121"/>
      <c r="K218" s="121"/>
      <c r="L218" s="144"/>
      <c r="M218" s="144"/>
      <c r="N218" s="144"/>
      <c r="O218" s="144"/>
      <c r="P218" s="144"/>
    </row>
    <row r="219" spans="1:16" s="135" customFormat="1" ht="15.75" x14ac:dyDescent="0.25">
      <c r="A219" s="109"/>
      <c r="B219" s="109"/>
      <c r="C219" s="118" t="str">
        <f t="shared" si="6"/>
        <v/>
      </c>
      <c r="D219" s="118" t="str">
        <f t="shared" si="7"/>
        <v/>
      </c>
      <c r="E219" s="121"/>
      <c r="F219" s="121"/>
      <c r="G219" s="121"/>
      <c r="H219" s="121"/>
      <c r="I219" s="142"/>
      <c r="J219" s="121"/>
      <c r="K219" s="121"/>
      <c r="L219" s="144"/>
      <c r="M219" s="144"/>
      <c r="N219" s="144"/>
      <c r="O219" s="144"/>
      <c r="P219" s="144"/>
    </row>
    <row r="220" spans="1:16" s="135" customFormat="1" ht="15.75" x14ac:dyDescent="0.25">
      <c r="A220" s="109"/>
      <c r="B220" s="109"/>
      <c r="C220" s="118" t="str">
        <f t="shared" si="6"/>
        <v/>
      </c>
      <c r="D220" s="118" t="str">
        <f t="shared" si="7"/>
        <v/>
      </c>
      <c r="E220" s="121"/>
      <c r="F220" s="121"/>
      <c r="G220" s="121"/>
      <c r="H220" s="121"/>
      <c r="I220" s="142"/>
      <c r="J220" s="121"/>
      <c r="K220" s="121"/>
      <c r="L220" s="144"/>
      <c r="M220" s="144"/>
      <c r="N220" s="144"/>
      <c r="O220" s="144"/>
      <c r="P220" s="144"/>
    </row>
    <row r="221" spans="1:16" s="135" customFormat="1" ht="15.75" x14ac:dyDescent="0.25">
      <c r="A221" s="109"/>
      <c r="B221" s="109"/>
      <c r="C221" s="118" t="str">
        <f t="shared" si="6"/>
        <v/>
      </c>
      <c r="D221" s="118" t="str">
        <f t="shared" si="7"/>
        <v/>
      </c>
      <c r="E221" s="121"/>
      <c r="F221" s="121"/>
      <c r="G221" s="121"/>
      <c r="H221" s="121"/>
      <c r="I221" s="142"/>
      <c r="J221" s="121"/>
      <c r="K221" s="121"/>
      <c r="L221" s="144"/>
      <c r="M221" s="144"/>
      <c r="N221" s="144"/>
      <c r="O221" s="144"/>
      <c r="P221" s="144"/>
    </row>
    <row r="222" spans="1:16" s="135" customFormat="1" ht="15.75" x14ac:dyDescent="0.25">
      <c r="A222" s="109"/>
      <c r="B222" s="109"/>
      <c r="C222" s="118" t="str">
        <f t="shared" si="6"/>
        <v/>
      </c>
      <c r="D222" s="118" t="str">
        <f t="shared" si="7"/>
        <v/>
      </c>
      <c r="E222" s="121"/>
      <c r="F222" s="121"/>
      <c r="G222" s="121"/>
      <c r="H222" s="121"/>
      <c r="I222" s="142"/>
      <c r="J222" s="121"/>
      <c r="K222" s="121"/>
      <c r="L222" s="144"/>
      <c r="M222" s="144"/>
      <c r="N222" s="144"/>
      <c r="O222" s="144"/>
      <c r="P222" s="144"/>
    </row>
    <row r="223" spans="1:16" s="135" customFormat="1" ht="15.75" x14ac:dyDescent="0.25">
      <c r="A223" s="109"/>
      <c r="B223" s="109"/>
      <c r="C223" s="118" t="str">
        <f t="shared" si="6"/>
        <v/>
      </c>
      <c r="D223" s="118" t="str">
        <f t="shared" si="7"/>
        <v/>
      </c>
      <c r="E223" s="121"/>
      <c r="F223" s="121"/>
      <c r="G223" s="121"/>
      <c r="H223" s="121"/>
      <c r="I223" s="142"/>
      <c r="J223" s="121"/>
      <c r="K223" s="121"/>
      <c r="L223" s="144"/>
      <c r="M223" s="144"/>
      <c r="N223" s="144"/>
      <c r="O223" s="144"/>
      <c r="P223" s="144"/>
    </row>
    <row r="224" spans="1:16" s="135" customFormat="1" ht="15.75" x14ac:dyDescent="0.25">
      <c r="A224" s="109"/>
      <c r="B224" s="109"/>
      <c r="C224" s="118" t="str">
        <f t="shared" si="6"/>
        <v/>
      </c>
      <c r="D224" s="118" t="str">
        <f t="shared" si="7"/>
        <v/>
      </c>
      <c r="E224" s="121"/>
      <c r="F224" s="121"/>
      <c r="G224" s="121"/>
      <c r="H224" s="121"/>
      <c r="I224" s="142"/>
      <c r="J224" s="121"/>
      <c r="K224" s="121"/>
      <c r="L224" s="144"/>
      <c r="M224" s="144"/>
      <c r="N224" s="144"/>
      <c r="O224" s="144"/>
      <c r="P224" s="144"/>
    </row>
    <row r="225" spans="1:16" s="135" customFormat="1" ht="15.75" x14ac:dyDescent="0.25">
      <c r="A225" s="109"/>
      <c r="B225" s="109"/>
      <c r="C225" s="118" t="str">
        <f t="shared" si="6"/>
        <v/>
      </c>
      <c r="D225" s="118" t="str">
        <f t="shared" si="7"/>
        <v/>
      </c>
      <c r="E225" s="121"/>
      <c r="F225" s="121"/>
      <c r="G225" s="121"/>
      <c r="H225" s="121"/>
      <c r="I225" s="142"/>
      <c r="J225" s="121"/>
      <c r="K225" s="121"/>
      <c r="L225" s="144"/>
      <c r="M225" s="144"/>
      <c r="N225" s="144"/>
      <c r="O225" s="144"/>
      <c r="P225" s="144"/>
    </row>
    <row r="226" spans="1:16" s="135" customFormat="1" ht="15.75" x14ac:dyDescent="0.25">
      <c r="A226" s="109"/>
      <c r="B226" s="109"/>
      <c r="C226" s="118" t="str">
        <f t="shared" si="6"/>
        <v/>
      </c>
      <c r="D226" s="118" t="str">
        <f t="shared" si="7"/>
        <v/>
      </c>
      <c r="E226" s="121"/>
      <c r="F226" s="121"/>
      <c r="G226" s="121"/>
      <c r="H226" s="121"/>
      <c r="I226" s="142"/>
      <c r="J226" s="121"/>
      <c r="K226" s="121"/>
      <c r="L226" s="144"/>
      <c r="M226" s="144"/>
      <c r="N226" s="144"/>
      <c r="O226" s="144"/>
      <c r="P226" s="144"/>
    </row>
    <row r="227" spans="1:16" s="135" customFormat="1" ht="15.75" x14ac:dyDescent="0.25">
      <c r="A227" s="109"/>
      <c r="B227" s="109"/>
      <c r="C227" s="118" t="str">
        <f t="shared" si="6"/>
        <v/>
      </c>
      <c r="D227" s="118" t="str">
        <f t="shared" si="7"/>
        <v/>
      </c>
      <c r="E227" s="121"/>
      <c r="F227" s="121"/>
      <c r="G227" s="121"/>
      <c r="H227" s="121"/>
      <c r="I227" s="142"/>
      <c r="J227" s="121"/>
      <c r="K227" s="121"/>
      <c r="L227" s="144"/>
      <c r="M227" s="144"/>
      <c r="N227" s="144"/>
      <c r="O227" s="144"/>
      <c r="P227" s="144"/>
    </row>
    <row r="228" spans="1:16" s="135" customFormat="1" ht="15.75" x14ac:dyDescent="0.25">
      <c r="A228" s="109"/>
      <c r="B228" s="109"/>
      <c r="C228" s="118" t="str">
        <f t="shared" si="6"/>
        <v/>
      </c>
      <c r="D228" s="118" t="str">
        <f t="shared" si="7"/>
        <v/>
      </c>
      <c r="E228" s="121"/>
      <c r="F228" s="121"/>
      <c r="G228" s="121"/>
      <c r="H228" s="121"/>
      <c r="I228" s="142"/>
      <c r="J228" s="121"/>
      <c r="K228" s="121"/>
      <c r="L228" s="144"/>
      <c r="M228" s="144"/>
      <c r="N228" s="144"/>
      <c r="O228" s="144"/>
      <c r="P228" s="144"/>
    </row>
    <row r="229" spans="1:16" s="135" customFormat="1" ht="15.75" x14ac:dyDescent="0.25">
      <c r="A229" s="109"/>
      <c r="B229" s="109"/>
      <c r="C229" s="118" t="str">
        <f t="shared" si="6"/>
        <v/>
      </c>
      <c r="D229" s="118" t="str">
        <f t="shared" si="7"/>
        <v/>
      </c>
      <c r="E229" s="121"/>
      <c r="F229" s="121"/>
      <c r="G229" s="121"/>
      <c r="H229" s="121"/>
      <c r="I229" s="142"/>
      <c r="J229" s="121"/>
      <c r="K229" s="121"/>
      <c r="L229" s="144"/>
      <c r="M229" s="144"/>
      <c r="N229" s="144"/>
      <c r="O229" s="144"/>
      <c r="P229" s="144"/>
    </row>
    <row r="230" spans="1:16" s="135" customFormat="1" ht="15.75" x14ac:dyDescent="0.25">
      <c r="A230" s="109"/>
      <c r="B230" s="109"/>
      <c r="C230" s="118" t="str">
        <f t="shared" si="6"/>
        <v/>
      </c>
      <c r="D230" s="118" t="str">
        <f t="shared" si="7"/>
        <v/>
      </c>
      <c r="E230" s="121"/>
      <c r="F230" s="121"/>
      <c r="G230" s="121"/>
      <c r="H230" s="121"/>
      <c r="I230" s="142"/>
      <c r="J230" s="121"/>
      <c r="K230" s="121"/>
      <c r="L230" s="144"/>
      <c r="M230" s="144"/>
      <c r="N230" s="144"/>
      <c r="O230" s="144"/>
      <c r="P230" s="144"/>
    </row>
    <row r="231" spans="1:16" s="135" customFormat="1" ht="15.75" x14ac:dyDescent="0.25">
      <c r="A231" s="109"/>
      <c r="B231" s="109"/>
      <c r="C231" s="118" t="str">
        <f t="shared" si="6"/>
        <v/>
      </c>
      <c r="D231" s="118" t="str">
        <f t="shared" si="7"/>
        <v/>
      </c>
      <c r="E231" s="121"/>
      <c r="F231" s="121"/>
      <c r="G231" s="121"/>
      <c r="H231" s="121"/>
      <c r="I231" s="142"/>
      <c r="J231" s="121"/>
      <c r="K231" s="121"/>
      <c r="L231" s="144"/>
      <c r="M231" s="144"/>
      <c r="N231" s="144"/>
      <c r="O231" s="144"/>
      <c r="P231" s="144"/>
    </row>
    <row r="232" spans="1:16" s="135" customFormat="1" ht="15.75" x14ac:dyDescent="0.25">
      <c r="A232" s="109"/>
      <c r="B232" s="109"/>
      <c r="C232" s="118" t="str">
        <f t="shared" si="6"/>
        <v/>
      </c>
      <c r="D232" s="118" t="str">
        <f t="shared" si="7"/>
        <v/>
      </c>
      <c r="E232" s="121"/>
      <c r="F232" s="121"/>
      <c r="G232" s="121"/>
      <c r="H232" s="121"/>
      <c r="I232" s="142"/>
      <c r="J232" s="121"/>
      <c r="K232" s="121"/>
      <c r="L232" s="144"/>
      <c r="M232" s="144"/>
      <c r="N232" s="144"/>
      <c r="O232" s="144"/>
      <c r="P232" s="144"/>
    </row>
    <row r="233" spans="1:16" s="135" customFormat="1" ht="15.75" x14ac:dyDescent="0.25">
      <c r="A233" s="109"/>
      <c r="B233" s="109"/>
      <c r="C233" s="118" t="str">
        <f t="shared" si="6"/>
        <v/>
      </c>
      <c r="D233" s="118" t="str">
        <f t="shared" si="7"/>
        <v/>
      </c>
      <c r="E233" s="121"/>
      <c r="F233" s="121"/>
      <c r="G233" s="121"/>
      <c r="H233" s="121"/>
      <c r="I233" s="142"/>
      <c r="J233" s="121"/>
      <c r="K233" s="121"/>
      <c r="L233" s="144"/>
      <c r="M233" s="144"/>
      <c r="N233" s="144"/>
      <c r="O233" s="144"/>
      <c r="P233" s="144"/>
    </row>
    <row r="234" spans="1:16" s="135" customFormat="1" ht="15.75" x14ac:dyDescent="0.25">
      <c r="A234" s="109"/>
      <c r="B234" s="109"/>
      <c r="C234" s="118" t="str">
        <f t="shared" si="6"/>
        <v/>
      </c>
      <c r="D234" s="118" t="str">
        <f t="shared" si="7"/>
        <v/>
      </c>
      <c r="E234" s="121"/>
      <c r="F234" s="121"/>
      <c r="G234" s="121"/>
      <c r="H234" s="121"/>
      <c r="I234" s="142"/>
      <c r="J234" s="121"/>
      <c r="K234" s="121"/>
      <c r="L234" s="144"/>
      <c r="M234" s="144"/>
      <c r="N234" s="144"/>
      <c r="O234" s="144"/>
      <c r="P234" s="144"/>
    </row>
    <row r="235" spans="1:16" s="135" customFormat="1" ht="15.75" x14ac:dyDescent="0.25">
      <c r="A235" s="109"/>
      <c r="B235" s="109"/>
      <c r="C235" s="118" t="str">
        <f t="shared" si="6"/>
        <v/>
      </c>
      <c r="D235" s="118" t="str">
        <f t="shared" si="7"/>
        <v/>
      </c>
      <c r="E235" s="121"/>
      <c r="F235" s="121"/>
      <c r="G235" s="121"/>
      <c r="H235" s="121"/>
      <c r="I235" s="142"/>
      <c r="J235" s="121"/>
      <c r="K235" s="121"/>
      <c r="L235" s="144"/>
      <c r="M235" s="144"/>
      <c r="N235" s="144"/>
      <c r="O235" s="144"/>
      <c r="P235" s="144"/>
    </row>
    <row r="236" spans="1:16" s="135" customFormat="1" ht="15.75" x14ac:dyDescent="0.25">
      <c r="A236" s="109"/>
      <c r="B236" s="109"/>
      <c r="C236" s="118" t="str">
        <f t="shared" si="6"/>
        <v/>
      </c>
      <c r="D236" s="118" t="str">
        <f t="shared" si="7"/>
        <v/>
      </c>
      <c r="E236" s="121"/>
      <c r="F236" s="121"/>
      <c r="G236" s="121"/>
      <c r="H236" s="121"/>
      <c r="I236" s="142"/>
      <c r="J236" s="121"/>
      <c r="K236" s="121"/>
      <c r="L236" s="144"/>
      <c r="M236" s="144"/>
      <c r="N236" s="144"/>
      <c r="O236" s="144"/>
      <c r="P236" s="144"/>
    </row>
    <row r="237" spans="1:16" s="135" customFormat="1" ht="15.75" x14ac:dyDescent="0.25">
      <c r="A237" s="109"/>
      <c r="B237" s="109"/>
      <c r="C237" s="118" t="str">
        <f t="shared" si="6"/>
        <v/>
      </c>
      <c r="D237" s="118" t="str">
        <f t="shared" si="7"/>
        <v/>
      </c>
      <c r="E237" s="121"/>
      <c r="F237" s="121"/>
      <c r="G237" s="121"/>
      <c r="H237" s="121"/>
      <c r="I237" s="142"/>
      <c r="J237" s="121"/>
      <c r="K237" s="121"/>
      <c r="L237" s="144"/>
      <c r="M237" s="144"/>
      <c r="N237" s="144"/>
      <c r="O237" s="144"/>
      <c r="P237" s="144"/>
    </row>
    <row r="238" spans="1:16" s="135" customFormat="1" ht="15.75" x14ac:dyDescent="0.25">
      <c r="A238" s="109"/>
      <c r="B238" s="109"/>
      <c r="C238" s="118" t="str">
        <f t="shared" si="6"/>
        <v/>
      </c>
      <c r="D238" s="118" t="str">
        <f t="shared" si="7"/>
        <v/>
      </c>
      <c r="E238" s="121"/>
      <c r="F238" s="121"/>
      <c r="G238" s="121"/>
      <c r="H238" s="121"/>
      <c r="I238" s="142"/>
      <c r="J238" s="121"/>
      <c r="K238" s="121"/>
      <c r="L238" s="144"/>
      <c r="M238" s="144"/>
      <c r="N238" s="144"/>
      <c r="O238" s="144"/>
      <c r="P238" s="144"/>
    </row>
    <row r="239" spans="1:16" s="135" customFormat="1" ht="15.75" x14ac:dyDescent="0.25">
      <c r="A239" s="109"/>
      <c r="B239" s="109"/>
      <c r="C239" s="118" t="str">
        <f t="shared" si="6"/>
        <v/>
      </c>
      <c r="D239" s="118" t="str">
        <f t="shared" si="7"/>
        <v/>
      </c>
      <c r="E239" s="121"/>
      <c r="F239" s="121"/>
      <c r="G239" s="121"/>
      <c r="H239" s="121"/>
      <c r="I239" s="142"/>
      <c r="J239" s="121"/>
      <c r="K239" s="121"/>
      <c r="L239" s="144"/>
      <c r="M239" s="144"/>
      <c r="N239" s="144"/>
      <c r="O239" s="144"/>
      <c r="P239" s="144"/>
    </row>
    <row r="240" spans="1:16" s="135" customFormat="1" ht="15.75" x14ac:dyDescent="0.25">
      <c r="A240" s="109"/>
      <c r="B240" s="109"/>
      <c r="C240" s="118" t="str">
        <f t="shared" si="6"/>
        <v/>
      </c>
      <c r="D240" s="118" t="str">
        <f t="shared" si="7"/>
        <v/>
      </c>
      <c r="E240" s="121"/>
      <c r="F240" s="121"/>
      <c r="G240" s="121"/>
      <c r="H240" s="121"/>
      <c r="I240" s="142"/>
      <c r="J240" s="121"/>
      <c r="K240" s="121"/>
      <c r="L240" s="144"/>
      <c r="M240" s="144"/>
      <c r="N240" s="144"/>
      <c r="O240" s="144"/>
      <c r="P240" s="144"/>
    </row>
    <row r="241" spans="1:16" s="135" customFormat="1" ht="15.75" x14ac:dyDescent="0.25">
      <c r="A241" s="109"/>
      <c r="B241" s="109"/>
      <c r="C241" s="118" t="str">
        <f t="shared" si="6"/>
        <v/>
      </c>
      <c r="D241" s="118" t="str">
        <f t="shared" si="7"/>
        <v/>
      </c>
      <c r="E241" s="121"/>
      <c r="F241" s="121"/>
      <c r="G241" s="121"/>
      <c r="H241" s="121"/>
      <c r="I241" s="142"/>
      <c r="J241" s="121"/>
      <c r="K241" s="121"/>
      <c r="L241" s="144"/>
      <c r="M241" s="144"/>
      <c r="N241" s="144"/>
      <c r="O241" s="144"/>
      <c r="P241" s="144"/>
    </row>
    <row r="242" spans="1:16" s="135" customFormat="1" ht="15.75" x14ac:dyDescent="0.25">
      <c r="A242" s="109"/>
      <c r="B242" s="109"/>
      <c r="C242" s="118" t="str">
        <f t="shared" si="6"/>
        <v/>
      </c>
      <c r="D242" s="118" t="str">
        <f t="shared" si="7"/>
        <v/>
      </c>
      <c r="E242" s="121"/>
      <c r="F242" s="121"/>
      <c r="G242" s="121"/>
      <c r="H242" s="121"/>
      <c r="I242" s="142"/>
      <c r="J242" s="121"/>
      <c r="K242" s="121"/>
      <c r="L242" s="144"/>
      <c r="M242" s="144"/>
      <c r="N242" s="144"/>
      <c r="O242" s="144"/>
      <c r="P242" s="144"/>
    </row>
    <row r="243" spans="1:16" s="135" customFormat="1" ht="15.75" x14ac:dyDescent="0.25">
      <c r="A243" s="109"/>
      <c r="B243" s="109"/>
      <c r="C243" s="118" t="str">
        <f t="shared" si="6"/>
        <v/>
      </c>
      <c r="D243" s="118" t="str">
        <f t="shared" si="7"/>
        <v/>
      </c>
      <c r="E243" s="121"/>
      <c r="F243" s="121"/>
      <c r="G243" s="121"/>
      <c r="H243" s="121"/>
      <c r="I243" s="142"/>
      <c r="J243" s="121"/>
      <c r="K243" s="121"/>
      <c r="L243" s="144"/>
      <c r="M243" s="144"/>
      <c r="N243" s="144"/>
      <c r="O243" s="144"/>
      <c r="P243" s="144"/>
    </row>
    <row r="244" spans="1:16" s="135" customFormat="1" ht="15.75" x14ac:dyDescent="0.25">
      <c r="A244" s="109"/>
      <c r="B244" s="109"/>
      <c r="C244" s="118" t="str">
        <f t="shared" si="6"/>
        <v/>
      </c>
      <c r="D244" s="118" t="str">
        <f t="shared" si="7"/>
        <v/>
      </c>
      <c r="E244" s="121"/>
      <c r="F244" s="121"/>
      <c r="G244" s="121"/>
      <c r="H244" s="121"/>
      <c r="I244" s="142"/>
      <c r="J244" s="121"/>
      <c r="K244" s="121"/>
      <c r="L244" s="144"/>
      <c r="M244" s="144"/>
      <c r="N244" s="144"/>
      <c r="O244" s="144"/>
      <c r="P244" s="144"/>
    </row>
    <row r="245" spans="1:16" s="135" customFormat="1" ht="15.75" x14ac:dyDescent="0.25">
      <c r="A245" s="109"/>
      <c r="B245" s="109"/>
      <c r="C245" s="118" t="str">
        <f t="shared" si="6"/>
        <v/>
      </c>
      <c r="D245" s="118" t="str">
        <f t="shared" si="7"/>
        <v/>
      </c>
      <c r="E245" s="121"/>
      <c r="F245" s="121"/>
      <c r="G245" s="121"/>
      <c r="H245" s="121"/>
      <c r="I245" s="142"/>
      <c r="J245" s="121"/>
      <c r="K245" s="121"/>
      <c r="L245" s="144"/>
      <c r="M245" s="144"/>
      <c r="N245" s="144"/>
      <c r="O245" s="144"/>
      <c r="P245" s="144"/>
    </row>
    <row r="246" spans="1:16" s="135" customFormat="1" ht="15.75" x14ac:dyDescent="0.25">
      <c r="A246" s="109"/>
      <c r="B246" s="109"/>
      <c r="C246" s="118" t="str">
        <f t="shared" si="6"/>
        <v/>
      </c>
      <c r="D246" s="118" t="str">
        <f t="shared" si="7"/>
        <v/>
      </c>
      <c r="E246" s="121"/>
      <c r="F246" s="121"/>
      <c r="G246" s="121"/>
      <c r="H246" s="121"/>
      <c r="I246" s="142"/>
      <c r="J246" s="121"/>
      <c r="K246" s="121"/>
      <c r="L246" s="144"/>
      <c r="M246" s="144"/>
      <c r="N246" s="144"/>
      <c r="O246" s="144"/>
      <c r="P246" s="144"/>
    </row>
    <row r="247" spans="1:16" s="135" customFormat="1" ht="15.75" x14ac:dyDescent="0.25">
      <c r="A247" s="109"/>
      <c r="B247" s="109"/>
      <c r="C247" s="118" t="str">
        <f t="shared" si="6"/>
        <v/>
      </c>
      <c r="D247" s="118" t="str">
        <f t="shared" si="7"/>
        <v/>
      </c>
      <c r="E247" s="121"/>
      <c r="F247" s="121"/>
      <c r="G247" s="121"/>
      <c r="H247" s="121"/>
      <c r="I247" s="142"/>
      <c r="J247" s="121"/>
      <c r="K247" s="121"/>
      <c r="L247" s="144"/>
      <c r="M247" s="144"/>
      <c r="N247" s="144"/>
      <c r="O247" s="144"/>
      <c r="P247" s="144"/>
    </row>
    <row r="248" spans="1:16" s="135" customFormat="1" ht="15.75" x14ac:dyDescent="0.25">
      <c r="A248" s="109"/>
      <c r="B248" s="109"/>
      <c r="C248" s="118" t="str">
        <f t="shared" si="6"/>
        <v/>
      </c>
      <c r="D248" s="118" t="str">
        <f t="shared" si="7"/>
        <v/>
      </c>
      <c r="E248" s="121"/>
      <c r="F248" s="121"/>
      <c r="G248" s="121"/>
      <c r="H248" s="121"/>
      <c r="I248" s="142"/>
      <c r="J248" s="121"/>
      <c r="K248" s="121"/>
      <c r="L248" s="144"/>
      <c r="M248" s="144"/>
      <c r="N248" s="144"/>
      <c r="O248" s="144"/>
      <c r="P248" s="144"/>
    </row>
    <row r="249" spans="1:16" s="135" customFormat="1" ht="15.75" x14ac:dyDescent="0.25">
      <c r="A249" s="109"/>
      <c r="B249" s="109"/>
      <c r="C249" s="118" t="str">
        <f t="shared" si="6"/>
        <v/>
      </c>
      <c r="D249" s="118" t="str">
        <f t="shared" si="7"/>
        <v/>
      </c>
      <c r="E249" s="121"/>
      <c r="F249" s="121"/>
      <c r="G249" s="121"/>
      <c r="H249" s="121"/>
      <c r="I249" s="142"/>
      <c r="J249" s="121"/>
      <c r="K249" s="121"/>
      <c r="L249" s="144"/>
      <c r="M249" s="144"/>
      <c r="N249" s="144"/>
      <c r="O249" s="144"/>
      <c r="P249" s="144"/>
    </row>
    <row r="250" spans="1:16" s="135" customFormat="1" ht="15.75" x14ac:dyDescent="0.25">
      <c r="A250" s="109"/>
      <c r="B250" s="109"/>
      <c r="C250" s="118" t="str">
        <f t="shared" si="6"/>
        <v/>
      </c>
      <c r="D250" s="118" t="str">
        <f t="shared" si="7"/>
        <v/>
      </c>
      <c r="E250" s="121"/>
      <c r="F250" s="121"/>
      <c r="G250" s="121"/>
      <c r="H250" s="121"/>
      <c r="I250" s="142"/>
      <c r="J250" s="121"/>
      <c r="K250" s="121"/>
      <c r="L250" s="144"/>
      <c r="M250" s="144"/>
      <c r="N250" s="144"/>
      <c r="O250" s="144"/>
      <c r="P250" s="144"/>
    </row>
    <row r="251" spans="1:16" s="135" customFormat="1" ht="15.75" x14ac:dyDescent="0.25">
      <c r="A251" s="109"/>
      <c r="B251" s="109"/>
      <c r="C251" s="118" t="str">
        <f t="shared" si="6"/>
        <v/>
      </c>
      <c r="D251" s="118" t="str">
        <f t="shared" si="7"/>
        <v/>
      </c>
      <c r="E251" s="121"/>
      <c r="F251" s="121"/>
      <c r="G251" s="121"/>
      <c r="H251" s="121"/>
      <c r="I251" s="142"/>
      <c r="J251" s="121"/>
      <c r="K251" s="121"/>
      <c r="L251" s="144"/>
      <c r="M251" s="144"/>
      <c r="N251" s="144"/>
      <c r="O251" s="144"/>
      <c r="P251" s="144"/>
    </row>
    <row r="252" spans="1:16" s="135" customFormat="1" ht="15.75" x14ac:dyDescent="0.25">
      <c r="A252" s="109"/>
      <c r="B252" s="109"/>
      <c r="C252" s="118" t="str">
        <f t="shared" si="6"/>
        <v/>
      </c>
      <c r="D252" s="118" t="str">
        <f t="shared" si="7"/>
        <v/>
      </c>
      <c r="E252" s="121"/>
      <c r="F252" s="121"/>
      <c r="G252" s="121"/>
      <c r="H252" s="121"/>
      <c r="I252" s="142"/>
      <c r="J252" s="121"/>
      <c r="K252" s="121"/>
      <c r="L252" s="144"/>
      <c r="M252" s="144"/>
      <c r="N252" s="144"/>
      <c r="O252" s="144"/>
      <c r="P252" s="144"/>
    </row>
    <row r="253" spans="1:16" s="135" customFormat="1" ht="15.75" x14ac:dyDescent="0.25">
      <c r="A253" s="109"/>
      <c r="B253" s="109"/>
      <c r="C253" s="118" t="str">
        <f t="shared" si="6"/>
        <v/>
      </c>
      <c r="D253" s="118" t="str">
        <f t="shared" si="7"/>
        <v/>
      </c>
      <c r="E253" s="121"/>
      <c r="F253" s="121"/>
      <c r="G253" s="121"/>
      <c r="H253" s="121"/>
      <c r="I253" s="142"/>
      <c r="J253" s="121"/>
      <c r="K253" s="121"/>
      <c r="L253" s="144"/>
      <c r="M253" s="144"/>
      <c r="N253" s="144"/>
      <c r="O253" s="144"/>
      <c r="P253" s="144"/>
    </row>
    <row r="254" spans="1:16" s="135" customFormat="1" ht="15.75" x14ac:dyDescent="0.25">
      <c r="A254" s="109"/>
      <c r="B254" s="109"/>
      <c r="C254" s="118" t="str">
        <f t="shared" si="6"/>
        <v/>
      </c>
      <c r="D254" s="118" t="str">
        <f t="shared" si="7"/>
        <v/>
      </c>
      <c r="E254" s="121"/>
      <c r="F254" s="121"/>
      <c r="G254" s="121"/>
      <c r="H254" s="121"/>
      <c r="I254" s="142"/>
      <c r="J254" s="121"/>
      <c r="K254" s="121"/>
      <c r="L254" s="144"/>
      <c r="M254" s="144"/>
      <c r="N254" s="144"/>
      <c r="O254" s="144"/>
      <c r="P254" s="144"/>
    </row>
    <row r="255" spans="1:16" s="135" customFormat="1" ht="15.75" x14ac:dyDescent="0.25">
      <c r="A255" s="109"/>
      <c r="B255" s="109"/>
      <c r="C255" s="118" t="str">
        <f t="shared" si="6"/>
        <v/>
      </c>
      <c r="D255" s="118" t="str">
        <f t="shared" si="7"/>
        <v/>
      </c>
      <c r="E255" s="121"/>
      <c r="F255" s="121"/>
      <c r="G255" s="121"/>
      <c r="H255" s="121"/>
      <c r="I255" s="142"/>
      <c r="J255" s="121"/>
      <c r="K255" s="121"/>
      <c r="L255" s="144"/>
      <c r="M255" s="144"/>
      <c r="N255" s="144"/>
      <c r="O255" s="144"/>
      <c r="P255" s="144"/>
    </row>
    <row r="256" spans="1:16" s="135" customFormat="1" ht="15.75" x14ac:dyDescent="0.25">
      <c r="A256" s="109"/>
      <c r="B256" s="109"/>
      <c r="C256" s="118" t="str">
        <f t="shared" si="6"/>
        <v/>
      </c>
      <c r="D256" s="118" t="str">
        <f t="shared" si="7"/>
        <v/>
      </c>
      <c r="E256" s="121"/>
      <c r="F256" s="121"/>
      <c r="G256" s="121"/>
      <c r="H256" s="121"/>
      <c r="I256" s="142"/>
      <c r="J256" s="121"/>
      <c r="K256" s="121"/>
      <c r="L256" s="144"/>
      <c r="M256" s="144"/>
      <c r="N256" s="144"/>
      <c r="O256" s="144"/>
      <c r="P256" s="144"/>
    </row>
    <row r="257" spans="1:16" s="135" customFormat="1" ht="15.75" x14ac:dyDescent="0.25">
      <c r="A257" s="109"/>
      <c r="B257" s="109"/>
      <c r="C257" s="118" t="str">
        <f t="shared" si="6"/>
        <v/>
      </c>
      <c r="D257" s="118" t="str">
        <f t="shared" si="7"/>
        <v/>
      </c>
      <c r="E257" s="121"/>
      <c r="F257" s="121"/>
      <c r="G257" s="121"/>
      <c r="H257" s="121"/>
      <c r="I257" s="142"/>
      <c r="J257" s="121"/>
      <c r="K257" s="121"/>
      <c r="L257" s="144"/>
      <c r="M257" s="144"/>
      <c r="N257" s="144"/>
      <c r="O257" s="144"/>
      <c r="P257" s="144"/>
    </row>
    <row r="258" spans="1:16" s="135" customFormat="1" ht="15.75" x14ac:dyDescent="0.25">
      <c r="A258" s="109"/>
      <c r="B258" s="109"/>
      <c r="C258" s="118" t="str">
        <f t="shared" si="6"/>
        <v/>
      </c>
      <c r="D258" s="118" t="str">
        <f t="shared" si="7"/>
        <v/>
      </c>
      <c r="E258" s="121"/>
      <c r="F258" s="121"/>
      <c r="G258" s="121"/>
      <c r="H258" s="121"/>
      <c r="I258" s="142"/>
      <c r="J258" s="121"/>
      <c r="K258" s="121"/>
      <c r="L258" s="144"/>
      <c r="M258" s="144"/>
      <c r="N258" s="144"/>
      <c r="O258" s="144"/>
      <c r="P258" s="144"/>
    </row>
    <row r="259" spans="1:16" s="135" customFormat="1" ht="15.75" x14ac:dyDescent="0.25">
      <c r="A259" s="109"/>
      <c r="B259" s="109"/>
      <c r="C259" s="118" t="str">
        <f t="shared" si="6"/>
        <v/>
      </c>
      <c r="D259" s="118" t="str">
        <f t="shared" si="7"/>
        <v/>
      </c>
      <c r="E259" s="121"/>
      <c r="F259" s="121"/>
      <c r="G259" s="121"/>
      <c r="H259" s="121"/>
      <c r="I259" s="142"/>
      <c r="J259" s="121"/>
      <c r="K259" s="121"/>
      <c r="L259" s="144"/>
      <c r="M259" s="144"/>
      <c r="N259" s="144"/>
      <c r="O259" s="144"/>
      <c r="P259" s="144"/>
    </row>
    <row r="260" spans="1:16" s="135" customFormat="1" ht="15.75" x14ac:dyDescent="0.25">
      <c r="A260" s="109"/>
      <c r="B260" s="109"/>
      <c r="C260" s="118" t="str">
        <f t="shared" si="6"/>
        <v/>
      </c>
      <c r="D260" s="118" t="str">
        <f t="shared" si="7"/>
        <v/>
      </c>
      <c r="E260" s="121"/>
      <c r="F260" s="121"/>
      <c r="G260" s="121"/>
      <c r="H260" s="121"/>
      <c r="I260" s="142"/>
      <c r="J260" s="121"/>
      <c r="K260" s="121"/>
      <c r="L260" s="144"/>
      <c r="M260" s="144"/>
      <c r="N260" s="144"/>
      <c r="O260" s="144"/>
      <c r="P260" s="144"/>
    </row>
    <row r="261" spans="1:16" s="135" customFormat="1" ht="15.75" x14ac:dyDescent="0.25">
      <c r="A261" s="109"/>
      <c r="B261" s="109"/>
      <c r="C261" s="118" t="str">
        <f t="shared" si="6"/>
        <v/>
      </c>
      <c r="D261" s="118" t="str">
        <f t="shared" si="7"/>
        <v/>
      </c>
      <c r="E261" s="121"/>
      <c r="F261" s="121"/>
      <c r="G261" s="121"/>
      <c r="H261" s="121"/>
      <c r="I261" s="142"/>
      <c r="J261" s="121"/>
      <c r="K261" s="121"/>
      <c r="L261" s="144"/>
      <c r="M261" s="144"/>
      <c r="N261" s="144"/>
      <c r="O261" s="144"/>
      <c r="P261" s="144"/>
    </row>
    <row r="262" spans="1:16" s="135" customFormat="1" ht="15.75" x14ac:dyDescent="0.25">
      <c r="A262" s="109"/>
      <c r="B262" s="109"/>
      <c r="C262" s="118" t="str">
        <f t="shared" si="6"/>
        <v/>
      </c>
      <c r="D262" s="118" t="str">
        <f t="shared" si="7"/>
        <v/>
      </c>
      <c r="E262" s="121"/>
      <c r="F262" s="121"/>
      <c r="G262" s="121"/>
      <c r="H262" s="121"/>
      <c r="I262" s="142"/>
      <c r="J262" s="121"/>
      <c r="K262" s="121"/>
      <c r="L262" s="144"/>
      <c r="M262" s="144"/>
      <c r="N262" s="144"/>
      <c r="O262" s="144"/>
      <c r="P262" s="144"/>
    </row>
    <row r="263" spans="1:16" s="135" customFormat="1" ht="15.75" x14ac:dyDescent="0.25">
      <c r="A263" s="109"/>
      <c r="B263" s="109"/>
      <c r="C263" s="118" t="str">
        <f t="shared" si="6"/>
        <v/>
      </c>
      <c r="D263" s="118" t="str">
        <f t="shared" si="7"/>
        <v/>
      </c>
      <c r="E263" s="121"/>
      <c r="F263" s="121"/>
      <c r="G263" s="121"/>
      <c r="H263" s="121"/>
      <c r="I263" s="142"/>
      <c r="J263" s="121"/>
      <c r="K263" s="121"/>
      <c r="L263" s="144"/>
      <c r="M263" s="144"/>
      <c r="N263" s="144"/>
      <c r="O263" s="144"/>
      <c r="P263" s="144"/>
    </row>
    <row r="264" spans="1:16" s="135" customFormat="1" ht="15.75" x14ac:dyDescent="0.25">
      <c r="A264" s="109"/>
      <c r="B264" s="109"/>
      <c r="C264" s="118" t="str">
        <f t="shared" si="6"/>
        <v/>
      </c>
      <c r="D264" s="118" t="str">
        <f t="shared" si="7"/>
        <v/>
      </c>
      <c r="E264" s="121"/>
      <c r="F264" s="121"/>
      <c r="G264" s="121"/>
      <c r="H264" s="121"/>
      <c r="I264" s="142"/>
      <c r="J264" s="121"/>
      <c r="K264" s="121"/>
      <c r="L264" s="144"/>
      <c r="M264" s="144"/>
      <c r="N264" s="144"/>
      <c r="O264" s="144"/>
      <c r="P264" s="144"/>
    </row>
    <row r="265" spans="1:16" s="135" customFormat="1" ht="15.75" x14ac:dyDescent="0.25">
      <c r="A265" s="109"/>
      <c r="B265" s="109"/>
      <c r="C265" s="118" t="str">
        <f t="shared" si="6"/>
        <v/>
      </c>
      <c r="D265" s="118" t="str">
        <f t="shared" si="7"/>
        <v/>
      </c>
      <c r="E265" s="121"/>
      <c r="F265" s="121"/>
      <c r="G265" s="121"/>
      <c r="H265" s="121"/>
      <c r="I265" s="142"/>
      <c r="J265" s="121"/>
      <c r="K265" s="121"/>
      <c r="L265" s="144"/>
      <c r="M265" s="144"/>
      <c r="N265" s="144"/>
      <c r="O265" s="144"/>
      <c r="P265" s="144"/>
    </row>
    <row r="266" spans="1:16" s="135" customFormat="1" ht="15.75" x14ac:dyDescent="0.25">
      <c r="A266" s="109"/>
      <c r="B266" s="109"/>
      <c r="C266" s="118" t="str">
        <f t="shared" si="6"/>
        <v/>
      </c>
      <c r="D266" s="118" t="str">
        <f t="shared" si="7"/>
        <v/>
      </c>
      <c r="E266" s="121"/>
      <c r="F266" s="121"/>
      <c r="G266" s="121"/>
      <c r="H266" s="121"/>
      <c r="I266" s="142"/>
      <c r="J266" s="121"/>
      <c r="K266" s="121"/>
      <c r="L266" s="144"/>
      <c r="M266" s="144"/>
      <c r="N266" s="144"/>
      <c r="O266" s="144"/>
      <c r="P266" s="144"/>
    </row>
    <row r="267" spans="1:16" s="135" customFormat="1" ht="15.75" x14ac:dyDescent="0.25">
      <c r="A267" s="109"/>
      <c r="B267" s="109"/>
      <c r="C267" s="118" t="str">
        <f t="shared" si="6"/>
        <v/>
      </c>
      <c r="D267" s="118" t="str">
        <f t="shared" si="7"/>
        <v/>
      </c>
      <c r="E267" s="121"/>
      <c r="F267" s="121"/>
      <c r="G267" s="121"/>
      <c r="H267" s="121"/>
      <c r="I267" s="142"/>
      <c r="J267" s="121"/>
      <c r="K267" s="121"/>
      <c r="L267" s="144"/>
      <c r="M267" s="144"/>
      <c r="N267" s="144"/>
      <c r="O267" s="144"/>
      <c r="P267" s="144"/>
    </row>
    <row r="268" spans="1:16" s="135" customFormat="1" ht="15.75" x14ac:dyDescent="0.25">
      <c r="A268" s="109"/>
      <c r="B268" s="109"/>
      <c r="C268" s="118" t="str">
        <f t="shared" si="6"/>
        <v/>
      </c>
      <c r="D268" s="118" t="str">
        <f t="shared" si="7"/>
        <v/>
      </c>
      <c r="E268" s="121"/>
      <c r="F268" s="121"/>
      <c r="G268" s="121"/>
      <c r="H268" s="121"/>
      <c r="I268" s="142"/>
      <c r="J268" s="121"/>
      <c r="K268" s="121"/>
      <c r="L268" s="144"/>
      <c r="M268" s="144"/>
      <c r="N268" s="144"/>
      <c r="O268" s="144"/>
      <c r="P268" s="144"/>
    </row>
    <row r="269" spans="1:16" s="135" customFormat="1" ht="15.75" x14ac:dyDescent="0.25">
      <c r="A269" s="109"/>
      <c r="B269" s="109"/>
      <c r="C269" s="118" t="str">
        <f t="shared" si="6"/>
        <v/>
      </c>
      <c r="D269" s="118" t="str">
        <f t="shared" si="7"/>
        <v/>
      </c>
      <c r="E269" s="121"/>
      <c r="F269" s="121"/>
      <c r="G269" s="121"/>
      <c r="H269" s="121"/>
      <c r="I269" s="142"/>
      <c r="J269" s="121"/>
      <c r="K269" s="121"/>
      <c r="L269" s="144"/>
      <c r="M269" s="144"/>
      <c r="N269" s="144"/>
      <c r="O269" s="144"/>
      <c r="P269" s="144"/>
    </row>
    <row r="270" spans="1:16" s="135" customFormat="1" ht="15.75" x14ac:dyDescent="0.25">
      <c r="A270" s="109"/>
      <c r="B270" s="109"/>
      <c r="C270" s="118" t="str">
        <f t="shared" si="6"/>
        <v/>
      </c>
      <c r="D270" s="118" t="str">
        <f t="shared" si="7"/>
        <v/>
      </c>
      <c r="E270" s="121"/>
      <c r="F270" s="121"/>
      <c r="G270" s="121"/>
      <c r="H270" s="121"/>
      <c r="I270" s="142"/>
      <c r="J270" s="121"/>
      <c r="K270" s="121"/>
      <c r="L270" s="144"/>
      <c r="M270" s="144"/>
      <c r="N270" s="144"/>
      <c r="O270" s="144"/>
      <c r="P270" s="144"/>
    </row>
    <row r="271" spans="1:16" s="135" customFormat="1" ht="15.75" x14ac:dyDescent="0.25">
      <c r="A271" s="109"/>
      <c r="B271" s="109"/>
      <c r="C271" s="118" t="str">
        <f t="shared" si="6"/>
        <v/>
      </c>
      <c r="D271" s="118" t="str">
        <f t="shared" si="7"/>
        <v/>
      </c>
      <c r="E271" s="121"/>
      <c r="F271" s="121"/>
      <c r="G271" s="121"/>
      <c r="H271" s="121"/>
      <c r="I271" s="142"/>
      <c r="J271" s="121"/>
      <c r="K271" s="121"/>
      <c r="L271" s="144"/>
      <c r="M271" s="144"/>
      <c r="N271" s="144"/>
      <c r="O271" s="144"/>
      <c r="P271" s="144"/>
    </row>
    <row r="272" spans="1:16" s="135" customFormat="1" ht="15.75" x14ac:dyDescent="0.25">
      <c r="A272" s="109"/>
      <c r="B272" s="109"/>
      <c r="C272" s="118" t="str">
        <f t="shared" si="6"/>
        <v/>
      </c>
      <c r="D272" s="118" t="str">
        <f t="shared" si="7"/>
        <v/>
      </c>
      <c r="E272" s="121"/>
      <c r="F272" s="121"/>
      <c r="G272" s="121"/>
      <c r="H272" s="121"/>
      <c r="I272" s="142"/>
      <c r="J272" s="121"/>
      <c r="K272" s="121"/>
      <c r="L272" s="144"/>
      <c r="M272" s="144"/>
      <c r="N272" s="144"/>
      <c r="O272" s="144"/>
      <c r="P272" s="144"/>
    </row>
    <row r="273" spans="1:16" s="135" customFormat="1" ht="15.75" x14ac:dyDescent="0.25">
      <c r="A273" s="109"/>
      <c r="B273" s="109"/>
      <c r="C273" s="118" t="str">
        <f t="shared" si="6"/>
        <v/>
      </c>
      <c r="D273" s="118" t="str">
        <f t="shared" si="7"/>
        <v/>
      </c>
      <c r="E273" s="121"/>
      <c r="F273" s="121"/>
      <c r="G273" s="121"/>
      <c r="H273" s="121"/>
      <c r="I273" s="142"/>
      <c r="J273" s="121"/>
      <c r="K273" s="121"/>
      <c r="L273" s="144"/>
      <c r="M273" s="144"/>
      <c r="N273" s="144"/>
      <c r="O273" s="144"/>
      <c r="P273" s="144"/>
    </row>
    <row r="274" spans="1:16" s="135" customFormat="1" ht="15.75" x14ac:dyDescent="0.25">
      <c r="A274" s="109"/>
      <c r="B274" s="109"/>
      <c r="C274" s="118" t="str">
        <f t="shared" si="6"/>
        <v/>
      </c>
      <c r="D274" s="118" t="str">
        <f t="shared" si="7"/>
        <v/>
      </c>
      <c r="E274" s="121"/>
      <c r="F274" s="121"/>
      <c r="G274" s="121"/>
      <c r="H274" s="121"/>
      <c r="I274" s="142"/>
      <c r="J274" s="121"/>
      <c r="K274" s="121"/>
      <c r="L274" s="144"/>
      <c r="M274" s="144"/>
      <c r="N274" s="144"/>
      <c r="O274" s="144"/>
      <c r="P274" s="144"/>
    </row>
    <row r="275" spans="1:16" s="135" customFormat="1" ht="15.75" x14ac:dyDescent="0.25">
      <c r="A275" s="109"/>
      <c r="B275" s="109"/>
      <c r="C275" s="118" t="str">
        <f t="shared" si="6"/>
        <v/>
      </c>
      <c r="D275" s="118" t="str">
        <f t="shared" si="7"/>
        <v/>
      </c>
      <c r="E275" s="121"/>
      <c r="F275" s="121"/>
      <c r="G275" s="121"/>
      <c r="H275" s="121"/>
      <c r="I275" s="142"/>
      <c r="J275" s="121"/>
      <c r="K275" s="121"/>
      <c r="L275" s="144"/>
      <c r="M275" s="144"/>
      <c r="N275" s="144"/>
      <c r="O275" s="144"/>
      <c r="P275" s="144"/>
    </row>
    <row r="276" spans="1:16" s="135" customFormat="1" ht="15.75" x14ac:dyDescent="0.25">
      <c r="A276" s="109"/>
      <c r="B276" s="109"/>
      <c r="C276" s="118" t="str">
        <f t="shared" ref="C276:C339" si="8">IF(A276=0,"",VLOOKUP(B276,MatDB,2,FALSE))</f>
        <v/>
      </c>
      <c r="D276" s="118" t="str">
        <f t="shared" si="7"/>
        <v/>
      </c>
      <c r="E276" s="121"/>
      <c r="F276" s="121"/>
      <c r="G276" s="121"/>
      <c r="H276" s="121"/>
      <c r="I276" s="142"/>
      <c r="J276" s="121"/>
      <c r="K276" s="121"/>
      <c r="L276" s="144"/>
      <c r="M276" s="144"/>
      <c r="N276" s="144"/>
      <c r="O276" s="144"/>
      <c r="P276" s="144"/>
    </row>
    <row r="277" spans="1:16" s="135" customFormat="1" ht="15.75" x14ac:dyDescent="0.25">
      <c r="A277" s="109"/>
      <c r="B277" s="109"/>
      <c r="C277" s="118" t="str">
        <f t="shared" si="8"/>
        <v/>
      </c>
      <c r="D277" s="118" t="str">
        <f t="shared" ref="D277:D340" si="9">IF(A277=0,"","Steel02")</f>
        <v/>
      </c>
      <c r="E277" s="121"/>
      <c r="F277" s="121"/>
      <c r="G277" s="121"/>
      <c r="H277" s="121"/>
      <c r="I277" s="142"/>
      <c r="J277" s="121"/>
      <c r="K277" s="121"/>
      <c r="L277" s="144"/>
      <c r="M277" s="144"/>
      <c r="N277" s="144"/>
      <c r="O277" s="144"/>
      <c r="P277" s="144"/>
    </row>
    <row r="278" spans="1:16" s="135" customFormat="1" ht="15.75" x14ac:dyDescent="0.25">
      <c r="A278" s="109"/>
      <c r="B278" s="109"/>
      <c r="C278" s="118" t="str">
        <f t="shared" si="8"/>
        <v/>
      </c>
      <c r="D278" s="118" t="str">
        <f t="shared" si="9"/>
        <v/>
      </c>
      <c r="E278" s="121"/>
      <c r="F278" s="121"/>
      <c r="G278" s="121"/>
      <c r="H278" s="121"/>
      <c r="I278" s="142"/>
      <c r="J278" s="121"/>
      <c r="K278" s="121"/>
      <c r="L278" s="144"/>
      <c r="M278" s="144"/>
      <c r="N278" s="144"/>
      <c r="O278" s="144"/>
      <c r="P278" s="144"/>
    </row>
    <row r="279" spans="1:16" s="135" customFormat="1" ht="15.75" x14ac:dyDescent="0.25">
      <c r="A279" s="109"/>
      <c r="B279" s="109"/>
      <c r="C279" s="118" t="str">
        <f t="shared" si="8"/>
        <v/>
      </c>
      <c r="D279" s="118" t="str">
        <f t="shared" si="9"/>
        <v/>
      </c>
      <c r="E279" s="121"/>
      <c r="F279" s="121"/>
      <c r="G279" s="121"/>
      <c r="H279" s="121"/>
      <c r="I279" s="142"/>
      <c r="J279" s="121"/>
      <c r="K279" s="121"/>
      <c r="L279" s="144"/>
      <c r="M279" s="144"/>
      <c r="N279" s="144"/>
      <c r="O279" s="144"/>
      <c r="P279" s="144"/>
    </row>
    <row r="280" spans="1:16" s="135" customFormat="1" ht="15.75" x14ac:dyDescent="0.25">
      <c r="A280" s="109"/>
      <c r="B280" s="109"/>
      <c r="C280" s="118" t="str">
        <f t="shared" si="8"/>
        <v/>
      </c>
      <c r="D280" s="118" t="str">
        <f t="shared" si="9"/>
        <v/>
      </c>
      <c r="E280" s="121"/>
      <c r="F280" s="121"/>
      <c r="G280" s="121"/>
      <c r="H280" s="121"/>
      <c r="I280" s="142"/>
      <c r="J280" s="121"/>
      <c r="K280" s="121"/>
      <c r="L280" s="144"/>
      <c r="M280" s="144"/>
      <c r="N280" s="144"/>
      <c r="O280" s="144"/>
      <c r="P280" s="144"/>
    </row>
    <row r="281" spans="1:16" s="135" customFormat="1" ht="15.75" x14ac:dyDescent="0.25">
      <c r="A281" s="109"/>
      <c r="B281" s="109"/>
      <c r="C281" s="118" t="str">
        <f t="shared" si="8"/>
        <v/>
      </c>
      <c r="D281" s="118" t="str">
        <f t="shared" si="9"/>
        <v/>
      </c>
      <c r="E281" s="121"/>
      <c r="F281" s="121"/>
      <c r="G281" s="121"/>
      <c r="H281" s="121"/>
      <c r="I281" s="142"/>
      <c r="J281" s="121"/>
      <c r="K281" s="121"/>
      <c r="L281" s="144"/>
      <c r="M281" s="144"/>
      <c r="N281" s="144"/>
      <c r="O281" s="144"/>
      <c r="P281" s="144"/>
    </row>
    <row r="282" spans="1:16" s="135" customFormat="1" ht="15.75" x14ac:dyDescent="0.25">
      <c r="A282" s="109"/>
      <c r="B282" s="109"/>
      <c r="C282" s="118" t="str">
        <f t="shared" si="8"/>
        <v/>
      </c>
      <c r="D282" s="118" t="str">
        <f t="shared" si="9"/>
        <v/>
      </c>
      <c r="E282" s="121"/>
      <c r="F282" s="121"/>
      <c r="G282" s="121"/>
      <c r="H282" s="121"/>
      <c r="I282" s="142"/>
      <c r="J282" s="121"/>
      <c r="K282" s="121"/>
      <c r="L282" s="144"/>
      <c r="M282" s="144"/>
      <c r="N282" s="144"/>
      <c r="O282" s="144"/>
      <c r="P282" s="144"/>
    </row>
    <row r="283" spans="1:16" s="135" customFormat="1" ht="15.75" x14ac:dyDescent="0.25">
      <c r="A283" s="109"/>
      <c r="B283" s="109"/>
      <c r="C283" s="118" t="str">
        <f t="shared" si="8"/>
        <v/>
      </c>
      <c r="D283" s="118" t="str">
        <f t="shared" si="9"/>
        <v/>
      </c>
      <c r="E283" s="121"/>
      <c r="F283" s="121"/>
      <c r="G283" s="121"/>
      <c r="H283" s="121"/>
      <c r="I283" s="142"/>
      <c r="J283" s="121"/>
      <c r="K283" s="121"/>
      <c r="L283" s="144"/>
      <c r="M283" s="144"/>
      <c r="N283" s="144"/>
      <c r="O283" s="144"/>
      <c r="P283" s="144"/>
    </row>
    <row r="284" spans="1:16" s="135" customFormat="1" ht="15.75" x14ac:dyDescent="0.25">
      <c r="A284" s="109"/>
      <c r="B284" s="109"/>
      <c r="C284" s="118" t="str">
        <f t="shared" si="8"/>
        <v/>
      </c>
      <c r="D284" s="118" t="str">
        <f t="shared" si="9"/>
        <v/>
      </c>
      <c r="E284" s="121"/>
      <c r="F284" s="121"/>
      <c r="G284" s="121"/>
      <c r="H284" s="121"/>
      <c r="I284" s="142"/>
      <c r="J284" s="121"/>
      <c r="K284" s="121"/>
      <c r="L284" s="144"/>
      <c r="M284" s="144"/>
      <c r="N284" s="144"/>
      <c r="O284" s="144"/>
      <c r="P284" s="144"/>
    </row>
    <row r="285" spans="1:16" s="135" customFormat="1" ht="15.75" x14ac:dyDescent="0.25">
      <c r="A285" s="109"/>
      <c r="B285" s="109"/>
      <c r="C285" s="118" t="str">
        <f t="shared" si="8"/>
        <v/>
      </c>
      <c r="D285" s="118" t="str">
        <f t="shared" si="9"/>
        <v/>
      </c>
      <c r="E285" s="121"/>
      <c r="F285" s="121"/>
      <c r="G285" s="121"/>
      <c r="H285" s="121"/>
      <c r="I285" s="142"/>
      <c r="J285" s="121"/>
      <c r="K285" s="121"/>
      <c r="L285" s="144"/>
      <c r="M285" s="144"/>
      <c r="N285" s="144"/>
      <c r="O285" s="144"/>
      <c r="P285" s="144"/>
    </row>
    <row r="286" spans="1:16" s="135" customFormat="1" ht="15.75" x14ac:dyDescent="0.25">
      <c r="A286" s="109"/>
      <c r="B286" s="109"/>
      <c r="C286" s="118" t="str">
        <f t="shared" si="8"/>
        <v/>
      </c>
      <c r="D286" s="118" t="str">
        <f t="shared" si="9"/>
        <v/>
      </c>
      <c r="E286" s="121"/>
      <c r="F286" s="121"/>
      <c r="G286" s="121"/>
      <c r="H286" s="121"/>
      <c r="I286" s="142"/>
      <c r="J286" s="121"/>
      <c r="K286" s="121"/>
      <c r="L286" s="144"/>
      <c r="M286" s="144"/>
      <c r="N286" s="144"/>
      <c r="O286" s="144"/>
      <c r="P286" s="144"/>
    </row>
    <row r="287" spans="1:16" s="135" customFormat="1" ht="15.75" x14ac:dyDescent="0.25">
      <c r="A287" s="109"/>
      <c r="B287" s="109"/>
      <c r="C287" s="118" t="str">
        <f t="shared" si="8"/>
        <v/>
      </c>
      <c r="D287" s="118" t="str">
        <f t="shared" si="9"/>
        <v/>
      </c>
      <c r="E287" s="121"/>
      <c r="F287" s="121"/>
      <c r="G287" s="121"/>
      <c r="H287" s="121"/>
      <c r="I287" s="142"/>
      <c r="J287" s="121"/>
      <c r="K287" s="121"/>
      <c r="L287" s="144"/>
      <c r="M287" s="144"/>
      <c r="N287" s="144"/>
      <c r="O287" s="144"/>
      <c r="P287" s="144"/>
    </row>
    <row r="288" spans="1:16" s="135" customFormat="1" ht="15.75" x14ac:dyDescent="0.25">
      <c r="A288" s="109"/>
      <c r="B288" s="109"/>
      <c r="C288" s="118" t="str">
        <f t="shared" si="8"/>
        <v/>
      </c>
      <c r="D288" s="118" t="str">
        <f t="shared" si="9"/>
        <v/>
      </c>
      <c r="E288" s="121"/>
      <c r="F288" s="121"/>
      <c r="G288" s="121"/>
      <c r="H288" s="121"/>
      <c r="I288" s="142"/>
      <c r="J288" s="121"/>
      <c r="K288" s="121"/>
      <c r="L288" s="144"/>
      <c r="M288" s="144"/>
      <c r="N288" s="144"/>
      <c r="O288" s="144"/>
      <c r="P288" s="144"/>
    </row>
    <row r="289" spans="1:16" s="135" customFormat="1" ht="15.75" x14ac:dyDescent="0.25">
      <c r="A289" s="109"/>
      <c r="B289" s="109"/>
      <c r="C289" s="118" t="str">
        <f t="shared" si="8"/>
        <v/>
      </c>
      <c r="D289" s="118" t="str">
        <f t="shared" si="9"/>
        <v/>
      </c>
      <c r="E289" s="121"/>
      <c r="F289" s="121"/>
      <c r="G289" s="121"/>
      <c r="H289" s="121"/>
      <c r="I289" s="142"/>
      <c r="J289" s="121"/>
      <c r="K289" s="121"/>
      <c r="L289" s="144"/>
      <c r="M289" s="144"/>
      <c r="N289" s="144"/>
      <c r="O289" s="144"/>
      <c r="P289" s="144"/>
    </row>
    <row r="290" spans="1:16" s="135" customFormat="1" ht="15.75" x14ac:dyDescent="0.25">
      <c r="A290" s="109"/>
      <c r="B290" s="109"/>
      <c r="C290" s="118" t="str">
        <f t="shared" si="8"/>
        <v/>
      </c>
      <c r="D290" s="118" t="str">
        <f t="shared" si="9"/>
        <v/>
      </c>
      <c r="E290" s="121"/>
      <c r="F290" s="121"/>
      <c r="G290" s="121"/>
      <c r="H290" s="121"/>
      <c r="I290" s="142"/>
      <c r="J290" s="121"/>
      <c r="K290" s="121"/>
      <c r="L290" s="144"/>
      <c r="M290" s="144"/>
      <c r="N290" s="144"/>
      <c r="O290" s="144"/>
      <c r="P290" s="144"/>
    </row>
    <row r="291" spans="1:16" s="135" customFormat="1" ht="15.75" x14ac:dyDescent="0.25">
      <c r="A291" s="109"/>
      <c r="B291" s="109"/>
      <c r="C291" s="118" t="str">
        <f t="shared" si="8"/>
        <v/>
      </c>
      <c r="D291" s="118" t="str">
        <f t="shared" si="9"/>
        <v/>
      </c>
      <c r="E291" s="121"/>
      <c r="F291" s="121"/>
      <c r="G291" s="121"/>
      <c r="H291" s="121"/>
      <c r="I291" s="142"/>
      <c r="J291" s="121"/>
      <c r="K291" s="121"/>
      <c r="L291" s="144"/>
      <c r="M291" s="144"/>
      <c r="N291" s="144"/>
      <c r="O291" s="144"/>
      <c r="P291" s="144"/>
    </row>
    <row r="292" spans="1:16" s="135" customFormat="1" ht="15.75" x14ac:dyDescent="0.25">
      <c r="A292" s="109"/>
      <c r="B292" s="109"/>
      <c r="C292" s="118" t="str">
        <f t="shared" si="8"/>
        <v/>
      </c>
      <c r="D292" s="118" t="str">
        <f t="shared" si="9"/>
        <v/>
      </c>
      <c r="E292" s="121"/>
      <c r="F292" s="121"/>
      <c r="G292" s="121"/>
      <c r="H292" s="121"/>
      <c r="I292" s="142"/>
      <c r="J292" s="121"/>
      <c r="K292" s="121"/>
      <c r="L292" s="144"/>
      <c r="M292" s="144"/>
      <c r="N292" s="144"/>
      <c r="O292" s="144"/>
      <c r="P292" s="144"/>
    </row>
    <row r="293" spans="1:16" s="135" customFormat="1" ht="15.75" x14ac:dyDescent="0.25">
      <c r="A293" s="109"/>
      <c r="B293" s="109"/>
      <c r="C293" s="118" t="str">
        <f t="shared" si="8"/>
        <v/>
      </c>
      <c r="D293" s="118" t="str">
        <f t="shared" si="9"/>
        <v/>
      </c>
      <c r="E293" s="121"/>
      <c r="F293" s="121"/>
      <c r="G293" s="121"/>
      <c r="H293" s="121"/>
      <c r="I293" s="142"/>
      <c r="J293" s="121"/>
      <c r="K293" s="121"/>
      <c r="L293" s="144"/>
      <c r="M293" s="144"/>
      <c r="N293" s="144"/>
      <c r="O293" s="144"/>
      <c r="P293" s="144"/>
    </row>
    <row r="294" spans="1:16" s="135" customFormat="1" ht="15.75" x14ac:dyDescent="0.25">
      <c r="A294" s="109"/>
      <c r="B294" s="109"/>
      <c r="C294" s="118" t="str">
        <f t="shared" si="8"/>
        <v/>
      </c>
      <c r="D294" s="118" t="str">
        <f t="shared" si="9"/>
        <v/>
      </c>
      <c r="E294" s="121"/>
      <c r="F294" s="121"/>
      <c r="G294" s="121"/>
      <c r="H294" s="121"/>
      <c r="I294" s="142"/>
      <c r="J294" s="121"/>
      <c r="K294" s="121"/>
      <c r="L294" s="144"/>
      <c r="M294" s="144"/>
      <c r="N294" s="144"/>
      <c r="O294" s="144"/>
      <c r="P294" s="144"/>
    </row>
    <row r="295" spans="1:16" s="135" customFormat="1" ht="15.75" x14ac:dyDescent="0.25">
      <c r="A295" s="109"/>
      <c r="B295" s="109"/>
      <c r="C295" s="118" t="str">
        <f t="shared" si="8"/>
        <v/>
      </c>
      <c r="D295" s="118" t="str">
        <f t="shared" si="9"/>
        <v/>
      </c>
      <c r="E295" s="121"/>
      <c r="F295" s="121"/>
      <c r="G295" s="121"/>
      <c r="H295" s="121"/>
      <c r="I295" s="142"/>
      <c r="J295" s="121"/>
      <c r="K295" s="121"/>
      <c r="L295" s="144"/>
      <c r="M295" s="144"/>
      <c r="N295" s="144"/>
      <c r="O295" s="144"/>
      <c r="P295" s="144"/>
    </row>
    <row r="296" spans="1:16" s="135" customFormat="1" ht="15.75" x14ac:dyDescent="0.25">
      <c r="A296" s="109"/>
      <c r="B296" s="109"/>
      <c r="C296" s="118" t="str">
        <f t="shared" si="8"/>
        <v/>
      </c>
      <c r="D296" s="118" t="str">
        <f t="shared" si="9"/>
        <v/>
      </c>
      <c r="E296" s="121"/>
      <c r="F296" s="121"/>
      <c r="G296" s="121"/>
      <c r="H296" s="121"/>
      <c r="I296" s="142"/>
      <c r="J296" s="121"/>
      <c r="K296" s="121"/>
      <c r="L296" s="144"/>
      <c r="M296" s="144"/>
      <c r="N296" s="144"/>
      <c r="O296" s="144"/>
      <c r="P296" s="144"/>
    </row>
    <row r="297" spans="1:16" s="135" customFormat="1" ht="15.75" x14ac:dyDescent="0.25">
      <c r="A297" s="109"/>
      <c r="B297" s="109"/>
      <c r="C297" s="118" t="str">
        <f t="shared" si="8"/>
        <v/>
      </c>
      <c r="D297" s="118" t="str">
        <f t="shared" si="9"/>
        <v/>
      </c>
      <c r="E297" s="121"/>
      <c r="F297" s="121"/>
      <c r="G297" s="121"/>
      <c r="H297" s="121"/>
      <c r="I297" s="142"/>
      <c r="J297" s="121"/>
      <c r="K297" s="121"/>
      <c r="L297" s="144"/>
      <c r="M297" s="144"/>
      <c r="N297" s="144"/>
      <c r="O297" s="144"/>
      <c r="P297" s="144"/>
    </row>
    <row r="298" spans="1:16" s="135" customFormat="1" ht="15.75" x14ac:dyDescent="0.25">
      <c r="A298" s="109"/>
      <c r="B298" s="109"/>
      <c r="C298" s="118" t="str">
        <f t="shared" si="8"/>
        <v/>
      </c>
      <c r="D298" s="118" t="str">
        <f t="shared" si="9"/>
        <v/>
      </c>
      <c r="E298" s="121"/>
      <c r="F298" s="121"/>
      <c r="G298" s="121"/>
      <c r="H298" s="121"/>
      <c r="I298" s="142"/>
      <c r="J298" s="121"/>
      <c r="K298" s="121"/>
      <c r="L298" s="144"/>
      <c r="M298" s="144"/>
      <c r="N298" s="144"/>
      <c r="O298" s="144"/>
      <c r="P298" s="144"/>
    </row>
    <row r="299" spans="1:16" s="135" customFormat="1" ht="15.75" x14ac:dyDescent="0.25">
      <c r="A299" s="109"/>
      <c r="B299" s="109"/>
      <c r="C299" s="118" t="str">
        <f t="shared" si="8"/>
        <v/>
      </c>
      <c r="D299" s="118" t="str">
        <f t="shared" si="9"/>
        <v/>
      </c>
      <c r="E299" s="121"/>
      <c r="F299" s="121"/>
      <c r="G299" s="121"/>
      <c r="H299" s="121"/>
      <c r="I299" s="142"/>
      <c r="J299" s="121"/>
      <c r="K299" s="121"/>
      <c r="L299" s="144"/>
      <c r="M299" s="144"/>
      <c r="N299" s="144"/>
      <c r="O299" s="144"/>
      <c r="P299" s="144"/>
    </row>
    <row r="300" spans="1:16" s="135" customFormat="1" ht="15.75" x14ac:dyDescent="0.25">
      <c r="A300" s="109"/>
      <c r="B300" s="109"/>
      <c r="C300" s="118" t="str">
        <f t="shared" si="8"/>
        <v/>
      </c>
      <c r="D300" s="118" t="str">
        <f t="shared" si="9"/>
        <v/>
      </c>
      <c r="E300" s="121"/>
      <c r="F300" s="121"/>
      <c r="G300" s="121"/>
      <c r="H300" s="121"/>
      <c r="I300" s="142"/>
      <c r="J300" s="121"/>
      <c r="K300" s="121"/>
      <c r="L300" s="144"/>
      <c r="M300" s="144"/>
      <c r="N300" s="144"/>
      <c r="O300" s="144"/>
      <c r="P300" s="144"/>
    </row>
    <row r="301" spans="1:16" s="135" customFormat="1" ht="15.75" x14ac:dyDescent="0.25">
      <c r="A301" s="109"/>
      <c r="B301" s="109"/>
      <c r="C301" s="118" t="str">
        <f t="shared" si="8"/>
        <v/>
      </c>
      <c r="D301" s="118" t="str">
        <f t="shared" si="9"/>
        <v/>
      </c>
      <c r="E301" s="121"/>
      <c r="F301" s="121"/>
      <c r="G301" s="121"/>
      <c r="H301" s="121"/>
      <c r="I301" s="142"/>
      <c r="J301" s="121"/>
      <c r="K301" s="121"/>
      <c r="L301" s="144"/>
      <c r="M301" s="144"/>
      <c r="N301" s="144"/>
      <c r="O301" s="144"/>
      <c r="P301" s="144"/>
    </row>
    <row r="302" spans="1:16" s="135" customFormat="1" ht="15.75" x14ac:dyDescent="0.25">
      <c r="A302" s="109"/>
      <c r="B302" s="109"/>
      <c r="C302" s="118" t="str">
        <f t="shared" si="8"/>
        <v/>
      </c>
      <c r="D302" s="118" t="str">
        <f t="shared" si="9"/>
        <v/>
      </c>
      <c r="E302" s="121"/>
      <c r="F302" s="121"/>
      <c r="G302" s="121"/>
      <c r="H302" s="121"/>
      <c r="I302" s="142"/>
      <c r="J302" s="121"/>
      <c r="K302" s="121"/>
      <c r="L302" s="144"/>
      <c r="M302" s="144"/>
      <c r="N302" s="144"/>
      <c r="O302" s="144"/>
      <c r="P302" s="144"/>
    </row>
    <row r="303" spans="1:16" s="135" customFormat="1" ht="15.75" x14ac:dyDescent="0.25">
      <c r="A303" s="109"/>
      <c r="B303" s="109"/>
      <c r="C303" s="118" t="str">
        <f t="shared" si="8"/>
        <v/>
      </c>
      <c r="D303" s="118" t="str">
        <f t="shared" si="9"/>
        <v/>
      </c>
      <c r="E303" s="121"/>
      <c r="F303" s="121"/>
      <c r="G303" s="121"/>
      <c r="H303" s="121"/>
      <c r="I303" s="142"/>
      <c r="J303" s="121"/>
      <c r="K303" s="121"/>
      <c r="L303" s="144"/>
      <c r="M303" s="144"/>
      <c r="N303" s="144"/>
      <c r="O303" s="144"/>
      <c r="P303" s="144"/>
    </row>
    <row r="304" spans="1:16" s="135" customFormat="1" ht="15.75" x14ac:dyDescent="0.25">
      <c r="A304" s="109"/>
      <c r="B304" s="109"/>
      <c r="C304" s="118" t="str">
        <f t="shared" si="8"/>
        <v/>
      </c>
      <c r="D304" s="118" t="str">
        <f t="shared" si="9"/>
        <v/>
      </c>
      <c r="E304" s="121"/>
      <c r="F304" s="121"/>
      <c r="G304" s="121"/>
      <c r="H304" s="121"/>
      <c r="I304" s="142"/>
      <c r="J304" s="121"/>
      <c r="K304" s="121"/>
      <c r="L304" s="144"/>
      <c r="M304" s="144"/>
      <c r="N304" s="144"/>
      <c r="O304" s="144"/>
      <c r="P304" s="144"/>
    </row>
    <row r="305" spans="1:16" s="135" customFormat="1" ht="15.75" x14ac:dyDescent="0.25">
      <c r="A305" s="109"/>
      <c r="B305" s="109"/>
      <c r="C305" s="118" t="str">
        <f t="shared" si="8"/>
        <v/>
      </c>
      <c r="D305" s="118" t="str">
        <f t="shared" si="9"/>
        <v/>
      </c>
      <c r="E305" s="121"/>
      <c r="F305" s="121"/>
      <c r="G305" s="121"/>
      <c r="H305" s="121"/>
      <c r="I305" s="142"/>
      <c r="J305" s="121"/>
      <c r="K305" s="121"/>
      <c r="L305" s="144"/>
      <c r="M305" s="144"/>
      <c r="N305" s="144"/>
      <c r="O305" s="144"/>
      <c r="P305" s="144"/>
    </row>
    <row r="306" spans="1:16" s="135" customFormat="1" ht="15.75" x14ac:dyDescent="0.25">
      <c r="A306" s="109"/>
      <c r="B306" s="109"/>
      <c r="C306" s="118" t="str">
        <f t="shared" si="8"/>
        <v/>
      </c>
      <c r="D306" s="118" t="str">
        <f t="shared" si="9"/>
        <v/>
      </c>
      <c r="E306" s="121"/>
      <c r="F306" s="121"/>
      <c r="G306" s="121"/>
      <c r="H306" s="121"/>
      <c r="I306" s="142"/>
      <c r="J306" s="121"/>
      <c r="K306" s="121"/>
      <c r="L306" s="144"/>
      <c r="M306" s="144"/>
      <c r="N306" s="144"/>
      <c r="O306" s="144"/>
      <c r="P306" s="144"/>
    </row>
    <row r="307" spans="1:16" s="135" customFormat="1" ht="15.75" x14ac:dyDescent="0.25">
      <c r="A307" s="109"/>
      <c r="B307" s="109"/>
      <c r="C307" s="118" t="str">
        <f t="shared" si="8"/>
        <v/>
      </c>
      <c r="D307" s="118" t="str">
        <f t="shared" si="9"/>
        <v/>
      </c>
      <c r="E307" s="121"/>
      <c r="F307" s="121"/>
      <c r="G307" s="121"/>
      <c r="H307" s="121"/>
      <c r="I307" s="142"/>
      <c r="J307" s="121"/>
      <c r="K307" s="121"/>
      <c r="L307" s="144"/>
      <c r="M307" s="144"/>
      <c r="N307" s="144"/>
      <c r="O307" s="144"/>
      <c r="P307" s="144"/>
    </row>
    <row r="308" spans="1:16" s="135" customFormat="1" ht="15.75" x14ac:dyDescent="0.25">
      <c r="A308" s="109"/>
      <c r="B308" s="109"/>
      <c r="C308" s="118" t="str">
        <f t="shared" si="8"/>
        <v/>
      </c>
      <c r="D308" s="118" t="str">
        <f t="shared" si="9"/>
        <v/>
      </c>
      <c r="E308" s="121"/>
      <c r="F308" s="121"/>
      <c r="G308" s="121"/>
      <c r="H308" s="121"/>
      <c r="I308" s="142"/>
      <c r="J308" s="121"/>
      <c r="K308" s="121"/>
      <c r="L308" s="144"/>
      <c r="M308" s="144"/>
      <c r="N308" s="144"/>
      <c r="O308" s="144"/>
      <c r="P308" s="144"/>
    </row>
    <row r="309" spans="1:16" s="135" customFormat="1" ht="15.75" x14ac:dyDescent="0.25">
      <c r="A309" s="109"/>
      <c r="B309" s="109"/>
      <c r="C309" s="118" t="str">
        <f t="shared" si="8"/>
        <v/>
      </c>
      <c r="D309" s="118" t="str">
        <f t="shared" si="9"/>
        <v/>
      </c>
      <c r="E309" s="121"/>
      <c r="F309" s="121"/>
      <c r="G309" s="121"/>
      <c r="H309" s="121"/>
      <c r="I309" s="142"/>
      <c r="J309" s="121"/>
      <c r="K309" s="121"/>
      <c r="L309" s="144"/>
      <c r="M309" s="144"/>
      <c r="N309" s="144"/>
      <c r="O309" s="144"/>
      <c r="P309" s="144"/>
    </row>
    <row r="310" spans="1:16" s="135" customFormat="1" ht="15.75" x14ac:dyDescent="0.25">
      <c r="A310" s="109"/>
      <c r="B310" s="109"/>
      <c r="C310" s="118" t="str">
        <f t="shared" si="8"/>
        <v/>
      </c>
      <c r="D310" s="118" t="str">
        <f t="shared" si="9"/>
        <v/>
      </c>
      <c r="E310" s="121"/>
      <c r="F310" s="121"/>
      <c r="G310" s="121"/>
      <c r="H310" s="121"/>
      <c r="I310" s="142"/>
      <c r="J310" s="121"/>
      <c r="K310" s="121"/>
      <c r="L310" s="144"/>
      <c r="M310" s="144"/>
      <c r="N310" s="144"/>
      <c r="O310" s="144"/>
      <c r="P310" s="144"/>
    </row>
    <row r="311" spans="1:16" s="135" customFormat="1" ht="15.75" x14ac:dyDescent="0.25">
      <c r="A311" s="109"/>
      <c r="B311" s="109"/>
      <c r="C311" s="118" t="str">
        <f t="shared" si="8"/>
        <v/>
      </c>
      <c r="D311" s="118" t="str">
        <f t="shared" si="9"/>
        <v/>
      </c>
      <c r="E311" s="121"/>
      <c r="F311" s="121"/>
      <c r="G311" s="121"/>
      <c r="H311" s="121"/>
      <c r="I311" s="142"/>
      <c r="J311" s="121"/>
      <c r="K311" s="121"/>
      <c r="L311" s="144"/>
      <c r="M311" s="144"/>
      <c r="N311" s="144"/>
      <c r="O311" s="144"/>
      <c r="P311" s="144"/>
    </row>
    <row r="312" spans="1:16" s="135" customFormat="1" ht="15.75" x14ac:dyDescent="0.25">
      <c r="A312" s="109"/>
      <c r="B312" s="109"/>
      <c r="C312" s="118" t="str">
        <f t="shared" si="8"/>
        <v/>
      </c>
      <c r="D312" s="118" t="str">
        <f t="shared" si="9"/>
        <v/>
      </c>
      <c r="E312" s="121"/>
      <c r="F312" s="121"/>
      <c r="G312" s="121"/>
      <c r="H312" s="121"/>
      <c r="I312" s="142"/>
      <c r="J312" s="121"/>
      <c r="K312" s="121"/>
      <c r="L312" s="144"/>
      <c r="M312" s="144"/>
      <c r="N312" s="144"/>
      <c r="O312" s="144"/>
      <c r="P312" s="144"/>
    </row>
    <row r="313" spans="1:16" s="135" customFormat="1" ht="15.75" x14ac:dyDescent="0.25">
      <c r="A313" s="109"/>
      <c r="B313" s="109"/>
      <c r="C313" s="118" t="str">
        <f t="shared" si="8"/>
        <v/>
      </c>
      <c r="D313" s="118" t="str">
        <f t="shared" si="9"/>
        <v/>
      </c>
      <c r="E313" s="121"/>
      <c r="F313" s="121"/>
      <c r="G313" s="121"/>
      <c r="H313" s="121"/>
      <c r="I313" s="142"/>
      <c r="J313" s="121"/>
      <c r="K313" s="121"/>
      <c r="L313" s="144"/>
      <c r="M313" s="144"/>
      <c r="N313" s="144"/>
      <c r="O313" s="144"/>
      <c r="P313" s="144"/>
    </row>
    <row r="314" spans="1:16" s="135" customFormat="1" ht="15.75" x14ac:dyDescent="0.25">
      <c r="A314" s="109"/>
      <c r="B314" s="109"/>
      <c r="C314" s="118" t="str">
        <f t="shared" si="8"/>
        <v/>
      </c>
      <c r="D314" s="118" t="str">
        <f t="shared" si="9"/>
        <v/>
      </c>
      <c r="E314" s="121"/>
      <c r="F314" s="121"/>
      <c r="G314" s="121"/>
      <c r="H314" s="121"/>
      <c r="I314" s="142"/>
      <c r="J314" s="121"/>
      <c r="K314" s="121"/>
      <c r="L314" s="144"/>
      <c r="M314" s="144"/>
      <c r="N314" s="144"/>
      <c r="O314" s="144"/>
      <c r="P314" s="144"/>
    </row>
    <row r="315" spans="1:16" s="135" customFormat="1" ht="15.75" x14ac:dyDescent="0.25">
      <c r="A315" s="109"/>
      <c r="B315" s="109"/>
      <c r="C315" s="118" t="str">
        <f t="shared" si="8"/>
        <v/>
      </c>
      <c r="D315" s="118" t="str">
        <f t="shared" si="9"/>
        <v/>
      </c>
      <c r="E315" s="121"/>
      <c r="F315" s="121"/>
      <c r="G315" s="121"/>
      <c r="H315" s="121"/>
      <c r="I315" s="142"/>
      <c r="J315" s="121"/>
      <c r="K315" s="121"/>
      <c r="L315" s="144"/>
      <c r="M315" s="144"/>
      <c r="N315" s="144"/>
      <c r="O315" s="144"/>
      <c r="P315" s="144"/>
    </row>
    <row r="316" spans="1:16" s="135" customFormat="1" ht="15.75" x14ac:dyDescent="0.25">
      <c r="A316" s="109"/>
      <c r="B316" s="109"/>
      <c r="C316" s="118" t="str">
        <f t="shared" si="8"/>
        <v/>
      </c>
      <c r="D316" s="118" t="str">
        <f t="shared" si="9"/>
        <v/>
      </c>
      <c r="E316" s="121"/>
      <c r="F316" s="121"/>
      <c r="G316" s="121"/>
      <c r="H316" s="121"/>
      <c r="I316" s="142"/>
      <c r="J316" s="121"/>
      <c r="K316" s="121"/>
      <c r="L316" s="144"/>
      <c r="M316" s="144"/>
      <c r="N316" s="144"/>
      <c r="O316" s="144"/>
      <c r="P316" s="144"/>
    </row>
    <row r="317" spans="1:16" s="135" customFormat="1" ht="15.75" x14ac:dyDescent="0.25">
      <c r="A317" s="109"/>
      <c r="B317" s="109"/>
      <c r="C317" s="118" t="str">
        <f t="shared" si="8"/>
        <v/>
      </c>
      <c r="D317" s="118" t="str">
        <f t="shared" si="9"/>
        <v/>
      </c>
      <c r="E317" s="121"/>
      <c r="F317" s="121"/>
      <c r="G317" s="121"/>
      <c r="H317" s="121"/>
      <c r="I317" s="142"/>
      <c r="J317" s="121"/>
      <c r="K317" s="121"/>
      <c r="L317" s="144"/>
      <c r="M317" s="144"/>
      <c r="N317" s="144"/>
      <c r="O317" s="144"/>
      <c r="P317" s="144"/>
    </row>
    <row r="318" spans="1:16" s="135" customFormat="1" ht="15.75" x14ac:dyDescent="0.25">
      <c r="A318" s="109"/>
      <c r="B318" s="109"/>
      <c r="C318" s="118" t="str">
        <f t="shared" si="8"/>
        <v/>
      </c>
      <c r="D318" s="118" t="str">
        <f t="shared" si="9"/>
        <v/>
      </c>
      <c r="E318" s="121"/>
      <c r="F318" s="121"/>
      <c r="G318" s="121"/>
      <c r="H318" s="121"/>
      <c r="I318" s="142"/>
      <c r="J318" s="121"/>
      <c r="K318" s="121"/>
      <c r="L318" s="144"/>
      <c r="M318" s="144"/>
      <c r="N318" s="144"/>
      <c r="O318" s="144"/>
      <c r="P318" s="144"/>
    </row>
    <row r="319" spans="1:16" s="135" customFormat="1" ht="15.75" x14ac:dyDescent="0.25">
      <c r="A319" s="109"/>
      <c r="B319" s="109"/>
      <c r="C319" s="118" t="str">
        <f t="shared" si="8"/>
        <v/>
      </c>
      <c r="D319" s="118" t="str">
        <f t="shared" si="9"/>
        <v/>
      </c>
      <c r="E319" s="121"/>
      <c r="F319" s="121"/>
      <c r="G319" s="121"/>
      <c r="H319" s="121"/>
      <c r="I319" s="142"/>
      <c r="J319" s="121"/>
      <c r="K319" s="121"/>
      <c r="L319" s="144"/>
      <c r="M319" s="144"/>
      <c r="N319" s="144"/>
      <c r="O319" s="144"/>
      <c r="P319" s="144"/>
    </row>
    <row r="320" spans="1:16" s="135" customFormat="1" ht="15.75" x14ac:dyDescent="0.25">
      <c r="A320" s="109"/>
      <c r="B320" s="109"/>
      <c r="C320" s="118" t="str">
        <f t="shared" si="8"/>
        <v/>
      </c>
      <c r="D320" s="118" t="str">
        <f t="shared" si="9"/>
        <v/>
      </c>
      <c r="E320" s="121"/>
      <c r="F320" s="121"/>
      <c r="G320" s="121"/>
      <c r="H320" s="121"/>
      <c r="I320" s="142"/>
      <c r="J320" s="121"/>
      <c r="K320" s="121"/>
      <c r="L320" s="144"/>
      <c r="M320" s="144"/>
      <c r="N320" s="144"/>
      <c r="O320" s="144"/>
      <c r="P320" s="144"/>
    </row>
    <row r="321" spans="1:16" s="135" customFormat="1" ht="15.75" x14ac:dyDescent="0.25">
      <c r="A321" s="109"/>
      <c r="B321" s="109"/>
      <c r="C321" s="118" t="str">
        <f t="shared" si="8"/>
        <v/>
      </c>
      <c r="D321" s="118" t="str">
        <f t="shared" si="9"/>
        <v/>
      </c>
      <c r="E321" s="121"/>
      <c r="F321" s="121"/>
      <c r="G321" s="121"/>
      <c r="H321" s="121"/>
      <c r="I321" s="142"/>
      <c r="J321" s="121"/>
      <c r="K321" s="121"/>
      <c r="L321" s="144"/>
      <c r="M321" s="144"/>
      <c r="N321" s="144"/>
      <c r="O321" s="144"/>
      <c r="P321" s="144"/>
    </row>
    <row r="322" spans="1:16" s="135" customFormat="1" ht="15.75" x14ac:dyDescent="0.25">
      <c r="A322" s="109"/>
      <c r="B322" s="109"/>
      <c r="C322" s="118" t="str">
        <f t="shared" si="8"/>
        <v/>
      </c>
      <c r="D322" s="118" t="str">
        <f t="shared" si="9"/>
        <v/>
      </c>
      <c r="E322" s="121"/>
      <c r="F322" s="121"/>
      <c r="G322" s="121"/>
      <c r="H322" s="121"/>
      <c r="I322" s="142"/>
      <c r="J322" s="121"/>
      <c r="K322" s="121"/>
      <c r="L322" s="144"/>
      <c r="M322" s="144"/>
      <c r="N322" s="144"/>
      <c r="O322" s="144"/>
      <c r="P322" s="144"/>
    </row>
    <row r="323" spans="1:16" s="135" customFormat="1" ht="15.75" x14ac:dyDescent="0.25">
      <c r="A323" s="109"/>
      <c r="B323" s="109"/>
      <c r="C323" s="118" t="str">
        <f t="shared" si="8"/>
        <v/>
      </c>
      <c r="D323" s="118" t="str">
        <f t="shared" si="9"/>
        <v/>
      </c>
      <c r="E323" s="121"/>
      <c r="F323" s="121"/>
      <c r="G323" s="121"/>
      <c r="H323" s="121"/>
      <c r="I323" s="142"/>
      <c r="J323" s="121"/>
      <c r="K323" s="121"/>
      <c r="L323" s="144"/>
      <c r="M323" s="144"/>
      <c r="N323" s="144"/>
      <c r="O323" s="144"/>
      <c r="P323" s="144"/>
    </row>
    <row r="324" spans="1:16" s="135" customFormat="1" ht="15.75" x14ac:dyDescent="0.25">
      <c r="A324" s="109"/>
      <c r="B324" s="109"/>
      <c r="C324" s="118" t="str">
        <f t="shared" si="8"/>
        <v/>
      </c>
      <c r="D324" s="118" t="str">
        <f t="shared" si="9"/>
        <v/>
      </c>
      <c r="E324" s="121"/>
      <c r="F324" s="121"/>
      <c r="G324" s="121"/>
      <c r="H324" s="121"/>
      <c r="I324" s="142"/>
      <c r="J324" s="121"/>
      <c r="K324" s="121"/>
      <c r="L324" s="144"/>
      <c r="M324" s="144"/>
      <c r="N324" s="144"/>
      <c r="O324" s="144"/>
      <c r="P324" s="144"/>
    </row>
    <row r="325" spans="1:16" s="135" customFormat="1" ht="15.75" x14ac:dyDescent="0.25">
      <c r="A325" s="109"/>
      <c r="B325" s="109"/>
      <c r="C325" s="118" t="str">
        <f t="shared" si="8"/>
        <v/>
      </c>
      <c r="D325" s="118" t="str">
        <f t="shared" si="9"/>
        <v/>
      </c>
      <c r="E325" s="121"/>
      <c r="F325" s="121"/>
      <c r="G325" s="121"/>
      <c r="H325" s="121"/>
      <c r="I325" s="142"/>
      <c r="J325" s="121"/>
      <c r="K325" s="121"/>
      <c r="L325" s="144"/>
      <c r="M325" s="144"/>
      <c r="N325" s="144"/>
      <c r="O325" s="144"/>
      <c r="P325" s="144"/>
    </row>
    <row r="326" spans="1:16" s="135" customFormat="1" ht="15.75" x14ac:dyDescent="0.25">
      <c r="A326" s="109"/>
      <c r="B326" s="109"/>
      <c r="C326" s="118" t="str">
        <f t="shared" si="8"/>
        <v/>
      </c>
      <c r="D326" s="118" t="str">
        <f t="shared" si="9"/>
        <v/>
      </c>
      <c r="E326" s="121"/>
      <c r="F326" s="121"/>
      <c r="G326" s="121"/>
      <c r="H326" s="121"/>
      <c r="I326" s="142"/>
      <c r="J326" s="121"/>
      <c r="K326" s="121"/>
      <c r="L326" s="144"/>
      <c r="M326" s="144"/>
      <c r="N326" s="144"/>
      <c r="O326" s="144"/>
      <c r="P326" s="144"/>
    </row>
    <row r="327" spans="1:16" s="135" customFormat="1" ht="15.75" x14ac:dyDescent="0.25">
      <c r="A327" s="109"/>
      <c r="B327" s="109"/>
      <c r="C327" s="118" t="str">
        <f t="shared" si="8"/>
        <v/>
      </c>
      <c r="D327" s="118" t="str">
        <f t="shared" si="9"/>
        <v/>
      </c>
      <c r="E327" s="121"/>
      <c r="F327" s="121"/>
      <c r="G327" s="121"/>
      <c r="H327" s="121"/>
      <c r="I327" s="142"/>
      <c r="J327" s="121"/>
      <c r="K327" s="121"/>
      <c r="L327" s="144"/>
      <c r="M327" s="144"/>
      <c r="N327" s="144"/>
      <c r="O327" s="144"/>
      <c r="P327" s="144"/>
    </row>
    <row r="328" spans="1:16" s="135" customFormat="1" ht="15.75" x14ac:dyDescent="0.25">
      <c r="A328" s="109"/>
      <c r="B328" s="109"/>
      <c r="C328" s="118" t="str">
        <f t="shared" si="8"/>
        <v/>
      </c>
      <c r="D328" s="118" t="str">
        <f t="shared" si="9"/>
        <v/>
      </c>
      <c r="E328" s="121"/>
      <c r="F328" s="121"/>
      <c r="G328" s="121"/>
      <c r="H328" s="121"/>
      <c r="I328" s="142"/>
      <c r="J328" s="121"/>
      <c r="K328" s="121"/>
      <c r="L328" s="144"/>
      <c r="M328" s="144"/>
      <c r="N328" s="144"/>
      <c r="O328" s="144"/>
      <c r="P328" s="144"/>
    </row>
    <row r="329" spans="1:16" s="135" customFormat="1" ht="15.75" x14ac:dyDescent="0.25">
      <c r="A329" s="109"/>
      <c r="B329" s="109"/>
      <c r="C329" s="118" t="str">
        <f t="shared" si="8"/>
        <v/>
      </c>
      <c r="D329" s="118" t="str">
        <f t="shared" si="9"/>
        <v/>
      </c>
      <c r="E329" s="121"/>
      <c r="F329" s="121"/>
      <c r="G329" s="121"/>
      <c r="H329" s="121"/>
      <c r="I329" s="142"/>
      <c r="J329" s="121"/>
      <c r="K329" s="121"/>
      <c r="L329" s="144"/>
      <c r="M329" s="144"/>
      <c r="N329" s="144"/>
      <c r="O329" s="144"/>
      <c r="P329" s="144"/>
    </row>
    <row r="330" spans="1:16" s="135" customFormat="1" ht="15.75" x14ac:dyDescent="0.25">
      <c r="A330" s="109"/>
      <c r="B330" s="109"/>
      <c r="C330" s="118" t="str">
        <f t="shared" si="8"/>
        <v/>
      </c>
      <c r="D330" s="118" t="str">
        <f t="shared" si="9"/>
        <v/>
      </c>
      <c r="E330" s="121"/>
      <c r="F330" s="121"/>
      <c r="G330" s="121"/>
      <c r="H330" s="121"/>
      <c r="I330" s="142"/>
      <c r="J330" s="121"/>
      <c r="K330" s="121"/>
      <c r="L330" s="144"/>
      <c r="M330" s="144"/>
      <c r="N330" s="144"/>
      <c r="O330" s="144"/>
      <c r="P330" s="144"/>
    </row>
    <row r="331" spans="1:16" s="135" customFormat="1" ht="15.75" x14ac:dyDescent="0.25">
      <c r="A331" s="109"/>
      <c r="B331" s="109"/>
      <c r="C331" s="118" t="str">
        <f t="shared" si="8"/>
        <v/>
      </c>
      <c r="D331" s="118" t="str">
        <f t="shared" si="9"/>
        <v/>
      </c>
      <c r="E331" s="121"/>
      <c r="F331" s="121"/>
      <c r="G331" s="121"/>
      <c r="H331" s="121"/>
      <c r="I331" s="142"/>
      <c r="J331" s="121"/>
      <c r="K331" s="121"/>
      <c r="L331" s="144"/>
      <c r="M331" s="144"/>
      <c r="N331" s="144"/>
      <c r="O331" s="144"/>
      <c r="P331" s="144"/>
    </row>
    <row r="332" spans="1:16" s="135" customFormat="1" ht="15.75" x14ac:dyDescent="0.25">
      <c r="A332" s="109"/>
      <c r="B332" s="109"/>
      <c r="C332" s="118" t="str">
        <f t="shared" si="8"/>
        <v/>
      </c>
      <c r="D332" s="118" t="str">
        <f t="shared" si="9"/>
        <v/>
      </c>
      <c r="E332" s="121"/>
      <c r="F332" s="121"/>
      <c r="G332" s="121"/>
      <c r="H332" s="121"/>
      <c r="I332" s="142"/>
      <c r="J332" s="121"/>
      <c r="K332" s="121"/>
      <c r="L332" s="144"/>
      <c r="M332" s="144"/>
      <c r="N332" s="144"/>
      <c r="O332" s="144"/>
      <c r="P332" s="144"/>
    </row>
    <row r="333" spans="1:16" s="135" customFormat="1" ht="15.75" x14ac:dyDescent="0.25">
      <c r="A333" s="109"/>
      <c r="B333" s="109"/>
      <c r="C333" s="118" t="str">
        <f t="shared" si="8"/>
        <v/>
      </c>
      <c r="D333" s="118" t="str">
        <f t="shared" si="9"/>
        <v/>
      </c>
      <c r="E333" s="121"/>
      <c r="F333" s="121"/>
      <c r="G333" s="121"/>
      <c r="H333" s="121"/>
      <c r="I333" s="142"/>
      <c r="J333" s="121"/>
      <c r="K333" s="121"/>
      <c r="L333" s="144"/>
      <c r="M333" s="144"/>
      <c r="N333" s="144"/>
      <c r="O333" s="144"/>
      <c r="P333" s="144"/>
    </row>
    <row r="334" spans="1:16" s="135" customFormat="1" ht="15.75" x14ac:dyDescent="0.25">
      <c r="A334" s="109"/>
      <c r="B334" s="109"/>
      <c r="C334" s="118" t="str">
        <f t="shared" si="8"/>
        <v/>
      </c>
      <c r="D334" s="118" t="str">
        <f t="shared" si="9"/>
        <v/>
      </c>
      <c r="E334" s="121"/>
      <c r="F334" s="121"/>
      <c r="G334" s="121"/>
      <c r="H334" s="121"/>
      <c r="I334" s="142"/>
      <c r="J334" s="121"/>
      <c r="K334" s="121"/>
      <c r="L334" s="144"/>
      <c r="M334" s="144"/>
      <c r="N334" s="144"/>
      <c r="O334" s="144"/>
      <c r="P334" s="144"/>
    </row>
    <row r="335" spans="1:16" s="135" customFormat="1" ht="15.75" x14ac:dyDescent="0.25">
      <c r="A335" s="109"/>
      <c r="B335" s="109"/>
      <c r="C335" s="118" t="str">
        <f t="shared" si="8"/>
        <v/>
      </c>
      <c r="D335" s="118" t="str">
        <f t="shared" si="9"/>
        <v/>
      </c>
      <c r="E335" s="121"/>
      <c r="F335" s="121"/>
      <c r="G335" s="121"/>
      <c r="H335" s="121"/>
      <c r="I335" s="142"/>
      <c r="J335" s="121"/>
      <c r="K335" s="121"/>
      <c r="L335" s="144"/>
      <c r="M335" s="144"/>
      <c r="N335" s="144"/>
      <c r="O335" s="144"/>
      <c r="P335" s="144"/>
    </row>
    <row r="336" spans="1:16" s="135" customFormat="1" ht="15.75" x14ac:dyDescent="0.25">
      <c r="A336" s="109"/>
      <c r="B336" s="109"/>
      <c r="C336" s="118" t="str">
        <f t="shared" si="8"/>
        <v/>
      </c>
      <c r="D336" s="118" t="str">
        <f t="shared" si="9"/>
        <v/>
      </c>
      <c r="E336" s="121"/>
      <c r="F336" s="121"/>
      <c r="G336" s="121"/>
      <c r="H336" s="121"/>
      <c r="I336" s="142"/>
      <c r="J336" s="121"/>
      <c r="K336" s="121"/>
      <c r="L336" s="144"/>
      <c r="M336" s="144"/>
      <c r="N336" s="144"/>
      <c r="O336" s="144"/>
      <c r="P336" s="144"/>
    </row>
    <row r="337" spans="1:16" s="135" customFormat="1" ht="15.75" x14ac:dyDescent="0.25">
      <c r="A337" s="109"/>
      <c r="B337" s="109"/>
      <c r="C337" s="118" t="str">
        <f t="shared" si="8"/>
        <v/>
      </c>
      <c r="D337" s="118" t="str">
        <f t="shared" si="9"/>
        <v/>
      </c>
      <c r="E337" s="121"/>
      <c r="F337" s="121"/>
      <c r="G337" s="121"/>
      <c r="H337" s="121"/>
      <c r="I337" s="142"/>
      <c r="J337" s="121"/>
      <c r="K337" s="121"/>
      <c r="L337" s="144"/>
      <c r="M337" s="144"/>
      <c r="N337" s="144"/>
      <c r="O337" s="144"/>
      <c r="P337" s="144"/>
    </row>
    <row r="338" spans="1:16" s="135" customFormat="1" ht="15.75" x14ac:dyDescent="0.25">
      <c r="A338" s="109"/>
      <c r="B338" s="109"/>
      <c r="C338" s="118" t="str">
        <f t="shared" si="8"/>
        <v/>
      </c>
      <c r="D338" s="118" t="str">
        <f t="shared" si="9"/>
        <v/>
      </c>
      <c r="E338" s="121"/>
      <c r="F338" s="121"/>
      <c r="G338" s="121"/>
      <c r="H338" s="121"/>
      <c r="I338" s="142"/>
      <c r="J338" s="121"/>
      <c r="K338" s="121"/>
      <c r="L338" s="144"/>
      <c r="M338" s="144"/>
      <c r="N338" s="144"/>
      <c r="O338" s="144"/>
      <c r="P338" s="144"/>
    </row>
    <row r="339" spans="1:16" s="135" customFormat="1" ht="15.75" x14ac:dyDescent="0.25">
      <c r="A339" s="109"/>
      <c r="B339" s="109"/>
      <c r="C339" s="118" t="str">
        <f t="shared" si="8"/>
        <v/>
      </c>
      <c r="D339" s="118" t="str">
        <f t="shared" si="9"/>
        <v/>
      </c>
      <c r="E339" s="121"/>
      <c r="F339" s="121"/>
      <c r="G339" s="121"/>
      <c r="H339" s="121"/>
      <c r="I339" s="142"/>
      <c r="J339" s="121"/>
      <c r="K339" s="121"/>
      <c r="L339" s="144"/>
      <c r="M339" s="144"/>
      <c r="N339" s="144"/>
      <c r="O339" s="144"/>
      <c r="P339" s="144"/>
    </row>
    <row r="340" spans="1:16" s="135" customFormat="1" ht="15.75" x14ac:dyDescent="0.25">
      <c r="A340" s="109"/>
      <c r="B340" s="109"/>
      <c r="C340" s="118" t="str">
        <f t="shared" ref="C340:C403" si="10">IF(A340=0,"",VLOOKUP(B340,MatDB,2,FALSE))</f>
        <v/>
      </c>
      <c r="D340" s="118" t="str">
        <f t="shared" si="9"/>
        <v/>
      </c>
      <c r="E340" s="121"/>
      <c r="F340" s="121"/>
      <c r="G340" s="121"/>
      <c r="H340" s="121"/>
      <c r="I340" s="142"/>
      <c r="J340" s="121"/>
      <c r="K340" s="121"/>
      <c r="L340" s="144"/>
      <c r="M340" s="144"/>
      <c r="N340" s="144"/>
      <c r="O340" s="144"/>
      <c r="P340" s="144"/>
    </row>
    <row r="341" spans="1:16" s="135" customFormat="1" ht="15.75" x14ac:dyDescent="0.25">
      <c r="A341" s="109"/>
      <c r="B341" s="109"/>
      <c r="C341" s="118" t="str">
        <f t="shared" si="10"/>
        <v/>
      </c>
      <c r="D341" s="118" t="str">
        <f t="shared" ref="D341:D404" si="11">IF(A341=0,"","Steel02")</f>
        <v/>
      </c>
      <c r="E341" s="121"/>
      <c r="F341" s="121"/>
      <c r="G341" s="121"/>
      <c r="H341" s="121"/>
      <c r="I341" s="142"/>
      <c r="J341" s="121"/>
      <c r="K341" s="121"/>
      <c r="L341" s="144"/>
      <c r="M341" s="144"/>
      <c r="N341" s="144"/>
      <c r="O341" s="144"/>
      <c r="P341" s="144"/>
    </row>
    <row r="342" spans="1:16" s="135" customFormat="1" ht="15.75" x14ac:dyDescent="0.25">
      <c r="A342" s="109"/>
      <c r="B342" s="109"/>
      <c r="C342" s="118" t="str">
        <f t="shared" si="10"/>
        <v/>
      </c>
      <c r="D342" s="118" t="str">
        <f t="shared" si="11"/>
        <v/>
      </c>
      <c r="E342" s="121"/>
      <c r="F342" s="121"/>
      <c r="G342" s="121"/>
      <c r="H342" s="121"/>
      <c r="I342" s="142"/>
      <c r="J342" s="121"/>
      <c r="K342" s="121"/>
      <c r="L342" s="144"/>
      <c r="M342" s="144"/>
      <c r="N342" s="144"/>
      <c r="O342" s="144"/>
      <c r="P342" s="144"/>
    </row>
    <row r="343" spans="1:16" s="135" customFormat="1" ht="15.75" x14ac:dyDescent="0.25">
      <c r="A343" s="109"/>
      <c r="B343" s="109"/>
      <c r="C343" s="118" t="str">
        <f t="shared" si="10"/>
        <v/>
      </c>
      <c r="D343" s="118" t="str">
        <f t="shared" si="11"/>
        <v/>
      </c>
      <c r="E343" s="121"/>
      <c r="F343" s="121"/>
      <c r="G343" s="121"/>
      <c r="H343" s="121"/>
      <c r="I343" s="142"/>
      <c r="J343" s="121"/>
      <c r="K343" s="121"/>
      <c r="L343" s="144"/>
      <c r="M343" s="144"/>
      <c r="N343" s="144"/>
      <c r="O343" s="144"/>
      <c r="P343" s="144"/>
    </row>
    <row r="344" spans="1:16" s="135" customFormat="1" ht="15.75" x14ac:dyDescent="0.25">
      <c r="A344" s="109"/>
      <c r="B344" s="109"/>
      <c r="C344" s="118" t="str">
        <f t="shared" si="10"/>
        <v/>
      </c>
      <c r="D344" s="118" t="str">
        <f t="shared" si="11"/>
        <v/>
      </c>
      <c r="E344" s="121"/>
      <c r="F344" s="121"/>
      <c r="G344" s="121"/>
      <c r="H344" s="121"/>
      <c r="I344" s="142"/>
      <c r="J344" s="121"/>
      <c r="K344" s="121"/>
      <c r="L344" s="144"/>
      <c r="M344" s="144"/>
      <c r="N344" s="144"/>
      <c r="O344" s="144"/>
      <c r="P344" s="144"/>
    </row>
    <row r="345" spans="1:16" s="135" customFormat="1" ht="15.75" x14ac:dyDescent="0.25">
      <c r="A345" s="109"/>
      <c r="B345" s="109"/>
      <c r="C345" s="118" t="str">
        <f t="shared" si="10"/>
        <v/>
      </c>
      <c r="D345" s="118" t="str">
        <f t="shared" si="11"/>
        <v/>
      </c>
      <c r="E345" s="121"/>
      <c r="F345" s="121"/>
      <c r="G345" s="121"/>
      <c r="H345" s="121"/>
      <c r="I345" s="142"/>
      <c r="J345" s="121"/>
      <c r="K345" s="121"/>
      <c r="L345" s="144"/>
      <c r="M345" s="144"/>
      <c r="N345" s="144"/>
      <c r="O345" s="144"/>
      <c r="P345" s="144"/>
    </row>
    <row r="346" spans="1:16" s="135" customFormat="1" ht="15.75" x14ac:dyDescent="0.25">
      <c r="A346" s="109"/>
      <c r="B346" s="109"/>
      <c r="C346" s="118" t="str">
        <f t="shared" si="10"/>
        <v/>
      </c>
      <c r="D346" s="118" t="str">
        <f t="shared" si="11"/>
        <v/>
      </c>
      <c r="E346" s="121"/>
      <c r="F346" s="121"/>
      <c r="G346" s="121"/>
      <c r="H346" s="121"/>
      <c r="I346" s="142"/>
      <c r="J346" s="121"/>
      <c r="K346" s="121"/>
      <c r="L346" s="144"/>
      <c r="M346" s="144"/>
      <c r="N346" s="144"/>
      <c r="O346" s="144"/>
      <c r="P346" s="144"/>
    </row>
    <row r="347" spans="1:16" s="135" customFormat="1" ht="15.75" x14ac:dyDescent="0.25">
      <c r="A347" s="109"/>
      <c r="B347" s="109"/>
      <c r="C347" s="118" t="str">
        <f t="shared" si="10"/>
        <v/>
      </c>
      <c r="D347" s="118" t="str">
        <f t="shared" si="11"/>
        <v/>
      </c>
      <c r="E347" s="121"/>
      <c r="F347" s="121"/>
      <c r="G347" s="121"/>
      <c r="H347" s="121"/>
      <c r="I347" s="142"/>
      <c r="J347" s="121"/>
      <c r="K347" s="121"/>
      <c r="L347" s="144"/>
      <c r="M347" s="144"/>
      <c r="N347" s="144"/>
      <c r="O347" s="144"/>
      <c r="P347" s="144"/>
    </row>
    <row r="348" spans="1:16" s="135" customFormat="1" ht="15.75" x14ac:dyDescent="0.25">
      <c r="A348" s="109"/>
      <c r="B348" s="109"/>
      <c r="C348" s="118" t="str">
        <f t="shared" si="10"/>
        <v/>
      </c>
      <c r="D348" s="118" t="str">
        <f t="shared" si="11"/>
        <v/>
      </c>
      <c r="E348" s="121"/>
      <c r="F348" s="121"/>
      <c r="G348" s="121"/>
      <c r="H348" s="121"/>
      <c r="I348" s="142"/>
      <c r="J348" s="121"/>
      <c r="K348" s="121"/>
      <c r="L348" s="144"/>
      <c r="M348" s="144"/>
      <c r="N348" s="144"/>
      <c r="O348" s="144"/>
      <c r="P348" s="144"/>
    </row>
    <row r="349" spans="1:16" s="135" customFormat="1" ht="15.75" x14ac:dyDescent="0.25">
      <c r="A349" s="109"/>
      <c r="B349" s="109"/>
      <c r="C349" s="118" t="str">
        <f t="shared" si="10"/>
        <v/>
      </c>
      <c r="D349" s="118" t="str">
        <f t="shared" si="11"/>
        <v/>
      </c>
      <c r="E349" s="121"/>
      <c r="F349" s="121"/>
      <c r="G349" s="121"/>
      <c r="H349" s="121"/>
      <c r="I349" s="142"/>
      <c r="J349" s="121"/>
      <c r="K349" s="121"/>
      <c r="L349" s="144"/>
      <c r="M349" s="144"/>
      <c r="N349" s="144"/>
      <c r="O349" s="144"/>
      <c r="P349" s="144"/>
    </row>
    <row r="350" spans="1:16" s="135" customFormat="1" ht="15.75" x14ac:dyDescent="0.25">
      <c r="A350" s="109"/>
      <c r="B350" s="109"/>
      <c r="C350" s="118" t="str">
        <f t="shared" si="10"/>
        <v/>
      </c>
      <c r="D350" s="118" t="str">
        <f t="shared" si="11"/>
        <v/>
      </c>
      <c r="E350" s="121"/>
      <c r="F350" s="121"/>
      <c r="G350" s="121"/>
      <c r="H350" s="121"/>
      <c r="I350" s="142"/>
      <c r="J350" s="121"/>
      <c r="K350" s="121"/>
      <c r="L350" s="144"/>
      <c r="M350" s="144"/>
      <c r="N350" s="144"/>
      <c r="O350" s="144"/>
      <c r="P350" s="144"/>
    </row>
    <row r="351" spans="1:16" s="135" customFormat="1" ht="15.75" x14ac:dyDescent="0.25">
      <c r="A351" s="109"/>
      <c r="B351" s="109"/>
      <c r="C351" s="118" t="str">
        <f t="shared" si="10"/>
        <v/>
      </c>
      <c r="D351" s="118" t="str">
        <f t="shared" si="11"/>
        <v/>
      </c>
      <c r="E351" s="121"/>
      <c r="F351" s="121"/>
      <c r="G351" s="121"/>
      <c r="H351" s="121"/>
      <c r="I351" s="142"/>
      <c r="J351" s="121"/>
      <c r="K351" s="121"/>
      <c r="L351" s="144"/>
      <c r="M351" s="144"/>
      <c r="N351" s="144"/>
      <c r="O351" s="144"/>
      <c r="P351" s="144"/>
    </row>
    <row r="352" spans="1:16" s="135" customFormat="1" ht="15.75" x14ac:dyDescent="0.25">
      <c r="A352" s="109"/>
      <c r="B352" s="109"/>
      <c r="C352" s="118" t="str">
        <f t="shared" si="10"/>
        <v/>
      </c>
      <c r="D352" s="118" t="str">
        <f t="shared" si="11"/>
        <v/>
      </c>
      <c r="E352" s="121"/>
      <c r="F352" s="121"/>
      <c r="G352" s="121"/>
      <c r="H352" s="121"/>
      <c r="I352" s="142"/>
      <c r="J352" s="121"/>
      <c r="K352" s="121"/>
      <c r="L352" s="144"/>
      <c r="M352" s="144"/>
      <c r="N352" s="144"/>
      <c r="O352" s="144"/>
      <c r="P352" s="144"/>
    </row>
    <row r="353" spans="1:16" s="135" customFormat="1" ht="15.75" x14ac:dyDescent="0.25">
      <c r="A353" s="109"/>
      <c r="B353" s="109"/>
      <c r="C353" s="118" t="str">
        <f t="shared" si="10"/>
        <v/>
      </c>
      <c r="D353" s="118" t="str">
        <f t="shared" si="11"/>
        <v/>
      </c>
      <c r="E353" s="121"/>
      <c r="F353" s="121"/>
      <c r="G353" s="121"/>
      <c r="H353" s="121"/>
      <c r="I353" s="142"/>
      <c r="J353" s="121"/>
      <c r="K353" s="121"/>
      <c r="L353" s="144"/>
      <c r="M353" s="144"/>
      <c r="N353" s="144"/>
      <c r="O353" s="144"/>
      <c r="P353" s="144"/>
    </row>
    <row r="354" spans="1:16" s="135" customFormat="1" ht="15.75" x14ac:dyDescent="0.25">
      <c r="A354" s="109"/>
      <c r="B354" s="109"/>
      <c r="C354" s="118" t="str">
        <f t="shared" si="10"/>
        <v/>
      </c>
      <c r="D354" s="118" t="str">
        <f t="shared" si="11"/>
        <v/>
      </c>
      <c r="E354" s="121"/>
      <c r="F354" s="121"/>
      <c r="G354" s="121"/>
      <c r="H354" s="121"/>
      <c r="I354" s="142"/>
      <c r="J354" s="121"/>
      <c r="K354" s="121"/>
      <c r="L354" s="144"/>
      <c r="M354" s="144"/>
      <c r="N354" s="144"/>
      <c r="O354" s="144"/>
      <c r="P354" s="144"/>
    </row>
    <row r="355" spans="1:16" s="135" customFormat="1" ht="15.75" x14ac:dyDescent="0.25">
      <c r="A355" s="109"/>
      <c r="B355" s="109"/>
      <c r="C355" s="118" t="str">
        <f t="shared" si="10"/>
        <v/>
      </c>
      <c r="D355" s="118" t="str">
        <f t="shared" si="11"/>
        <v/>
      </c>
      <c r="E355" s="121"/>
      <c r="F355" s="121"/>
      <c r="G355" s="121"/>
      <c r="H355" s="121"/>
      <c r="I355" s="142"/>
      <c r="J355" s="121"/>
      <c r="K355" s="121"/>
      <c r="L355" s="144"/>
      <c r="M355" s="144"/>
      <c r="N355" s="144"/>
      <c r="O355" s="144"/>
      <c r="P355" s="144"/>
    </row>
    <row r="356" spans="1:16" s="135" customFormat="1" ht="15.75" x14ac:dyDescent="0.25">
      <c r="A356" s="109"/>
      <c r="B356" s="109"/>
      <c r="C356" s="118" t="str">
        <f t="shared" si="10"/>
        <v/>
      </c>
      <c r="D356" s="118" t="str">
        <f t="shared" si="11"/>
        <v/>
      </c>
      <c r="E356" s="121"/>
      <c r="F356" s="121"/>
      <c r="G356" s="121"/>
      <c r="H356" s="121"/>
      <c r="I356" s="142"/>
      <c r="J356" s="121"/>
      <c r="K356" s="121"/>
      <c r="L356" s="144"/>
      <c r="M356" s="144"/>
      <c r="N356" s="144"/>
      <c r="O356" s="144"/>
      <c r="P356" s="144"/>
    </row>
    <row r="357" spans="1:16" s="135" customFormat="1" ht="15.75" x14ac:dyDescent="0.25">
      <c r="A357" s="109"/>
      <c r="B357" s="109"/>
      <c r="C357" s="118" t="str">
        <f t="shared" si="10"/>
        <v/>
      </c>
      <c r="D357" s="118" t="str">
        <f t="shared" si="11"/>
        <v/>
      </c>
      <c r="E357" s="121"/>
      <c r="F357" s="121"/>
      <c r="G357" s="121"/>
      <c r="H357" s="121"/>
      <c r="I357" s="142"/>
      <c r="J357" s="121"/>
      <c r="K357" s="121"/>
      <c r="L357" s="144"/>
      <c r="M357" s="144"/>
      <c r="N357" s="144"/>
      <c r="O357" s="144"/>
      <c r="P357" s="144"/>
    </row>
    <row r="358" spans="1:16" s="135" customFormat="1" ht="15.75" x14ac:dyDescent="0.25">
      <c r="A358" s="109"/>
      <c r="B358" s="109"/>
      <c r="C358" s="118" t="str">
        <f t="shared" si="10"/>
        <v/>
      </c>
      <c r="D358" s="118" t="str">
        <f t="shared" si="11"/>
        <v/>
      </c>
      <c r="E358" s="121"/>
      <c r="F358" s="121"/>
      <c r="G358" s="121"/>
      <c r="H358" s="121"/>
      <c r="I358" s="142"/>
      <c r="J358" s="121"/>
      <c r="K358" s="121"/>
      <c r="L358" s="144"/>
      <c r="M358" s="144"/>
      <c r="N358" s="144"/>
      <c r="O358" s="144"/>
      <c r="P358" s="144"/>
    </row>
    <row r="359" spans="1:16" s="135" customFormat="1" ht="15.75" x14ac:dyDescent="0.25">
      <c r="A359" s="109"/>
      <c r="B359" s="109"/>
      <c r="C359" s="118" t="str">
        <f t="shared" si="10"/>
        <v/>
      </c>
      <c r="D359" s="118" t="str">
        <f t="shared" si="11"/>
        <v/>
      </c>
      <c r="E359" s="121"/>
      <c r="F359" s="121"/>
      <c r="G359" s="121"/>
      <c r="H359" s="121"/>
      <c r="I359" s="142"/>
      <c r="J359" s="121"/>
      <c r="K359" s="121"/>
      <c r="L359" s="144"/>
      <c r="M359" s="144"/>
      <c r="N359" s="144"/>
      <c r="O359" s="144"/>
      <c r="P359" s="144"/>
    </row>
    <row r="360" spans="1:16" s="135" customFormat="1" ht="15.75" x14ac:dyDescent="0.25">
      <c r="A360" s="109"/>
      <c r="B360" s="109"/>
      <c r="C360" s="118" t="str">
        <f t="shared" si="10"/>
        <v/>
      </c>
      <c r="D360" s="118" t="str">
        <f t="shared" si="11"/>
        <v/>
      </c>
      <c r="E360" s="121"/>
      <c r="F360" s="121"/>
      <c r="G360" s="121"/>
      <c r="H360" s="121"/>
      <c r="I360" s="142"/>
      <c r="J360" s="121"/>
      <c r="K360" s="121"/>
      <c r="L360" s="144"/>
      <c r="M360" s="144"/>
      <c r="N360" s="144"/>
      <c r="O360" s="144"/>
      <c r="P360" s="144"/>
    </row>
    <row r="361" spans="1:16" s="135" customFormat="1" ht="15.75" x14ac:dyDescent="0.25">
      <c r="A361" s="109"/>
      <c r="B361" s="109"/>
      <c r="C361" s="118" t="str">
        <f t="shared" si="10"/>
        <v/>
      </c>
      <c r="D361" s="118" t="str">
        <f t="shared" si="11"/>
        <v/>
      </c>
      <c r="E361" s="121"/>
      <c r="F361" s="121"/>
      <c r="G361" s="121"/>
      <c r="H361" s="121"/>
      <c r="I361" s="142"/>
      <c r="J361" s="121"/>
      <c r="K361" s="121"/>
      <c r="L361" s="144"/>
      <c r="M361" s="144"/>
      <c r="N361" s="144"/>
      <c r="O361" s="144"/>
      <c r="P361" s="144"/>
    </row>
    <row r="362" spans="1:16" s="135" customFormat="1" ht="15.75" x14ac:dyDescent="0.25">
      <c r="A362" s="109"/>
      <c r="B362" s="109"/>
      <c r="C362" s="118" t="str">
        <f t="shared" si="10"/>
        <v/>
      </c>
      <c r="D362" s="118" t="str">
        <f t="shared" si="11"/>
        <v/>
      </c>
      <c r="E362" s="121"/>
      <c r="F362" s="121"/>
      <c r="G362" s="121"/>
      <c r="H362" s="121"/>
      <c r="I362" s="142"/>
      <c r="J362" s="121"/>
      <c r="K362" s="121"/>
      <c r="L362" s="144"/>
      <c r="M362" s="144"/>
      <c r="N362" s="144"/>
      <c r="O362" s="144"/>
      <c r="P362" s="144"/>
    </row>
    <row r="363" spans="1:16" s="135" customFormat="1" ht="15.75" x14ac:dyDescent="0.25">
      <c r="A363" s="109"/>
      <c r="B363" s="109"/>
      <c r="C363" s="118" t="str">
        <f t="shared" si="10"/>
        <v/>
      </c>
      <c r="D363" s="118" t="str">
        <f t="shared" si="11"/>
        <v/>
      </c>
      <c r="E363" s="121"/>
      <c r="F363" s="121"/>
      <c r="G363" s="121"/>
      <c r="H363" s="121"/>
      <c r="I363" s="142"/>
      <c r="J363" s="121"/>
      <c r="K363" s="121"/>
      <c r="L363" s="144"/>
      <c r="M363" s="144"/>
      <c r="N363" s="144"/>
      <c r="O363" s="144"/>
      <c r="P363" s="144"/>
    </row>
    <row r="364" spans="1:16" s="135" customFormat="1" ht="15.75" x14ac:dyDescent="0.25">
      <c r="A364" s="109"/>
      <c r="B364" s="109"/>
      <c r="C364" s="118" t="str">
        <f t="shared" si="10"/>
        <v/>
      </c>
      <c r="D364" s="118" t="str">
        <f t="shared" si="11"/>
        <v/>
      </c>
      <c r="E364" s="121"/>
      <c r="F364" s="121"/>
      <c r="G364" s="121"/>
      <c r="H364" s="121"/>
      <c r="I364" s="142"/>
      <c r="J364" s="121"/>
      <c r="K364" s="121"/>
      <c r="L364" s="144"/>
      <c r="M364" s="144"/>
      <c r="N364" s="144"/>
      <c r="O364" s="144"/>
      <c r="P364" s="144"/>
    </row>
    <row r="365" spans="1:16" s="135" customFormat="1" ht="15.75" x14ac:dyDescent="0.25">
      <c r="A365" s="109"/>
      <c r="B365" s="109"/>
      <c r="C365" s="118" t="str">
        <f t="shared" si="10"/>
        <v/>
      </c>
      <c r="D365" s="118" t="str">
        <f t="shared" si="11"/>
        <v/>
      </c>
      <c r="E365" s="121"/>
      <c r="F365" s="121"/>
      <c r="G365" s="121"/>
      <c r="H365" s="121"/>
      <c r="I365" s="142"/>
      <c r="J365" s="121"/>
      <c r="K365" s="121"/>
      <c r="L365" s="144"/>
      <c r="M365" s="144"/>
      <c r="N365" s="144"/>
      <c r="O365" s="144"/>
      <c r="P365" s="144"/>
    </row>
    <row r="366" spans="1:16" s="135" customFormat="1" ht="15.75" x14ac:dyDescent="0.25">
      <c r="A366" s="109"/>
      <c r="B366" s="109"/>
      <c r="C366" s="118" t="str">
        <f t="shared" si="10"/>
        <v/>
      </c>
      <c r="D366" s="118" t="str">
        <f t="shared" si="11"/>
        <v/>
      </c>
      <c r="E366" s="121"/>
      <c r="F366" s="121"/>
      <c r="G366" s="121"/>
      <c r="H366" s="121"/>
      <c r="I366" s="142"/>
      <c r="J366" s="121"/>
      <c r="K366" s="121"/>
      <c r="L366" s="144"/>
      <c r="M366" s="144"/>
      <c r="N366" s="144"/>
      <c r="O366" s="144"/>
      <c r="P366" s="144"/>
    </row>
    <row r="367" spans="1:16" s="135" customFormat="1" ht="15.75" x14ac:dyDescent="0.25">
      <c r="A367" s="109"/>
      <c r="B367" s="109"/>
      <c r="C367" s="118" t="str">
        <f t="shared" si="10"/>
        <v/>
      </c>
      <c r="D367" s="118" t="str">
        <f t="shared" si="11"/>
        <v/>
      </c>
      <c r="E367" s="121"/>
      <c r="F367" s="121"/>
      <c r="G367" s="121"/>
      <c r="H367" s="121"/>
      <c r="I367" s="142"/>
      <c r="J367" s="121"/>
      <c r="K367" s="121"/>
      <c r="L367" s="144"/>
      <c r="M367" s="144"/>
      <c r="N367" s="144"/>
      <c r="O367" s="144"/>
      <c r="P367" s="144"/>
    </row>
    <row r="368" spans="1:16" s="135" customFormat="1" ht="15.75" x14ac:dyDescent="0.25">
      <c r="A368" s="109"/>
      <c r="B368" s="109"/>
      <c r="C368" s="118" t="str">
        <f t="shared" si="10"/>
        <v/>
      </c>
      <c r="D368" s="118" t="str">
        <f t="shared" si="11"/>
        <v/>
      </c>
      <c r="E368" s="121"/>
      <c r="F368" s="121"/>
      <c r="G368" s="121"/>
      <c r="H368" s="121"/>
      <c r="I368" s="142"/>
      <c r="J368" s="121"/>
      <c r="K368" s="121"/>
      <c r="L368" s="144"/>
      <c r="M368" s="144"/>
      <c r="N368" s="144"/>
      <c r="O368" s="144"/>
      <c r="P368" s="144"/>
    </row>
    <row r="369" spans="1:16" s="135" customFormat="1" ht="15.75" x14ac:dyDescent="0.25">
      <c r="A369" s="109"/>
      <c r="B369" s="109"/>
      <c r="C369" s="118" t="str">
        <f t="shared" si="10"/>
        <v/>
      </c>
      <c r="D369" s="118" t="str">
        <f t="shared" si="11"/>
        <v/>
      </c>
      <c r="E369" s="121"/>
      <c r="F369" s="121"/>
      <c r="G369" s="121"/>
      <c r="H369" s="121"/>
      <c r="I369" s="142"/>
      <c r="J369" s="121"/>
      <c r="K369" s="121"/>
      <c r="L369" s="144"/>
      <c r="M369" s="144"/>
      <c r="N369" s="144"/>
      <c r="O369" s="144"/>
      <c r="P369" s="144"/>
    </row>
    <row r="370" spans="1:16" s="135" customFormat="1" ht="15.75" x14ac:dyDescent="0.25">
      <c r="A370" s="109"/>
      <c r="B370" s="109"/>
      <c r="C370" s="118" t="str">
        <f t="shared" si="10"/>
        <v/>
      </c>
      <c r="D370" s="118" t="str">
        <f t="shared" si="11"/>
        <v/>
      </c>
      <c r="E370" s="121"/>
      <c r="F370" s="121"/>
      <c r="G370" s="121"/>
      <c r="H370" s="121"/>
      <c r="I370" s="142"/>
      <c r="J370" s="121"/>
      <c r="K370" s="121"/>
      <c r="L370" s="144"/>
      <c r="M370" s="144"/>
      <c r="N370" s="144"/>
      <c r="O370" s="144"/>
      <c r="P370" s="144"/>
    </row>
    <row r="371" spans="1:16" s="135" customFormat="1" ht="15.75" x14ac:dyDescent="0.25">
      <c r="A371" s="109"/>
      <c r="B371" s="109"/>
      <c r="C371" s="118" t="str">
        <f t="shared" si="10"/>
        <v/>
      </c>
      <c r="D371" s="118" t="str">
        <f t="shared" si="11"/>
        <v/>
      </c>
      <c r="E371" s="121"/>
      <c r="F371" s="121"/>
      <c r="G371" s="121"/>
      <c r="H371" s="121"/>
      <c r="I371" s="142"/>
      <c r="J371" s="121"/>
      <c r="K371" s="121"/>
      <c r="L371" s="144"/>
      <c r="M371" s="144"/>
      <c r="N371" s="144"/>
      <c r="O371" s="144"/>
      <c r="P371" s="144"/>
    </row>
    <row r="372" spans="1:16" s="135" customFormat="1" ht="15.75" x14ac:dyDescent="0.25">
      <c r="A372" s="109"/>
      <c r="B372" s="109"/>
      <c r="C372" s="118" t="str">
        <f t="shared" si="10"/>
        <v/>
      </c>
      <c r="D372" s="118" t="str">
        <f t="shared" si="11"/>
        <v/>
      </c>
      <c r="E372" s="121"/>
      <c r="F372" s="121"/>
      <c r="G372" s="121"/>
      <c r="H372" s="121"/>
      <c r="I372" s="142"/>
      <c r="J372" s="121"/>
      <c r="K372" s="121"/>
      <c r="L372" s="144"/>
      <c r="M372" s="144"/>
      <c r="N372" s="144"/>
      <c r="O372" s="144"/>
      <c r="P372" s="144"/>
    </row>
    <row r="373" spans="1:16" s="135" customFormat="1" ht="15.75" x14ac:dyDescent="0.25">
      <c r="A373" s="109"/>
      <c r="B373" s="109"/>
      <c r="C373" s="118" t="str">
        <f t="shared" si="10"/>
        <v/>
      </c>
      <c r="D373" s="118" t="str">
        <f t="shared" si="11"/>
        <v/>
      </c>
      <c r="E373" s="121"/>
      <c r="F373" s="121"/>
      <c r="G373" s="121"/>
      <c r="H373" s="121"/>
      <c r="I373" s="142"/>
      <c r="J373" s="121"/>
      <c r="K373" s="121"/>
      <c r="L373" s="144"/>
      <c r="M373" s="144"/>
      <c r="N373" s="144"/>
      <c r="O373" s="144"/>
      <c r="P373" s="144"/>
    </row>
    <row r="374" spans="1:16" s="135" customFormat="1" ht="15.75" x14ac:dyDescent="0.25">
      <c r="A374" s="109"/>
      <c r="B374" s="109"/>
      <c r="C374" s="118" t="str">
        <f t="shared" si="10"/>
        <v/>
      </c>
      <c r="D374" s="118" t="str">
        <f t="shared" si="11"/>
        <v/>
      </c>
      <c r="E374" s="121"/>
      <c r="F374" s="121"/>
      <c r="G374" s="121"/>
      <c r="H374" s="121"/>
      <c r="I374" s="142"/>
      <c r="J374" s="121"/>
      <c r="K374" s="121"/>
      <c r="L374" s="144"/>
      <c r="M374" s="144"/>
      <c r="N374" s="144"/>
      <c r="O374" s="144"/>
      <c r="P374" s="144"/>
    </row>
    <row r="375" spans="1:16" s="135" customFormat="1" ht="15.75" x14ac:dyDescent="0.25">
      <c r="A375" s="109"/>
      <c r="B375" s="109"/>
      <c r="C375" s="118" t="str">
        <f t="shared" si="10"/>
        <v/>
      </c>
      <c r="D375" s="118" t="str">
        <f t="shared" si="11"/>
        <v/>
      </c>
      <c r="E375" s="121"/>
      <c r="F375" s="121"/>
      <c r="G375" s="121"/>
      <c r="H375" s="121"/>
      <c r="I375" s="142"/>
      <c r="J375" s="121"/>
      <c r="K375" s="121"/>
      <c r="L375" s="144"/>
      <c r="M375" s="144"/>
      <c r="N375" s="144"/>
      <c r="O375" s="144"/>
      <c r="P375" s="144"/>
    </row>
    <row r="376" spans="1:16" s="135" customFormat="1" ht="15.75" x14ac:dyDescent="0.25">
      <c r="A376" s="109"/>
      <c r="B376" s="109"/>
      <c r="C376" s="118" t="str">
        <f t="shared" si="10"/>
        <v/>
      </c>
      <c r="D376" s="118" t="str">
        <f t="shared" si="11"/>
        <v/>
      </c>
      <c r="E376" s="121"/>
      <c r="F376" s="121"/>
      <c r="G376" s="121"/>
      <c r="H376" s="121"/>
      <c r="I376" s="142"/>
      <c r="J376" s="121"/>
      <c r="K376" s="121"/>
      <c r="L376" s="144"/>
      <c r="M376" s="144"/>
      <c r="N376" s="144"/>
      <c r="O376" s="144"/>
      <c r="P376" s="144"/>
    </row>
    <row r="377" spans="1:16" s="135" customFormat="1" ht="15.75" x14ac:dyDescent="0.25">
      <c r="A377" s="109"/>
      <c r="B377" s="109"/>
      <c r="C377" s="118" t="str">
        <f t="shared" si="10"/>
        <v/>
      </c>
      <c r="D377" s="118" t="str">
        <f t="shared" si="11"/>
        <v/>
      </c>
      <c r="E377" s="121"/>
      <c r="F377" s="121"/>
      <c r="G377" s="121"/>
      <c r="H377" s="121"/>
      <c r="I377" s="142"/>
      <c r="J377" s="121"/>
      <c r="K377" s="121"/>
      <c r="L377" s="144"/>
      <c r="M377" s="144"/>
      <c r="N377" s="144"/>
      <c r="O377" s="144"/>
      <c r="P377" s="144"/>
    </row>
    <row r="378" spans="1:16" s="135" customFormat="1" ht="15.75" x14ac:dyDescent="0.25">
      <c r="A378" s="109"/>
      <c r="B378" s="109"/>
      <c r="C378" s="118" t="str">
        <f t="shared" si="10"/>
        <v/>
      </c>
      <c r="D378" s="118" t="str">
        <f t="shared" si="11"/>
        <v/>
      </c>
      <c r="E378" s="121"/>
      <c r="F378" s="121"/>
      <c r="G378" s="121"/>
      <c r="H378" s="121"/>
      <c r="I378" s="142"/>
      <c r="J378" s="121"/>
      <c r="K378" s="121"/>
      <c r="L378" s="144"/>
      <c r="M378" s="144"/>
      <c r="N378" s="144"/>
      <c r="O378" s="144"/>
      <c r="P378" s="144"/>
    </row>
    <row r="379" spans="1:16" s="135" customFormat="1" ht="15.75" x14ac:dyDescent="0.25">
      <c r="A379" s="109"/>
      <c r="B379" s="109"/>
      <c r="C379" s="118" t="str">
        <f t="shared" si="10"/>
        <v/>
      </c>
      <c r="D379" s="118" t="str">
        <f t="shared" si="11"/>
        <v/>
      </c>
      <c r="E379" s="121"/>
      <c r="F379" s="121"/>
      <c r="G379" s="121"/>
      <c r="H379" s="121"/>
      <c r="I379" s="142"/>
      <c r="J379" s="121"/>
      <c r="K379" s="121"/>
      <c r="L379" s="144"/>
      <c r="M379" s="144"/>
      <c r="N379" s="144"/>
      <c r="O379" s="144"/>
      <c r="P379" s="144"/>
    </row>
    <row r="380" spans="1:16" s="135" customFormat="1" ht="15.75" x14ac:dyDescent="0.25">
      <c r="A380" s="109"/>
      <c r="B380" s="109"/>
      <c r="C380" s="118" t="str">
        <f t="shared" si="10"/>
        <v/>
      </c>
      <c r="D380" s="118" t="str">
        <f t="shared" si="11"/>
        <v/>
      </c>
      <c r="E380" s="121"/>
      <c r="F380" s="121"/>
      <c r="G380" s="121"/>
      <c r="H380" s="121"/>
      <c r="I380" s="142"/>
      <c r="J380" s="121"/>
      <c r="K380" s="121"/>
      <c r="L380" s="144"/>
      <c r="M380" s="144"/>
      <c r="N380" s="144"/>
      <c r="O380" s="144"/>
      <c r="P380" s="144"/>
    </row>
    <row r="381" spans="1:16" s="135" customFormat="1" ht="15.75" x14ac:dyDescent="0.25">
      <c r="A381" s="109"/>
      <c r="B381" s="109"/>
      <c r="C381" s="118" t="str">
        <f t="shared" si="10"/>
        <v/>
      </c>
      <c r="D381" s="118" t="str">
        <f t="shared" si="11"/>
        <v/>
      </c>
      <c r="E381" s="121"/>
      <c r="F381" s="121"/>
      <c r="G381" s="121"/>
      <c r="H381" s="121"/>
      <c r="I381" s="142"/>
      <c r="J381" s="121"/>
      <c r="K381" s="121"/>
      <c r="L381" s="144"/>
      <c r="M381" s="144"/>
      <c r="N381" s="144"/>
      <c r="O381" s="144"/>
      <c r="P381" s="144"/>
    </row>
    <row r="382" spans="1:16" s="135" customFormat="1" ht="15.75" x14ac:dyDescent="0.25">
      <c r="A382" s="109"/>
      <c r="B382" s="109"/>
      <c r="C382" s="118" t="str">
        <f t="shared" si="10"/>
        <v/>
      </c>
      <c r="D382" s="118" t="str">
        <f t="shared" si="11"/>
        <v/>
      </c>
      <c r="E382" s="121"/>
      <c r="F382" s="121"/>
      <c r="G382" s="121"/>
      <c r="H382" s="121"/>
      <c r="I382" s="142"/>
      <c r="J382" s="121"/>
      <c r="K382" s="121"/>
      <c r="L382" s="144"/>
      <c r="M382" s="144"/>
      <c r="N382" s="144"/>
      <c r="O382" s="144"/>
      <c r="P382" s="144"/>
    </row>
    <row r="383" spans="1:16" s="135" customFormat="1" ht="15.75" x14ac:dyDescent="0.25">
      <c r="A383" s="109"/>
      <c r="B383" s="109"/>
      <c r="C383" s="118" t="str">
        <f t="shared" si="10"/>
        <v/>
      </c>
      <c r="D383" s="118" t="str">
        <f t="shared" si="11"/>
        <v/>
      </c>
      <c r="E383" s="121"/>
      <c r="F383" s="121"/>
      <c r="G383" s="121"/>
      <c r="H383" s="121"/>
      <c r="I383" s="142"/>
      <c r="J383" s="121"/>
      <c r="K383" s="121"/>
      <c r="L383" s="144"/>
      <c r="M383" s="144"/>
      <c r="N383" s="144"/>
      <c r="O383" s="144"/>
      <c r="P383" s="144"/>
    </row>
    <row r="384" spans="1:16" s="135" customFormat="1" ht="15.75" x14ac:dyDescent="0.25">
      <c r="A384" s="109"/>
      <c r="B384" s="109"/>
      <c r="C384" s="118" t="str">
        <f t="shared" si="10"/>
        <v/>
      </c>
      <c r="D384" s="118" t="str">
        <f t="shared" si="11"/>
        <v/>
      </c>
      <c r="E384" s="121"/>
      <c r="F384" s="121"/>
      <c r="G384" s="121"/>
      <c r="H384" s="121"/>
      <c r="I384" s="142"/>
      <c r="J384" s="121"/>
      <c r="K384" s="121"/>
      <c r="L384" s="144"/>
      <c r="M384" s="144"/>
      <c r="N384" s="144"/>
      <c r="O384" s="144"/>
      <c r="P384" s="144"/>
    </row>
    <row r="385" spans="1:16" s="135" customFormat="1" ht="15.75" x14ac:dyDescent="0.25">
      <c r="A385" s="109"/>
      <c r="B385" s="109"/>
      <c r="C385" s="118" t="str">
        <f t="shared" si="10"/>
        <v/>
      </c>
      <c r="D385" s="118" t="str">
        <f t="shared" si="11"/>
        <v/>
      </c>
      <c r="E385" s="121"/>
      <c r="F385" s="121"/>
      <c r="G385" s="121"/>
      <c r="H385" s="121"/>
      <c r="I385" s="142"/>
      <c r="J385" s="121"/>
      <c r="K385" s="121"/>
      <c r="L385" s="144"/>
      <c r="M385" s="144"/>
      <c r="N385" s="144"/>
      <c r="O385" s="144"/>
      <c r="P385" s="144"/>
    </row>
    <row r="386" spans="1:16" s="135" customFormat="1" ht="15.75" x14ac:dyDescent="0.25">
      <c r="A386" s="109"/>
      <c r="B386" s="109"/>
      <c r="C386" s="118" t="str">
        <f t="shared" si="10"/>
        <v/>
      </c>
      <c r="D386" s="118" t="str">
        <f t="shared" si="11"/>
        <v/>
      </c>
      <c r="E386" s="121"/>
      <c r="F386" s="121"/>
      <c r="G386" s="121"/>
      <c r="H386" s="121"/>
      <c r="I386" s="142"/>
      <c r="J386" s="121"/>
      <c r="K386" s="121"/>
      <c r="L386" s="144"/>
      <c r="M386" s="144"/>
      <c r="N386" s="144"/>
      <c r="O386" s="144"/>
      <c r="P386" s="144"/>
    </row>
    <row r="387" spans="1:16" s="135" customFormat="1" ht="15.75" x14ac:dyDescent="0.25">
      <c r="A387" s="109"/>
      <c r="B387" s="109"/>
      <c r="C387" s="118" t="str">
        <f t="shared" si="10"/>
        <v/>
      </c>
      <c r="D387" s="118" t="str">
        <f t="shared" si="11"/>
        <v/>
      </c>
      <c r="E387" s="121"/>
      <c r="F387" s="121"/>
      <c r="G387" s="121"/>
      <c r="H387" s="121"/>
      <c r="I387" s="142"/>
      <c r="J387" s="121"/>
      <c r="K387" s="121"/>
      <c r="L387" s="144"/>
      <c r="M387" s="144"/>
      <c r="N387" s="144"/>
      <c r="O387" s="144"/>
      <c r="P387" s="144"/>
    </row>
    <row r="388" spans="1:16" s="135" customFormat="1" ht="15.75" x14ac:dyDescent="0.25">
      <c r="A388" s="109"/>
      <c r="B388" s="109"/>
      <c r="C388" s="118" t="str">
        <f t="shared" si="10"/>
        <v/>
      </c>
      <c r="D388" s="118" t="str">
        <f t="shared" si="11"/>
        <v/>
      </c>
      <c r="E388" s="121"/>
      <c r="F388" s="121"/>
      <c r="G388" s="121"/>
      <c r="H388" s="121"/>
      <c r="I388" s="142"/>
      <c r="J388" s="121"/>
      <c r="K388" s="121"/>
      <c r="L388" s="144"/>
      <c r="M388" s="144"/>
      <c r="N388" s="144"/>
      <c r="O388" s="144"/>
      <c r="P388" s="144"/>
    </row>
    <row r="389" spans="1:16" s="135" customFormat="1" ht="15.75" x14ac:dyDescent="0.25">
      <c r="A389" s="109"/>
      <c r="B389" s="109"/>
      <c r="C389" s="118" t="str">
        <f t="shared" si="10"/>
        <v/>
      </c>
      <c r="D389" s="118" t="str">
        <f t="shared" si="11"/>
        <v/>
      </c>
      <c r="E389" s="121"/>
      <c r="F389" s="121"/>
      <c r="G389" s="121"/>
      <c r="H389" s="121"/>
      <c r="I389" s="142"/>
      <c r="J389" s="121"/>
      <c r="K389" s="121"/>
      <c r="L389" s="144"/>
      <c r="M389" s="144"/>
      <c r="N389" s="144"/>
      <c r="O389" s="144"/>
      <c r="P389" s="144"/>
    </row>
    <row r="390" spans="1:16" s="135" customFormat="1" ht="15.75" x14ac:dyDescent="0.25">
      <c r="A390" s="109"/>
      <c r="B390" s="109"/>
      <c r="C390" s="118" t="str">
        <f t="shared" si="10"/>
        <v/>
      </c>
      <c r="D390" s="118" t="str">
        <f t="shared" si="11"/>
        <v/>
      </c>
      <c r="E390" s="121"/>
      <c r="F390" s="121"/>
      <c r="G390" s="121"/>
      <c r="H390" s="121"/>
      <c r="I390" s="142"/>
      <c r="J390" s="121"/>
      <c r="K390" s="121"/>
      <c r="L390" s="144"/>
      <c r="M390" s="144"/>
      <c r="N390" s="144"/>
      <c r="O390" s="144"/>
      <c r="P390" s="144"/>
    </row>
    <row r="391" spans="1:16" s="135" customFormat="1" ht="15.75" x14ac:dyDescent="0.25">
      <c r="A391" s="109"/>
      <c r="B391" s="109"/>
      <c r="C391" s="118" t="str">
        <f t="shared" si="10"/>
        <v/>
      </c>
      <c r="D391" s="118" t="str">
        <f t="shared" si="11"/>
        <v/>
      </c>
      <c r="E391" s="121"/>
      <c r="F391" s="121"/>
      <c r="G391" s="121"/>
      <c r="H391" s="121"/>
      <c r="I391" s="142"/>
      <c r="J391" s="121"/>
      <c r="K391" s="121"/>
      <c r="L391" s="144"/>
      <c r="M391" s="144"/>
      <c r="N391" s="144"/>
      <c r="O391" s="144"/>
      <c r="P391" s="144"/>
    </row>
    <row r="392" spans="1:16" s="135" customFormat="1" ht="15.75" x14ac:dyDescent="0.25">
      <c r="A392" s="109"/>
      <c r="B392" s="109"/>
      <c r="C392" s="118" t="str">
        <f t="shared" si="10"/>
        <v/>
      </c>
      <c r="D392" s="118" t="str">
        <f t="shared" si="11"/>
        <v/>
      </c>
      <c r="E392" s="121"/>
      <c r="F392" s="121"/>
      <c r="G392" s="121"/>
      <c r="H392" s="121"/>
      <c r="I392" s="142"/>
      <c r="J392" s="121"/>
      <c r="K392" s="121"/>
      <c r="L392" s="144"/>
      <c r="M392" s="144"/>
      <c r="N392" s="144"/>
      <c r="O392" s="144"/>
      <c r="P392" s="144"/>
    </row>
    <row r="393" spans="1:16" s="135" customFormat="1" ht="15.75" x14ac:dyDescent="0.25">
      <c r="A393" s="109"/>
      <c r="B393" s="109"/>
      <c r="C393" s="118" t="str">
        <f t="shared" si="10"/>
        <v/>
      </c>
      <c r="D393" s="118" t="str">
        <f t="shared" si="11"/>
        <v/>
      </c>
      <c r="E393" s="121"/>
      <c r="F393" s="121"/>
      <c r="G393" s="121"/>
      <c r="H393" s="121"/>
      <c r="I393" s="142"/>
      <c r="J393" s="121"/>
      <c r="K393" s="121"/>
      <c r="L393" s="144"/>
      <c r="M393" s="144"/>
      <c r="N393" s="144"/>
      <c r="O393" s="144"/>
      <c r="P393" s="144"/>
    </row>
    <row r="394" spans="1:16" s="135" customFormat="1" ht="15.75" x14ac:dyDescent="0.25">
      <c r="A394" s="109"/>
      <c r="B394" s="109"/>
      <c r="C394" s="118" t="str">
        <f t="shared" si="10"/>
        <v/>
      </c>
      <c r="D394" s="118" t="str">
        <f t="shared" si="11"/>
        <v/>
      </c>
      <c r="E394" s="121"/>
      <c r="F394" s="121"/>
      <c r="G394" s="121"/>
      <c r="H394" s="121"/>
      <c r="I394" s="142"/>
      <c r="J394" s="121"/>
      <c r="K394" s="121"/>
      <c r="L394" s="144"/>
      <c r="M394" s="144"/>
      <c r="N394" s="144"/>
      <c r="O394" s="144"/>
      <c r="P394" s="144"/>
    </row>
    <row r="395" spans="1:16" s="135" customFormat="1" ht="15.75" x14ac:dyDescent="0.25">
      <c r="A395" s="109"/>
      <c r="B395" s="109"/>
      <c r="C395" s="118" t="str">
        <f t="shared" si="10"/>
        <v/>
      </c>
      <c r="D395" s="118" t="str">
        <f t="shared" si="11"/>
        <v/>
      </c>
      <c r="E395" s="121"/>
      <c r="F395" s="121"/>
      <c r="G395" s="121"/>
      <c r="H395" s="121"/>
      <c r="I395" s="142"/>
      <c r="J395" s="121"/>
      <c r="K395" s="121"/>
      <c r="L395" s="144"/>
      <c r="M395" s="144"/>
      <c r="N395" s="144"/>
      <c r="O395" s="144"/>
      <c r="P395" s="144"/>
    </row>
    <row r="396" spans="1:16" s="135" customFormat="1" ht="15.75" x14ac:dyDescent="0.25">
      <c r="A396" s="109"/>
      <c r="B396" s="109"/>
      <c r="C396" s="118" t="str">
        <f t="shared" si="10"/>
        <v/>
      </c>
      <c r="D396" s="118" t="str">
        <f t="shared" si="11"/>
        <v/>
      </c>
      <c r="E396" s="121"/>
      <c r="F396" s="121"/>
      <c r="G396" s="121"/>
      <c r="H396" s="121"/>
      <c r="I396" s="142"/>
      <c r="J396" s="121"/>
      <c r="K396" s="121"/>
      <c r="L396" s="144"/>
      <c r="M396" s="144"/>
      <c r="N396" s="144"/>
      <c r="O396" s="144"/>
      <c r="P396" s="144"/>
    </row>
    <row r="397" spans="1:16" s="135" customFormat="1" ht="15.75" x14ac:dyDescent="0.25">
      <c r="A397" s="109"/>
      <c r="B397" s="109"/>
      <c r="C397" s="118" t="str">
        <f t="shared" si="10"/>
        <v/>
      </c>
      <c r="D397" s="118" t="str">
        <f t="shared" si="11"/>
        <v/>
      </c>
      <c r="E397" s="121"/>
      <c r="F397" s="121"/>
      <c r="G397" s="121"/>
      <c r="H397" s="121"/>
      <c r="I397" s="142"/>
      <c r="J397" s="121"/>
      <c r="K397" s="121"/>
      <c r="L397" s="144"/>
      <c r="M397" s="144"/>
      <c r="N397" s="144"/>
      <c r="O397" s="144"/>
      <c r="P397" s="144"/>
    </row>
    <row r="398" spans="1:16" s="135" customFormat="1" ht="15.75" x14ac:dyDescent="0.25">
      <c r="A398" s="109"/>
      <c r="B398" s="109"/>
      <c r="C398" s="118" t="str">
        <f t="shared" si="10"/>
        <v/>
      </c>
      <c r="D398" s="118" t="str">
        <f t="shared" si="11"/>
        <v/>
      </c>
      <c r="E398" s="121"/>
      <c r="F398" s="121"/>
      <c r="G398" s="121"/>
      <c r="H398" s="121"/>
      <c r="I398" s="142"/>
      <c r="J398" s="121"/>
      <c r="K398" s="121"/>
      <c r="L398" s="144"/>
      <c r="M398" s="144"/>
      <c r="N398" s="144"/>
      <c r="O398" s="144"/>
      <c r="P398" s="144"/>
    </row>
    <row r="399" spans="1:16" s="135" customFormat="1" ht="15.75" x14ac:dyDescent="0.25">
      <c r="A399" s="109"/>
      <c r="B399" s="109"/>
      <c r="C399" s="118" t="str">
        <f t="shared" si="10"/>
        <v/>
      </c>
      <c r="D399" s="118" t="str">
        <f t="shared" si="11"/>
        <v/>
      </c>
      <c r="E399" s="121"/>
      <c r="F399" s="121"/>
      <c r="G399" s="121"/>
      <c r="H399" s="121"/>
      <c r="I399" s="142"/>
      <c r="J399" s="121"/>
      <c r="K399" s="121"/>
      <c r="L399" s="144"/>
      <c r="M399" s="144"/>
      <c r="N399" s="144"/>
      <c r="O399" s="144"/>
      <c r="P399" s="144"/>
    </row>
    <row r="400" spans="1:16" s="135" customFormat="1" ht="15.75" x14ac:dyDescent="0.25">
      <c r="A400" s="109"/>
      <c r="B400" s="109"/>
      <c r="C400" s="118" t="str">
        <f t="shared" si="10"/>
        <v/>
      </c>
      <c r="D400" s="118" t="str">
        <f t="shared" si="11"/>
        <v/>
      </c>
      <c r="E400" s="121"/>
      <c r="F400" s="121"/>
      <c r="G400" s="121"/>
      <c r="H400" s="121"/>
      <c r="I400" s="142"/>
      <c r="J400" s="121"/>
      <c r="K400" s="121"/>
      <c r="L400" s="144"/>
      <c r="M400" s="144"/>
      <c r="N400" s="144"/>
      <c r="O400" s="144"/>
      <c r="P400" s="144"/>
    </row>
    <row r="401" spans="1:16" s="135" customFormat="1" ht="15.75" x14ac:dyDescent="0.25">
      <c r="A401" s="109"/>
      <c r="B401" s="109"/>
      <c r="C401" s="118" t="str">
        <f t="shared" si="10"/>
        <v/>
      </c>
      <c r="D401" s="118" t="str">
        <f t="shared" si="11"/>
        <v/>
      </c>
      <c r="E401" s="121"/>
      <c r="F401" s="121"/>
      <c r="G401" s="121"/>
      <c r="H401" s="121"/>
      <c r="I401" s="142"/>
      <c r="J401" s="121"/>
      <c r="K401" s="121"/>
      <c r="L401" s="144"/>
      <c r="M401" s="144"/>
      <c r="N401" s="144"/>
      <c r="O401" s="144"/>
      <c r="P401" s="144"/>
    </row>
    <row r="402" spans="1:16" s="135" customFormat="1" ht="15.75" x14ac:dyDescent="0.25">
      <c r="A402" s="109"/>
      <c r="B402" s="109"/>
      <c r="C402" s="118" t="str">
        <f t="shared" si="10"/>
        <v/>
      </c>
      <c r="D402" s="118" t="str">
        <f t="shared" si="11"/>
        <v/>
      </c>
      <c r="E402" s="121"/>
      <c r="F402" s="121"/>
      <c r="G402" s="121"/>
      <c r="H402" s="121"/>
      <c r="I402" s="142"/>
      <c r="J402" s="121"/>
      <c r="K402" s="121"/>
      <c r="L402" s="144"/>
      <c r="M402" s="144"/>
      <c r="N402" s="144"/>
      <c r="O402" s="144"/>
      <c r="P402" s="144"/>
    </row>
    <row r="403" spans="1:16" s="135" customFormat="1" ht="15.75" x14ac:dyDescent="0.25">
      <c r="A403" s="109"/>
      <c r="B403" s="109"/>
      <c r="C403" s="118" t="str">
        <f t="shared" si="10"/>
        <v/>
      </c>
      <c r="D403" s="118" t="str">
        <f t="shared" si="11"/>
        <v/>
      </c>
      <c r="E403" s="121"/>
      <c r="F403" s="121"/>
      <c r="G403" s="121"/>
      <c r="H403" s="121"/>
      <c r="I403" s="142"/>
      <c r="J403" s="121"/>
      <c r="K403" s="121"/>
      <c r="L403" s="144"/>
      <c r="M403" s="144"/>
      <c r="N403" s="144"/>
      <c r="O403" s="144"/>
      <c r="P403" s="144"/>
    </row>
    <row r="404" spans="1:16" s="135" customFormat="1" ht="15.75" x14ac:dyDescent="0.25">
      <c r="A404" s="109"/>
      <c r="B404" s="109"/>
      <c r="C404" s="118" t="str">
        <f t="shared" ref="C404:C467" si="12">IF(A404=0,"",VLOOKUP(B404,MatDB,2,FALSE))</f>
        <v/>
      </c>
      <c r="D404" s="118" t="str">
        <f t="shared" si="11"/>
        <v/>
      </c>
      <c r="E404" s="121"/>
      <c r="F404" s="121"/>
      <c r="G404" s="121"/>
      <c r="H404" s="121"/>
      <c r="I404" s="142"/>
      <c r="J404" s="121"/>
      <c r="K404" s="121"/>
      <c r="L404" s="144"/>
      <c r="M404" s="144"/>
      <c r="N404" s="144"/>
      <c r="O404" s="144"/>
      <c r="P404" s="144"/>
    </row>
    <row r="405" spans="1:16" s="135" customFormat="1" ht="15.75" x14ac:dyDescent="0.25">
      <c r="A405" s="109"/>
      <c r="B405" s="109"/>
      <c r="C405" s="118" t="str">
        <f t="shared" si="12"/>
        <v/>
      </c>
      <c r="D405" s="118" t="str">
        <f t="shared" ref="D405:D468" si="13">IF(A405=0,"","Steel02")</f>
        <v/>
      </c>
      <c r="E405" s="121"/>
      <c r="F405" s="121"/>
      <c r="G405" s="121"/>
      <c r="H405" s="121"/>
      <c r="I405" s="142"/>
      <c r="J405" s="121"/>
      <c r="K405" s="121"/>
      <c r="L405" s="144"/>
      <c r="M405" s="144"/>
      <c r="N405" s="144"/>
      <c r="O405" s="144"/>
      <c r="P405" s="144"/>
    </row>
    <row r="406" spans="1:16" s="135" customFormat="1" ht="15.75" x14ac:dyDescent="0.25">
      <c r="A406" s="109"/>
      <c r="B406" s="109"/>
      <c r="C406" s="118" t="str">
        <f t="shared" si="12"/>
        <v/>
      </c>
      <c r="D406" s="118" t="str">
        <f t="shared" si="13"/>
        <v/>
      </c>
      <c r="E406" s="121"/>
      <c r="F406" s="121"/>
      <c r="G406" s="121"/>
      <c r="H406" s="121"/>
      <c r="I406" s="142"/>
      <c r="J406" s="121"/>
      <c r="K406" s="121"/>
      <c r="L406" s="144"/>
      <c r="M406" s="144"/>
      <c r="N406" s="144"/>
      <c r="O406" s="144"/>
      <c r="P406" s="144"/>
    </row>
    <row r="407" spans="1:16" s="135" customFormat="1" ht="15.75" x14ac:dyDescent="0.25">
      <c r="A407" s="109"/>
      <c r="B407" s="109"/>
      <c r="C407" s="118" t="str">
        <f t="shared" si="12"/>
        <v/>
      </c>
      <c r="D407" s="118" t="str">
        <f t="shared" si="13"/>
        <v/>
      </c>
      <c r="E407" s="121"/>
      <c r="F407" s="121"/>
      <c r="G407" s="121"/>
      <c r="H407" s="121"/>
      <c r="I407" s="142"/>
      <c r="J407" s="121"/>
      <c r="K407" s="121"/>
      <c r="L407" s="144"/>
      <c r="M407" s="144"/>
      <c r="N407" s="144"/>
      <c r="O407" s="144"/>
      <c r="P407" s="144"/>
    </row>
    <row r="408" spans="1:16" s="135" customFormat="1" ht="15.75" x14ac:dyDescent="0.25">
      <c r="A408" s="109"/>
      <c r="B408" s="109"/>
      <c r="C408" s="118" t="str">
        <f t="shared" si="12"/>
        <v/>
      </c>
      <c r="D408" s="118" t="str">
        <f t="shared" si="13"/>
        <v/>
      </c>
      <c r="E408" s="121"/>
      <c r="F408" s="121"/>
      <c r="G408" s="121"/>
      <c r="H408" s="121"/>
      <c r="I408" s="142"/>
      <c r="J408" s="121"/>
      <c r="K408" s="121"/>
      <c r="L408" s="144"/>
      <c r="M408" s="144"/>
      <c r="N408" s="144"/>
      <c r="O408" s="144"/>
      <c r="P408" s="144"/>
    </row>
    <row r="409" spans="1:16" s="135" customFormat="1" ht="15.75" x14ac:dyDescent="0.25">
      <c r="A409" s="109"/>
      <c r="B409" s="109"/>
      <c r="C409" s="118" t="str">
        <f t="shared" si="12"/>
        <v/>
      </c>
      <c r="D409" s="118" t="str">
        <f t="shared" si="13"/>
        <v/>
      </c>
      <c r="E409" s="121"/>
      <c r="F409" s="121"/>
      <c r="G409" s="121"/>
      <c r="H409" s="121"/>
      <c r="I409" s="142"/>
      <c r="J409" s="121"/>
      <c r="K409" s="121"/>
      <c r="L409" s="144"/>
      <c r="M409" s="144"/>
      <c r="N409" s="144"/>
      <c r="O409" s="144"/>
      <c r="P409" s="144"/>
    </row>
    <row r="410" spans="1:16" s="135" customFormat="1" ht="15.75" x14ac:dyDescent="0.25">
      <c r="A410" s="109"/>
      <c r="B410" s="109"/>
      <c r="C410" s="118" t="str">
        <f t="shared" si="12"/>
        <v/>
      </c>
      <c r="D410" s="118" t="str">
        <f t="shared" si="13"/>
        <v/>
      </c>
      <c r="E410" s="121"/>
      <c r="F410" s="121"/>
      <c r="G410" s="121"/>
      <c r="H410" s="121"/>
      <c r="I410" s="142"/>
      <c r="J410" s="121"/>
      <c r="K410" s="121"/>
      <c r="L410" s="144"/>
      <c r="M410" s="144"/>
      <c r="N410" s="144"/>
      <c r="O410" s="144"/>
      <c r="P410" s="144"/>
    </row>
    <row r="411" spans="1:16" s="135" customFormat="1" ht="15.75" x14ac:dyDescent="0.25">
      <c r="A411" s="109"/>
      <c r="B411" s="109"/>
      <c r="C411" s="118" t="str">
        <f t="shared" si="12"/>
        <v/>
      </c>
      <c r="D411" s="118" t="str">
        <f t="shared" si="13"/>
        <v/>
      </c>
      <c r="E411" s="121"/>
      <c r="F411" s="121"/>
      <c r="G411" s="121"/>
      <c r="H411" s="121"/>
      <c r="I411" s="142"/>
      <c r="J411" s="121"/>
      <c r="K411" s="121"/>
      <c r="L411" s="144"/>
      <c r="M411" s="144"/>
      <c r="N411" s="144"/>
      <c r="O411" s="144"/>
      <c r="P411" s="144"/>
    </row>
    <row r="412" spans="1:16" s="135" customFormat="1" ht="15.75" x14ac:dyDescent="0.25">
      <c r="A412" s="109"/>
      <c r="B412" s="109"/>
      <c r="C412" s="118" t="str">
        <f t="shared" si="12"/>
        <v/>
      </c>
      <c r="D412" s="118" t="str">
        <f t="shared" si="13"/>
        <v/>
      </c>
      <c r="E412" s="121"/>
      <c r="F412" s="121"/>
      <c r="G412" s="121"/>
      <c r="H412" s="121"/>
      <c r="I412" s="142"/>
      <c r="J412" s="121"/>
      <c r="K412" s="121"/>
      <c r="L412" s="144"/>
      <c r="M412" s="144"/>
      <c r="N412" s="144"/>
      <c r="O412" s="144"/>
      <c r="P412" s="144"/>
    </row>
    <row r="413" spans="1:16" s="135" customFormat="1" ht="15.75" x14ac:dyDescent="0.25">
      <c r="A413" s="109"/>
      <c r="B413" s="109"/>
      <c r="C413" s="118" t="str">
        <f t="shared" si="12"/>
        <v/>
      </c>
      <c r="D413" s="118" t="str">
        <f t="shared" si="13"/>
        <v/>
      </c>
      <c r="E413" s="121"/>
      <c r="F413" s="121"/>
      <c r="G413" s="121"/>
      <c r="H413" s="121"/>
      <c r="I413" s="142"/>
      <c r="J413" s="121"/>
      <c r="K413" s="121"/>
      <c r="L413" s="144"/>
      <c r="M413" s="144"/>
      <c r="N413" s="144"/>
      <c r="O413" s="144"/>
      <c r="P413" s="144"/>
    </row>
    <row r="414" spans="1:16" s="135" customFormat="1" ht="15.75" x14ac:dyDescent="0.25">
      <c r="A414" s="109"/>
      <c r="B414" s="109"/>
      <c r="C414" s="118" t="str">
        <f t="shared" si="12"/>
        <v/>
      </c>
      <c r="D414" s="118" t="str">
        <f t="shared" si="13"/>
        <v/>
      </c>
      <c r="E414" s="121"/>
      <c r="F414" s="121"/>
      <c r="G414" s="121"/>
      <c r="H414" s="121"/>
      <c r="I414" s="142"/>
      <c r="J414" s="121"/>
      <c r="K414" s="121"/>
      <c r="L414" s="144"/>
      <c r="M414" s="144"/>
      <c r="N414" s="144"/>
      <c r="O414" s="144"/>
      <c r="P414" s="144"/>
    </row>
    <row r="415" spans="1:16" s="135" customFormat="1" ht="15.75" x14ac:dyDescent="0.25">
      <c r="A415" s="109"/>
      <c r="B415" s="109"/>
      <c r="C415" s="118" t="str">
        <f t="shared" si="12"/>
        <v/>
      </c>
      <c r="D415" s="118" t="str">
        <f t="shared" si="13"/>
        <v/>
      </c>
      <c r="E415" s="121"/>
      <c r="F415" s="121"/>
      <c r="G415" s="121"/>
      <c r="H415" s="121"/>
      <c r="I415" s="142"/>
      <c r="J415" s="121"/>
      <c r="K415" s="121"/>
      <c r="L415" s="144"/>
      <c r="M415" s="144"/>
      <c r="N415" s="144"/>
      <c r="O415" s="144"/>
      <c r="P415" s="144"/>
    </row>
    <row r="416" spans="1:16" s="135" customFormat="1" ht="15.75" x14ac:dyDescent="0.25">
      <c r="A416" s="109"/>
      <c r="B416" s="109"/>
      <c r="C416" s="118" t="str">
        <f t="shared" si="12"/>
        <v/>
      </c>
      <c r="D416" s="118" t="str">
        <f t="shared" si="13"/>
        <v/>
      </c>
      <c r="E416" s="121"/>
      <c r="F416" s="121"/>
      <c r="G416" s="121"/>
      <c r="H416" s="121"/>
      <c r="I416" s="142"/>
      <c r="J416" s="121"/>
      <c r="K416" s="121"/>
      <c r="L416" s="144"/>
      <c r="M416" s="144"/>
      <c r="N416" s="144"/>
      <c r="O416" s="144"/>
      <c r="P416" s="144"/>
    </row>
    <row r="417" spans="1:16" s="135" customFormat="1" ht="15.75" x14ac:dyDescent="0.25">
      <c r="A417" s="109"/>
      <c r="B417" s="109"/>
      <c r="C417" s="118" t="str">
        <f t="shared" si="12"/>
        <v/>
      </c>
      <c r="D417" s="118" t="str">
        <f t="shared" si="13"/>
        <v/>
      </c>
      <c r="E417" s="121"/>
      <c r="F417" s="121"/>
      <c r="G417" s="121"/>
      <c r="H417" s="121"/>
      <c r="I417" s="142"/>
      <c r="J417" s="121"/>
      <c r="K417" s="121"/>
      <c r="L417" s="144"/>
      <c r="M417" s="144"/>
      <c r="N417" s="144"/>
      <c r="O417" s="144"/>
      <c r="P417" s="144"/>
    </row>
    <row r="418" spans="1:16" s="135" customFormat="1" ht="15.75" x14ac:dyDescent="0.25">
      <c r="A418" s="109"/>
      <c r="B418" s="109"/>
      <c r="C418" s="118" t="str">
        <f t="shared" si="12"/>
        <v/>
      </c>
      <c r="D418" s="118" t="str">
        <f t="shared" si="13"/>
        <v/>
      </c>
      <c r="E418" s="121"/>
      <c r="F418" s="121"/>
      <c r="G418" s="121"/>
      <c r="H418" s="121"/>
      <c r="I418" s="142"/>
      <c r="J418" s="121"/>
      <c r="K418" s="121"/>
      <c r="L418" s="144"/>
      <c r="M418" s="144"/>
      <c r="N418" s="144"/>
      <c r="O418" s="144"/>
      <c r="P418" s="144"/>
    </row>
    <row r="419" spans="1:16" s="135" customFormat="1" ht="15.75" x14ac:dyDescent="0.25">
      <c r="A419" s="109"/>
      <c r="B419" s="109"/>
      <c r="C419" s="118" t="str">
        <f t="shared" si="12"/>
        <v/>
      </c>
      <c r="D419" s="118" t="str">
        <f t="shared" si="13"/>
        <v/>
      </c>
      <c r="E419" s="121"/>
      <c r="F419" s="121"/>
      <c r="G419" s="121"/>
      <c r="H419" s="121"/>
      <c r="I419" s="142"/>
      <c r="J419" s="121"/>
      <c r="K419" s="121"/>
      <c r="L419" s="144"/>
      <c r="M419" s="144"/>
      <c r="N419" s="144"/>
      <c r="O419" s="144"/>
      <c r="P419" s="144"/>
    </row>
    <row r="420" spans="1:16" s="135" customFormat="1" ht="15.75" x14ac:dyDescent="0.25">
      <c r="A420" s="109"/>
      <c r="B420" s="109"/>
      <c r="C420" s="118" t="str">
        <f t="shared" si="12"/>
        <v/>
      </c>
      <c r="D420" s="118" t="str">
        <f t="shared" si="13"/>
        <v/>
      </c>
      <c r="E420" s="121"/>
      <c r="F420" s="121"/>
      <c r="G420" s="121"/>
      <c r="H420" s="121"/>
      <c r="I420" s="142"/>
      <c r="J420" s="121"/>
      <c r="K420" s="121"/>
      <c r="L420" s="144"/>
      <c r="M420" s="144"/>
      <c r="N420" s="144"/>
      <c r="O420" s="144"/>
      <c r="P420" s="144"/>
    </row>
    <row r="421" spans="1:16" s="135" customFormat="1" ht="15.75" x14ac:dyDescent="0.25">
      <c r="A421" s="109"/>
      <c r="B421" s="109"/>
      <c r="C421" s="118" t="str">
        <f t="shared" si="12"/>
        <v/>
      </c>
      <c r="D421" s="118" t="str">
        <f t="shared" si="13"/>
        <v/>
      </c>
      <c r="E421" s="121"/>
      <c r="F421" s="121"/>
      <c r="G421" s="121"/>
      <c r="H421" s="121"/>
      <c r="I421" s="142"/>
      <c r="J421" s="121"/>
      <c r="K421" s="121"/>
      <c r="L421" s="144"/>
      <c r="M421" s="144"/>
      <c r="N421" s="144"/>
      <c r="O421" s="144"/>
      <c r="P421" s="144"/>
    </row>
    <row r="422" spans="1:16" s="135" customFormat="1" ht="15.75" x14ac:dyDescent="0.25">
      <c r="A422" s="109"/>
      <c r="B422" s="109"/>
      <c r="C422" s="118" t="str">
        <f t="shared" si="12"/>
        <v/>
      </c>
      <c r="D422" s="118" t="str">
        <f t="shared" si="13"/>
        <v/>
      </c>
      <c r="E422" s="121"/>
      <c r="F422" s="121"/>
      <c r="G422" s="121"/>
      <c r="H422" s="121"/>
      <c r="I422" s="142"/>
      <c r="J422" s="121"/>
      <c r="K422" s="121"/>
      <c r="L422" s="144"/>
      <c r="M422" s="144"/>
      <c r="N422" s="144"/>
      <c r="O422" s="144"/>
      <c r="P422" s="144"/>
    </row>
    <row r="423" spans="1:16" s="135" customFormat="1" ht="15.75" x14ac:dyDescent="0.25">
      <c r="A423" s="109"/>
      <c r="B423" s="109"/>
      <c r="C423" s="118" t="str">
        <f t="shared" si="12"/>
        <v/>
      </c>
      <c r="D423" s="118" t="str">
        <f t="shared" si="13"/>
        <v/>
      </c>
      <c r="E423" s="121"/>
      <c r="F423" s="121"/>
      <c r="G423" s="121"/>
      <c r="H423" s="121"/>
      <c r="I423" s="142"/>
      <c r="J423" s="121"/>
      <c r="K423" s="121"/>
      <c r="L423" s="144"/>
      <c r="M423" s="144"/>
      <c r="N423" s="144"/>
      <c r="O423" s="144"/>
      <c r="P423" s="144"/>
    </row>
    <row r="424" spans="1:16" s="135" customFormat="1" ht="15.75" x14ac:dyDescent="0.25">
      <c r="A424" s="109"/>
      <c r="B424" s="109"/>
      <c r="C424" s="118" t="str">
        <f t="shared" si="12"/>
        <v/>
      </c>
      <c r="D424" s="118" t="str">
        <f t="shared" si="13"/>
        <v/>
      </c>
      <c r="E424" s="121"/>
      <c r="F424" s="121"/>
      <c r="G424" s="121"/>
      <c r="H424" s="121"/>
      <c r="I424" s="142"/>
      <c r="J424" s="121"/>
      <c r="K424" s="121"/>
      <c r="L424" s="144"/>
      <c r="M424" s="144"/>
      <c r="N424" s="144"/>
      <c r="O424" s="144"/>
      <c r="P424" s="144"/>
    </row>
    <row r="425" spans="1:16" s="135" customFormat="1" ht="15.75" x14ac:dyDescent="0.25">
      <c r="A425" s="109"/>
      <c r="B425" s="109"/>
      <c r="C425" s="118" t="str">
        <f t="shared" si="12"/>
        <v/>
      </c>
      <c r="D425" s="118" t="str">
        <f t="shared" si="13"/>
        <v/>
      </c>
      <c r="E425" s="121"/>
      <c r="F425" s="121"/>
      <c r="G425" s="121"/>
      <c r="H425" s="121"/>
      <c r="I425" s="142"/>
      <c r="J425" s="121"/>
      <c r="K425" s="121"/>
      <c r="L425" s="144"/>
      <c r="M425" s="144"/>
      <c r="N425" s="144"/>
      <c r="O425" s="144"/>
      <c r="P425" s="144"/>
    </row>
    <row r="426" spans="1:16" s="135" customFormat="1" ht="15.75" x14ac:dyDescent="0.25">
      <c r="A426" s="109"/>
      <c r="B426" s="109"/>
      <c r="C426" s="118" t="str">
        <f t="shared" si="12"/>
        <v/>
      </c>
      <c r="D426" s="118" t="str">
        <f t="shared" si="13"/>
        <v/>
      </c>
      <c r="E426" s="121"/>
      <c r="F426" s="121"/>
      <c r="G426" s="121"/>
      <c r="H426" s="121"/>
      <c r="I426" s="142"/>
      <c r="J426" s="121"/>
      <c r="K426" s="121"/>
      <c r="L426" s="144"/>
      <c r="M426" s="144"/>
      <c r="N426" s="144"/>
      <c r="O426" s="144"/>
      <c r="P426" s="144"/>
    </row>
    <row r="427" spans="1:16" s="135" customFormat="1" ht="15.75" x14ac:dyDescent="0.25">
      <c r="A427" s="109"/>
      <c r="B427" s="109"/>
      <c r="C427" s="118" t="str">
        <f t="shared" si="12"/>
        <v/>
      </c>
      <c r="D427" s="118" t="str">
        <f t="shared" si="13"/>
        <v/>
      </c>
      <c r="E427" s="121"/>
      <c r="F427" s="121"/>
      <c r="G427" s="121"/>
      <c r="H427" s="121"/>
      <c r="I427" s="142"/>
      <c r="J427" s="121"/>
      <c r="K427" s="121"/>
      <c r="L427" s="144"/>
      <c r="M427" s="144"/>
      <c r="N427" s="144"/>
      <c r="O427" s="144"/>
      <c r="P427" s="144"/>
    </row>
    <row r="428" spans="1:16" s="135" customFormat="1" ht="15.75" x14ac:dyDescent="0.25">
      <c r="A428" s="109"/>
      <c r="B428" s="109"/>
      <c r="C428" s="118" t="str">
        <f t="shared" si="12"/>
        <v/>
      </c>
      <c r="D428" s="118" t="str">
        <f t="shared" si="13"/>
        <v/>
      </c>
      <c r="E428" s="121"/>
      <c r="F428" s="121"/>
      <c r="G428" s="121"/>
      <c r="H428" s="121"/>
      <c r="I428" s="142"/>
      <c r="J428" s="121"/>
      <c r="K428" s="121"/>
      <c r="L428" s="144"/>
      <c r="M428" s="144"/>
      <c r="N428" s="144"/>
      <c r="O428" s="144"/>
      <c r="P428" s="144"/>
    </row>
    <row r="429" spans="1:16" s="135" customFormat="1" ht="15.75" x14ac:dyDescent="0.25">
      <c r="A429" s="109"/>
      <c r="B429" s="109"/>
      <c r="C429" s="118" t="str">
        <f t="shared" si="12"/>
        <v/>
      </c>
      <c r="D429" s="118" t="str">
        <f t="shared" si="13"/>
        <v/>
      </c>
      <c r="E429" s="121"/>
      <c r="F429" s="121"/>
      <c r="G429" s="121"/>
      <c r="H429" s="121"/>
      <c r="I429" s="142"/>
      <c r="J429" s="121"/>
      <c r="K429" s="121"/>
      <c r="L429" s="144"/>
      <c r="M429" s="144"/>
      <c r="N429" s="144"/>
      <c r="O429" s="144"/>
      <c r="P429" s="144"/>
    </row>
    <row r="430" spans="1:16" s="135" customFormat="1" ht="15.75" x14ac:dyDescent="0.25">
      <c r="A430" s="109"/>
      <c r="B430" s="109"/>
      <c r="C430" s="118" t="str">
        <f t="shared" si="12"/>
        <v/>
      </c>
      <c r="D430" s="118" t="str">
        <f t="shared" si="13"/>
        <v/>
      </c>
      <c r="E430" s="121"/>
      <c r="F430" s="121"/>
      <c r="G430" s="121"/>
      <c r="H430" s="121"/>
      <c r="I430" s="142"/>
      <c r="J430" s="121"/>
      <c r="K430" s="121"/>
      <c r="L430" s="144"/>
      <c r="M430" s="144"/>
      <c r="N430" s="144"/>
      <c r="O430" s="144"/>
      <c r="P430" s="144"/>
    </row>
    <row r="431" spans="1:16" s="135" customFormat="1" ht="15.75" x14ac:dyDescent="0.25">
      <c r="A431" s="109"/>
      <c r="B431" s="109"/>
      <c r="C431" s="118" t="str">
        <f t="shared" si="12"/>
        <v/>
      </c>
      <c r="D431" s="118" t="str">
        <f t="shared" si="13"/>
        <v/>
      </c>
      <c r="E431" s="121"/>
      <c r="F431" s="121"/>
      <c r="G431" s="121"/>
      <c r="H431" s="121"/>
      <c r="I431" s="142"/>
      <c r="J431" s="121"/>
      <c r="K431" s="121"/>
      <c r="L431" s="144"/>
      <c r="M431" s="144"/>
      <c r="N431" s="144"/>
      <c r="O431" s="144"/>
      <c r="P431" s="144"/>
    </row>
    <row r="432" spans="1:16" s="135" customFormat="1" ht="15.75" x14ac:dyDescent="0.25">
      <c r="A432" s="109"/>
      <c r="B432" s="109"/>
      <c r="C432" s="118" t="str">
        <f t="shared" si="12"/>
        <v/>
      </c>
      <c r="D432" s="118" t="str">
        <f t="shared" si="13"/>
        <v/>
      </c>
      <c r="E432" s="121"/>
      <c r="F432" s="121"/>
      <c r="G432" s="121"/>
      <c r="H432" s="121"/>
      <c r="I432" s="142"/>
      <c r="J432" s="121"/>
      <c r="K432" s="121"/>
      <c r="L432" s="144"/>
      <c r="M432" s="144"/>
      <c r="N432" s="144"/>
      <c r="O432" s="144"/>
      <c r="P432" s="144"/>
    </row>
    <row r="433" spans="1:16" s="135" customFormat="1" ht="15.75" x14ac:dyDescent="0.25">
      <c r="A433" s="109"/>
      <c r="B433" s="109"/>
      <c r="C433" s="118" t="str">
        <f t="shared" si="12"/>
        <v/>
      </c>
      <c r="D433" s="118" t="str">
        <f t="shared" si="13"/>
        <v/>
      </c>
      <c r="E433" s="121"/>
      <c r="F433" s="121"/>
      <c r="G433" s="121"/>
      <c r="H433" s="121"/>
      <c r="I433" s="142"/>
      <c r="J433" s="121"/>
      <c r="K433" s="121"/>
      <c r="L433" s="144"/>
      <c r="M433" s="144"/>
      <c r="N433" s="144"/>
      <c r="O433" s="144"/>
      <c r="P433" s="144"/>
    </row>
    <row r="434" spans="1:16" s="135" customFormat="1" ht="15.75" x14ac:dyDescent="0.25">
      <c r="A434" s="109"/>
      <c r="B434" s="109"/>
      <c r="C434" s="118" t="str">
        <f t="shared" si="12"/>
        <v/>
      </c>
      <c r="D434" s="118" t="str">
        <f t="shared" si="13"/>
        <v/>
      </c>
      <c r="E434" s="121"/>
      <c r="F434" s="121"/>
      <c r="G434" s="121"/>
      <c r="H434" s="121"/>
      <c r="I434" s="142"/>
      <c r="J434" s="121"/>
      <c r="K434" s="121"/>
      <c r="L434" s="144"/>
      <c r="M434" s="144"/>
      <c r="N434" s="144"/>
      <c r="O434" s="144"/>
      <c r="P434" s="144"/>
    </row>
    <row r="435" spans="1:16" s="135" customFormat="1" ht="15.75" x14ac:dyDescent="0.25">
      <c r="A435" s="109"/>
      <c r="B435" s="109"/>
      <c r="C435" s="118" t="str">
        <f t="shared" si="12"/>
        <v/>
      </c>
      <c r="D435" s="118" t="str">
        <f t="shared" si="13"/>
        <v/>
      </c>
      <c r="E435" s="121"/>
      <c r="F435" s="121"/>
      <c r="G435" s="121"/>
      <c r="H435" s="121"/>
      <c r="I435" s="142"/>
      <c r="J435" s="121"/>
      <c r="K435" s="121"/>
      <c r="L435" s="144"/>
      <c r="M435" s="144"/>
      <c r="N435" s="144"/>
      <c r="O435" s="144"/>
      <c r="P435" s="144"/>
    </row>
    <row r="436" spans="1:16" s="135" customFormat="1" ht="15.75" x14ac:dyDescent="0.25">
      <c r="A436" s="109"/>
      <c r="B436" s="109"/>
      <c r="C436" s="118" t="str">
        <f t="shared" si="12"/>
        <v/>
      </c>
      <c r="D436" s="118" t="str">
        <f t="shared" si="13"/>
        <v/>
      </c>
      <c r="E436" s="121"/>
      <c r="F436" s="121"/>
      <c r="G436" s="121"/>
      <c r="H436" s="121"/>
      <c r="I436" s="142"/>
      <c r="J436" s="121"/>
      <c r="K436" s="121"/>
      <c r="L436" s="144"/>
      <c r="M436" s="144"/>
      <c r="N436" s="144"/>
      <c r="O436" s="144"/>
      <c r="P436" s="144"/>
    </row>
    <row r="437" spans="1:16" s="135" customFormat="1" ht="15.75" x14ac:dyDescent="0.25">
      <c r="A437" s="109"/>
      <c r="B437" s="109"/>
      <c r="C437" s="118" t="str">
        <f t="shared" si="12"/>
        <v/>
      </c>
      <c r="D437" s="118" t="str">
        <f t="shared" si="13"/>
        <v/>
      </c>
      <c r="E437" s="121"/>
      <c r="F437" s="121"/>
      <c r="G437" s="121"/>
      <c r="H437" s="121"/>
      <c r="I437" s="142"/>
      <c r="J437" s="121"/>
      <c r="K437" s="121"/>
      <c r="L437" s="144"/>
      <c r="M437" s="144"/>
      <c r="N437" s="144"/>
      <c r="O437" s="144"/>
      <c r="P437" s="144"/>
    </row>
    <row r="438" spans="1:16" s="135" customFormat="1" ht="15.75" x14ac:dyDescent="0.25">
      <c r="A438" s="109"/>
      <c r="B438" s="109"/>
      <c r="C438" s="118" t="str">
        <f t="shared" si="12"/>
        <v/>
      </c>
      <c r="D438" s="118" t="str">
        <f t="shared" si="13"/>
        <v/>
      </c>
      <c r="E438" s="121"/>
      <c r="F438" s="121"/>
      <c r="G438" s="121"/>
      <c r="H438" s="121"/>
      <c r="I438" s="142"/>
      <c r="J438" s="121"/>
      <c r="K438" s="121"/>
      <c r="L438" s="144"/>
      <c r="M438" s="144"/>
      <c r="N438" s="144"/>
      <c r="O438" s="144"/>
      <c r="P438" s="144"/>
    </row>
    <row r="439" spans="1:16" s="135" customFormat="1" ht="15.75" x14ac:dyDescent="0.25">
      <c r="A439" s="109"/>
      <c r="B439" s="109"/>
      <c r="C439" s="118" t="str">
        <f t="shared" si="12"/>
        <v/>
      </c>
      <c r="D439" s="118" t="str">
        <f t="shared" si="13"/>
        <v/>
      </c>
      <c r="E439" s="121"/>
      <c r="F439" s="121"/>
      <c r="G439" s="121"/>
      <c r="H439" s="121"/>
      <c r="I439" s="142"/>
      <c r="J439" s="121"/>
      <c r="K439" s="121"/>
      <c r="L439" s="144"/>
      <c r="M439" s="144"/>
      <c r="N439" s="144"/>
      <c r="O439" s="144"/>
      <c r="P439" s="144"/>
    </row>
    <row r="440" spans="1:16" s="135" customFormat="1" ht="15.75" x14ac:dyDescent="0.25">
      <c r="A440" s="109"/>
      <c r="B440" s="109"/>
      <c r="C440" s="118" t="str">
        <f t="shared" si="12"/>
        <v/>
      </c>
      <c r="D440" s="118" t="str">
        <f t="shared" si="13"/>
        <v/>
      </c>
      <c r="E440" s="121"/>
      <c r="F440" s="121"/>
      <c r="G440" s="121"/>
      <c r="H440" s="121"/>
      <c r="I440" s="142"/>
      <c r="J440" s="121"/>
      <c r="K440" s="121"/>
      <c r="L440" s="144"/>
      <c r="M440" s="144"/>
      <c r="N440" s="144"/>
      <c r="O440" s="144"/>
      <c r="P440" s="144"/>
    </row>
    <row r="441" spans="1:16" s="135" customFormat="1" ht="15.75" x14ac:dyDescent="0.25">
      <c r="A441" s="109"/>
      <c r="B441" s="109"/>
      <c r="C441" s="118" t="str">
        <f t="shared" si="12"/>
        <v/>
      </c>
      <c r="D441" s="118" t="str">
        <f t="shared" si="13"/>
        <v/>
      </c>
      <c r="E441" s="121"/>
      <c r="F441" s="121"/>
      <c r="G441" s="121"/>
      <c r="H441" s="121"/>
      <c r="I441" s="142"/>
      <c r="J441" s="121"/>
      <c r="K441" s="121"/>
      <c r="L441" s="144"/>
      <c r="M441" s="144"/>
      <c r="N441" s="144"/>
      <c r="O441" s="144"/>
      <c r="P441" s="144"/>
    </row>
    <row r="442" spans="1:16" s="135" customFormat="1" ht="15.75" x14ac:dyDescent="0.25">
      <c r="A442" s="109"/>
      <c r="B442" s="109"/>
      <c r="C442" s="118" t="str">
        <f t="shared" si="12"/>
        <v/>
      </c>
      <c r="D442" s="118" t="str">
        <f t="shared" si="13"/>
        <v/>
      </c>
      <c r="E442" s="121"/>
      <c r="F442" s="121"/>
      <c r="G442" s="121"/>
      <c r="H442" s="121"/>
      <c r="I442" s="142"/>
      <c r="J442" s="121"/>
      <c r="K442" s="121"/>
      <c r="L442" s="144"/>
      <c r="M442" s="144"/>
      <c r="N442" s="144"/>
      <c r="O442" s="144"/>
      <c r="P442" s="144"/>
    </row>
    <row r="443" spans="1:16" s="135" customFormat="1" ht="15.75" x14ac:dyDescent="0.25">
      <c r="A443" s="109"/>
      <c r="B443" s="109"/>
      <c r="C443" s="118" t="str">
        <f t="shared" si="12"/>
        <v/>
      </c>
      <c r="D443" s="118" t="str">
        <f t="shared" si="13"/>
        <v/>
      </c>
      <c r="E443" s="121"/>
      <c r="F443" s="121"/>
      <c r="G443" s="121"/>
      <c r="H443" s="121"/>
      <c r="I443" s="142"/>
      <c r="J443" s="121"/>
      <c r="K443" s="121"/>
      <c r="L443" s="144"/>
      <c r="M443" s="144"/>
      <c r="N443" s="144"/>
      <c r="O443" s="144"/>
      <c r="P443" s="144"/>
    </row>
    <row r="444" spans="1:16" s="135" customFormat="1" ht="15.75" x14ac:dyDescent="0.25">
      <c r="A444" s="109"/>
      <c r="B444" s="109"/>
      <c r="C444" s="118" t="str">
        <f t="shared" si="12"/>
        <v/>
      </c>
      <c r="D444" s="118" t="str">
        <f t="shared" si="13"/>
        <v/>
      </c>
      <c r="E444" s="121"/>
      <c r="F444" s="121"/>
      <c r="G444" s="121"/>
      <c r="H444" s="121"/>
      <c r="I444" s="142"/>
      <c r="J444" s="121"/>
      <c r="K444" s="121"/>
      <c r="L444" s="144"/>
      <c r="M444" s="144"/>
      <c r="N444" s="144"/>
      <c r="O444" s="144"/>
      <c r="P444" s="144"/>
    </row>
    <row r="445" spans="1:16" s="135" customFormat="1" ht="15.75" x14ac:dyDescent="0.25">
      <c r="A445" s="109"/>
      <c r="B445" s="109"/>
      <c r="C445" s="118" t="str">
        <f t="shared" si="12"/>
        <v/>
      </c>
      <c r="D445" s="118" t="str">
        <f t="shared" si="13"/>
        <v/>
      </c>
      <c r="E445" s="121"/>
      <c r="F445" s="121"/>
      <c r="G445" s="121"/>
      <c r="H445" s="121"/>
      <c r="I445" s="142"/>
      <c r="J445" s="121"/>
      <c r="K445" s="121"/>
      <c r="L445" s="144"/>
      <c r="M445" s="144"/>
      <c r="N445" s="144"/>
      <c r="O445" s="144"/>
      <c r="P445" s="144"/>
    </row>
    <row r="446" spans="1:16" s="135" customFormat="1" ht="15.75" x14ac:dyDescent="0.25">
      <c r="A446" s="109"/>
      <c r="B446" s="109"/>
      <c r="C446" s="118" t="str">
        <f t="shared" si="12"/>
        <v/>
      </c>
      <c r="D446" s="118" t="str">
        <f t="shared" si="13"/>
        <v/>
      </c>
      <c r="E446" s="121"/>
      <c r="F446" s="121"/>
      <c r="G446" s="121"/>
      <c r="H446" s="121"/>
      <c r="I446" s="142"/>
      <c r="J446" s="121"/>
      <c r="K446" s="121"/>
      <c r="L446" s="144"/>
      <c r="M446" s="144"/>
      <c r="N446" s="144"/>
      <c r="O446" s="144"/>
      <c r="P446" s="144"/>
    </row>
    <row r="447" spans="1:16" s="135" customFormat="1" ht="15.75" x14ac:dyDescent="0.25">
      <c r="A447" s="109"/>
      <c r="B447" s="109"/>
      <c r="C447" s="118" t="str">
        <f t="shared" si="12"/>
        <v/>
      </c>
      <c r="D447" s="118" t="str">
        <f t="shared" si="13"/>
        <v/>
      </c>
      <c r="E447" s="121"/>
      <c r="F447" s="121"/>
      <c r="G447" s="121"/>
      <c r="H447" s="121"/>
      <c r="I447" s="142"/>
      <c r="J447" s="121"/>
      <c r="K447" s="121"/>
      <c r="L447" s="144"/>
      <c r="M447" s="144"/>
      <c r="N447" s="144"/>
      <c r="O447" s="144"/>
      <c r="P447" s="144"/>
    </row>
    <row r="448" spans="1:16" s="135" customFormat="1" ht="15.75" x14ac:dyDescent="0.25">
      <c r="A448" s="109"/>
      <c r="B448" s="109"/>
      <c r="C448" s="118" t="str">
        <f t="shared" si="12"/>
        <v/>
      </c>
      <c r="D448" s="118" t="str">
        <f t="shared" si="13"/>
        <v/>
      </c>
      <c r="E448" s="121"/>
      <c r="F448" s="121"/>
      <c r="G448" s="121"/>
      <c r="H448" s="121"/>
      <c r="I448" s="142"/>
      <c r="J448" s="121"/>
      <c r="K448" s="121"/>
      <c r="L448" s="144"/>
      <c r="M448" s="144"/>
      <c r="N448" s="144"/>
      <c r="O448" s="144"/>
      <c r="P448" s="144"/>
    </row>
    <row r="449" spans="1:16" s="135" customFormat="1" ht="15.75" x14ac:dyDescent="0.25">
      <c r="A449" s="109"/>
      <c r="B449" s="109"/>
      <c r="C449" s="118" t="str">
        <f t="shared" si="12"/>
        <v/>
      </c>
      <c r="D449" s="118" t="str">
        <f t="shared" si="13"/>
        <v/>
      </c>
      <c r="E449" s="121"/>
      <c r="F449" s="121"/>
      <c r="G449" s="121"/>
      <c r="H449" s="121"/>
      <c r="I449" s="142"/>
      <c r="J449" s="121"/>
      <c r="K449" s="121"/>
      <c r="L449" s="144"/>
      <c r="M449" s="144"/>
      <c r="N449" s="144"/>
      <c r="O449" s="144"/>
      <c r="P449" s="144"/>
    </row>
    <row r="450" spans="1:16" s="135" customFormat="1" ht="15.75" x14ac:dyDescent="0.25">
      <c r="A450" s="109"/>
      <c r="B450" s="109"/>
      <c r="C450" s="118" t="str">
        <f t="shared" si="12"/>
        <v/>
      </c>
      <c r="D450" s="118" t="str">
        <f t="shared" si="13"/>
        <v/>
      </c>
      <c r="E450" s="121"/>
      <c r="F450" s="121"/>
      <c r="G450" s="121"/>
      <c r="H450" s="121"/>
      <c r="I450" s="142"/>
      <c r="J450" s="121"/>
      <c r="K450" s="121"/>
      <c r="L450" s="144"/>
      <c r="M450" s="144"/>
      <c r="N450" s="144"/>
      <c r="O450" s="144"/>
      <c r="P450" s="144"/>
    </row>
    <row r="451" spans="1:16" s="135" customFormat="1" ht="15.75" x14ac:dyDescent="0.25">
      <c r="A451" s="109"/>
      <c r="B451" s="109"/>
      <c r="C451" s="118" t="str">
        <f t="shared" si="12"/>
        <v/>
      </c>
      <c r="D451" s="118" t="str">
        <f t="shared" si="13"/>
        <v/>
      </c>
      <c r="E451" s="121"/>
      <c r="F451" s="121"/>
      <c r="G451" s="121"/>
      <c r="H451" s="121"/>
      <c r="I451" s="142"/>
      <c r="J451" s="121"/>
      <c r="K451" s="121"/>
      <c r="L451" s="144"/>
      <c r="M451" s="144"/>
      <c r="N451" s="144"/>
      <c r="O451" s="144"/>
      <c r="P451" s="144"/>
    </row>
    <row r="452" spans="1:16" s="135" customFormat="1" ht="15.75" x14ac:dyDescent="0.25">
      <c r="A452" s="109"/>
      <c r="B452" s="109"/>
      <c r="C452" s="118" t="str">
        <f t="shared" si="12"/>
        <v/>
      </c>
      <c r="D452" s="118" t="str">
        <f t="shared" si="13"/>
        <v/>
      </c>
      <c r="E452" s="121"/>
      <c r="F452" s="121"/>
      <c r="G452" s="121"/>
      <c r="H452" s="121"/>
      <c r="I452" s="142"/>
      <c r="J452" s="121"/>
      <c r="K452" s="121"/>
      <c r="L452" s="144"/>
      <c r="M452" s="144"/>
      <c r="N452" s="144"/>
      <c r="O452" s="144"/>
      <c r="P452" s="144"/>
    </row>
    <row r="453" spans="1:16" s="135" customFormat="1" ht="15.75" x14ac:dyDescent="0.25">
      <c r="A453" s="109"/>
      <c r="B453" s="109"/>
      <c r="C453" s="118" t="str">
        <f t="shared" si="12"/>
        <v/>
      </c>
      <c r="D453" s="118" t="str">
        <f t="shared" si="13"/>
        <v/>
      </c>
      <c r="E453" s="121"/>
      <c r="F453" s="121"/>
      <c r="G453" s="121"/>
      <c r="H453" s="121"/>
      <c r="I453" s="142"/>
      <c r="J453" s="121"/>
      <c r="K453" s="121"/>
      <c r="L453" s="144"/>
      <c r="M453" s="144"/>
      <c r="N453" s="144"/>
      <c r="O453" s="144"/>
      <c r="P453" s="144"/>
    </row>
    <row r="454" spans="1:16" s="135" customFormat="1" ht="15.75" x14ac:dyDescent="0.25">
      <c r="A454" s="109"/>
      <c r="B454" s="109"/>
      <c r="C454" s="118" t="str">
        <f t="shared" si="12"/>
        <v/>
      </c>
      <c r="D454" s="118" t="str">
        <f t="shared" si="13"/>
        <v/>
      </c>
      <c r="E454" s="121"/>
      <c r="F454" s="121"/>
      <c r="G454" s="121"/>
      <c r="H454" s="121"/>
      <c r="I454" s="142"/>
      <c r="J454" s="121"/>
      <c r="K454" s="121"/>
      <c r="L454" s="144"/>
      <c r="M454" s="144"/>
      <c r="N454" s="144"/>
      <c r="O454" s="144"/>
      <c r="P454" s="144"/>
    </row>
    <row r="455" spans="1:16" s="135" customFormat="1" ht="15.75" x14ac:dyDescent="0.25">
      <c r="A455" s="109"/>
      <c r="B455" s="109"/>
      <c r="C455" s="118" t="str">
        <f t="shared" si="12"/>
        <v/>
      </c>
      <c r="D455" s="118" t="str">
        <f t="shared" si="13"/>
        <v/>
      </c>
      <c r="E455" s="121"/>
      <c r="F455" s="121"/>
      <c r="G455" s="121"/>
      <c r="H455" s="121"/>
      <c r="I455" s="142"/>
      <c r="J455" s="121"/>
      <c r="K455" s="121"/>
      <c r="L455" s="144"/>
      <c r="M455" s="144"/>
      <c r="N455" s="144"/>
      <c r="O455" s="144"/>
      <c r="P455" s="144"/>
    </row>
    <row r="456" spans="1:16" s="135" customFormat="1" ht="15.75" x14ac:dyDescent="0.25">
      <c r="A456" s="109"/>
      <c r="B456" s="109"/>
      <c r="C456" s="118" t="str">
        <f t="shared" si="12"/>
        <v/>
      </c>
      <c r="D456" s="118" t="str">
        <f t="shared" si="13"/>
        <v/>
      </c>
      <c r="E456" s="121"/>
      <c r="F456" s="121"/>
      <c r="G456" s="121"/>
      <c r="H456" s="121"/>
      <c r="I456" s="142"/>
      <c r="J456" s="121"/>
      <c r="K456" s="121"/>
      <c r="L456" s="144"/>
      <c r="M456" s="144"/>
      <c r="N456" s="144"/>
      <c r="O456" s="144"/>
      <c r="P456" s="144"/>
    </row>
    <row r="457" spans="1:16" s="135" customFormat="1" ht="15.75" x14ac:dyDescent="0.25">
      <c r="A457" s="109"/>
      <c r="B457" s="109"/>
      <c r="C457" s="118" t="str">
        <f t="shared" si="12"/>
        <v/>
      </c>
      <c r="D457" s="118" t="str">
        <f t="shared" si="13"/>
        <v/>
      </c>
      <c r="E457" s="121"/>
      <c r="F457" s="121"/>
      <c r="G457" s="121"/>
      <c r="H457" s="121"/>
      <c r="I457" s="142"/>
      <c r="J457" s="121"/>
      <c r="K457" s="121"/>
      <c r="L457" s="144"/>
      <c r="M457" s="144"/>
      <c r="N457" s="144"/>
      <c r="O457" s="144"/>
      <c r="P457" s="144"/>
    </row>
    <row r="458" spans="1:16" s="135" customFormat="1" ht="15.75" x14ac:dyDescent="0.25">
      <c r="A458" s="109"/>
      <c r="B458" s="109"/>
      <c r="C458" s="118" t="str">
        <f t="shared" si="12"/>
        <v/>
      </c>
      <c r="D458" s="118" t="str">
        <f t="shared" si="13"/>
        <v/>
      </c>
      <c r="E458" s="121"/>
      <c r="F458" s="121"/>
      <c r="G458" s="121"/>
      <c r="H458" s="121"/>
      <c r="I458" s="142"/>
      <c r="J458" s="121"/>
      <c r="K458" s="121"/>
      <c r="L458" s="144"/>
      <c r="M458" s="144"/>
      <c r="N458" s="144"/>
      <c r="O458" s="144"/>
      <c r="P458" s="144"/>
    </row>
    <row r="459" spans="1:16" s="135" customFormat="1" ht="15.75" x14ac:dyDescent="0.25">
      <c r="A459" s="109"/>
      <c r="B459" s="109"/>
      <c r="C459" s="118" t="str">
        <f t="shared" si="12"/>
        <v/>
      </c>
      <c r="D459" s="118" t="str">
        <f t="shared" si="13"/>
        <v/>
      </c>
      <c r="E459" s="121"/>
      <c r="F459" s="121"/>
      <c r="G459" s="121"/>
      <c r="H459" s="121"/>
      <c r="I459" s="142"/>
      <c r="J459" s="121"/>
      <c r="K459" s="121"/>
      <c r="L459" s="144"/>
      <c r="M459" s="144"/>
      <c r="N459" s="144"/>
      <c r="O459" s="144"/>
      <c r="P459" s="144"/>
    </row>
    <row r="460" spans="1:16" s="135" customFormat="1" ht="15.75" x14ac:dyDescent="0.25">
      <c r="A460" s="109"/>
      <c r="B460" s="109"/>
      <c r="C460" s="118" t="str">
        <f t="shared" si="12"/>
        <v/>
      </c>
      <c r="D460" s="118" t="str">
        <f t="shared" si="13"/>
        <v/>
      </c>
      <c r="E460" s="121"/>
      <c r="F460" s="121"/>
      <c r="G460" s="121"/>
      <c r="H460" s="121"/>
      <c r="I460" s="142"/>
      <c r="J460" s="121"/>
      <c r="K460" s="121"/>
      <c r="L460" s="144"/>
      <c r="M460" s="144"/>
      <c r="N460" s="144"/>
      <c r="O460" s="144"/>
      <c r="P460" s="144"/>
    </row>
    <row r="461" spans="1:16" s="135" customFormat="1" ht="15.75" x14ac:dyDescent="0.25">
      <c r="A461" s="109"/>
      <c r="B461" s="109"/>
      <c r="C461" s="118" t="str">
        <f t="shared" si="12"/>
        <v/>
      </c>
      <c r="D461" s="118" t="str">
        <f t="shared" si="13"/>
        <v/>
      </c>
      <c r="E461" s="121"/>
      <c r="F461" s="121"/>
      <c r="G461" s="121"/>
      <c r="H461" s="121"/>
      <c r="I461" s="142"/>
      <c r="J461" s="121"/>
      <c r="K461" s="121"/>
      <c r="L461" s="144"/>
      <c r="M461" s="144"/>
      <c r="N461" s="144"/>
      <c r="O461" s="144"/>
      <c r="P461" s="144"/>
    </row>
    <row r="462" spans="1:16" s="135" customFormat="1" ht="15.75" x14ac:dyDescent="0.25">
      <c r="A462" s="109"/>
      <c r="B462" s="109"/>
      <c r="C462" s="118" t="str">
        <f t="shared" si="12"/>
        <v/>
      </c>
      <c r="D462" s="118" t="str">
        <f t="shared" si="13"/>
        <v/>
      </c>
      <c r="E462" s="121"/>
      <c r="F462" s="121"/>
      <c r="G462" s="121"/>
      <c r="H462" s="121"/>
      <c r="I462" s="142"/>
      <c r="J462" s="121"/>
      <c r="K462" s="121"/>
      <c r="L462" s="144"/>
      <c r="M462" s="144"/>
      <c r="N462" s="144"/>
      <c r="O462" s="144"/>
      <c r="P462" s="144"/>
    </row>
    <row r="463" spans="1:16" s="135" customFormat="1" ht="15.75" x14ac:dyDescent="0.25">
      <c r="A463" s="109"/>
      <c r="B463" s="109"/>
      <c r="C463" s="118" t="str">
        <f t="shared" si="12"/>
        <v/>
      </c>
      <c r="D463" s="118" t="str">
        <f t="shared" si="13"/>
        <v/>
      </c>
      <c r="E463" s="121"/>
      <c r="F463" s="121"/>
      <c r="G463" s="121"/>
      <c r="H463" s="121"/>
      <c r="I463" s="142"/>
      <c r="J463" s="121"/>
      <c r="K463" s="121"/>
      <c r="L463" s="144"/>
      <c r="M463" s="144"/>
      <c r="N463" s="144"/>
      <c r="O463" s="144"/>
      <c r="P463" s="144"/>
    </row>
    <row r="464" spans="1:16" s="135" customFormat="1" ht="15.75" x14ac:dyDescent="0.25">
      <c r="A464" s="109"/>
      <c r="B464" s="109"/>
      <c r="C464" s="118" t="str">
        <f t="shared" si="12"/>
        <v/>
      </c>
      <c r="D464" s="118" t="str">
        <f t="shared" si="13"/>
        <v/>
      </c>
      <c r="E464" s="121"/>
      <c r="F464" s="121"/>
      <c r="G464" s="121"/>
      <c r="H464" s="121"/>
      <c r="I464" s="142"/>
      <c r="J464" s="121"/>
      <c r="K464" s="121"/>
      <c r="L464" s="144"/>
      <c r="M464" s="144"/>
      <c r="N464" s="144"/>
      <c r="O464" s="144"/>
      <c r="P464" s="144"/>
    </row>
    <row r="465" spans="1:16" s="135" customFormat="1" ht="15.75" x14ac:dyDescent="0.25">
      <c r="A465" s="109"/>
      <c r="B465" s="109"/>
      <c r="C465" s="118" t="str">
        <f t="shared" si="12"/>
        <v/>
      </c>
      <c r="D465" s="118" t="str">
        <f t="shared" si="13"/>
        <v/>
      </c>
      <c r="E465" s="121"/>
      <c r="F465" s="121"/>
      <c r="G465" s="121"/>
      <c r="H465" s="121"/>
      <c r="I465" s="142"/>
      <c r="J465" s="121"/>
      <c r="K465" s="121"/>
      <c r="L465" s="144"/>
      <c r="M465" s="144"/>
      <c r="N465" s="144"/>
      <c r="O465" s="144"/>
      <c r="P465" s="144"/>
    </row>
    <row r="466" spans="1:16" s="135" customFormat="1" ht="15.75" x14ac:dyDescent="0.25">
      <c r="A466" s="109"/>
      <c r="B466" s="109"/>
      <c r="C466" s="118" t="str">
        <f t="shared" si="12"/>
        <v/>
      </c>
      <c r="D466" s="118" t="str">
        <f t="shared" si="13"/>
        <v/>
      </c>
      <c r="E466" s="121"/>
      <c r="F466" s="121"/>
      <c r="G466" s="121"/>
      <c r="H466" s="121"/>
      <c r="I466" s="142"/>
      <c r="J466" s="121"/>
      <c r="K466" s="121"/>
      <c r="L466" s="144"/>
      <c r="M466" s="144"/>
      <c r="N466" s="144"/>
      <c r="O466" s="144"/>
      <c r="P466" s="144"/>
    </row>
    <row r="467" spans="1:16" s="135" customFormat="1" ht="15.75" x14ac:dyDescent="0.25">
      <c r="A467" s="109"/>
      <c r="B467" s="109"/>
      <c r="C467" s="118" t="str">
        <f t="shared" si="12"/>
        <v/>
      </c>
      <c r="D467" s="118" t="str">
        <f t="shared" si="13"/>
        <v/>
      </c>
      <c r="E467" s="121"/>
      <c r="F467" s="121"/>
      <c r="G467" s="121"/>
      <c r="H467" s="121"/>
      <c r="I467" s="142"/>
      <c r="J467" s="121"/>
      <c r="K467" s="121"/>
      <c r="L467" s="144"/>
      <c r="M467" s="144"/>
      <c r="N467" s="144"/>
      <c r="O467" s="144"/>
      <c r="P467" s="144"/>
    </row>
    <row r="468" spans="1:16" s="135" customFormat="1" ht="15.75" x14ac:dyDescent="0.25">
      <c r="A468" s="109"/>
      <c r="B468" s="109"/>
      <c r="C468" s="118" t="str">
        <f t="shared" ref="C468:C531" si="14">IF(A468=0,"",VLOOKUP(B468,MatDB,2,FALSE))</f>
        <v/>
      </c>
      <c r="D468" s="118" t="str">
        <f t="shared" si="13"/>
        <v/>
      </c>
      <c r="E468" s="121"/>
      <c r="F468" s="121"/>
      <c r="G468" s="121"/>
      <c r="H468" s="121"/>
      <c r="I468" s="142"/>
      <c r="J468" s="121"/>
      <c r="K468" s="121"/>
      <c r="L468" s="144"/>
      <c r="M468" s="144"/>
      <c r="N468" s="144"/>
      <c r="O468" s="144"/>
      <c r="P468" s="144"/>
    </row>
    <row r="469" spans="1:16" s="135" customFormat="1" ht="15.75" x14ac:dyDescent="0.25">
      <c r="A469" s="109"/>
      <c r="B469" s="109"/>
      <c r="C469" s="118" t="str">
        <f t="shared" si="14"/>
        <v/>
      </c>
      <c r="D469" s="118" t="str">
        <f t="shared" ref="D469:D532" si="15">IF(A469=0,"","Steel02")</f>
        <v/>
      </c>
      <c r="E469" s="121"/>
      <c r="F469" s="121"/>
      <c r="G469" s="121"/>
      <c r="H469" s="121"/>
      <c r="I469" s="142"/>
      <c r="J469" s="121"/>
      <c r="K469" s="121"/>
      <c r="L469" s="144"/>
      <c r="M469" s="144"/>
      <c r="N469" s="144"/>
      <c r="O469" s="144"/>
      <c r="P469" s="144"/>
    </row>
    <row r="470" spans="1:16" s="135" customFormat="1" ht="15.75" x14ac:dyDescent="0.25">
      <c r="A470" s="109"/>
      <c r="B470" s="109"/>
      <c r="C470" s="118" t="str">
        <f t="shared" si="14"/>
        <v/>
      </c>
      <c r="D470" s="118" t="str">
        <f t="shared" si="15"/>
        <v/>
      </c>
      <c r="E470" s="121"/>
      <c r="F470" s="121"/>
      <c r="G470" s="121"/>
      <c r="H470" s="121"/>
      <c r="I470" s="142"/>
      <c r="J470" s="121"/>
      <c r="K470" s="121"/>
      <c r="L470" s="144"/>
      <c r="M470" s="144"/>
      <c r="N470" s="144"/>
      <c r="O470" s="144"/>
      <c r="P470" s="144"/>
    </row>
    <row r="471" spans="1:16" s="135" customFormat="1" ht="15.75" x14ac:dyDescent="0.25">
      <c r="A471" s="109"/>
      <c r="B471" s="109"/>
      <c r="C471" s="118" t="str">
        <f t="shared" si="14"/>
        <v/>
      </c>
      <c r="D471" s="118" t="str">
        <f t="shared" si="15"/>
        <v/>
      </c>
      <c r="E471" s="121"/>
      <c r="F471" s="121"/>
      <c r="G471" s="121"/>
      <c r="H471" s="121"/>
      <c r="I471" s="142"/>
      <c r="J471" s="121"/>
      <c r="K471" s="121"/>
      <c r="L471" s="144"/>
      <c r="M471" s="144"/>
      <c r="N471" s="144"/>
      <c r="O471" s="144"/>
      <c r="P471" s="144"/>
    </row>
    <row r="472" spans="1:16" s="135" customFormat="1" ht="15.75" x14ac:dyDescent="0.25">
      <c r="A472" s="109"/>
      <c r="B472" s="109"/>
      <c r="C472" s="118" t="str">
        <f t="shared" si="14"/>
        <v/>
      </c>
      <c r="D472" s="118" t="str">
        <f t="shared" si="15"/>
        <v/>
      </c>
      <c r="E472" s="121"/>
      <c r="F472" s="121"/>
      <c r="G472" s="121"/>
      <c r="H472" s="121"/>
      <c r="I472" s="142"/>
      <c r="J472" s="121"/>
      <c r="K472" s="121"/>
      <c r="L472" s="144"/>
      <c r="M472" s="144"/>
      <c r="N472" s="144"/>
      <c r="O472" s="144"/>
      <c r="P472" s="144"/>
    </row>
    <row r="473" spans="1:16" s="135" customFormat="1" ht="15.75" x14ac:dyDescent="0.25">
      <c r="A473" s="109"/>
      <c r="B473" s="109"/>
      <c r="C473" s="118" t="str">
        <f t="shared" si="14"/>
        <v/>
      </c>
      <c r="D473" s="118" t="str">
        <f t="shared" si="15"/>
        <v/>
      </c>
      <c r="E473" s="121"/>
      <c r="F473" s="121"/>
      <c r="G473" s="121"/>
      <c r="H473" s="121"/>
      <c r="I473" s="142"/>
      <c r="J473" s="121"/>
      <c r="K473" s="121"/>
      <c r="L473" s="144"/>
      <c r="M473" s="144"/>
      <c r="N473" s="144"/>
      <c r="O473" s="144"/>
      <c r="P473" s="144"/>
    </row>
    <row r="474" spans="1:16" s="135" customFormat="1" ht="15.75" x14ac:dyDescent="0.25">
      <c r="A474" s="109"/>
      <c r="B474" s="109"/>
      <c r="C474" s="118" t="str">
        <f t="shared" si="14"/>
        <v/>
      </c>
      <c r="D474" s="118" t="str">
        <f t="shared" si="15"/>
        <v/>
      </c>
      <c r="E474" s="121"/>
      <c r="F474" s="121"/>
      <c r="G474" s="121"/>
      <c r="H474" s="121"/>
      <c r="I474" s="142"/>
      <c r="J474" s="121"/>
      <c r="K474" s="121"/>
      <c r="L474" s="144"/>
      <c r="M474" s="144"/>
      <c r="N474" s="144"/>
      <c r="O474" s="144"/>
      <c r="P474" s="144"/>
    </row>
    <row r="475" spans="1:16" s="135" customFormat="1" ht="15.75" x14ac:dyDescent="0.25">
      <c r="A475" s="109"/>
      <c r="B475" s="109"/>
      <c r="C475" s="118" t="str">
        <f t="shared" si="14"/>
        <v/>
      </c>
      <c r="D475" s="118" t="str">
        <f t="shared" si="15"/>
        <v/>
      </c>
      <c r="E475" s="121"/>
      <c r="F475" s="121"/>
      <c r="G475" s="121"/>
      <c r="H475" s="121"/>
      <c r="I475" s="142"/>
      <c r="J475" s="121"/>
      <c r="K475" s="121"/>
      <c r="L475" s="144"/>
      <c r="M475" s="144"/>
      <c r="N475" s="144"/>
      <c r="O475" s="144"/>
      <c r="P475" s="144"/>
    </row>
    <row r="476" spans="1:16" s="135" customFormat="1" ht="15.75" x14ac:dyDescent="0.25">
      <c r="A476" s="109"/>
      <c r="B476" s="109"/>
      <c r="C476" s="118" t="str">
        <f t="shared" si="14"/>
        <v/>
      </c>
      <c r="D476" s="118" t="str">
        <f t="shared" si="15"/>
        <v/>
      </c>
      <c r="E476" s="121"/>
      <c r="F476" s="121"/>
      <c r="G476" s="121"/>
      <c r="H476" s="121"/>
      <c r="I476" s="142"/>
      <c r="J476" s="121"/>
      <c r="K476" s="121"/>
      <c r="L476" s="144"/>
      <c r="M476" s="144"/>
      <c r="N476" s="144"/>
      <c r="O476" s="144"/>
      <c r="P476" s="144"/>
    </row>
    <row r="477" spans="1:16" s="135" customFormat="1" ht="15.75" x14ac:dyDescent="0.25">
      <c r="A477" s="109"/>
      <c r="B477" s="109"/>
      <c r="C477" s="118" t="str">
        <f t="shared" si="14"/>
        <v/>
      </c>
      <c r="D477" s="118" t="str">
        <f t="shared" si="15"/>
        <v/>
      </c>
      <c r="E477" s="121"/>
      <c r="F477" s="121"/>
      <c r="G477" s="121"/>
      <c r="H477" s="121"/>
      <c r="I477" s="142"/>
      <c r="J477" s="121"/>
      <c r="K477" s="121"/>
      <c r="L477" s="144"/>
      <c r="M477" s="144"/>
      <c r="N477" s="144"/>
      <c r="O477" s="144"/>
      <c r="P477" s="144"/>
    </row>
    <row r="478" spans="1:16" s="135" customFormat="1" ht="15.75" x14ac:dyDescent="0.25">
      <c r="A478" s="109"/>
      <c r="B478" s="109"/>
      <c r="C478" s="118" t="str">
        <f t="shared" si="14"/>
        <v/>
      </c>
      <c r="D478" s="118" t="str">
        <f t="shared" si="15"/>
        <v/>
      </c>
      <c r="E478" s="121"/>
      <c r="F478" s="121"/>
      <c r="G478" s="121"/>
      <c r="H478" s="121"/>
      <c r="I478" s="142"/>
      <c r="J478" s="121"/>
      <c r="K478" s="121"/>
      <c r="L478" s="144"/>
      <c r="M478" s="144"/>
      <c r="N478" s="144"/>
      <c r="O478" s="144"/>
      <c r="P478" s="144"/>
    </row>
    <row r="479" spans="1:16" s="135" customFormat="1" ht="15.75" x14ac:dyDescent="0.25">
      <c r="A479" s="109"/>
      <c r="B479" s="109"/>
      <c r="C479" s="118" t="str">
        <f t="shared" si="14"/>
        <v/>
      </c>
      <c r="D479" s="118" t="str">
        <f t="shared" si="15"/>
        <v/>
      </c>
      <c r="E479" s="121"/>
      <c r="F479" s="121"/>
      <c r="G479" s="121"/>
      <c r="H479" s="121"/>
      <c r="I479" s="142"/>
      <c r="J479" s="121"/>
      <c r="K479" s="121"/>
      <c r="L479" s="144"/>
      <c r="M479" s="144"/>
      <c r="N479" s="144"/>
      <c r="O479" s="144"/>
      <c r="P479" s="144"/>
    </row>
    <row r="480" spans="1:16" s="135" customFormat="1" ht="15.75" x14ac:dyDescent="0.25">
      <c r="A480" s="109"/>
      <c r="B480" s="109"/>
      <c r="C480" s="118" t="str">
        <f t="shared" si="14"/>
        <v/>
      </c>
      <c r="D480" s="118" t="str">
        <f t="shared" si="15"/>
        <v/>
      </c>
      <c r="E480" s="121"/>
      <c r="F480" s="121"/>
      <c r="G480" s="121"/>
      <c r="H480" s="121"/>
      <c r="I480" s="142"/>
      <c r="J480" s="121"/>
      <c r="K480" s="121"/>
      <c r="L480" s="144"/>
      <c r="M480" s="144"/>
      <c r="N480" s="144"/>
      <c r="O480" s="144"/>
      <c r="P480" s="144"/>
    </row>
    <row r="481" spans="1:16" s="135" customFormat="1" ht="15.75" x14ac:dyDescent="0.25">
      <c r="A481" s="109"/>
      <c r="B481" s="109"/>
      <c r="C481" s="118" t="str">
        <f t="shared" si="14"/>
        <v/>
      </c>
      <c r="D481" s="118" t="str">
        <f t="shared" si="15"/>
        <v/>
      </c>
      <c r="E481" s="121"/>
      <c r="F481" s="121"/>
      <c r="G481" s="121"/>
      <c r="H481" s="121"/>
      <c r="I481" s="142"/>
      <c r="J481" s="121"/>
      <c r="K481" s="121"/>
      <c r="L481" s="144"/>
      <c r="M481" s="144"/>
      <c r="N481" s="144"/>
      <c r="O481" s="144"/>
      <c r="P481" s="144"/>
    </row>
    <row r="482" spans="1:16" s="135" customFormat="1" ht="15.75" x14ac:dyDescent="0.25">
      <c r="A482" s="109"/>
      <c r="B482" s="109"/>
      <c r="C482" s="118" t="str">
        <f t="shared" si="14"/>
        <v/>
      </c>
      <c r="D482" s="118" t="str">
        <f t="shared" si="15"/>
        <v/>
      </c>
      <c r="E482" s="121"/>
      <c r="F482" s="121"/>
      <c r="G482" s="121"/>
      <c r="H482" s="121"/>
      <c r="I482" s="142"/>
      <c r="J482" s="121"/>
      <c r="K482" s="121"/>
      <c r="L482" s="144"/>
      <c r="M482" s="144"/>
      <c r="N482" s="144"/>
      <c r="O482" s="144"/>
      <c r="P482" s="144"/>
    </row>
    <row r="483" spans="1:16" s="135" customFormat="1" ht="15.75" x14ac:dyDescent="0.25">
      <c r="A483" s="109"/>
      <c r="B483" s="109"/>
      <c r="C483" s="118" t="str">
        <f t="shared" si="14"/>
        <v/>
      </c>
      <c r="D483" s="118" t="str">
        <f t="shared" si="15"/>
        <v/>
      </c>
      <c r="E483" s="121"/>
      <c r="F483" s="121"/>
      <c r="G483" s="121"/>
      <c r="H483" s="121"/>
      <c r="I483" s="142"/>
      <c r="J483" s="121"/>
      <c r="K483" s="121"/>
      <c r="L483" s="144"/>
      <c r="M483" s="144"/>
      <c r="N483" s="144"/>
      <c r="O483" s="144"/>
      <c r="P483" s="144"/>
    </row>
    <row r="484" spans="1:16" s="135" customFormat="1" ht="15.75" x14ac:dyDescent="0.25">
      <c r="A484" s="109"/>
      <c r="B484" s="109"/>
      <c r="C484" s="118" t="str">
        <f t="shared" si="14"/>
        <v/>
      </c>
      <c r="D484" s="118" t="str">
        <f t="shared" si="15"/>
        <v/>
      </c>
      <c r="E484" s="121"/>
      <c r="F484" s="121"/>
      <c r="G484" s="121"/>
      <c r="H484" s="121"/>
      <c r="I484" s="142"/>
      <c r="J484" s="121"/>
      <c r="K484" s="121"/>
      <c r="L484" s="144"/>
      <c r="M484" s="144"/>
      <c r="N484" s="144"/>
      <c r="O484" s="144"/>
      <c r="P484" s="144"/>
    </row>
    <row r="485" spans="1:16" s="135" customFormat="1" ht="15.75" x14ac:dyDescent="0.25">
      <c r="A485" s="109"/>
      <c r="B485" s="109"/>
      <c r="C485" s="118" t="str">
        <f t="shared" si="14"/>
        <v/>
      </c>
      <c r="D485" s="118" t="str">
        <f t="shared" si="15"/>
        <v/>
      </c>
      <c r="E485" s="121"/>
      <c r="F485" s="121"/>
      <c r="G485" s="121"/>
      <c r="H485" s="121"/>
      <c r="I485" s="142"/>
      <c r="J485" s="121"/>
      <c r="K485" s="121"/>
      <c r="L485" s="144"/>
      <c r="M485" s="144"/>
      <c r="N485" s="144"/>
      <c r="O485" s="144"/>
      <c r="P485" s="144"/>
    </row>
    <row r="486" spans="1:16" s="135" customFormat="1" ht="15.75" x14ac:dyDescent="0.25">
      <c r="A486" s="109"/>
      <c r="B486" s="109"/>
      <c r="C486" s="118" t="str">
        <f t="shared" si="14"/>
        <v/>
      </c>
      <c r="D486" s="118" t="str">
        <f t="shared" si="15"/>
        <v/>
      </c>
      <c r="E486" s="121"/>
      <c r="F486" s="121"/>
      <c r="G486" s="121"/>
      <c r="H486" s="121"/>
      <c r="I486" s="142"/>
      <c r="J486" s="121"/>
      <c r="K486" s="121"/>
      <c r="L486" s="144"/>
      <c r="M486" s="144"/>
      <c r="N486" s="144"/>
      <c r="O486" s="144"/>
      <c r="P486" s="144"/>
    </row>
    <row r="487" spans="1:16" s="135" customFormat="1" ht="15.75" x14ac:dyDescent="0.25">
      <c r="A487" s="109"/>
      <c r="B487" s="109"/>
      <c r="C487" s="118" t="str">
        <f t="shared" si="14"/>
        <v/>
      </c>
      <c r="D487" s="118" t="str">
        <f t="shared" si="15"/>
        <v/>
      </c>
      <c r="E487" s="121"/>
      <c r="F487" s="121"/>
      <c r="G487" s="121"/>
      <c r="H487" s="121"/>
      <c r="I487" s="142"/>
      <c r="J487" s="121"/>
      <c r="K487" s="121"/>
      <c r="L487" s="144"/>
      <c r="M487" s="144"/>
      <c r="N487" s="144"/>
      <c r="O487" s="144"/>
      <c r="P487" s="144"/>
    </row>
    <row r="488" spans="1:16" s="135" customFormat="1" ht="15.75" x14ac:dyDescent="0.25">
      <c r="A488" s="109"/>
      <c r="B488" s="109"/>
      <c r="C488" s="118" t="str">
        <f t="shared" si="14"/>
        <v/>
      </c>
      <c r="D488" s="118" t="str">
        <f t="shared" si="15"/>
        <v/>
      </c>
      <c r="E488" s="121"/>
      <c r="F488" s="121"/>
      <c r="G488" s="121"/>
      <c r="H488" s="121"/>
      <c r="I488" s="142"/>
      <c r="J488" s="121"/>
      <c r="K488" s="121"/>
      <c r="L488" s="144"/>
      <c r="M488" s="144"/>
      <c r="N488" s="144"/>
      <c r="O488" s="144"/>
      <c r="P488" s="144"/>
    </row>
    <row r="489" spans="1:16" s="135" customFormat="1" ht="15.75" x14ac:dyDescent="0.25">
      <c r="A489" s="109"/>
      <c r="B489" s="109"/>
      <c r="C489" s="118" t="str">
        <f t="shared" si="14"/>
        <v/>
      </c>
      <c r="D489" s="118" t="str">
        <f t="shared" si="15"/>
        <v/>
      </c>
      <c r="E489" s="121"/>
      <c r="F489" s="121"/>
      <c r="G489" s="121"/>
      <c r="H489" s="121"/>
      <c r="I489" s="142"/>
      <c r="J489" s="121"/>
      <c r="K489" s="121"/>
      <c r="L489" s="144"/>
      <c r="M489" s="144"/>
      <c r="N489" s="144"/>
      <c r="O489" s="144"/>
      <c r="P489" s="144"/>
    </row>
    <row r="490" spans="1:16" s="135" customFormat="1" ht="15.75" x14ac:dyDescent="0.25">
      <c r="A490" s="109"/>
      <c r="B490" s="109"/>
      <c r="C490" s="118" t="str">
        <f t="shared" si="14"/>
        <v/>
      </c>
      <c r="D490" s="118" t="str">
        <f t="shared" si="15"/>
        <v/>
      </c>
      <c r="E490" s="121"/>
      <c r="F490" s="121"/>
      <c r="G490" s="121"/>
      <c r="H490" s="121"/>
      <c r="I490" s="142"/>
      <c r="J490" s="121"/>
      <c r="K490" s="121"/>
      <c r="L490" s="144"/>
      <c r="M490" s="144"/>
      <c r="N490" s="144"/>
      <c r="O490" s="144"/>
      <c r="P490" s="144"/>
    </row>
    <row r="491" spans="1:16" s="135" customFormat="1" ht="15.75" x14ac:dyDescent="0.25">
      <c r="A491" s="109"/>
      <c r="B491" s="109"/>
      <c r="C491" s="118" t="str">
        <f t="shared" si="14"/>
        <v/>
      </c>
      <c r="D491" s="118" t="str">
        <f t="shared" si="15"/>
        <v/>
      </c>
      <c r="E491" s="121"/>
      <c r="F491" s="121"/>
      <c r="G491" s="121"/>
      <c r="H491" s="121"/>
      <c r="I491" s="142"/>
      <c r="J491" s="121"/>
      <c r="K491" s="121"/>
      <c r="L491" s="144"/>
      <c r="M491" s="144"/>
      <c r="N491" s="144"/>
      <c r="O491" s="144"/>
      <c r="P491" s="144"/>
    </row>
    <row r="492" spans="1:16" s="135" customFormat="1" ht="15.75" x14ac:dyDescent="0.25">
      <c r="A492" s="109"/>
      <c r="B492" s="109"/>
      <c r="C492" s="118" t="str">
        <f t="shared" si="14"/>
        <v/>
      </c>
      <c r="D492" s="118" t="str">
        <f t="shared" si="15"/>
        <v/>
      </c>
      <c r="E492" s="121"/>
      <c r="F492" s="121"/>
      <c r="G492" s="121"/>
      <c r="H492" s="121"/>
      <c r="I492" s="142"/>
      <c r="J492" s="121"/>
      <c r="K492" s="121"/>
      <c r="L492" s="144"/>
      <c r="M492" s="144"/>
      <c r="N492" s="144"/>
      <c r="O492" s="144"/>
      <c r="P492" s="144"/>
    </row>
    <row r="493" spans="1:16" s="135" customFormat="1" ht="15.75" x14ac:dyDescent="0.25">
      <c r="A493" s="109"/>
      <c r="B493" s="109"/>
      <c r="C493" s="118" t="str">
        <f t="shared" si="14"/>
        <v/>
      </c>
      <c r="D493" s="118" t="str">
        <f t="shared" si="15"/>
        <v/>
      </c>
      <c r="E493" s="121"/>
      <c r="F493" s="121"/>
      <c r="G493" s="121"/>
      <c r="H493" s="121"/>
      <c r="I493" s="142"/>
      <c r="J493" s="121"/>
      <c r="K493" s="121"/>
      <c r="L493" s="144"/>
      <c r="M493" s="144"/>
      <c r="N493" s="144"/>
      <c r="O493" s="144"/>
      <c r="P493" s="144"/>
    </row>
    <row r="494" spans="1:16" s="135" customFormat="1" ht="15.75" x14ac:dyDescent="0.25">
      <c r="A494" s="109"/>
      <c r="B494" s="109"/>
      <c r="C494" s="118" t="str">
        <f t="shared" si="14"/>
        <v/>
      </c>
      <c r="D494" s="118" t="str">
        <f t="shared" si="15"/>
        <v/>
      </c>
      <c r="E494" s="121"/>
      <c r="F494" s="121"/>
      <c r="G494" s="121"/>
      <c r="H494" s="121"/>
      <c r="I494" s="142"/>
      <c r="J494" s="121"/>
      <c r="K494" s="121"/>
      <c r="L494" s="144"/>
      <c r="M494" s="144"/>
      <c r="N494" s="144"/>
      <c r="O494" s="144"/>
      <c r="P494" s="144"/>
    </row>
    <row r="495" spans="1:16" s="135" customFormat="1" ht="15.75" x14ac:dyDescent="0.25">
      <c r="A495" s="109"/>
      <c r="B495" s="109"/>
      <c r="C495" s="118" t="str">
        <f t="shared" si="14"/>
        <v/>
      </c>
      <c r="D495" s="118" t="str">
        <f t="shared" si="15"/>
        <v/>
      </c>
      <c r="E495" s="121"/>
      <c r="F495" s="121"/>
      <c r="G495" s="121"/>
      <c r="H495" s="121"/>
      <c r="I495" s="142"/>
      <c r="J495" s="121"/>
      <c r="K495" s="121"/>
      <c r="L495" s="144"/>
      <c r="M495" s="144"/>
      <c r="N495" s="144"/>
      <c r="O495" s="144"/>
      <c r="P495" s="144"/>
    </row>
    <row r="496" spans="1:16" s="135" customFormat="1" ht="15.75" x14ac:dyDescent="0.25">
      <c r="A496" s="109"/>
      <c r="B496" s="109"/>
      <c r="C496" s="118" t="str">
        <f t="shared" si="14"/>
        <v/>
      </c>
      <c r="D496" s="118" t="str">
        <f t="shared" si="15"/>
        <v/>
      </c>
      <c r="E496" s="121"/>
      <c r="F496" s="121"/>
      <c r="G496" s="121"/>
      <c r="H496" s="121"/>
      <c r="I496" s="142"/>
      <c r="J496" s="121"/>
      <c r="K496" s="121"/>
      <c r="L496" s="144"/>
      <c r="M496" s="144"/>
      <c r="N496" s="144"/>
      <c r="O496" s="144"/>
      <c r="P496" s="144"/>
    </row>
    <row r="497" spans="1:16" s="135" customFormat="1" ht="15.75" x14ac:dyDescent="0.25">
      <c r="A497" s="109"/>
      <c r="B497" s="109"/>
      <c r="C497" s="118" t="str">
        <f t="shared" si="14"/>
        <v/>
      </c>
      <c r="D497" s="118" t="str">
        <f t="shared" si="15"/>
        <v/>
      </c>
      <c r="E497" s="121"/>
      <c r="F497" s="121"/>
      <c r="G497" s="121"/>
      <c r="H497" s="121"/>
      <c r="I497" s="142"/>
      <c r="J497" s="121"/>
      <c r="K497" s="121"/>
      <c r="L497" s="144"/>
      <c r="M497" s="144"/>
      <c r="N497" s="144"/>
      <c r="O497" s="144"/>
      <c r="P497" s="144"/>
    </row>
    <row r="498" spans="1:16" s="135" customFormat="1" ht="15.75" x14ac:dyDescent="0.25">
      <c r="A498" s="109"/>
      <c r="B498" s="109"/>
      <c r="C498" s="118" t="str">
        <f t="shared" si="14"/>
        <v/>
      </c>
      <c r="D498" s="118" t="str">
        <f t="shared" si="15"/>
        <v/>
      </c>
      <c r="E498" s="121"/>
      <c r="F498" s="121"/>
      <c r="G498" s="121"/>
      <c r="H498" s="121"/>
      <c r="I498" s="142"/>
      <c r="J498" s="121"/>
      <c r="K498" s="121"/>
      <c r="L498" s="144"/>
      <c r="M498" s="144"/>
      <c r="N498" s="144"/>
      <c r="O498" s="144"/>
      <c r="P498" s="144"/>
    </row>
    <row r="499" spans="1:16" s="135" customFormat="1" ht="15.75" x14ac:dyDescent="0.25">
      <c r="A499" s="109"/>
      <c r="B499" s="109"/>
      <c r="C499" s="118" t="str">
        <f t="shared" si="14"/>
        <v/>
      </c>
      <c r="D499" s="118" t="str">
        <f t="shared" si="15"/>
        <v/>
      </c>
      <c r="E499" s="121"/>
      <c r="F499" s="121"/>
      <c r="G499" s="121"/>
      <c r="H499" s="121"/>
      <c r="I499" s="142"/>
      <c r="J499" s="121"/>
      <c r="K499" s="121"/>
      <c r="L499" s="144"/>
      <c r="M499" s="144"/>
      <c r="N499" s="144"/>
      <c r="O499" s="144"/>
      <c r="P499" s="144"/>
    </row>
    <row r="500" spans="1:16" s="135" customFormat="1" ht="15.75" x14ac:dyDescent="0.25">
      <c r="A500" s="109"/>
      <c r="B500" s="109"/>
      <c r="C500" s="118" t="str">
        <f t="shared" si="14"/>
        <v/>
      </c>
      <c r="D500" s="118" t="str">
        <f t="shared" si="15"/>
        <v/>
      </c>
      <c r="E500" s="121"/>
      <c r="F500" s="121"/>
      <c r="G500" s="121"/>
      <c r="H500" s="121"/>
      <c r="I500" s="142"/>
      <c r="J500" s="121"/>
      <c r="K500" s="121"/>
      <c r="L500" s="144"/>
      <c r="M500" s="144"/>
      <c r="N500" s="144"/>
      <c r="O500" s="144"/>
      <c r="P500" s="144"/>
    </row>
    <row r="501" spans="1:16" s="135" customFormat="1" ht="15.75" x14ac:dyDescent="0.25">
      <c r="A501" s="109"/>
      <c r="B501" s="109"/>
      <c r="C501" s="118" t="str">
        <f t="shared" si="14"/>
        <v/>
      </c>
      <c r="D501" s="118" t="str">
        <f t="shared" si="15"/>
        <v/>
      </c>
      <c r="E501" s="121"/>
      <c r="F501" s="121"/>
      <c r="G501" s="121"/>
      <c r="H501" s="121"/>
      <c r="I501" s="142"/>
      <c r="J501" s="121"/>
      <c r="K501" s="121"/>
      <c r="L501" s="144"/>
      <c r="M501" s="144"/>
      <c r="N501" s="144"/>
      <c r="O501" s="144"/>
      <c r="P501" s="144"/>
    </row>
    <row r="502" spans="1:16" s="135" customFormat="1" ht="15.75" x14ac:dyDescent="0.25">
      <c r="A502" s="109"/>
      <c r="B502" s="109"/>
      <c r="C502" s="118" t="str">
        <f t="shared" si="14"/>
        <v/>
      </c>
      <c r="D502" s="118" t="str">
        <f t="shared" si="15"/>
        <v/>
      </c>
      <c r="E502" s="121"/>
      <c r="F502" s="121"/>
      <c r="G502" s="121"/>
      <c r="H502" s="121"/>
      <c r="I502" s="142"/>
      <c r="J502" s="121"/>
      <c r="K502" s="121"/>
      <c r="L502" s="144"/>
      <c r="M502" s="144"/>
      <c r="N502" s="144"/>
      <c r="O502" s="144"/>
      <c r="P502" s="144"/>
    </row>
    <row r="503" spans="1:16" s="135" customFormat="1" ht="15.75" x14ac:dyDescent="0.25">
      <c r="A503" s="109"/>
      <c r="B503" s="109"/>
      <c r="C503" s="118" t="str">
        <f t="shared" si="14"/>
        <v/>
      </c>
      <c r="D503" s="118" t="str">
        <f t="shared" si="15"/>
        <v/>
      </c>
      <c r="E503" s="121"/>
      <c r="F503" s="121"/>
      <c r="G503" s="121"/>
      <c r="H503" s="121"/>
      <c r="I503" s="142"/>
      <c r="J503" s="121"/>
      <c r="K503" s="121"/>
      <c r="L503" s="144"/>
      <c r="M503" s="144"/>
      <c r="N503" s="144"/>
      <c r="O503" s="144"/>
      <c r="P503" s="144"/>
    </row>
    <row r="504" spans="1:16" s="135" customFormat="1" ht="15.75" x14ac:dyDescent="0.25">
      <c r="A504" s="109"/>
      <c r="B504" s="109"/>
      <c r="C504" s="118" t="str">
        <f t="shared" si="14"/>
        <v/>
      </c>
      <c r="D504" s="118" t="str">
        <f t="shared" si="15"/>
        <v/>
      </c>
      <c r="E504" s="121"/>
      <c r="F504" s="121"/>
      <c r="G504" s="121"/>
      <c r="H504" s="121"/>
      <c r="I504" s="142"/>
      <c r="J504" s="121"/>
      <c r="K504" s="121"/>
      <c r="L504" s="144"/>
      <c r="M504" s="144"/>
      <c r="N504" s="144"/>
      <c r="O504" s="144"/>
      <c r="P504" s="144"/>
    </row>
    <row r="505" spans="1:16" s="135" customFormat="1" ht="15.75" x14ac:dyDescent="0.25">
      <c r="A505" s="109"/>
      <c r="B505" s="109"/>
      <c r="C505" s="118" t="str">
        <f t="shared" si="14"/>
        <v/>
      </c>
      <c r="D505" s="118" t="str">
        <f t="shared" si="15"/>
        <v/>
      </c>
      <c r="E505" s="121"/>
      <c r="F505" s="121"/>
      <c r="G505" s="121"/>
      <c r="H505" s="121"/>
      <c r="I505" s="142"/>
      <c r="J505" s="121"/>
      <c r="K505" s="121"/>
      <c r="L505" s="144"/>
      <c r="M505" s="144"/>
      <c r="N505" s="144"/>
      <c r="O505" s="144"/>
      <c r="P505" s="144"/>
    </row>
    <row r="506" spans="1:16" s="135" customFormat="1" ht="15.75" x14ac:dyDescent="0.25">
      <c r="A506" s="109"/>
      <c r="B506" s="109"/>
      <c r="C506" s="118" t="str">
        <f t="shared" si="14"/>
        <v/>
      </c>
      <c r="D506" s="118" t="str">
        <f t="shared" si="15"/>
        <v/>
      </c>
      <c r="E506" s="121"/>
      <c r="F506" s="121"/>
      <c r="G506" s="121"/>
      <c r="H506" s="121"/>
      <c r="I506" s="142"/>
      <c r="J506" s="121"/>
      <c r="K506" s="121"/>
      <c r="L506" s="144"/>
      <c r="M506" s="144"/>
      <c r="N506" s="144"/>
      <c r="O506" s="144"/>
      <c r="P506" s="144"/>
    </row>
    <row r="507" spans="1:16" s="135" customFormat="1" ht="15.75" x14ac:dyDescent="0.25">
      <c r="A507" s="109"/>
      <c r="B507" s="109"/>
      <c r="C507" s="118" t="str">
        <f t="shared" si="14"/>
        <v/>
      </c>
      <c r="D507" s="118" t="str">
        <f t="shared" si="15"/>
        <v/>
      </c>
      <c r="E507" s="121"/>
      <c r="F507" s="121"/>
      <c r="G507" s="121"/>
      <c r="H507" s="121"/>
      <c r="I507" s="142"/>
      <c r="J507" s="121"/>
      <c r="K507" s="121"/>
      <c r="L507" s="144"/>
      <c r="M507" s="144"/>
      <c r="N507" s="144"/>
      <c r="O507" s="144"/>
      <c r="P507" s="144"/>
    </row>
    <row r="508" spans="1:16" s="135" customFormat="1" ht="15.75" x14ac:dyDescent="0.25">
      <c r="A508" s="109"/>
      <c r="B508" s="109"/>
      <c r="C508" s="118" t="str">
        <f t="shared" si="14"/>
        <v/>
      </c>
      <c r="D508" s="118" t="str">
        <f t="shared" si="15"/>
        <v/>
      </c>
      <c r="E508" s="121"/>
      <c r="F508" s="121"/>
      <c r="G508" s="121"/>
      <c r="H508" s="121"/>
      <c r="I508" s="142"/>
      <c r="J508" s="121"/>
      <c r="K508" s="121"/>
      <c r="L508" s="144"/>
      <c r="M508" s="144"/>
      <c r="N508" s="144"/>
      <c r="O508" s="144"/>
      <c r="P508" s="144"/>
    </row>
    <row r="509" spans="1:16" s="135" customFormat="1" ht="15.75" x14ac:dyDescent="0.25">
      <c r="A509" s="109"/>
      <c r="B509" s="109"/>
      <c r="C509" s="118" t="str">
        <f t="shared" si="14"/>
        <v/>
      </c>
      <c r="D509" s="118" t="str">
        <f t="shared" si="15"/>
        <v/>
      </c>
      <c r="E509" s="121"/>
      <c r="F509" s="121"/>
      <c r="G509" s="121"/>
      <c r="H509" s="121"/>
      <c r="I509" s="142"/>
      <c r="J509" s="121"/>
      <c r="K509" s="121"/>
      <c r="L509" s="144"/>
      <c r="M509" s="144"/>
      <c r="N509" s="144"/>
      <c r="O509" s="144"/>
      <c r="P509" s="144"/>
    </row>
    <row r="510" spans="1:16" s="135" customFormat="1" ht="15.75" x14ac:dyDescent="0.25">
      <c r="A510" s="109"/>
      <c r="B510" s="109"/>
      <c r="C510" s="118" t="str">
        <f t="shared" si="14"/>
        <v/>
      </c>
      <c r="D510" s="118" t="str">
        <f t="shared" si="15"/>
        <v/>
      </c>
      <c r="E510" s="121"/>
      <c r="F510" s="121"/>
      <c r="G510" s="121"/>
      <c r="H510" s="121"/>
      <c r="I510" s="142"/>
      <c r="J510" s="121"/>
      <c r="K510" s="121"/>
      <c r="L510" s="144"/>
      <c r="M510" s="144"/>
      <c r="N510" s="144"/>
      <c r="O510" s="144"/>
      <c r="P510" s="144"/>
    </row>
    <row r="511" spans="1:16" s="135" customFormat="1" ht="15.75" x14ac:dyDescent="0.25">
      <c r="A511" s="109"/>
      <c r="B511" s="109"/>
      <c r="C511" s="118" t="str">
        <f t="shared" si="14"/>
        <v/>
      </c>
      <c r="D511" s="118" t="str">
        <f t="shared" si="15"/>
        <v/>
      </c>
      <c r="E511" s="121"/>
      <c r="F511" s="121"/>
      <c r="G511" s="121"/>
      <c r="H511" s="121"/>
      <c r="I511" s="142"/>
      <c r="J511" s="121"/>
      <c r="K511" s="121"/>
      <c r="L511" s="144"/>
      <c r="M511" s="144"/>
      <c r="N511" s="144"/>
      <c r="O511" s="144"/>
      <c r="P511" s="144"/>
    </row>
    <row r="512" spans="1:16" s="135" customFormat="1" ht="15.75" x14ac:dyDescent="0.25">
      <c r="A512" s="109"/>
      <c r="B512" s="109"/>
      <c r="C512" s="118" t="str">
        <f t="shared" si="14"/>
        <v/>
      </c>
      <c r="D512" s="118" t="str">
        <f t="shared" si="15"/>
        <v/>
      </c>
      <c r="E512" s="121"/>
      <c r="F512" s="121"/>
      <c r="G512" s="121"/>
      <c r="H512" s="121"/>
      <c r="I512" s="142"/>
      <c r="J512" s="121"/>
      <c r="K512" s="121"/>
      <c r="L512" s="144"/>
      <c r="M512" s="144"/>
      <c r="N512" s="144"/>
      <c r="O512" s="144"/>
      <c r="P512" s="144"/>
    </row>
    <row r="513" spans="1:16" s="135" customFormat="1" ht="15.75" x14ac:dyDescent="0.25">
      <c r="A513" s="109"/>
      <c r="B513" s="109"/>
      <c r="C513" s="118" t="str">
        <f t="shared" si="14"/>
        <v/>
      </c>
      <c r="D513" s="118" t="str">
        <f t="shared" si="15"/>
        <v/>
      </c>
      <c r="E513" s="121"/>
      <c r="F513" s="121"/>
      <c r="G513" s="121"/>
      <c r="H513" s="121"/>
      <c r="I513" s="142"/>
      <c r="J513" s="121"/>
      <c r="K513" s="121"/>
      <c r="L513" s="144"/>
      <c r="M513" s="144"/>
      <c r="N513" s="144"/>
      <c r="O513" s="144"/>
      <c r="P513" s="144"/>
    </row>
    <row r="514" spans="1:16" s="135" customFormat="1" ht="15.75" x14ac:dyDescent="0.25">
      <c r="A514" s="109"/>
      <c r="B514" s="109"/>
      <c r="C514" s="118" t="str">
        <f t="shared" si="14"/>
        <v/>
      </c>
      <c r="D514" s="118" t="str">
        <f t="shared" si="15"/>
        <v/>
      </c>
      <c r="E514" s="121"/>
      <c r="F514" s="121"/>
      <c r="G514" s="121"/>
      <c r="H514" s="121"/>
      <c r="I514" s="142"/>
      <c r="J514" s="121"/>
      <c r="K514" s="121"/>
      <c r="L514" s="144"/>
      <c r="M514" s="144"/>
      <c r="N514" s="144"/>
      <c r="O514" s="144"/>
      <c r="P514" s="144"/>
    </row>
    <row r="515" spans="1:16" s="135" customFormat="1" ht="15.75" x14ac:dyDescent="0.25">
      <c r="A515" s="109"/>
      <c r="B515" s="109"/>
      <c r="C515" s="118" t="str">
        <f t="shared" si="14"/>
        <v/>
      </c>
      <c r="D515" s="118" t="str">
        <f t="shared" si="15"/>
        <v/>
      </c>
      <c r="E515" s="121"/>
      <c r="F515" s="121"/>
      <c r="G515" s="121"/>
      <c r="H515" s="121"/>
      <c r="I515" s="142"/>
      <c r="J515" s="121"/>
      <c r="K515" s="121"/>
      <c r="L515" s="144"/>
      <c r="M515" s="144"/>
      <c r="N515" s="144"/>
      <c r="O515" s="144"/>
      <c r="P515" s="144"/>
    </row>
    <row r="516" spans="1:16" s="135" customFormat="1" ht="15.75" x14ac:dyDescent="0.25">
      <c r="A516" s="109"/>
      <c r="B516" s="109"/>
      <c r="C516" s="118" t="str">
        <f t="shared" si="14"/>
        <v/>
      </c>
      <c r="D516" s="118" t="str">
        <f t="shared" si="15"/>
        <v/>
      </c>
      <c r="E516" s="121"/>
      <c r="F516" s="121"/>
      <c r="G516" s="121"/>
      <c r="H516" s="121"/>
      <c r="I516" s="142"/>
      <c r="J516" s="121"/>
      <c r="K516" s="121"/>
      <c r="L516" s="144"/>
      <c r="M516" s="144"/>
      <c r="N516" s="144"/>
      <c r="O516" s="144"/>
      <c r="P516" s="144"/>
    </row>
    <row r="517" spans="1:16" s="135" customFormat="1" ht="15.75" x14ac:dyDescent="0.25">
      <c r="A517" s="109"/>
      <c r="B517" s="109"/>
      <c r="C517" s="118" t="str">
        <f t="shared" si="14"/>
        <v/>
      </c>
      <c r="D517" s="118" t="str">
        <f t="shared" si="15"/>
        <v/>
      </c>
      <c r="E517" s="121"/>
      <c r="F517" s="121"/>
      <c r="G517" s="121"/>
      <c r="H517" s="121"/>
      <c r="I517" s="142"/>
      <c r="J517" s="121"/>
      <c r="K517" s="121"/>
      <c r="L517" s="144"/>
      <c r="M517" s="144"/>
      <c r="N517" s="144"/>
      <c r="O517" s="144"/>
      <c r="P517" s="144"/>
    </row>
    <row r="518" spans="1:16" s="135" customFormat="1" ht="15.75" x14ac:dyDescent="0.25">
      <c r="A518" s="109"/>
      <c r="B518" s="109"/>
      <c r="C518" s="118" t="str">
        <f t="shared" si="14"/>
        <v/>
      </c>
      <c r="D518" s="118" t="str">
        <f t="shared" si="15"/>
        <v/>
      </c>
      <c r="E518" s="121"/>
      <c r="F518" s="121"/>
      <c r="G518" s="121"/>
      <c r="H518" s="121"/>
      <c r="I518" s="142"/>
      <c r="J518" s="121"/>
      <c r="K518" s="121"/>
      <c r="L518" s="144"/>
      <c r="M518" s="144"/>
      <c r="N518" s="144"/>
      <c r="O518" s="144"/>
      <c r="P518" s="144"/>
    </row>
    <row r="519" spans="1:16" s="135" customFormat="1" ht="15.75" x14ac:dyDescent="0.25">
      <c r="A519" s="109"/>
      <c r="B519" s="109"/>
      <c r="C519" s="118" t="str">
        <f t="shared" si="14"/>
        <v/>
      </c>
      <c r="D519" s="118" t="str">
        <f t="shared" si="15"/>
        <v/>
      </c>
      <c r="E519" s="121"/>
      <c r="F519" s="121"/>
      <c r="G519" s="121"/>
      <c r="H519" s="121"/>
      <c r="I519" s="142"/>
      <c r="J519" s="121"/>
      <c r="K519" s="121"/>
      <c r="L519" s="144"/>
      <c r="M519" s="144"/>
      <c r="N519" s="144"/>
      <c r="O519" s="144"/>
      <c r="P519" s="144"/>
    </row>
    <row r="520" spans="1:16" s="135" customFormat="1" ht="15.75" x14ac:dyDescent="0.25">
      <c r="A520" s="109"/>
      <c r="B520" s="109"/>
      <c r="C520" s="118" t="str">
        <f t="shared" si="14"/>
        <v/>
      </c>
      <c r="D520" s="118" t="str">
        <f t="shared" si="15"/>
        <v/>
      </c>
      <c r="E520" s="121"/>
      <c r="F520" s="121"/>
      <c r="G520" s="121"/>
      <c r="H520" s="121"/>
      <c r="I520" s="142"/>
      <c r="J520" s="121"/>
      <c r="K520" s="121"/>
      <c r="L520" s="144"/>
      <c r="M520" s="144"/>
      <c r="N520" s="144"/>
      <c r="O520" s="144"/>
      <c r="P520" s="144"/>
    </row>
    <row r="521" spans="1:16" s="135" customFormat="1" ht="15.75" x14ac:dyDescent="0.25">
      <c r="A521" s="109"/>
      <c r="B521" s="109"/>
      <c r="C521" s="118" t="str">
        <f t="shared" si="14"/>
        <v/>
      </c>
      <c r="D521" s="118" t="str">
        <f t="shared" si="15"/>
        <v/>
      </c>
      <c r="E521" s="121"/>
      <c r="F521" s="121"/>
      <c r="G521" s="121"/>
      <c r="H521" s="121"/>
      <c r="I521" s="142"/>
      <c r="J521" s="121"/>
      <c r="K521" s="121"/>
      <c r="L521" s="144"/>
      <c r="M521" s="144"/>
      <c r="N521" s="144"/>
      <c r="O521" s="144"/>
      <c r="P521" s="144"/>
    </row>
    <row r="522" spans="1:16" s="135" customFormat="1" ht="15.75" x14ac:dyDescent="0.25">
      <c r="A522" s="109"/>
      <c r="B522" s="109"/>
      <c r="C522" s="118" t="str">
        <f t="shared" si="14"/>
        <v/>
      </c>
      <c r="D522" s="118" t="str">
        <f t="shared" si="15"/>
        <v/>
      </c>
      <c r="E522" s="121"/>
      <c r="F522" s="121"/>
      <c r="G522" s="121"/>
      <c r="H522" s="121"/>
      <c r="I522" s="142"/>
      <c r="J522" s="121"/>
      <c r="K522" s="121"/>
      <c r="L522" s="144"/>
      <c r="M522" s="144"/>
      <c r="N522" s="144"/>
      <c r="O522" s="144"/>
      <c r="P522" s="144"/>
    </row>
    <row r="523" spans="1:16" s="135" customFormat="1" ht="15.75" x14ac:dyDescent="0.25">
      <c r="A523" s="109"/>
      <c r="B523" s="109"/>
      <c r="C523" s="118" t="str">
        <f t="shared" si="14"/>
        <v/>
      </c>
      <c r="D523" s="118" t="str">
        <f t="shared" si="15"/>
        <v/>
      </c>
      <c r="E523" s="121"/>
      <c r="F523" s="121"/>
      <c r="G523" s="121"/>
      <c r="H523" s="121"/>
      <c r="I523" s="142"/>
      <c r="J523" s="121"/>
      <c r="K523" s="121"/>
      <c r="L523" s="144"/>
      <c r="M523" s="144"/>
      <c r="N523" s="144"/>
      <c r="O523" s="144"/>
      <c r="P523" s="144"/>
    </row>
    <row r="524" spans="1:16" s="135" customFormat="1" ht="15.75" x14ac:dyDescent="0.25">
      <c r="A524" s="109"/>
      <c r="B524" s="109"/>
      <c r="C524" s="118" t="str">
        <f t="shared" si="14"/>
        <v/>
      </c>
      <c r="D524" s="118" t="str">
        <f t="shared" si="15"/>
        <v/>
      </c>
      <c r="E524" s="121"/>
      <c r="F524" s="121"/>
      <c r="G524" s="121"/>
      <c r="H524" s="121"/>
      <c r="I524" s="142"/>
      <c r="J524" s="121"/>
      <c r="K524" s="121"/>
      <c r="L524" s="144"/>
      <c r="M524" s="144"/>
      <c r="N524" s="144"/>
      <c r="O524" s="144"/>
      <c r="P524" s="144"/>
    </row>
    <row r="525" spans="1:16" s="135" customFormat="1" ht="15.75" x14ac:dyDescent="0.25">
      <c r="A525" s="109"/>
      <c r="B525" s="109"/>
      <c r="C525" s="118" t="str">
        <f t="shared" si="14"/>
        <v/>
      </c>
      <c r="D525" s="118" t="str">
        <f t="shared" si="15"/>
        <v/>
      </c>
      <c r="E525" s="121"/>
      <c r="F525" s="121"/>
      <c r="G525" s="121"/>
      <c r="H525" s="121"/>
      <c r="I525" s="142"/>
      <c r="J525" s="121"/>
      <c r="K525" s="121"/>
      <c r="L525" s="144"/>
      <c r="M525" s="144"/>
      <c r="N525" s="144"/>
      <c r="O525" s="144"/>
      <c r="P525" s="144"/>
    </row>
    <row r="526" spans="1:16" s="135" customFormat="1" ht="15.75" x14ac:dyDescent="0.25">
      <c r="A526" s="109"/>
      <c r="B526" s="109"/>
      <c r="C526" s="118" t="str">
        <f t="shared" si="14"/>
        <v/>
      </c>
      <c r="D526" s="118" t="str">
        <f t="shared" si="15"/>
        <v/>
      </c>
      <c r="E526" s="121"/>
      <c r="F526" s="121"/>
      <c r="G526" s="121"/>
      <c r="H526" s="121"/>
      <c r="I526" s="142"/>
      <c r="J526" s="121"/>
      <c r="K526" s="121"/>
      <c r="L526" s="144"/>
      <c r="M526" s="144"/>
      <c r="N526" s="144"/>
      <c r="O526" s="144"/>
      <c r="P526" s="144"/>
    </row>
    <row r="527" spans="1:16" s="135" customFormat="1" ht="15.75" x14ac:dyDescent="0.25">
      <c r="A527" s="109"/>
      <c r="B527" s="109"/>
      <c r="C527" s="118" t="str">
        <f t="shared" si="14"/>
        <v/>
      </c>
      <c r="D527" s="118" t="str">
        <f t="shared" si="15"/>
        <v/>
      </c>
      <c r="E527" s="121"/>
      <c r="F527" s="121"/>
      <c r="G527" s="121"/>
      <c r="H527" s="121"/>
      <c r="I527" s="142"/>
      <c r="J527" s="121"/>
      <c r="K527" s="121"/>
      <c r="L527" s="144"/>
      <c r="M527" s="144"/>
      <c r="N527" s="144"/>
      <c r="O527" s="144"/>
      <c r="P527" s="144"/>
    </row>
    <row r="528" spans="1:16" s="135" customFormat="1" ht="15.75" x14ac:dyDescent="0.25">
      <c r="A528" s="109"/>
      <c r="B528" s="109"/>
      <c r="C528" s="118" t="str">
        <f t="shared" si="14"/>
        <v/>
      </c>
      <c r="D528" s="118" t="str">
        <f t="shared" si="15"/>
        <v/>
      </c>
      <c r="E528" s="121"/>
      <c r="F528" s="121"/>
      <c r="G528" s="121"/>
      <c r="H528" s="121"/>
      <c r="I528" s="142"/>
      <c r="J528" s="121"/>
      <c r="K528" s="121"/>
      <c r="L528" s="144"/>
      <c r="M528" s="144"/>
      <c r="N528" s="144"/>
      <c r="O528" s="144"/>
      <c r="P528" s="144"/>
    </row>
    <row r="529" spans="1:16" s="135" customFormat="1" ht="15.75" x14ac:dyDescent="0.25">
      <c r="A529" s="109"/>
      <c r="B529" s="109"/>
      <c r="C529" s="118" t="str">
        <f t="shared" si="14"/>
        <v/>
      </c>
      <c r="D529" s="118" t="str">
        <f t="shared" si="15"/>
        <v/>
      </c>
      <c r="E529" s="121"/>
      <c r="F529" s="121"/>
      <c r="G529" s="121"/>
      <c r="H529" s="121"/>
      <c r="I529" s="142"/>
      <c r="J529" s="121"/>
      <c r="K529" s="121"/>
      <c r="L529" s="144"/>
      <c r="M529" s="144"/>
      <c r="N529" s="144"/>
      <c r="O529" s="144"/>
      <c r="P529" s="144"/>
    </row>
    <row r="530" spans="1:16" s="135" customFormat="1" ht="15.75" x14ac:dyDescent="0.25">
      <c r="A530" s="109"/>
      <c r="B530" s="109"/>
      <c r="C530" s="118" t="str">
        <f t="shared" si="14"/>
        <v/>
      </c>
      <c r="D530" s="118" t="str">
        <f t="shared" si="15"/>
        <v/>
      </c>
      <c r="E530" s="121"/>
      <c r="F530" s="121"/>
      <c r="G530" s="121"/>
      <c r="H530" s="121"/>
      <c r="I530" s="142"/>
      <c r="J530" s="121"/>
      <c r="K530" s="121"/>
      <c r="L530" s="144"/>
      <c r="M530" s="144"/>
      <c r="N530" s="144"/>
      <c r="O530" s="144"/>
      <c r="P530" s="144"/>
    </row>
    <row r="531" spans="1:16" s="135" customFormat="1" ht="15.75" x14ac:dyDescent="0.25">
      <c r="A531" s="109"/>
      <c r="B531" s="109"/>
      <c r="C531" s="118" t="str">
        <f t="shared" si="14"/>
        <v/>
      </c>
      <c r="D531" s="118" t="str">
        <f t="shared" si="15"/>
        <v/>
      </c>
      <c r="E531" s="121"/>
      <c r="F531" s="121"/>
      <c r="G531" s="121"/>
      <c r="H531" s="121"/>
      <c r="I531" s="142"/>
      <c r="J531" s="121"/>
      <c r="K531" s="121"/>
      <c r="L531" s="144"/>
      <c r="M531" s="144"/>
      <c r="N531" s="144"/>
      <c r="O531" s="144"/>
      <c r="P531" s="144"/>
    </row>
    <row r="532" spans="1:16" s="135" customFormat="1" ht="15.75" x14ac:dyDescent="0.25">
      <c r="A532" s="109"/>
      <c r="B532" s="109"/>
      <c r="C532" s="118" t="str">
        <f t="shared" ref="C532:C595" si="16">IF(A532=0,"",VLOOKUP(B532,MatDB,2,FALSE))</f>
        <v/>
      </c>
      <c r="D532" s="118" t="str">
        <f t="shared" si="15"/>
        <v/>
      </c>
      <c r="E532" s="121"/>
      <c r="F532" s="121"/>
      <c r="G532" s="121"/>
      <c r="H532" s="121"/>
      <c r="I532" s="142"/>
      <c r="J532" s="121"/>
      <c r="K532" s="121"/>
      <c r="L532" s="144"/>
      <c r="M532" s="144"/>
      <c r="N532" s="144"/>
      <c r="O532" s="144"/>
      <c r="P532" s="144"/>
    </row>
    <row r="533" spans="1:16" s="135" customFormat="1" ht="15.75" x14ac:dyDescent="0.25">
      <c r="A533" s="109"/>
      <c r="B533" s="109"/>
      <c r="C533" s="118" t="str">
        <f t="shared" si="16"/>
        <v/>
      </c>
      <c r="D533" s="118" t="str">
        <f t="shared" ref="D533:D596" si="17">IF(A533=0,"","Steel02")</f>
        <v/>
      </c>
      <c r="E533" s="121"/>
      <c r="F533" s="121"/>
      <c r="G533" s="121"/>
      <c r="H533" s="121"/>
      <c r="I533" s="142"/>
      <c r="J533" s="121"/>
      <c r="K533" s="121"/>
      <c r="L533" s="144"/>
      <c r="M533" s="144"/>
      <c r="N533" s="144"/>
      <c r="O533" s="144"/>
      <c r="P533" s="144"/>
    </row>
    <row r="534" spans="1:16" s="135" customFormat="1" ht="15.75" x14ac:dyDescent="0.25">
      <c r="A534" s="109"/>
      <c r="B534" s="109"/>
      <c r="C534" s="118" t="str">
        <f t="shared" si="16"/>
        <v/>
      </c>
      <c r="D534" s="118" t="str">
        <f t="shared" si="17"/>
        <v/>
      </c>
      <c r="E534" s="121"/>
      <c r="F534" s="121"/>
      <c r="G534" s="121"/>
      <c r="H534" s="121"/>
      <c r="I534" s="142"/>
      <c r="J534" s="121"/>
      <c r="K534" s="121"/>
      <c r="L534" s="144"/>
      <c r="M534" s="144"/>
      <c r="N534" s="144"/>
      <c r="O534" s="144"/>
      <c r="P534" s="144"/>
    </row>
    <row r="535" spans="1:16" s="135" customFormat="1" ht="15.75" x14ac:dyDescent="0.25">
      <c r="A535" s="109"/>
      <c r="B535" s="109"/>
      <c r="C535" s="118" t="str">
        <f t="shared" si="16"/>
        <v/>
      </c>
      <c r="D535" s="118" t="str">
        <f t="shared" si="17"/>
        <v/>
      </c>
      <c r="E535" s="121"/>
      <c r="F535" s="121"/>
      <c r="G535" s="121"/>
      <c r="H535" s="121"/>
      <c r="I535" s="142"/>
      <c r="J535" s="121"/>
      <c r="K535" s="121"/>
      <c r="L535" s="144"/>
      <c r="M535" s="144"/>
      <c r="N535" s="144"/>
      <c r="O535" s="144"/>
      <c r="P535" s="144"/>
    </row>
    <row r="536" spans="1:16" s="135" customFormat="1" ht="15.75" x14ac:dyDescent="0.25">
      <c r="A536" s="109"/>
      <c r="B536" s="109"/>
      <c r="C536" s="118" t="str">
        <f t="shared" si="16"/>
        <v/>
      </c>
      <c r="D536" s="118" t="str">
        <f t="shared" si="17"/>
        <v/>
      </c>
      <c r="E536" s="121"/>
      <c r="F536" s="121"/>
      <c r="G536" s="121"/>
      <c r="H536" s="121"/>
      <c r="I536" s="142"/>
      <c r="J536" s="121"/>
      <c r="K536" s="121"/>
      <c r="L536" s="144"/>
      <c r="M536" s="144"/>
      <c r="N536" s="144"/>
      <c r="O536" s="144"/>
      <c r="P536" s="144"/>
    </row>
    <row r="537" spans="1:16" s="135" customFormat="1" ht="15.75" x14ac:dyDescent="0.25">
      <c r="A537" s="109"/>
      <c r="B537" s="109"/>
      <c r="C537" s="118" t="str">
        <f t="shared" si="16"/>
        <v/>
      </c>
      <c r="D537" s="118" t="str">
        <f t="shared" si="17"/>
        <v/>
      </c>
      <c r="E537" s="121"/>
      <c r="F537" s="121"/>
      <c r="G537" s="121"/>
      <c r="H537" s="121"/>
      <c r="I537" s="142"/>
      <c r="J537" s="121"/>
      <c r="K537" s="121"/>
      <c r="L537" s="144"/>
      <c r="M537" s="144"/>
      <c r="N537" s="144"/>
      <c r="O537" s="144"/>
      <c r="P537" s="144"/>
    </row>
    <row r="538" spans="1:16" s="135" customFormat="1" ht="15.75" x14ac:dyDescent="0.25">
      <c r="A538" s="109"/>
      <c r="B538" s="109"/>
      <c r="C538" s="118" t="str">
        <f t="shared" si="16"/>
        <v/>
      </c>
      <c r="D538" s="118" t="str">
        <f t="shared" si="17"/>
        <v/>
      </c>
      <c r="E538" s="121"/>
      <c r="F538" s="121"/>
      <c r="G538" s="121"/>
      <c r="H538" s="121"/>
      <c r="I538" s="142"/>
      <c r="J538" s="121"/>
      <c r="K538" s="121"/>
      <c r="L538" s="144"/>
      <c r="M538" s="144"/>
      <c r="N538" s="144"/>
      <c r="O538" s="144"/>
      <c r="P538" s="144"/>
    </row>
    <row r="539" spans="1:16" s="135" customFormat="1" ht="15.75" x14ac:dyDescent="0.25">
      <c r="A539" s="109"/>
      <c r="B539" s="109"/>
      <c r="C539" s="118" t="str">
        <f t="shared" si="16"/>
        <v/>
      </c>
      <c r="D539" s="118" t="str">
        <f t="shared" si="17"/>
        <v/>
      </c>
      <c r="E539" s="121"/>
      <c r="F539" s="121"/>
      <c r="G539" s="121"/>
      <c r="H539" s="121"/>
      <c r="I539" s="142"/>
      <c r="J539" s="121"/>
      <c r="K539" s="121"/>
      <c r="L539" s="144"/>
      <c r="M539" s="144"/>
      <c r="N539" s="144"/>
      <c r="O539" s="144"/>
      <c r="P539" s="144"/>
    </row>
    <row r="540" spans="1:16" s="135" customFormat="1" ht="15.75" x14ac:dyDescent="0.25">
      <c r="A540" s="109"/>
      <c r="B540" s="109"/>
      <c r="C540" s="118" t="str">
        <f t="shared" si="16"/>
        <v/>
      </c>
      <c r="D540" s="118" t="str">
        <f t="shared" si="17"/>
        <v/>
      </c>
      <c r="E540" s="121"/>
      <c r="F540" s="121"/>
      <c r="G540" s="121"/>
      <c r="H540" s="121"/>
      <c r="I540" s="142"/>
      <c r="J540" s="121"/>
      <c r="K540" s="121"/>
      <c r="L540" s="144"/>
      <c r="M540" s="144"/>
      <c r="N540" s="144"/>
      <c r="O540" s="144"/>
      <c r="P540" s="144"/>
    </row>
    <row r="541" spans="1:16" s="135" customFormat="1" ht="15.75" x14ac:dyDescent="0.25">
      <c r="A541" s="109"/>
      <c r="B541" s="109"/>
      <c r="C541" s="118" t="str">
        <f t="shared" si="16"/>
        <v/>
      </c>
      <c r="D541" s="118" t="str">
        <f t="shared" si="17"/>
        <v/>
      </c>
      <c r="E541" s="121"/>
      <c r="F541" s="121"/>
      <c r="G541" s="121"/>
      <c r="H541" s="121"/>
      <c r="I541" s="142"/>
      <c r="J541" s="121"/>
      <c r="K541" s="121"/>
      <c r="L541" s="144"/>
      <c r="M541" s="144"/>
      <c r="N541" s="144"/>
      <c r="O541" s="144"/>
      <c r="P541" s="144"/>
    </row>
    <row r="542" spans="1:16" s="135" customFormat="1" ht="15.75" x14ac:dyDescent="0.25">
      <c r="A542" s="109"/>
      <c r="B542" s="109"/>
      <c r="C542" s="118" t="str">
        <f t="shared" si="16"/>
        <v/>
      </c>
      <c r="D542" s="118" t="str">
        <f t="shared" si="17"/>
        <v/>
      </c>
      <c r="E542" s="121"/>
      <c r="F542" s="121"/>
      <c r="G542" s="121"/>
      <c r="H542" s="121"/>
      <c r="I542" s="142"/>
      <c r="J542" s="121"/>
      <c r="K542" s="121"/>
      <c r="L542" s="144"/>
      <c r="M542" s="144"/>
      <c r="N542" s="144"/>
      <c r="O542" s="144"/>
      <c r="P542" s="144"/>
    </row>
    <row r="543" spans="1:16" s="135" customFormat="1" ht="15.75" x14ac:dyDescent="0.25">
      <c r="A543" s="109"/>
      <c r="B543" s="109"/>
      <c r="C543" s="118" t="str">
        <f t="shared" si="16"/>
        <v/>
      </c>
      <c r="D543" s="118" t="str">
        <f t="shared" si="17"/>
        <v/>
      </c>
      <c r="E543" s="121"/>
      <c r="F543" s="121"/>
      <c r="G543" s="121"/>
      <c r="H543" s="121"/>
      <c r="I543" s="142"/>
      <c r="J543" s="121"/>
      <c r="K543" s="121"/>
      <c r="L543" s="144"/>
      <c r="M543" s="144"/>
      <c r="N543" s="144"/>
      <c r="O543" s="144"/>
      <c r="P543" s="144"/>
    </row>
    <row r="544" spans="1:16" s="135" customFormat="1" ht="15.75" x14ac:dyDescent="0.25">
      <c r="A544" s="109"/>
      <c r="B544" s="109"/>
      <c r="C544" s="118" t="str">
        <f t="shared" si="16"/>
        <v/>
      </c>
      <c r="D544" s="118" t="str">
        <f t="shared" si="17"/>
        <v/>
      </c>
      <c r="E544" s="121"/>
      <c r="F544" s="121"/>
      <c r="G544" s="121"/>
      <c r="H544" s="121"/>
      <c r="I544" s="142"/>
      <c r="J544" s="121"/>
      <c r="K544" s="121"/>
      <c r="L544" s="144"/>
      <c r="M544" s="144"/>
      <c r="N544" s="144"/>
      <c r="O544" s="144"/>
      <c r="P544" s="144"/>
    </row>
    <row r="545" spans="1:16" s="135" customFormat="1" ht="15.75" x14ac:dyDescent="0.25">
      <c r="A545" s="109"/>
      <c r="B545" s="109"/>
      <c r="C545" s="118" t="str">
        <f t="shared" si="16"/>
        <v/>
      </c>
      <c r="D545" s="118" t="str">
        <f t="shared" si="17"/>
        <v/>
      </c>
      <c r="E545" s="121"/>
      <c r="F545" s="121"/>
      <c r="G545" s="121"/>
      <c r="H545" s="121"/>
      <c r="I545" s="142"/>
      <c r="J545" s="121"/>
      <c r="K545" s="121"/>
      <c r="L545" s="144"/>
      <c r="M545" s="144"/>
      <c r="N545" s="144"/>
      <c r="O545" s="144"/>
      <c r="P545" s="144"/>
    </row>
    <row r="546" spans="1:16" s="135" customFormat="1" ht="15.75" x14ac:dyDescent="0.25">
      <c r="A546" s="109"/>
      <c r="B546" s="109"/>
      <c r="C546" s="118" t="str">
        <f t="shared" si="16"/>
        <v/>
      </c>
      <c r="D546" s="118" t="str">
        <f t="shared" si="17"/>
        <v/>
      </c>
      <c r="E546" s="121"/>
      <c r="F546" s="121"/>
      <c r="G546" s="121"/>
      <c r="H546" s="121"/>
      <c r="I546" s="142"/>
      <c r="J546" s="121"/>
      <c r="K546" s="121"/>
      <c r="L546" s="144"/>
      <c r="M546" s="144"/>
      <c r="N546" s="144"/>
      <c r="O546" s="144"/>
      <c r="P546" s="144"/>
    </row>
    <row r="547" spans="1:16" s="135" customFormat="1" ht="15.75" x14ac:dyDescent="0.25">
      <c r="A547" s="109"/>
      <c r="B547" s="109"/>
      <c r="C547" s="118" t="str">
        <f t="shared" si="16"/>
        <v/>
      </c>
      <c r="D547" s="118" t="str">
        <f t="shared" si="17"/>
        <v/>
      </c>
      <c r="E547" s="121"/>
      <c r="F547" s="121"/>
      <c r="G547" s="121"/>
      <c r="H547" s="121"/>
      <c r="I547" s="142"/>
      <c r="J547" s="121"/>
      <c r="K547" s="121"/>
      <c r="L547" s="144"/>
      <c r="M547" s="144"/>
      <c r="N547" s="144"/>
      <c r="O547" s="144"/>
      <c r="P547" s="144"/>
    </row>
    <row r="548" spans="1:16" s="135" customFormat="1" ht="15.75" x14ac:dyDescent="0.25">
      <c r="A548" s="109"/>
      <c r="B548" s="109"/>
      <c r="C548" s="118" t="str">
        <f t="shared" si="16"/>
        <v/>
      </c>
      <c r="D548" s="118" t="str">
        <f t="shared" si="17"/>
        <v/>
      </c>
      <c r="E548" s="121"/>
      <c r="F548" s="121"/>
      <c r="G548" s="121"/>
      <c r="H548" s="121"/>
      <c r="I548" s="142"/>
      <c r="J548" s="121"/>
      <c r="K548" s="121"/>
      <c r="L548" s="144"/>
      <c r="M548" s="144"/>
      <c r="N548" s="144"/>
      <c r="O548" s="144"/>
      <c r="P548" s="144"/>
    </row>
    <row r="549" spans="1:16" s="135" customFormat="1" ht="15.75" x14ac:dyDescent="0.25">
      <c r="A549" s="109"/>
      <c r="B549" s="109"/>
      <c r="C549" s="118" t="str">
        <f t="shared" si="16"/>
        <v/>
      </c>
      <c r="D549" s="118" t="str">
        <f t="shared" si="17"/>
        <v/>
      </c>
      <c r="E549" s="121"/>
      <c r="F549" s="121"/>
      <c r="G549" s="121"/>
      <c r="H549" s="121"/>
      <c r="I549" s="142"/>
      <c r="J549" s="121"/>
      <c r="K549" s="121"/>
      <c r="L549" s="144"/>
      <c r="M549" s="144"/>
      <c r="N549" s="144"/>
      <c r="O549" s="144"/>
      <c r="P549" s="144"/>
    </row>
    <row r="550" spans="1:16" s="135" customFormat="1" ht="15.75" x14ac:dyDescent="0.25">
      <c r="A550" s="109"/>
      <c r="B550" s="109"/>
      <c r="C550" s="118" t="str">
        <f t="shared" si="16"/>
        <v/>
      </c>
      <c r="D550" s="118" t="str">
        <f t="shared" si="17"/>
        <v/>
      </c>
      <c r="E550" s="121"/>
      <c r="F550" s="121"/>
      <c r="G550" s="121"/>
      <c r="H550" s="121"/>
      <c r="I550" s="142"/>
      <c r="J550" s="121"/>
      <c r="K550" s="121"/>
      <c r="L550" s="144"/>
      <c r="M550" s="144"/>
      <c r="N550" s="144"/>
      <c r="O550" s="144"/>
      <c r="P550" s="144"/>
    </row>
    <row r="551" spans="1:16" s="135" customFormat="1" ht="15.75" x14ac:dyDescent="0.25">
      <c r="A551" s="109"/>
      <c r="B551" s="109"/>
      <c r="C551" s="118" t="str">
        <f t="shared" si="16"/>
        <v/>
      </c>
      <c r="D551" s="118" t="str">
        <f t="shared" si="17"/>
        <v/>
      </c>
      <c r="E551" s="121"/>
      <c r="F551" s="121"/>
      <c r="G551" s="121"/>
      <c r="H551" s="121"/>
      <c r="I551" s="142"/>
      <c r="J551" s="121"/>
      <c r="K551" s="121"/>
      <c r="L551" s="144"/>
      <c r="M551" s="144"/>
      <c r="N551" s="144"/>
      <c r="O551" s="144"/>
      <c r="P551" s="144"/>
    </row>
    <row r="552" spans="1:16" s="135" customFormat="1" ht="15.75" x14ac:dyDescent="0.25">
      <c r="A552" s="109"/>
      <c r="B552" s="109"/>
      <c r="C552" s="118" t="str">
        <f t="shared" si="16"/>
        <v/>
      </c>
      <c r="D552" s="118" t="str">
        <f t="shared" si="17"/>
        <v/>
      </c>
      <c r="E552" s="121"/>
      <c r="F552" s="121"/>
      <c r="G552" s="121"/>
      <c r="H552" s="121"/>
      <c r="I552" s="142"/>
      <c r="J552" s="121"/>
      <c r="K552" s="121"/>
      <c r="L552" s="144"/>
      <c r="M552" s="144"/>
      <c r="N552" s="144"/>
      <c r="O552" s="144"/>
      <c r="P552" s="144"/>
    </row>
    <row r="553" spans="1:16" s="135" customFormat="1" ht="15.75" x14ac:dyDescent="0.25">
      <c r="A553" s="109"/>
      <c r="B553" s="109"/>
      <c r="C553" s="118" t="str">
        <f t="shared" si="16"/>
        <v/>
      </c>
      <c r="D553" s="118" t="str">
        <f t="shared" si="17"/>
        <v/>
      </c>
      <c r="E553" s="121"/>
      <c r="F553" s="121"/>
      <c r="G553" s="121"/>
      <c r="H553" s="121"/>
      <c r="I553" s="142"/>
      <c r="J553" s="121"/>
      <c r="K553" s="121"/>
      <c r="L553" s="144"/>
      <c r="M553" s="144"/>
      <c r="N553" s="144"/>
      <c r="O553" s="144"/>
      <c r="P553" s="144"/>
    </row>
    <row r="554" spans="1:16" s="135" customFormat="1" ht="15.75" x14ac:dyDescent="0.25">
      <c r="A554" s="109"/>
      <c r="B554" s="109"/>
      <c r="C554" s="118" t="str">
        <f t="shared" si="16"/>
        <v/>
      </c>
      <c r="D554" s="118" t="str">
        <f t="shared" si="17"/>
        <v/>
      </c>
      <c r="E554" s="121"/>
      <c r="F554" s="121"/>
      <c r="G554" s="121"/>
      <c r="H554" s="121"/>
      <c r="I554" s="142"/>
      <c r="J554" s="121"/>
      <c r="K554" s="121"/>
      <c r="L554" s="144"/>
      <c r="M554" s="144"/>
      <c r="N554" s="144"/>
      <c r="O554" s="144"/>
      <c r="P554" s="144"/>
    </row>
    <row r="555" spans="1:16" s="135" customFormat="1" ht="15.75" x14ac:dyDescent="0.25">
      <c r="A555" s="109"/>
      <c r="B555" s="109"/>
      <c r="C555" s="118" t="str">
        <f t="shared" si="16"/>
        <v/>
      </c>
      <c r="D555" s="118" t="str">
        <f t="shared" si="17"/>
        <v/>
      </c>
      <c r="E555" s="121"/>
      <c r="F555" s="121"/>
      <c r="G555" s="121"/>
      <c r="H555" s="121"/>
      <c r="I555" s="142"/>
      <c r="J555" s="121"/>
      <c r="K555" s="121"/>
      <c r="L555" s="144"/>
      <c r="M555" s="144"/>
      <c r="N555" s="144"/>
      <c r="O555" s="144"/>
      <c r="P555" s="144"/>
    </row>
    <row r="556" spans="1:16" s="135" customFormat="1" ht="15.75" x14ac:dyDescent="0.25">
      <c r="A556" s="109"/>
      <c r="B556" s="109"/>
      <c r="C556" s="118" t="str">
        <f t="shared" si="16"/>
        <v/>
      </c>
      <c r="D556" s="118" t="str">
        <f t="shared" si="17"/>
        <v/>
      </c>
      <c r="E556" s="121"/>
      <c r="F556" s="121"/>
      <c r="G556" s="121"/>
      <c r="H556" s="121"/>
      <c r="I556" s="142"/>
      <c r="J556" s="121"/>
      <c r="K556" s="121"/>
      <c r="L556" s="144"/>
      <c r="M556" s="144"/>
      <c r="N556" s="144"/>
      <c r="O556" s="144"/>
      <c r="P556" s="144"/>
    </row>
    <row r="557" spans="1:16" s="135" customFormat="1" ht="15.75" x14ac:dyDescent="0.25">
      <c r="A557" s="109"/>
      <c r="B557" s="109"/>
      <c r="C557" s="118" t="str">
        <f t="shared" si="16"/>
        <v/>
      </c>
      <c r="D557" s="118" t="str">
        <f t="shared" si="17"/>
        <v/>
      </c>
      <c r="E557" s="121"/>
      <c r="F557" s="121"/>
      <c r="G557" s="121"/>
      <c r="H557" s="121"/>
      <c r="I557" s="142"/>
      <c r="J557" s="121"/>
      <c r="K557" s="121"/>
      <c r="L557" s="144"/>
      <c r="M557" s="144"/>
      <c r="N557" s="144"/>
      <c r="O557" s="144"/>
      <c r="P557" s="144"/>
    </row>
    <row r="558" spans="1:16" s="135" customFormat="1" ht="15.75" x14ac:dyDescent="0.25">
      <c r="A558" s="109"/>
      <c r="B558" s="109"/>
      <c r="C558" s="118" t="str">
        <f t="shared" si="16"/>
        <v/>
      </c>
      <c r="D558" s="118" t="str">
        <f t="shared" si="17"/>
        <v/>
      </c>
      <c r="E558" s="121"/>
      <c r="F558" s="121"/>
      <c r="G558" s="121"/>
      <c r="H558" s="121"/>
      <c r="I558" s="142"/>
      <c r="J558" s="121"/>
      <c r="K558" s="121"/>
      <c r="L558" s="144"/>
      <c r="M558" s="144"/>
      <c r="N558" s="144"/>
      <c r="O558" s="144"/>
      <c r="P558" s="144"/>
    </row>
    <row r="559" spans="1:16" s="135" customFormat="1" ht="15.75" x14ac:dyDescent="0.25">
      <c r="A559" s="109"/>
      <c r="B559" s="109"/>
      <c r="C559" s="118" t="str">
        <f t="shared" si="16"/>
        <v/>
      </c>
      <c r="D559" s="118" t="str">
        <f t="shared" si="17"/>
        <v/>
      </c>
      <c r="E559" s="121"/>
      <c r="F559" s="121"/>
      <c r="G559" s="121"/>
      <c r="H559" s="121"/>
      <c r="I559" s="142"/>
      <c r="J559" s="121"/>
      <c r="K559" s="121"/>
      <c r="L559" s="144"/>
      <c r="M559" s="144"/>
      <c r="N559" s="144"/>
      <c r="O559" s="144"/>
      <c r="P559" s="144"/>
    </row>
    <row r="560" spans="1:16" s="135" customFormat="1" ht="15.75" x14ac:dyDescent="0.25">
      <c r="A560" s="109"/>
      <c r="B560" s="109"/>
      <c r="C560" s="118" t="str">
        <f t="shared" si="16"/>
        <v/>
      </c>
      <c r="D560" s="118" t="str">
        <f t="shared" si="17"/>
        <v/>
      </c>
      <c r="E560" s="121"/>
      <c r="F560" s="121"/>
      <c r="G560" s="121"/>
      <c r="H560" s="121"/>
      <c r="I560" s="142"/>
      <c r="J560" s="121"/>
      <c r="K560" s="121"/>
      <c r="L560" s="144"/>
      <c r="M560" s="144"/>
      <c r="N560" s="144"/>
      <c r="O560" s="144"/>
      <c r="P560" s="144"/>
    </row>
    <row r="561" spans="1:16" s="135" customFormat="1" ht="15.75" x14ac:dyDescent="0.25">
      <c r="A561" s="109"/>
      <c r="B561" s="109"/>
      <c r="C561" s="118" t="str">
        <f t="shared" si="16"/>
        <v/>
      </c>
      <c r="D561" s="118" t="str">
        <f t="shared" si="17"/>
        <v/>
      </c>
      <c r="E561" s="121"/>
      <c r="F561" s="121"/>
      <c r="G561" s="121"/>
      <c r="H561" s="121"/>
      <c r="I561" s="142"/>
      <c r="J561" s="121"/>
      <c r="K561" s="121"/>
      <c r="L561" s="144"/>
      <c r="M561" s="144"/>
      <c r="N561" s="144"/>
      <c r="O561" s="144"/>
      <c r="P561" s="144"/>
    </row>
    <row r="562" spans="1:16" s="135" customFormat="1" ht="15.75" x14ac:dyDescent="0.25">
      <c r="A562" s="109"/>
      <c r="B562" s="109"/>
      <c r="C562" s="118" t="str">
        <f t="shared" si="16"/>
        <v/>
      </c>
      <c r="D562" s="118" t="str">
        <f t="shared" si="17"/>
        <v/>
      </c>
      <c r="E562" s="121"/>
      <c r="F562" s="121"/>
      <c r="G562" s="121"/>
      <c r="H562" s="121"/>
      <c r="I562" s="142"/>
      <c r="J562" s="121"/>
      <c r="K562" s="121"/>
      <c r="L562" s="144"/>
      <c r="M562" s="144"/>
      <c r="N562" s="144"/>
      <c r="O562" s="144"/>
      <c r="P562" s="144"/>
    </row>
    <row r="563" spans="1:16" s="135" customFormat="1" ht="15.75" x14ac:dyDescent="0.25">
      <c r="A563" s="109"/>
      <c r="B563" s="109"/>
      <c r="C563" s="118" t="str">
        <f t="shared" si="16"/>
        <v/>
      </c>
      <c r="D563" s="118" t="str">
        <f t="shared" si="17"/>
        <v/>
      </c>
      <c r="E563" s="121"/>
      <c r="F563" s="121"/>
      <c r="G563" s="121"/>
      <c r="H563" s="121"/>
      <c r="I563" s="142"/>
      <c r="J563" s="121"/>
      <c r="K563" s="121"/>
      <c r="L563" s="144"/>
      <c r="M563" s="144"/>
      <c r="N563" s="144"/>
      <c r="O563" s="144"/>
      <c r="P563" s="144"/>
    </row>
    <row r="564" spans="1:16" s="135" customFormat="1" ht="15.75" x14ac:dyDescent="0.25">
      <c r="A564" s="109"/>
      <c r="B564" s="109"/>
      <c r="C564" s="118" t="str">
        <f t="shared" si="16"/>
        <v/>
      </c>
      <c r="D564" s="118" t="str">
        <f t="shared" si="17"/>
        <v/>
      </c>
      <c r="E564" s="121"/>
      <c r="F564" s="121"/>
      <c r="G564" s="121"/>
      <c r="H564" s="121"/>
      <c r="I564" s="142"/>
      <c r="J564" s="121"/>
      <c r="K564" s="121"/>
      <c r="L564" s="144"/>
      <c r="M564" s="144"/>
      <c r="N564" s="144"/>
      <c r="O564" s="144"/>
      <c r="P564" s="144"/>
    </row>
    <row r="565" spans="1:16" s="135" customFormat="1" ht="15.75" x14ac:dyDescent="0.25">
      <c r="A565" s="109"/>
      <c r="B565" s="109"/>
      <c r="C565" s="118" t="str">
        <f t="shared" si="16"/>
        <v/>
      </c>
      <c r="D565" s="118" t="str">
        <f t="shared" si="17"/>
        <v/>
      </c>
      <c r="E565" s="121"/>
      <c r="F565" s="121"/>
      <c r="G565" s="121"/>
      <c r="H565" s="121"/>
      <c r="I565" s="142"/>
      <c r="J565" s="121"/>
      <c r="K565" s="121"/>
      <c r="L565" s="144"/>
      <c r="M565" s="144"/>
      <c r="N565" s="144"/>
      <c r="O565" s="144"/>
      <c r="P565" s="144"/>
    </row>
    <row r="566" spans="1:16" s="135" customFormat="1" ht="15.75" x14ac:dyDescent="0.25">
      <c r="A566" s="109"/>
      <c r="B566" s="109"/>
      <c r="C566" s="118" t="str">
        <f t="shared" si="16"/>
        <v/>
      </c>
      <c r="D566" s="118" t="str">
        <f t="shared" si="17"/>
        <v/>
      </c>
      <c r="E566" s="121"/>
      <c r="F566" s="121"/>
      <c r="G566" s="121"/>
      <c r="H566" s="121"/>
      <c r="I566" s="142"/>
      <c r="J566" s="121"/>
      <c r="K566" s="121"/>
      <c r="L566" s="144"/>
      <c r="M566" s="144"/>
      <c r="N566" s="144"/>
      <c r="O566" s="144"/>
      <c r="P566" s="144"/>
    </row>
    <row r="567" spans="1:16" s="135" customFormat="1" ht="15.75" x14ac:dyDescent="0.25">
      <c r="A567" s="109"/>
      <c r="B567" s="109"/>
      <c r="C567" s="118" t="str">
        <f t="shared" si="16"/>
        <v/>
      </c>
      <c r="D567" s="118" t="str">
        <f t="shared" si="17"/>
        <v/>
      </c>
      <c r="E567" s="121"/>
      <c r="F567" s="121"/>
      <c r="G567" s="121"/>
      <c r="H567" s="121"/>
      <c r="I567" s="142"/>
      <c r="J567" s="121"/>
      <c r="K567" s="121"/>
      <c r="L567" s="144"/>
      <c r="M567" s="144"/>
      <c r="N567" s="144"/>
      <c r="O567" s="144"/>
      <c r="P567" s="144"/>
    </row>
    <row r="568" spans="1:16" s="135" customFormat="1" ht="15.75" x14ac:dyDescent="0.25">
      <c r="A568" s="109"/>
      <c r="B568" s="109"/>
      <c r="C568" s="118" t="str">
        <f t="shared" si="16"/>
        <v/>
      </c>
      <c r="D568" s="118" t="str">
        <f t="shared" si="17"/>
        <v/>
      </c>
      <c r="E568" s="121"/>
      <c r="F568" s="121"/>
      <c r="G568" s="121"/>
      <c r="H568" s="121"/>
      <c r="I568" s="142"/>
      <c r="J568" s="121"/>
      <c r="K568" s="121"/>
      <c r="L568" s="144"/>
      <c r="M568" s="144"/>
      <c r="N568" s="144"/>
      <c r="O568" s="144"/>
      <c r="P568" s="144"/>
    </row>
    <row r="569" spans="1:16" s="135" customFormat="1" ht="15.75" x14ac:dyDescent="0.25">
      <c r="A569" s="109"/>
      <c r="B569" s="109"/>
      <c r="C569" s="118" t="str">
        <f t="shared" si="16"/>
        <v/>
      </c>
      <c r="D569" s="118" t="str">
        <f t="shared" si="17"/>
        <v/>
      </c>
      <c r="E569" s="121"/>
      <c r="F569" s="121"/>
      <c r="G569" s="121"/>
      <c r="H569" s="121"/>
      <c r="I569" s="142"/>
      <c r="J569" s="121"/>
      <c r="K569" s="121"/>
      <c r="L569" s="144"/>
      <c r="M569" s="144"/>
      <c r="N569" s="144"/>
      <c r="O569" s="144"/>
      <c r="P569" s="144"/>
    </row>
    <row r="570" spans="1:16" s="135" customFormat="1" ht="15.75" x14ac:dyDescent="0.25">
      <c r="A570" s="109"/>
      <c r="B570" s="109"/>
      <c r="C570" s="118" t="str">
        <f t="shared" si="16"/>
        <v/>
      </c>
      <c r="D570" s="118" t="str">
        <f t="shared" si="17"/>
        <v/>
      </c>
      <c r="E570" s="121"/>
      <c r="F570" s="121"/>
      <c r="G570" s="121"/>
      <c r="H570" s="121"/>
      <c r="I570" s="142"/>
      <c r="J570" s="121"/>
      <c r="K570" s="121"/>
      <c r="L570" s="144"/>
      <c r="M570" s="144"/>
      <c r="N570" s="144"/>
      <c r="O570" s="144"/>
      <c r="P570" s="144"/>
    </row>
    <row r="571" spans="1:16" s="135" customFormat="1" ht="15.75" x14ac:dyDescent="0.25">
      <c r="A571" s="109"/>
      <c r="B571" s="109"/>
      <c r="C571" s="118" t="str">
        <f t="shared" si="16"/>
        <v/>
      </c>
      <c r="D571" s="118" t="str">
        <f t="shared" si="17"/>
        <v/>
      </c>
      <c r="E571" s="121"/>
      <c r="F571" s="121"/>
      <c r="G571" s="121"/>
      <c r="H571" s="121"/>
      <c r="I571" s="142"/>
      <c r="J571" s="121"/>
      <c r="K571" s="121"/>
      <c r="L571" s="144"/>
      <c r="M571" s="144"/>
      <c r="N571" s="144"/>
      <c r="O571" s="144"/>
      <c r="P571" s="144"/>
    </row>
    <row r="572" spans="1:16" s="135" customFormat="1" ht="15.75" x14ac:dyDescent="0.25">
      <c r="A572" s="109"/>
      <c r="B572" s="109"/>
      <c r="C572" s="118" t="str">
        <f t="shared" si="16"/>
        <v/>
      </c>
      <c r="D572" s="118" t="str">
        <f t="shared" si="17"/>
        <v/>
      </c>
      <c r="E572" s="121"/>
      <c r="F572" s="121"/>
      <c r="G572" s="121"/>
      <c r="H572" s="121"/>
      <c r="I572" s="142"/>
      <c r="J572" s="121"/>
      <c r="K572" s="121"/>
      <c r="L572" s="144"/>
      <c r="M572" s="144"/>
      <c r="N572" s="144"/>
      <c r="O572" s="144"/>
      <c r="P572" s="144"/>
    </row>
    <row r="573" spans="1:16" s="135" customFormat="1" ht="15.75" x14ac:dyDescent="0.25">
      <c r="A573" s="109"/>
      <c r="B573" s="109"/>
      <c r="C573" s="118" t="str">
        <f t="shared" si="16"/>
        <v/>
      </c>
      <c r="D573" s="118" t="str">
        <f t="shared" si="17"/>
        <v/>
      </c>
      <c r="E573" s="121"/>
      <c r="F573" s="121"/>
      <c r="G573" s="121"/>
      <c r="H573" s="121"/>
      <c r="I573" s="142"/>
      <c r="J573" s="121"/>
      <c r="K573" s="121"/>
      <c r="L573" s="144"/>
      <c r="M573" s="144"/>
      <c r="N573" s="144"/>
      <c r="O573" s="144"/>
      <c r="P573" s="144"/>
    </row>
    <row r="574" spans="1:16" s="135" customFormat="1" ht="15.75" x14ac:dyDescent="0.25">
      <c r="A574" s="109"/>
      <c r="B574" s="109"/>
      <c r="C574" s="118" t="str">
        <f t="shared" si="16"/>
        <v/>
      </c>
      <c r="D574" s="118" t="str">
        <f t="shared" si="17"/>
        <v/>
      </c>
      <c r="E574" s="121"/>
      <c r="F574" s="121"/>
      <c r="G574" s="121"/>
      <c r="H574" s="121"/>
      <c r="I574" s="142"/>
      <c r="J574" s="121"/>
      <c r="K574" s="121"/>
      <c r="L574" s="144"/>
      <c r="M574" s="144"/>
      <c r="N574" s="144"/>
      <c r="O574" s="144"/>
      <c r="P574" s="144"/>
    </row>
    <row r="575" spans="1:16" s="135" customFormat="1" ht="15.75" x14ac:dyDescent="0.25">
      <c r="A575" s="109"/>
      <c r="B575" s="109"/>
      <c r="C575" s="118" t="str">
        <f t="shared" si="16"/>
        <v/>
      </c>
      <c r="D575" s="118" t="str">
        <f t="shared" si="17"/>
        <v/>
      </c>
      <c r="E575" s="121"/>
      <c r="F575" s="121"/>
      <c r="G575" s="121"/>
      <c r="H575" s="121"/>
      <c r="I575" s="142"/>
      <c r="J575" s="121"/>
      <c r="K575" s="121"/>
      <c r="L575" s="144"/>
      <c r="M575" s="144"/>
      <c r="N575" s="144"/>
      <c r="O575" s="144"/>
      <c r="P575" s="144"/>
    </row>
    <row r="576" spans="1:16" s="135" customFormat="1" ht="15.75" x14ac:dyDescent="0.25">
      <c r="A576" s="109"/>
      <c r="B576" s="109"/>
      <c r="C576" s="118" t="str">
        <f t="shared" si="16"/>
        <v/>
      </c>
      <c r="D576" s="118" t="str">
        <f t="shared" si="17"/>
        <v/>
      </c>
      <c r="E576" s="121"/>
      <c r="F576" s="121"/>
      <c r="G576" s="121"/>
      <c r="H576" s="121"/>
      <c r="I576" s="142"/>
      <c r="J576" s="121"/>
      <c r="K576" s="121"/>
      <c r="L576" s="144"/>
      <c r="M576" s="144"/>
      <c r="N576" s="144"/>
      <c r="O576" s="144"/>
      <c r="P576" s="144"/>
    </row>
    <row r="577" spans="1:16" s="135" customFormat="1" ht="15.75" x14ac:dyDescent="0.25">
      <c r="A577" s="109"/>
      <c r="B577" s="109"/>
      <c r="C577" s="118" t="str">
        <f t="shared" si="16"/>
        <v/>
      </c>
      <c r="D577" s="118" t="str">
        <f t="shared" si="17"/>
        <v/>
      </c>
      <c r="E577" s="121"/>
      <c r="F577" s="121"/>
      <c r="G577" s="121"/>
      <c r="H577" s="121"/>
      <c r="I577" s="142"/>
      <c r="J577" s="121"/>
      <c r="K577" s="121"/>
      <c r="L577" s="144"/>
      <c r="M577" s="144"/>
      <c r="N577" s="144"/>
      <c r="O577" s="144"/>
      <c r="P577" s="144"/>
    </row>
    <row r="578" spans="1:16" s="135" customFormat="1" ht="15.75" x14ac:dyDescent="0.25">
      <c r="A578" s="109"/>
      <c r="B578" s="109"/>
      <c r="C578" s="118" t="str">
        <f t="shared" si="16"/>
        <v/>
      </c>
      <c r="D578" s="118" t="str">
        <f t="shared" si="17"/>
        <v/>
      </c>
      <c r="E578" s="121"/>
      <c r="F578" s="121"/>
      <c r="G578" s="121"/>
      <c r="H578" s="121"/>
      <c r="I578" s="142"/>
      <c r="J578" s="121"/>
      <c r="K578" s="121"/>
      <c r="L578" s="144"/>
      <c r="M578" s="144"/>
      <c r="N578" s="144"/>
      <c r="O578" s="144"/>
      <c r="P578" s="144"/>
    </row>
    <row r="579" spans="1:16" s="135" customFormat="1" ht="15.75" x14ac:dyDescent="0.25">
      <c r="A579" s="109"/>
      <c r="B579" s="109"/>
      <c r="C579" s="118" t="str">
        <f t="shared" si="16"/>
        <v/>
      </c>
      <c r="D579" s="118" t="str">
        <f t="shared" si="17"/>
        <v/>
      </c>
      <c r="E579" s="121"/>
      <c r="F579" s="121"/>
      <c r="G579" s="121"/>
      <c r="H579" s="121"/>
      <c r="I579" s="142"/>
      <c r="J579" s="121"/>
      <c r="K579" s="121"/>
      <c r="L579" s="144"/>
      <c r="M579" s="144"/>
      <c r="N579" s="144"/>
      <c r="O579" s="144"/>
      <c r="P579" s="144"/>
    </row>
    <row r="580" spans="1:16" s="135" customFormat="1" ht="15.75" x14ac:dyDescent="0.25">
      <c r="A580" s="109"/>
      <c r="B580" s="109"/>
      <c r="C580" s="118" t="str">
        <f t="shared" si="16"/>
        <v/>
      </c>
      <c r="D580" s="118" t="str">
        <f t="shared" si="17"/>
        <v/>
      </c>
      <c r="E580" s="121"/>
      <c r="F580" s="121"/>
      <c r="G580" s="121"/>
      <c r="H580" s="121"/>
      <c r="I580" s="142"/>
      <c r="J580" s="121"/>
      <c r="K580" s="121"/>
      <c r="L580" s="144"/>
      <c r="M580" s="144"/>
      <c r="N580" s="144"/>
      <c r="O580" s="144"/>
      <c r="P580" s="144"/>
    </row>
    <row r="581" spans="1:16" s="135" customFormat="1" ht="15.75" x14ac:dyDescent="0.25">
      <c r="A581" s="109"/>
      <c r="B581" s="109"/>
      <c r="C581" s="118" t="str">
        <f t="shared" si="16"/>
        <v/>
      </c>
      <c r="D581" s="118" t="str">
        <f t="shared" si="17"/>
        <v/>
      </c>
      <c r="E581" s="121"/>
      <c r="F581" s="121"/>
      <c r="G581" s="121"/>
      <c r="H581" s="121"/>
      <c r="I581" s="142"/>
      <c r="J581" s="121"/>
      <c r="K581" s="121"/>
      <c r="L581" s="144"/>
      <c r="M581" s="144"/>
      <c r="N581" s="144"/>
      <c r="O581" s="144"/>
      <c r="P581" s="144"/>
    </row>
    <row r="582" spans="1:16" s="135" customFormat="1" ht="15.75" x14ac:dyDescent="0.25">
      <c r="A582" s="109"/>
      <c r="B582" s="109"/>
      <c r="C582" s="118" t="str">
        <f t="shared" si="16"/>
        <v/>
      </c>
      <c r="D582" s="118" t="str">
        <f t="shared" si="17"/>
        <v/>
      </c>
      <c r="E582" s="121"/>
      <c r="F582" s="121"/>
      <c r="G582" s="121"/>
      <c r="H582" s="121"/>
      <c r="I582" s="142"/>
      <c r="J582" s="121"/>
      <c r="K582" s="121"/>
      <c r="L582" s="144"/>
      <c r="M582" s="144"/>
      <c r="N582" s="144"/>
      <c r="O582" s="144"/>
      <c r="P582" s="144"/>
    </row>
    <row r="583" spans="1:16" s="135" customFormat="1" ht="15.75" x14ac:dyDescent="0.25">
      <c r="A583" s="109"/>
      <c r="B583" s="109"/>
      <c r="C583" s="118" t="str">
        <f t="shared" si="16"/>
        <v/>
      </c>
      <c r="D583" s="118" t="str">
        <f t="shared" si="17"/>
        <v/>
      </c>
      <c r="E583" s="121"/>
      <c r="F583" s="121"/>
      <c r="G583" s="121"/>
      <c r="H583" s="121"/>
      <c r="I583" s="142"/>
      <c r="J583" s="121"/>
      <c r="K583" s="121"/>
      <c r="L583" s="144"/>
      <c r="M583" s="144"/>
      <c r="N583" s="144"/>
      <c r="O583" s="144"/>
      <c r="P583" s="144"/>
    </row>
    <row r="584" spans="1:16" s="135" customFormat="1" ht="15.75" x14ac:dyDescent="0.25">
      <c r="A584" s="109"/>
      <c r="B584" s="109"/>
      <c r="C584" s="118" t="str">
        <f t="shared" si="16"/>
        <v/>
      </c>
      <c r="D584" s="118" t="str">
        <f t="shared" si="17"/>
        <v/>
      </c>
      <c r="E584" s="121"/>
      <c r="F584" s="121"/>
      <c r="G584" s="121"/>
      <c r="H584" s="121"/>
      <c r="I584" s="142"/>
      <c r="J584" s="121"/>
      <c r="K584" s="121"/>
      <c r="L584" s="144"/>
      <c r="M584" s="144"/>
      <c r="N584" s="144"/>
      <c r="O584" s="144"/>
      <c r="P584" s="144"/>
    </row>
    <row r="585" spans="1:16" s="135" customFormat="1" ht="15.75" x14ac:dyDescent="0.25">
      <c r="A585" s="109"/>
      <c r="B585" s="109"/>
      <c r="C585" s="118" t="str">
        <f t="shared" si="16"/>
        <v/>
      </c>
      <c r="D585" s="118" t="str">
        <f t="shared" si="17"/>
        <v/>
      </c>
      <c r="E585" s="121"/>
      <c r="F585" s="121"/>
      <c r="G585" s="121"/>
      <c r="H585" s="121"/>
      <c r="I585" s="142"/>
      <c r="J585" s="121"/>
      <c r="K585" s="121"/>
      <c r="L585" s="144"/>
      <c r="M585" s="144"/>
      <c r="N585" s="144"/>
      <c r="O585" s="144"/>
      <c r="P585" s="144"/>
    </row>
    <row r="586" spans="1:16" s="135" customFormat="1" ht="15.75" x14ac:dyDescent="0.25">
      <c r="A586" s="109"/>
      <c r="B586" s="109"/>
      <c r="C586" s="118" t="str">
        <f t="shared" si="16"/>
        <v/>
      </c>
      <c r="D586" s="118" t="str">
        <f t="shared" si="17"/>
        <v/>
      </c>
      <c r="E586" s="121"/>
      <c r="F586" s="121"/>
      <c r="G586" s="121"/>
      <c r="H586" s="121"/>
      <c r="I586" s="142"/>
      <c r="J586" s="121"/>
      <c r="K586" s="121"/>
      <c r="L586" s="144"/>
      <c r="M586" s="144"/>
      <c r="N586" s="144"/>
      <c r="O586" s="144"/>
      <c r="P586" s="144"/>
    </row>
    <row r="587" spans="1:16" s="135" customFormat="1" ht="15.75" x14ac:dyDescent="0.25">
      <c r="A587" s="109"/>
      <c r="B587" s="109"/>
      <c r="C587" s="118" t="str">
        <f t="shared" si="16"/>
        <v/>
      </c>
      <c r="D587" s="118" t="str">
        <f t="shared" si="17"/>
        <v/>
      </c>
      <c r="E587" s="121"/>
      <c r="F587" s="121"/>
      <c r="G587" s="121"/>
      <c r="H587" s="121"/>
      <c r="I587" s="142"/>
      <c r="J587" s="121"/>
      <c r="K587" s="121"/>
      <c r="L587" s="144"/>
      <c r="M587" s="144"/>
      <c r="N587" s="144"/>
      <c r="O587" s="144"/>
      <c r="P587" s="144"/>
    </row>
    <row r="588" spans="1:16" s="135" customFormat="1" ht="15.75" x14ac:dyDescent="0.25">
      <c r="A588" s="109"/>
      <c r="B588" s="109"/>
      <c r="C588" s="118" t="str">
        <f t="shared" si="16"/>
        <v/>
      </c>
      <c r="D588" s="118" t="str">
        <f t="shared" si="17"/>
        <v/>
      </c>
      <c r="E588" s="121"/>
      <c r="F588" s="121"/>
      <c r="G588" s="121"/>
      <c r="H588" s="121"/>
      <c r="I588" s="142"/>
      <c r="J588" s="121"/>
      <c r="K588" s="121"/>
      <c r="L588" s="144"/>
      <c r="M588" s="144"/>
      <c r="N588" s="144"/>
      <c r="O588" s="144"/>
      <c r="P588" s="144"/>
    </row>
    <row r="589" spans="1:16" s="135" customFormat="1" ht="15.75" x14ac:dyDescent="0.25">
      <c r="A589" s="109"/>
      <c r="B589" s="109"/>
      <c r="C589" s="118" t="str">
        <f t="shared" si="16"/>
        <v/>
      </c>
      <c r="D589" s="118" t="str">
        <f t="shared" si="17"/>
        <v/>
      </c>
      <c r="E589" s="121"/>
      <c r="F589" s="121"/>
      <c r="G589" s="121"/>
      <c r="H589" s="121"/>
      <c r="I589" s="142"/>
      <c r="J589" s="121"/>
      <c r="K589" s="121"/>
      <c r="L589" s="144"/>
      <c r="M589" s="144"/>
      <c r="N589" s="144"/>
      <c r="O589" s="144"/>
      <c r="P589" s="144"/>
    </row>
    <row r="590" spans="1:16" s="135" customFormat="1" ht="15.75" x14ac:dyDescent="0.25">
      <c r="A590" s="109"/>
      <c r="B590" s="109"/>
      <c r="C590" s="118" t="str">
        <f t="shared" si="16"/>
        <v/>
      </c>
      <c r="D590" s="118" t="str">
        <f t="shared" si="17"/>
        <v/>
      </c>
      <c r="E590" s="121"/>
      <c r="F590" s="121"/>
      <c r="G590" s="121"/>
      <c r="H590" s="121"/>
      <c r="I590" s="142"/>
      <c r="J590" s="121"/>
      <c r="K590" s="121"/>
      <c r="L590" s="144"/>
      <c r="M590" s="144"/>
      <c r="N590" s="144"/>
      <c r="O590" s="144"/>
      <c r="P590" s="144"/>
    </row>
    <row r="591" spans="1:16" s="135" customFormat="1" ht="15.75" x14ac:dyDescent="0.25">
      <c r="A591" s="109"/>
      <c r="B591" s="109"/>
      <c r="C591" s="118" t="str">
        <f t="shared" si="16"/>
        <v/>
      </c>
      <c r="D591" s="118" t="str">
        <f t="shared" si="17"/>
        <v/>
      </c>
      <c r="E591" s="121"/>
      <c r="F591" s="121"/>
      <c r="G591" s="121"/>
      <c r="H591" s="121"/>
      <c r="I591" s="142"/>
      <c r="J591" s="121"/>
      <c r="K591" s="121"/>
      <c r="L591" s="144"/>
      <c r="M591" s="144"/>
      <c r="N591" s="144"/>
      <c r="O591" s="144"/>
      <c r="P591" s="144"/>
    </row>
    <row r="592" spans="1:16" s="135" customFormat="1" ht="15.75" x14ac:dyDescent="0.25">
      <c r="A592" s="109"/>
      <c r="B592" s="109"/>
      <c r="C592" s="118" t="str">
        <f t="shared" si="16"/>
        <v/>
      </c>
      <c r="D592" s="118" t="str">
        <f t="shared" si="17"/>
        <v/>
      </c>
      <c r="E592" s="121"/>
      <c r="F592" s="121"/>
      <c r="G592" s="121"/>
      <c r="H592" s="121"/>
      <c r="I592" s="142"/>
      <c r="J592" s="121"/>
      <c r="K592" s="121"/>
      <c r="L592" s="144"/>
      <c r="M592" s="144"/>
      <c r="N592" s="144"/>
      <c r="O592" s="144"/>
      <c r="P592" s="144"/>
    </row>
    <row r="593" spans="1:16" s="135" customFormat="1" ht="15.75" x14ac:dyDescent="0.25">
      <c r="A593" s="109"/>
      <c r="B593" s="109"/>
      <c r="C593" s="118" t="str">
        <f t="shared" si="16"/>
        <v/>
      </c>
      <c r="D593" s="118" t="str">
        <f t="shared" si="17"/>
        <v/>
      </c>
      <c r="E593" s="121"/>
      <c r="F593" s="121"/>
      <c r="G593" s="121"/>
      <c r="H593" s="121"/>
      <c r="I593" s="142"/>
      <c r="J593" s="121"/>
      <c r="K593" s="121"/>
      <c r="L593" s="144"/>
      <c r="M593" s="144"/>
      <c r="N593" s="144"/>
      <c r="O593" s="144"/>
      <c r="P593" s="144"/>
    </row>
    <row r="594" spans="1:16" s="135" customFormat="1" ht="15.75" x14ac:dyDescent="0.25">
      <c r="A594" s="109"/>
      <c r="B594" s="109"/>
      <c r="C594" s="118" t="str">
        <f t="shared" si="16"/>
        <v/>
      </c>
      <c r="D594" s="118" t="str">
        <f t="shared" si="17"/>
        <v/>
      </c>
      <c r="E594" s="121"/>
      <c r="F594" s="121"/>
      <c r="G594" s="121"/>
      <c r="H594" s="121"/>
      <c r="I594" s="142"/>
      <c r="J594" s="121"/>
      <c r="K594" s="121"/>
      <c r="L594" s="144"/>
      <c r="M594" s="144"/>
      <c r="N594" s="144"/>
      <c r="O594" s="144"/>
      <c r="P594" s="144"/>
    </row>
    <row r="595" spans="1:16" s="135" customFormat="1" ht="15.75" x14ac:dyDescent="0.25">
      <c r="A595" s="109"/>
      <c r="B595" s="109"/>
      <c r="C595" s="118" t="str">
        <f t="shared" si="16"/>
        <v/>
      </c>
      <c r="D595" s="118" t="str">
        <f t="shared" si="17"/>
        <v/>
      </c>
      <c r="E595" s="121"/>
      <c r="F595" s="121"/>
      <c r="G595" s="121"/>
      <c r="H595" s="121"/>
      <c r="I595" s="142"/>
      <c r="J595" s="121"/>
      <c r="K595" s="121"/>
      <c r="L595" s="144"/>
      <c r="M595" s="144"/>
      <c r="N595" s="144"/>
      <c r="O595" s="144"/>
      <c r="P595" s="144"/>
    </row>
    <row r="596" spans="1:16" s="135" customFormat="1" ht="15.75" x14ac:dyDescent="0.25">
      <c r="A596" s="109"/>
      <c r="B596" s="109"/>
      <c r="C596" s="118" t="str">
        <f t="shared" ref="C596:C659" si="18">IF(A596=0,"",VLOOKUP(B596,MatDB,2,FALSE))</f>
        <v/>
      </c>
      <c r="D596" s="118" t="str">
        <f t="shared" si="17"/>
        <v/>
      </c>
      <c r="E596" s="121"/>
      <c r="F596" s="121"/>
      <c r="G596" s="121"/>
      <c r="H596" s="121"/>
      <c r="I596" s="142"/>
      <c r="J596" s="121"/>
      <c r="K596" s="121"/>
      <c r="L596" s="144"/>
      <c r="M596" s="144"/>
      <c r="N596" s="144"/>
      <c r="O596" s="144"/>
      <c r="P596" s="144"/>
    </row>
    <row r="597" spans="1:16" s="135" customFormat="1" ht="15.75" x14ac:dyDescent="0.25">
      <c r="A597" s="109"/>
      <c r="B597" s="109"/>
      <c r="C597" s="118" t="str">
        <f t="shared" si="18"/>
        <v/>
      </c>
      <c r="D597" s="118" t="str">
        <f t="shared" ref="D597:D660" si="19">IF(A597=0,"","Steel02")</f>
        <v/>
      </c>
      <c r="E597" s="121"/>
      <c r="F597" s="121"/>
      <c r="G597" s="121"/>
      <c r="H597" s="121"/>
      <c r="I597" s="142"/>
      <c r="J597" s="121"/>
      <c r="K597" s="121"/>
      <c r="L597" s="144"/>
      <c r="M597" s="144"/>
      <c r="N597" s="144"/>
      <c r="O597" s="144"/>
      <c r="P597" s="144"/>
    </row>
    <row r="598" spans="1:16" s="135" customFormat="1" ht="15.75" x14ac:dyDescent="0.25">
      <c r="A598" s="109"/>
      <c r="B598" s="109"/>
      <c r="C598" s="118" t="str">
        <f t="shared" si="18"/>
        <v/>
      </c>
      <c r="D598" s="118" t="str">
        <f t="shared" si="19"/>
        <v/>
      </c>
      <c r="E598" s="121"/>
      <c r="F598" s="121"/>
      <c r="G598" s="121"/>
      <c r="H598" s="121"/>
      <c r="I598" s="142"/>
      <c r="J598" s="121"/>
      <c r="K598" s="121"/>
      <c r="L598" s="144"/>
      <c r="M598" s="144"/>
      <c r="N598" s="144"/>
      <c r="O598" s="144"/>
      <c r="P598" s="144"/>
    </row>
    <row r="599" spans="1:16" s="135" customFormat="1" ht="15.75" x14ac:dyDescent="0.25">
      <c r="A599" s="109"/>
      <c r="B599" s="109"/>
      <c r="C599" s="118" t="str">
        <f t="shared" si="18"/>
        <v/>
      </c>
      <c r="D599" s="118" t="str">
        <f t="shared" si="19"/>
        <v/>
      </c>
      <c r="E599" s="121"/>
      <c r="F599" s="121"/>
      <c r="G599" s="121"/>
      <c r="H599" s="121"/>
      <c r="I599" s="142"/>
      <c r="J599" s="121"/>
      <c r="K599" s="121"/>
      <c r="L599" s="144"/>
      <c r="M599" s="144"/>
      <c r="N599" s="144"/>
      <c r="O599" s="144"/>
      <c r="P599" s="144"/>
    </row>
    <row r="600" spans="1:16" s="135" customFormat="1" ht="15.75" x14ac:dyDescent="0.25">
      <c r="A600" s="109"/>
      <c r="B600" s="109"/>
      <c r="C600" s="118" t="str">
        <f t="shared" si="18"/>
        <v/>
      </c>
      <c r="D600" s="118" t="str">
        <f t="shared" si="19"/>
        <v/>
      </c>
      <c r="E600" s="121"/>
      <c r="F600" s="121"/>
      <c r="G600" s="121"/>
      <c r="H600" s="121"/>
      <c r="I600" s="142"/>
      <c r="J600" s="121"/>
      <c r="K600" s="121"/>
      <c r="L600" s="144"/>
      <c r="M600" s="144"/>
      <c r="N600" s="144"/>
      <c r="O600" s="144"/>
      <c r="P600" s="144"/>
    </row>
    <row r="601" spans="1:16" s="135" customFormat="1" ht="15.75" x14ac:dyDescent="0.25">
      <c r="A601" s="109"/>
      <c r="B601" s="109"/>
      <c r="C601" s="118" t="str">
        <f t="shared" si="18"/>
        <v/>
      </c>
      <c r="D601" s="118" t="str">
        <f t="shared" si="19"/>
        <v/>
      </c>
      <c r="E601" s="121"/>
      <c r="F601" s="121"/>
      <c r="G601" s="121"/>
      <c r="H601" s="121"/>
      <c r="I601" s="142"/>
      <c r="J601" s="121"/>
      <c r="K601" s="121"/>
      <c r="L601" s="144"/>
      <c r="M601" s="144"/>
      <c r="N601" s="144"/>
      <c r="O601" s="144"/>
      <c r="P601" s="144"/>
    </row>
    <row r="602" spans="1:16" s="135" customFormat="1" ht="15.75" x14ac:dyDescent="0.25">
      <c r="A602" s="109"/>
      <c r="B602" s="109"/>
      <c r="C602" s="118" t="str">
        <f t="shared" si="18"/>
        <v/>
      </c>
      <c r="D602" s="118" t="str">
        <f t="shared" si="19"/>
        <v/>
      </c>
      <c r="E602" s="121"/>
      <c r="F602" s="121"/>
      <c r="G602" s="121"/>
      <c r="H602" s="121"/>
      <c r="I602" s="142"/>
      <c r="J602" s="121"/>
      <c r="K602" s="121"/>
      <c r="L602" s="144"/>
      <c r="M602" s="144"/>
      <c r="N602" s="144"/>
      <c r="O602" s="144"/>
      <c r="P602" s="144"/>
    </row>
    <row r="603" spans="1:16" s="135" customFormat="1" ht="15.75" x14ac:dyDescent="0.25">
      <c r="A603" s="109"/>
      <c r="B603" s="109"/>
      <c r="C603" s="118" t="str">
        <f t="shared" si="18"/>
        <v/>
      </c>
      <c r="D603" s="118" t="str">
        <f t="shared" si="19"/>
        <v/>
      </c>
      <c r="E603" s="121"/>
      <c r="F603" s="121"/>
      <c r="G603" s="121"/>
      <c r="H603" s="121"/>
      <c r="I603" s="142"/>
      <c r="J603" s="121"/>
      <c r="K603" s="121"/>
      <c r="L603" s="144"/>
      <c r="M603" s="144"/>
      <c r="N603" s="144"/>
      <c r="O603" s="144"/>
      <c r="P603" s="144"/>
    </row>
    <row r="604" spans="1:16" s="135" customFormat="1" ht="15.75" x14ac:dyDescent="0.25">
      <c r="A604" s="109"/>
      <c r="B604" s="109"/>
      <c r="C604" s="118" t="str">
        <f t="shared" si="18"/>
        <v/>
      </c>
      <c r="D604" s="118" t="str">
        <f t="shared" si="19"/>
        <v/>
      </c>
      <c r="E604" s="121"/>
      <c r="F604" s="121"/>
      <c r="G604" s="121"/>
      <c r="H604" s="121"/>
      <c r="I604" s="142"/>
      <c r="J604" s="121"/>
      <c r="K604" s="121"/>
      <c r="L604" s="144"/>
      <c r="M604" s="144"/>
      <c r="N604" s="144"/>
      <c r="O604" s="144"/>
      <c r="P604" s="144"/>
    </row>
    <row r="605" spans="1:16" s="135" customFormat="1" ht="15.75" x14ac:dyDescent="0.25">
      <c r="A605" s="109"/>
      <c r="B605" s="109"/>
      <c r="C605" s="118" t="str">
        <f t="shared" si="18"/>
        <v/>
      </c>
      <c r="D605" s="118" t="str">
        <f t="shared" si="19"/>
        <v/>
      </c>
      <c r="E605" s="121"/>
      <c r="F605" s="121"/>
      <c r="G605" s="121"/>
      <c r="H605" s="121"/>
      <c r="I605" s="142"/>
      <c r="J605" s="121"/>
      <c r="K605" s="121"/>
      <c r="L605" s="144"/>
      <c r="M605" s="144"/>
      <c r="N605" s="144"/>
      <c r="O605" s="144"/>
      <c r="P605" s="144"/>
    </row>
    <row r="606" spans="1:16" s="135" customFormat="1" ht="15.75" x14ac:dyDescent="0.25">
      <c r="A606" s="109"/>
      <c r="B606" s="109"/>
      <c r="C606" s="118" t="str">
        <f t="shared" si="18"/>
        <v/>
      </c>
      <c r="D606" s="118" t="str">
        <f t="shared" si="19"/>
        <v/>
      </c>
      <c r="E606" s="121"/>
      <c r="F606" s="121"/>
      <c r="G606" s="121"/>
      <c r="H606" s="121"/>
      <c r="I606" s="142"/>
      <c r="J606" s="121"/>
      <c r="K606" s="121"/>
      <c r="L606" s="144"/>
      <c r="M606" s="144"/>
      <c r="N606" s="144"/>
      <c r="O606" s="144"/>
      <c r="P606" s="144"/>
    </row>
    <row r="607" spans="1:16" s="135" customFormat="1" ht="15.75" x14ac:dyDescent="0.25">
      <c r="A607" s="109"/>
      <c r="B607" s="109"/>
      <c r="C607" s="118" t="str">
        <f t="shared" si="18"/>
        <v/>
      </c>
      <c r="D607" s="118" t="str">
        <f t="shared" si="19"/>
        <v/>
      </c>
      <c r="E607" s="121"/>
      <c r="F607" s="121"/>
      <c r="G607" s="121"/>
      <c r="H607" s="121"/>
      <c r="I607" s="142"/>
      <c r="J607" s="121"/>
      <c r="K607" s="121"/>
      <c r="L607" s="144"/>
      <c r="M607" s="144"/>
      <c r="N607" s="144"/>
      <c r="O607" s="144"/>
      <c r="P607" s="144"/>
    </row>
    <row r="608" spans="1:16" s="135" customFormat="1" ht="15.75" x14ac:dyDescent="0.25">
      <c r="A608" s="109"/>
      <c r="B608" s="109"/>
      <c r="C608" s="118" t="str">
        <f t="shared" si="18"/>
        <v/>
      </c>
      <c r="D608" s="118" t="str">
        <f t="shared" si="19"/>
        <v/>
      </c>
      <c r="E608" s="121"/>
      <c r="F608" s="121"/>
      <c r="G608" s="121"/>
      <c r="H608" s="121"/>
      <c r="I608" s="142"/>
      <c r="J608" s="121"/>
      <c r="K608" s="121"/>
      <c r="L608" s="144"/>
      <c r="M608" s="144"/>
      <c r="N608" s="144"/>
      <c r="O608" s="144"/>
      <c r="P608" s="144"/>
    </row>
    <row r="609" spans="1:16" s="135" customFormat="1" ht="15.75" x14ac:dyDescent="0.25">
      <c r="A609" s="109"/>
      <c r="B609" s="109"/>
      <c r="C609" s="118" t="str">
        <f t="shared" si="18"/>
        <v/>
      </c>
      <c r="D609" s="118" t="str">
        <f t="shared" si="19"/>
        <v/>
      </c>
      <c r="E609" s="121"/>
      <c r="F609" s="121"/>
      <c r="G609" s="121"/>
      <c r="H609" s="121"/>
      <c r="I609" s="142"/>
      <c r="J609" s="121"/>
      <c r="K609" s="121"/>
      <c r="L609" s="144"/>
      <c r="M609" s="144"/>
      <c r="N609" s="144"/>
      <c r="O609" s="144"/>
      <c r="P609" s="144"/>
    </row>
    <row r="610" spans="1:16" s="135" customFormat="1" ht="15.75" x14ac:dyDescent="0.25">
      <c r="A610" s="109"/>
      <c r="B610" s="109"/>
      <c r="C610" s="118" t="str">
        <f t="shared" si="18"/>
        <v/>
      </c>
      <c r="D610" s="118" t="str">
        <f t="shared" si="19"/>
        <v/>
      </c>
      <c r="E610" s="121"/>
      <c r="F610" s="121"/>
      <c r="G610" s="121"/>
      <c r="H610" s="121"/>
      <c r="I610" s="142"/>
      <c r="J610" s="121"/>
      <c r="K610" s="121"/>
      <c r="L610" s="144"/>
      <c r="M610" s="144"/>
      <c r="N610" s="144"/>
      <c r="O610" s="144"/>
      <c r="P610" s="144"/>
    </row>
    <row r="611" spans="1:16" s="135" customFormat="1" ht="15.75" x14ac:dyDescent="0.25">
      <c r="A611" s="109"/>
      <c r="B611" s="109"/>
      <c r="C611" s="118" t="str">
        <f t="shared" si="18"/>
        <v/>
      </c>
      <c r="D611" s="118" t="str">
        <f t="shared" si="19"/>
        <v/>
      </c>
      <c r="E611" s="121"/>
      <c r="F611" s="121"/>
      <c r="G611" s="121"/>
      <c r="H611" s="121"/>
      <c r="I611" s="142"/>
      <c r="J611" s="121"/>
      <c r="K611" s="121"/>
      <c r="L611" s="144"/>
      <c r="M611" s="144"/>
      <c r="N611" s="144"/>
      <c r="O611" s="144"/>
      <c r="P611" s="144"/>
    </row>
    <row r="612" spans="1:16" s="135" customFormat="1" ht="15.75" x14ac:dyDescent="0.25">
      <c r="A612" s="109"/>
      <c r="B612" s="109"/>
      <c r="C612" s="118" t="str">
        <f t="shared" si="18"/>
        <v/>
      </c>
      <c r="D612" s="118" t="str">
        <f t="shared" si="19"/>
        <v/>
      </c>
      <c r="E612" s="121"/>
      <c r="F612" s="121"/>
      <c r="G612" s="121"/>
      <c r="H612" s="121"/>
      <c r="I612" s="142"/>
      <c r="J612" s="121"/>
      <c r="K612" s="121"/>
      <c r="L612" s="144"/>
      <c r="M612" s="144"/>
      <c r="N612" s="144"/>
      <c r="O612" s="144"/>
      <c r="P612" s="144"/>
    </row>
    <row r="613" spans="1:16" s="135" customFormat="1" ht="15.75" x14ac:dyDescent="0.25">
      <c r="A613" s="109"/>
      <c r="B613" s="109"/>
      <c r="C613" s="118" t="str">
        <f t="shared" si="18"/>
        <v/>
      </c>
      <c r="D613" s="118" t="str">
        <f t="shared" si="19"/>
        <v/>
      </c>
      <c r="E613" s="121"/>
      <c r="F613" s="121"/>
      <c r="G613" s="121"/>
      <c r="H613" s="121"/>
      <c r="I613" s="142"/>
      <c r="J613" s="121"/>
      <c r="K613" s="121"/>
      <c r="L613" s="144"/>
      <c r="M613" s="144"/>
      <c r="N613" s="144"/>
      <c r="O613" s="144"/>
      <c r="P613" s="144"/>
    </row>
    <row r="614" spans="1:16" s="135" customFormat="1" ht="15.75" x14ac:dyDescent="0.25">
      <c r="A614" s="109"/>
      <c r="B614" s="109"/>
      <c r="C614" s="118" t="str">
        <f t="shared" si="18"/>
        <v/>
      </c>
      <c r="D614" s="118" t="str">
        <f t="shared" si="19"/>
        <v/>
      </c>
      <c r="E614" s="121"/>
      <c r="F614" s="121"/>
      <c r="G614" s="121"/>
      <c r="H614" s="121"/>
      <c r="I614" s="142"/>
      <c r="J614" s="121"/>
      <c r="K614" s="121"/>
      <c r="L614" s="144"/>
      <c r="M614" s="144"/>
      <c r="N614" s="144"/>
      <c r="O614" s="144"/>
      <c r="P614" s="144"/>
    </row>
    <row r="615" spans="1:16" s="135" customFormat="1" ht="15.75" x14ac:dyDescent="0.25">
      <c r="A615" s="109"/>
      <c r="B615" s="109"/>
      <c r="C615" s="118" t="str">
        <f t="shared" si="18"/>
        <v/>
      </c>
      <c r="D615" s="118" t="str">
        <f t="shared" si="19"/>
        <v/>
      </c>
      <c r="E615" s="121"/>
      <c r="F615" s="121"/>
      <c r="G615" s="121"/>
      <c r="H615" s="121"/>
      <c r="I615" s="142"/>
      <c r="J615" s="121"/>
      <c r="K615" s="121"/>
      <c r="L615" s="144"/>
      <c r="M615" s="144"/>
      <c r="N615" s="144"/>
      <c r="O615" s="144"/>
      <c r="P615" s="144"/>
    </row>
    <row r="616" spans="1:16" s="135" customFormat="1" ht="15.75" x14ac:dyDescent="0.25">
      <c r="A616" s="109"/>
      <c r="B616" s="109"/>
      <c r="C616" s="118" t="str">
        <f t="shared" si="18"/>
        <v/>
      </c>
      <c r="D616" s="118" t="str">
        <f t="shared" si="19"/>
        <v/>
      </c>
      <c r="E616" s="121"/>
      <c r="F616" s="121"/>
      <c r="G616" s="121"/>
      <c r="H616" s="121"/>
      <c r="I616" s="142"/>
      <c r="J616" s="121"/>
      <c r="K616" s="121"/>
      <c r="L616" s="144"/>
      <c r="M616" s="144"/>
      <c r="N616" s="144"/>
      <c r="O616" s="144"/>
      <c r="P616" s="144"/>
    </row>
    <row r="617" spans="1:16" s="135" customFormat="1" ht="15.75" x14ac:dyDescent="0.25">
      <c r="A617" s="109"/>
      <c r="B617" s="109"/>
      <c r="C617" s="118" t="str">
        <f t="shared" si="18"/>
        <v/>
      </c>
      <c r="D617" s="118" t="str">
        <f t="shared" si="19"/>
        <v/>
      </c>
      <c r="E617" s="121"/>
      <c r="F617" s="121"/>
      <c r="G617" s="121"/>
      <c r="H617" s="121"/>
      <c r="I617" s="142"/>
      <c r="J617" s="121"/>
      <c r="K617" s="121"/>
      <c r="L617" s="144"/>
      <c r="M617" s="144"/>
      <c r="N617" s="144"/>
      <c r="O617" s="144"/>
      <c r="P617" s="144"/>
    </row>
    <row r="618" spans="1:16" s="135" customFormat="1" ht="15.75" x14ac:dyDescent="0.25">
      <c r="A618" s="109"/>
      <c r="B618" s="109"/>
      <c r="C618" s="118" t="str">
        <f t="shared" si="18"/>
        <v/>
      </c>
      <c r="D618" s="118" t="str">
        <f t="shared" si="19"/>
        <v/>
      </c>
      <c r="E618" s="121"/>
      <c r="F618" s="121"/>
      <c r="G618" s="121"/>
      <c r="H618" s="121"/>
      <c r="I618" s="142"/>
      <c r="J618" s="121"/>
      <c r="K618" s="121"/>
      <c r="L618" s="144"/>
      <c r="M618" s="144"/>
      <c r="N618" s="144"/>
      <c r="O618" s="144"/>
      <c r="P618" s="144"/>
    </row>
    <row r="619" spans="1:16" s="135" customFormat="1" ht="15.75" x14ac:dyDescent="0.25">
      <c r="A619" s="109"/>
      <c r="B619" s="109"/>
      <c r="C619" s="118" t="str">
        <f t="shared" si="18"/>
        <v/>
      </c>
      <c r="D619" s="118" t="str">
        <f t="shared" si="19"/>
        <v/>
      </c>
      <c r="E619" s="121"/>
      <c r="F619" s="121"/>
      <c r="G619" s="121"/>
      <c r="H619" s="121"/>
      <c r="I619" s="142"/>
      <c r="J619" s="121"/>
      <c r="K619" s="121"/>
      <c r="L619" s="144"/>
      <c r="M619" s="144"/>
      <c r="N619" s="144"/>
      <c r="O619" s="144"/>
      <c r="P619" s="144"/>
    </row>
    <row r="620" spans="1:16" s="135" customFormat="1" ht="15.75" x14ac:dyDescent="0.25">
      <c r="A620" s="109"/>
      <c r="B620" s="109"/>
      <c r="C620" s="118" t="str">
        <f t="shared" si="18"/>
        <v/>
      </c>
      <c r="D620" s="118" t="str">
        <f t="shared" si="19"/>
        <v/>
      </c>
      <c r="E620" s="121"/>
      <c r="F620" s="121"/>
      <c r="G620" s="121"/>
      <c r="H620" s="121"/>
      <c r="I620" s="142"/>
      <c r="J620" s="121"/>
      <c r="K620" s="121"/>
      <c r="L620" s="144"/>
      <c r="M620" s="144"/>
      <c r="N620" s="144"/>
      <c r="O620" s="144"/>
      <c r="P620" s="144"/>
    </row>
    <row r="621" spans="1:16" s="135" customFormat="1" ht="15.75" x14ac:dyDescent="0.25">
      <c r="A621" s="109"/>
      <c r="B621" s="109"/>
      <c r="C621" s="118" t="str">
        <f t="shared" si="18"/>
        <v/>
      </c>
      <c r="D621" s="118" t="str">
        <f t="shared" si="19"/>
        <v/>
      </c>
      <c r="E621" s="121"/>
      <c r="F621" s="121"/>
      <c r="G621" s="121"/>
      <c r="H621" s="121"/>
      <c r="I621" s="142"/>
      <c r="J621" s="121"/>
      <c r="K621" s="121"/>
      <c r="L621" s="144"/>
      <c r="M621" s="144"/>
      <c r="N621" s="144"/>
      <c r="O621" s="144"/>
      <c r="P621" s="144"/>
    </row>
    <row r="622" spans="1:16" s="135" customFormat="1" ht="15.75" x14ac:dyDescent="0.25">
      <c r="A622" s="109"/>
      <c r="B622" s="109"/>
      <c r="C622" s="118" t="str">
        <f t="shared" si="18"/>
        <v/>
      </c>
      <c r="D622" s="118" t="str">
        <f t="shared" si="19"/>
        <v/>
      </c>
      <c r="E622" s="121"/>
      <c r="F622" s="121"/>
      <c r="G622" s="121"/>
      <c r="H622" s="121"/>
      <c r="I622" s="142"/>
      <c r="J622" s="121"/>
      <c r="K622" s="121"/>
      <c r="L622" s="144"/>
      <c r="M622" s="144"/>
      <c r="N622" s="144"/>
      <c r="O622" s="144"/>
      <c r="P622" s="144"/>
    </row>
    <row r="623" spans="1:16" s="135" customFormat="1" ht="15.75" x14ac:dyDescent="0.25">
      <c r="A623" s="109"/>
      <c r="B623" s="109"/>
      <c r="C623" s="118" t="str">
        <f t="shared" si="18"/>
        <v/>
      </c>
      <c r="D623" s="118" t="str">
        <f t="shared" si="19"/>
        <v/>
      </c>
      <c r="E623" s="121"/>
      <c r="F623" s="121"/>
      <c r="G623" s="121"/>
      <c r="H623" s="121"/>
      <c r="I623" s="142"/>
      <c r="J623" s="121"/>
      <c r="K623" s="121"/>
      <c r="L623" s="144"/>
      <c r="M623" s="144"/>
      <c r="N623" s="144"/>
      <c r="O623" s="144"/>
      <c r="P623" s="144"/>
    </row>
    <row r="624" spans="1:16" s="135" customFormat="1" ht="15.75" x14ac:dyDescent="0.25">
      <c r="A624" s="109"/>
      <c r="B624" s="109"/>
      <c r="C624" s="118" t="str">
        <f t="shared" si="18"/>
        <v/>
      </c>
      <c r="D624" s="118" t="str">
        <f t="shared" si="19"/>
        <v/>
      </c>
      <c r="E624" s="121"/>
      <c r="F624" s="121"/>
      <c r="G624" s="121"/>
      <c r="H624" s="121"/>
      <c r="I624" s="142"/>
      <c r="J624" s="121"/>
      <c r="K624" s="121"/>
      <c r="L624" s="144"/>
      <c r="M624" s="144"/>
      <c r="N624" s="144"/>
      <c r="O624" s="144"/>
      <c r="P624" s="144"/>
    </row>
    <row r="625" spans="1:16" s="135" customFormat="1" ht="15.75" x14ac:dyDescent="0.25">
      <c r="A625" s="109"/>
      <c r="B625" s="109"/>
      <c r="C625" s="118" t="str">
        <f t="shared" si="18"/>
        <v/>
      </c>
      <c r="D625" s="118" t="str">
        <f t="shared" si="19"/>
        <v/>
      </c>
      <c r="E625" s="121"/>
      <c r="F625" s="121"/>
      <c r="G625" s="121"/>
      <c r="H625" s="121"/>
      <c r="I625" s="142"/>
      <c r="J625" s="121"/>
      <c r="K625" s="121"/>
      <c r="L625" s="144"/>
      <c r="M625" s="144"/>
      <c r="N625" s="144"/>
      <c r="O625" s="144"/>
      <c r="P625" s="144"/>
    </row>
    <row r="626" spans="1:16" s="135" customFormat="1" ht="15.75" x14ac:dyDescent="0.25">
      <c r="A626" s="109"/>
      <c r="B626" s="109"/>
      <c r="C626" s="118" t="str">
        <f t="shared" si="18"/>
        <v/>
      </c>
      <c r="D626" s="118" t="str">
        <f t="shared" si="19"/>
        <v/>
      </c>
      <c r="E626" s="121"/>
      <c r="F626" s="121"/>
      <c r="G626" s="121"/>
      <c r="H626" s="121"/>
      <c r="I626" s="142"/>
      <c r="J626" s="121"/>
      <c r="K626" s="121"/>
      <c r="L626" s="144"/>
      <c r="M626" s="144"/>
      <c r="N626" s="144"/>
      <c r="O626" s="144"/>
      <c r="P626" s="144"/>
    </row>
    <row r="627" spans="1:16" s="135" customFormat="1" ht="15.75" x14ac:dyDescent="0.25">
      <c r="A627" s="109"/>
      <c r="B627" s="109"/>
      <c r="C627" s="118" t="str">
        <f t="shared" si="18"/>
        <v/>
      </c>
      <c r="D627" s="118" t="str">
        <f t="shared" si="19"/>
        <v/>
      </c>
      <c r="E627" s="121"/>
      <c r="F627" s="121"/>
      <c r="G627" s="121"/>
      <c r="H627" s="121"/>
      <c r="I627" s="142"/>
      <c r="J627" s="121"/>
      <c r="K627" s="121"/>
      <c r="L627" s="144"/>
      <c r="M627" s="144"/>
      <c r="N627" s="144"/>
      <c r="O627" s="144"/>
      <c r="P627" s="144"/>
    </row>
    <row r="628" spans="1:16" s="135" customFormat="1" ht="15.75" x14ac:dyDescent="0.25">
      <c r="A628" s="109"/>
      <c r="B628" s="109"/>
      <c r="C628" s="118" t="str">
        <f t="shared" si="18"/>
        <v/>
      </c>
      <c r="D628" s="118" t="str">
        <f t="shared" si="19"/>
        <v/>
      </c>
      <c r="E628" s="121"/>
      <c r="F628" s="121"/>
      <c r="G628" s="121"/>
      <c r="H628" s="121"/>
      <c r="I628" s="142"/>
      <c r="J628" s="121"/>
      <c r="K628" s="121"/>
      <c r="L628" s="144"/>
      <c r="M628" s="144"/>
      <c r="N628" s="144"/>
      <c r="O628" s="144"/>
      <c r="P628" s="144"/>
    </row>
    <row r="629" spans="1:16" s="135" customFormat="1" ht="15.75" x14ac:dyDescent="0.25">
      <c r="A629" s="109"/>
      <c r="B629" s="109"/>
      <c r="C629" s="118" t="str">
        <f t="shared" si="18"/>
        <v/>
      </c>
      <c r="D629" s="118" t="str">
        <f t="shared" si="19"/>
        <v/>
      </c>
      <c r="E629" s="121"/>
      <c r="F629" s="121"/>
      <c r="G629" s="121"/>
      <c r="H629" s="121"/>
      <c r="I629" s="142"/>
      <c r="J629" s="121"/>
      <c r="K629" s="121"/>
      <c r="L629" s="144"/>
      <c r="M629" s="144"/>
      <c r="N629" s="144"/>
      <c r="O629" s="144"/>
      <c r="P629" s="144"/>
    </row>
    <row r="630" spans="1:16" s="135" customFormat="1" ht="15.75" x14ac:dyDescent="0.25">
      <c r="A630" s="109"/>
      <c r="B630" s="109"/>
      <c r="C630" s="118" t="str">
        <f t="shared" si="18"/>
        <v/>
      </c>
      <c r="D630" s="118" t="str">
        <f t="shared" si="19"/>
        <v/>
      </c>
      <c r="E630" s="121"/>
      <c r="F630" s="121"/>
      <c r="G630" s="121"/>
      <c r="H630" s="121"/>
      <c r="I630" s="142"/>
      <c r="J630" s="121"/>
      <c r="K630" s="121"/>
      <c r="L630" s="144"/>
      <c r="M630" s="144"/>
      <c r="N630" s="144"/>
      <c r="O630" s="144"/>
      <c r="P630" s="144"/>
    </row>
    <row r="631" spans="1:16" s="135" customFormat="1" ht="15.75" x14ac:dyDescent="0.25">
      <c r="A631" s="109"/>
      <c r="B631" s="109"/>
      <c r="C631" s="118" t="str">
        <f t="shared" si="18"/>
        <v/>
      </c>
      <c r="D631" s="118" t="str">
        <f t="shared" si="19"/>
        <v/>
      </c>
      <c r="E631" s="121"/>
      <c r="F631" s="121"/>
      <c r="G631" s="121"/>
      <c r="H631" s="121"/>
      <c r="I631" s="142"/>
      <c r="J631" s="121"/>
      <c r="K631" s="121"/>
      <c r="L631" s="144"/>
      <c r="M631" s="144"/>
      <c r="N631" s="144"/>
      <c r="O631" s="144"/>
      <c r="P631" s="144"/>
    </row>
    <row r="632" spans="1:16" s="135" customFormat="1" ht="15.75" x14ac:dyDescent="0.25">
      <c r="A632" s="109"/>
      <c r="B632" s="109"/>
      <c r="C632" s="118" t="str">
        <f t="shared" si="18"/>
        <v/>
      </c>
      <c r="D632" s="118" t="str">
        <f t="shared" si="19"/>
        <v/>
      </c>
      <c r="E632" s="121"/>
      <c r="F632" s="121"/>
      <c r="G632" s="121"/>
      <c r="H632" s="121"/>
      <c r="I632" s="142"/>
      <c r="J632" s="121"/>
      <c r="K632" s="121"/>
      <c r="L632" s="144"/>
      <c r="M632" s="144"/>
      <c r="N632" s="144"/>
      <c r="O632" s="144"/>
      <c r="P632" s="144"/>
    </row>
    <row r="633" spans="1:16" s="135" customFormat="1" ht="15.75" x14ac:dyDescent="0.25">
      <c r="A633" s="109"/>
      <c r="B633" s="109"/>
      <c r="C633" s="118" t="str">
        <f t="shared" si="18"/>
        <v/>
      </c>
      <c r="D633" s="118" t="str">
        <f t="shared" si="19"/>
        <v/>
      </c>
      <c r="E633" s="121"/>
      <c r="F633" s="121"/>
      <c r="G633" s="121"/>
      <c r="H633" s="121"/>
      <c r="I633" s="142"/>
      <c r="J633" s="121"/>
      <c r="K633" s="121"/>
      <c r="L633" s="144"/>
      <c r="M633" s="144"/>
      <c r="N633" s="144"/>
      <c r="O633" s="144"/>
      <c r="P633" s="144"/>
    </row>
    <row r="634" spans="1:16" s="135" customFormat="1" ht="15.75" x14ac:dyDescent="0.25">
      <c r="A634" s="109"/>
      <c r="B634" s="109"/>
      <c r="C634" s="118" t="str">
        <f t="shared" si="18"/>
        <v/>
      </c>
      <c r="D634" s="118" t="str">
        <f t="shared" si="19"/>
        <v/>
      </c>
      <c r="E634" s="121"/>
      <c r="F634" s="121"/>
      <c r="G634" s="121"/>
      <c r="H634" s="121"/>
      <c r="I634" s="142"/>
      <c r="J634" s="121"/>
      <c r="K634" s="121"/>
      <c r="L634" s="144"/>
      <c r="M634" s="144"/>
      <c r="N634" s="144"/>
      <c r="O634" s="144"/>
      <c r="P634" s="144"/>
    </row>
    <row r="635" spans="1:16" s="135" customFormat="1" ht="15.75" x14ac:dyDescent="0.25">
      <c r="A635" s="109"/>
      <c r="B635" s="109"/>
      <c r="C635" s="118" t="str">
        <f t="shared" si="18"/>
        <v/>
      </c>
      <c r="D635" s="118" t="str">
        <f t="shared" si="19"/>
        <v/>
      </c>
      <c r="E635" s="121"/>
      <c r="F635" s="121"/>
      <c r="G635" s="121"/>
      <c r="H635" s="121"/>
      <c r="I635" s="142"/>
      <c r="J635" s="121"/>
      <c r="K635" s="121"/>
      <c r="L635" s="144"/>
      <c r="M635" s="144"/>
      <c r="N635" s="144"/>
      <c r="O635" s="144"/>
      <c r="P635" s="144"/>
    </row>
    <row r="636" spans="1:16" s="135" customFormat="1" ht="15.75" x14ac:dyDescent="0.25">
      <c r="A636" s="109"/>
      <c r="B636" s="109"/>
      <c r="C636" s="118" t="str">
        <f t="shared" si="18"/>
        <v/>
      </c>
      <c r="D636" s="118" t="str">
        <f t="shared" si="19"/>
        <v/>
      </c>
      <c r="E636" s="121"/>
      <c r="F636" s="121"/>
      <c r="G636" s="121"/>
      <c r="H636" s="121"/>
      <c r="I636" s="142"/>
      <c r="J636" s="121"/>
      <c r="K636" s="121"/>
      <c r="L636" s="144"/>
      <c r="M636" s="144"/>
      <c r="N636" s="144"/>
      <c r="O636" s="144"/>
      <c r="P636" s="144"/>
    </row>
    <row r="637" spans="1:16" s="135" customFormat="1" ht="15.75" x14ac:dyDescent="0.25">
      <c r="A637" s="109"/>
      <c r="B637" s="109"/>
      <c r="C637" s="118" t="str">
        <f t="shared" si="18"/>
        <v/>
      </c>
      <c r="D637" s="118" t="str">
        <f t="shared" si="19"/>
        <v/>
      </c>
      <c r="E637" s="121"/>
      <c r="F637" s="121"/>
      <c r="G637" s="121"/>
      <c r="H637" s="121"/>
      <c r="I637" s="142"/>
      <c r="J637" s="121"/>
      <c r="K637" s="121"/>
      <c r="L637" s="144"/>
      <c r="M637" s="144"/>
      <c r="N637" s="144"/>
      <c r="O637" s="144"/>
      <c r="P637" s="144"/>
    </row>
    <row r="638" spans="1:16" s="135" customFormat="1" ht="15.75" x14ac:dyDescent="0.25">
      <c r="A638" s="109"/>
      <c r="B638" s="109"/>
      <c r="C638" s="118" t="str">
        <f t="shared" si="18"/>
        <v/>
      </c>
      <c r="D638" s="118" t="str">
        <f t="shared" si="19"/>
        <v/>
      </c>
      <c r="E638" s="121"/>
      <c r="F638" s="121"/>
      <c r="G638" s="121"/>
      <c r="H638" s="121"/>
      <c r="I638" s="142"/>
      <c r="J638" s="121"/>
      <c r="K638" s="121"/>
      <c r="L638" s="144"/>
      <c r="M638" s="144"/>
      <c r="N638" s="144"/>
      <c r="O638" s="144"/>
      <c r="P638" s="144"/>
    </row>
    <row r="639" spans="1:16" s="135" customFormat="1" ht="15.75" x14ac:dyDescent="0.25">
      <c r="A639" s="109"/>
      <c r="B639" s="109"/>
      <c r="C639" s="118" t="str">
        <f t="shared" si="18"/>
        <v/>
      </c>
      <c r="D639" s="118" t="str">
        <f t="shared" si="19"/>
        <v/>
      </c>
      <c r="E639" s="121"/>
      <c r="F639" s="121"/>
      <c r="G639" s="121"/>
      <c r="H639" s="121"/>
      <c r="I639" s="142"/>
      <c r="J639" s="121"/>
      <c r="K639" s="121"/>
      <c r="L639" s="144"/>
      <c r="M639" s="144"/>
      <c r="N639" s="144"/>
      <c r="O639" s="144"/>
      <c r="P639" s="144"/>
    </row>
    <row r="640" spans="1:16" s="135" customFormat="1" ht="15.75" x14ac:dyDescent="0.25">
      <c r="A640" s="109"/>
      <c r="B640" s="109"/>
      <c r="C640" s="118" t="str">
        <f t="shared" si="18"/>
        <v/>
      </c>
      <c r="D640" s="118" t="str">
        <f t="shared" si="19"/>
        <v/>
      </c>
      <c r="E640" s="121"/>
      <c r="F640" s="121"/>
      <c r="G640" s="121"/>
      <c r="H640" s="121"/>
      <c r="I640" s="142"/>
      <c r="J640" s="121"/>
      <c r="K640" s="121"/>
      <c r="L640" s="144"/>
      <c r="M640" s="144"/>
      <c r="N640" s="144"/>
      <c r="O640" s="144"/>
      <c r="P640" s="144"/>
    </row>
    <row r="641" spans="1:16" s="135" customFormat="1" ht="15.75" x14ac:dyDescent="0.25">
      <c r="A641" s="109"/>
      <c r="B641" s="109"/>
      <c r="C641" s="118" t="str">
        <f t="shared" si="18"/>
        <v/>
      </c>
      <c r="D641" s="118" t="str">
        <f t="shared" si="19"/>
        <v/>
      </c>
      <c r="E641" s="121"/>
      <c r="F641" s="121"/>
      <c r="G641" s="121"/>
      <c r="H641" s="121"/>
      <c r="I641" s="142"/>
      <c r="J641" s="121"/>
      <c r="K641" s="121"/>
      <c r="L641" s="144"/>
      <c r="M641" s="144"/>
      <c r="N641" s="144"/>
      <c r="O641" s="144"/>
      <c r="P641" s="144"/>
    </row>
    <row r="642" spans="1:16" s="135" customFormat="1" ht="15.75" x14ac:dyDescent="0.25">
      <c r="A642" s="109"/>
      <c r="B642" s="109"/>
      <c r="C642" s="118" t="str">
        <f t="shared" si="18"/>
        <v/>
      </c>
      <c r="D642" s="118" t="str">
        <f t="shared" si="19"/>
        <v/>
      </c>
      <c r="E642" s="121"/>
      <c r="F642" s="121"/>
      <c r="G642" s="121"/>
      <c r="H642" s="121"/>
      <c r="I642" s="142"/>
      <c r="J642" s="121"/>
      <c r="K642" s="121"/>
      <c r="L642" s="144"/>
      <c r="M642" s="144"/>
      <c r="N642" s="144"/>
      <c r="O642" s="144"/>
      <c r="P642" s="144"/>
    </row>
    <row r="643" spans="1:16" s="135" customFormat="1" ht="15.75" x14ac:dyDescent="0.25">
      <c r="A643" s="109"/>
      <c r="B643" s="109"/>
      <c r="C643" s="118" t="str">
        <f t="shared" si="18"/>
        <v/>
      </c>
      <c r="D643" s="118" t="str">
        <f t="shared" si="19"/>
        <v/>
      </c>
      <c r="E643" s="121"/>
      <c r="F643" s="121"/>
      <c r="G643" s="121"/>
      <c r="H643" s="121"/>
      <c r="I643" s="142"/>
      <c r="J643" s="121"/>
      <c r="K643" s="121"/>
      <c r="L643" s="144"/>
      <c r="M643" s="144"/>
      <c r="N643" s="144"/>
      <c r="O643" s="144"/>
      <c r="P643" s="144"/>
    </row>
    <row r="644" spans="1:16" s="135" customFormat="1" ht="15.75" x14ac:dyDescent="0.25">
      <c r="A644" s="109"/>
      <c r="B644" s="109"/>
      <c r="C644" s="118" t="str">
        <f t="shared" si="18"/>
        <v/>
      </c>
      <c r="D644" s="118" t="str">
        <f t="shared" si="19"/>
        <v/>
      </c>
      <c r="E644" s="121"/>
      <c r="F644" s="121"/>
      <c r="G644" s="121"/>
      <c r="H644" s="121"/>
      <c r="I644" s="142"/>
      <c r="J644" s="121"/>
      <c r="K644" s="121"/>
      <c r="L644" s="144"/>
      <c r="M644" s="144"/>
      <c r="N644" s="144"/>
      <c r="O644" s="144"/>
      <c r="P644" s="144"/>
    </row>
    <row r="645" spans="1:16" s="135" customFormat="1" ht="15.75" x14ac:dyDescent="0.25">
      <c r="A645" s="109"/>
      <c r="B645" s="109"/>
      <c r="C645" s="118" t="str">
        <f t="shared" si="18"/>
        <v/>
      </c>
      <c r="D645" s="118" t="str">
        <f t="shared" si="19"/>
        <v/>
      </c>
      <c r="E645" s="121"/>
      <c r="F645" s="121"/>
      <c r="G645" s="121"/>
      <c r="H645" s="121"/>
      <c r="I645" s="142"/>
      <c r="J645" s="121"/>
      <c r="K645" s="121"/>
      <c r="L645" s="144"/>
      <c r="M645" s="144"/>
      <c r="N645" s="144"/>
      <c r="O645" s="144"/>
      <c r="P645" s="144"/>
    </row>
    <row r="646" spans="1:16" s="135" customFormat="1" ht="15.75" x14ac:dyDescent="0.25">
      <c r="A646" s="109"/>
      <c r="B646" s="109"/>
      <c r="C646" s="118" t="str">
        <f t="shared" si="18"/>
        <v/>
      </c>
      <c r="D646" s="118" t="str">
        <f t="shared" si="19"/>
        <v/>
      </c>
      <c r="E646" s="121"/>
      <c r="F646" s="121"/>
      <c r="G646" s="121"/>
      <c r="H646" s="121"/>
      <c r="I646" s="142"/>
      <c r="J646" s="121"/>
      <c r="K646" s="121"/>
      <c r="L646" s="144"/>
      <c r="M646" s="144"/>
      <c r="N646" s="144"/>
      <c r="O646" s="144"/>
      <c r="P646" s="144"/>
    </row>
    <row r="647" spans="1:16" s="135" customFormat="1" ht="15.75" x14ac:dyDescent="0.25">
      <c r="A647" s="109"/>
      <c r="B647" s="109"/>
      <c r="C647" s="118" t="str">
        <f t="shared" si="18"/>
        <v/>
      </c>
      <c r="D647" s="118" t="str">
        <f t="shared" si="19"/>
        <v/>
      </c>
      <c r="E647" s="121"/>
      <c r="F647" s="121"/>
      <c r="G647" s="121"/>
      <c r="H647" s="121"/>
      <c r="I647" s="142"/>
      <c r="J647" s="121"/>
      <c r="K647" s="121"/>
      <c r="L647" s="144"/>
      <c r="M647" s="144"/>
      <c r="N647" s="144"/>
      <c r="O647" s="144"/>
      <c r="P647" s="144"/>
    </row>
    <row r="648" spans="1:16" s="135" customFormat="1" ht="15.75" x14ac:dyDescent="0.25">
      <c r="A648" s="109"/>
      <c r="B648" s="109"/>
      <c r="C648" s="118" t="str">
        <f t="shared" si="18"/>
        <v/>
      </c>
      <c r="D648" s="118" t="str">
        <f t="shared" si="19"/>
        <v/>
      </c>
      <c r="E648" s="121"/>
      <c r="F648" s="121"/>
      <c r="G648" s="121"/>
      <c r="H648" s="121"/>
      <c r="I648" s="142"/>
      <c r="J648" s="121"/>
      <c r="K648" s="121"/>
      <c r="L648" s="144"/>
      <c r="M648" s="144"/>
      <c r="N648" s="144"/>
      <c r="O648" s="144"/>
      <c r="P648" s="144"/>
    </row>
    <row r="649" spans="1:16" s="135" customFormat="1" ht="15.75" x14ac:dyDescent="0.25">
      <c r="A649" s="109"/>
      <c r="B649" s="109"/>
      <c r="C649" s="118" t="str">
        <f t="shared" si="18"/>
        <v/>
      </c>
      <c r="D649" s="118" t="str">
        <f t="shared" si="19"/>
        <v/>
      </c>
      <c r="E649" s="121"/>
      <c r="F649" s="121"/>
      <c r="G649" s="121"/>
      <c r="H649" s="121"/>
      <c r="I649" s="142"/>
      <c r="J649" s="121"/>
      <c r="K649" s="121"/>
      <c r="L649" s="144"/>
      <c r="M649" s="144"/>
      <c r="N649" s="144"/>
      <c r="O649" s="144"/>
      <c r="P649" s="144"/>
    </row>
    <row r="650" spans="1:16" s="135" customFormat="1" ht="15.75" x14ac:dyDescent="0.25">
      <c r="A650" s="109"/>
      <c r="B650" s="109"/>
      <c r="C650" s="118" t="str">
        <f t="shared" si="18"/>
        <v/>
      </c>
      <c r="D650" s="118" t="str">
        <f t="shared" si="19"/>
        <v/>
      </c>
      <c r="E650" s="121"/>
      <c r="F650" s="121"/>
      <c r="G650" s="121"/>
      <c r="H650" s="121"/>
      <c r="I650" s="142"/>
      <c r="J650" s="121"/>
      <c r="K650" s="121"/>
      <c r="L650" s="144"/>
      <c r="M650" s="144"/>
      <c r="N650" s="144"/>
      <c r="O650" s="144"/>
      <c r="P650" s="144"/>
    </row>
    <row r="651" spans="1:16" s="135" customFormat="1" ht="15.75" x14ac:dyDescent="0.25">
      <c r="A651" s="109"/>
      <c r="B651" s="109"/>
      <c r="C651" s="118" t="str">
        <f t="shared" si="18"/>
        <v/>
      </c>
      <c r="D651" s="118" t="str">
        <f t="shared" si="19"/>
        <v/>
      </c>
      <c r="E651" s="121"/>
      <c r="F651" s="121"/>
      <c r="G651" s="121"/>
      <c r="H651" s="121"/>
      <c r="I651" s="142"/>
      <c r="J651" s="121"/>
      <c r="K651" s="121"/>
      <c r="L651" s="144"/>
      <c r="M651" s="144"/>
      <c r="N651" s="144"/>
      <c r="O651" s="144"/>
      <c r="P651" s="144"/>
    </row>
    <row r="652" spans="1:16" s="135" customFormat="1" ht="15.75" x14ac:dyDescent="0.25">
      <c r="A652" s="109"/>
      <c r="B652" s="109"/>
      <c r="C652" s="118" t="str">
        <f t="shared" si="18"/>
        <v/>
      </c>
      <c r="D652" s="118" t="str">
        <f t="shared" si="19"/>
        <v/>
      </c>
      <c r="E652" s="121"/>
      <c r="F652" s="121"/>
      <c r="G652" s="121"/>
      <c r="H652" s="121"/>
      <c r="I652" s="142"/>
      <c r="J652" s="121"/>
      <c r="K652" s="121"/>
      <c r="L652" s="144"/>
      <c r="M652" s="144"/>
      <c r="N652" s="144"/>
      <c r="O652" s="144"/>
      <c r="P652" s="144"/>
    </row>
    <row r="653" spans="1:16" s="135" customFormat="1" ht="15.75" x14ac:dyDescent="0.25">
      <c r="A653" s="109"/>
      <c r="B653" s="109"/>
      <c r="C653" s="118" t="str">
        <f t="shared" si="18"/>
        <v/>
      </c>
      <c r="D653" s="118" t="str">
        <f t="shared" si="19"/>
        <v/>
      </c>
      <c r="E653" s="121"/>
      <c r="F653" s="121"/>
      <c r="G653" s="121"/>
      <c r="H653" s="121"/>
      <c r="I653" s="142"/>
      <c r="J653" s="121"/>
      <c r="K653" s="121"/>
      <c r="L653" s="144"/>
      <c r="M653" s="144"/>
      <c r="N653" s="144"/>
      <c r="O653" s="144"/>
      <c r="P653" s="144"/>
    </row>
    <row r="654" spans="1:16" s="135" customFormat="1" ht="15.75" x14ac:dyDescent="0.25">
      <c r="A654" s="109"/>
      <c r="B654" s="109"/>
      <c r="C654" s="118" t="str">
        <f t="shared" si="18"/>
        <v/>
      </c>
      <c r="D654" s="118" t="str">
        <f t="shared" si="19"/>
        <v/>
      </c>
      <c r="E654" s="121"/>
      <c r="F654" s="121"/>
      <c r="G654" s="121"/>
      <c r="H654" s="121"/>
      <c r="I654" s="142"/>
      <c r="J654" s="121"/>
      <c r="K654" s="121"/>
      <c r="L654" s="144"/>
      <c r="M654" s="144"/>
      <c r="N654" s="144"/>
      <c r="O654" s="144"/>
      <c r="P654" s="144"/>
    </row>
    <row r="655" spans="1:16" s="135" customFormat="1" ht="15.75" x14ac:dyDescent="0.25">
      <c r="A655" s="109"/>
      <c r="B655" s="109"/>
      <c r="C655" s="118" t="str">
        <f t="shared" si="18"/>
        <v/>
      </c>
      <c r="D655" s="118" t="str">
        <f t="shared" si="19"/>
        <v/>
      </c>
      <c r="E655" s="121"/>
      <c r="F655" s="121"/>
      <c r="G655" s="121"/>
      <c r="H655" s="121"/>
      <c r="I655" s="142"/>
      <c r="J655" s="121"/>
      <c r="K655" s="121"/>
      <c r="L655" s="144"/>
      <c r="M655" s="144"/>
      <c r="N655" s="144"/>
      <c r="O655" s="144"/>
      <c r="P655" s="144"/>
    </row>
    <row r="656" spans="1:16" s="135" customFormat="1" ht="15.75" x14ac:dyDescent="0.25">
      <c r="A656" s="109"/>
      <c r="B656" s="109"/>
      <c r="C656" s="118" t="str">
        <f t="shared" si="18"/>
        <v/>
      </c>
      <c r="D656" s="118" t="str">
        <f t="shared" si="19"/>
        <v/>
      </c>
      <c r="E656" s="121"/>
      <c r="F656" s="121"/>
      <c r="G656" s="121"/>
      <c r="H656" s="121"/>
      <c r="I656" s="142"/>
      <c r="J656" s="121"/>
      <c r="K656" s="121"/>
      <c r="L656" s="144"/>
      <c r="M656" s="144"/>
      <c r="N656" s="144"/>
      <c r="O656" s="144"/>
      <c r="P656" s="144"/>
    </row>
    <row r="657" spans="1:16" s="135" customFormat="1" ht="15.75" x14ac:dyDescent="0.25">
      <c r="A657" s="109"/>
      <c r="B657" s="109"/>
      <c r="C657" s="118" t="str">
        <f t="shared" si="18"/>
        <v/>
      </c>
      <c r="D657" s="118" t="str">
        <f t="shared" si="19"/>
        <v/>
      </c>
      <c r="E657" s="121"/>
      <c r="F657" s="121"/>
      <c r="G657" s="121"/>
      <c r="H657" s="121"/>
      <c r="I657" s="142"/>
      <c r="J657" s="121"/>
      <c r="K657" s="121"/>
      <c r="L657" s="144"/>
      <c r="M657" s="144"/>
      <c r="N657" s="144"/>
      <c r="O657" s="144"/>
      <c r="P657" s="144"/>
    </row>
    <row r="658" spans="1:16" s="135" customFormat="1" ht="15.75" x14ac:dyDescent="0.25">
      <c r="A658" s="109"/>
      <c r="B658" s="109"/>
      <c r="C658" s="118" t="str">
        <f t="shared" si="18"/>
        <v/>
      </c>
      <c r="D658" s="118" t="str">
        <f t="shared" si="19"/>
        <v/>
      </c>
      <c r="E658" s="121"/>
      <c r="F658" s="121"/>
      <c r="G658" s="121"/>
      <c r="H658" s="121"/>
      <c r="I658" s="142"/>
      <c r="J658" s="121"/>
      <c r="K658" s="121"/>
      <c r="L658" s="144"/>
      <c r="M658" s="144"/>
      <c r="N658" s="144"/>
      <c r="O658" s="144"/>
      <c r="P658" s="144"/>
    </row>
    <row r="659" spans="1:16" s="135" customFormat="1" ht="15.75" x14ac:dyDescent="0.25">
      <c r="A659" s="109"/>
      <c r="B659" s="109"/>
      <c r="C659" s="118" t="str">
        <f t="shared" si="18"/>
        <v/>
      </c>
      <c r="D659" s="118" t="str">
        <f t="shared" si="19"/>
        <v/>
      </c>
      <c r="E659" s="121"/>
      <c r="F659" s="121"/>
      <c r="G659" s="121"/>
      <c r="H659" s="121"/>
      <c r="I659" s="142"/>
      <c r="J659" s="121"/>
      <c r="K659" s="121"/>
      <c r="L659" s="144"/>
      <c r="M659" s="144"/>
      <c r="N659" s="144"/>
      <c r="O659" s="144"/>
      <c r="P659" s="144"/>
    </row>
    <row r="660" spans="1:16" s="135" customFormat="1" ht="15.75" x14ac:dyDescent="0.25">
      <c r="A660" s="109"/>
      <c r="B660" s="109"/>
      <c r="C660" s="118" t="str">
        <f t="shared" ref="C660:C723" si="20">IF(A660=0,"",VLOOKUP(B660,MatDB,2,FALSE))</f>
        <v/>
      </c>
      <c r="D660" s="118" t="str">
        <f t="shared" si="19"/>
        <v/>
      </c>
      <c r="E660" s="121"/>
      <c r="F660" s="121"/>
      <c r="G660" s="121"/>
      <c r="H660" s="121"/>
      <c r="I660" s="142"/>
      <c r="J660" s="121"/>
      <c r="K660" s="121"/>
      <c r="L660" s="144"/>
      <c r="M660" s="144"/>
      <c r="N660" s="144"/>
      <c r="O660" s="144"/>
      <c r="P660" s="144"/>
    </row>
    <row r="661" spans="1:16" s="135" customFormat="1" ht="15.75" x14ac:dyDescent="0.25">
      <c r="A661" s="109"/>
      <c r="B661" s="109"/>
      <c r="C661" s="118" t="str">
        <f t="shared" si="20"/>
        <v/>
      </c>
      <c r="D661" s="118" t="str">
        <f t="shared" ref="D661:D724" si="21">IF(A661=0,"","Steel02")</f>
        <v/>
      </c>
      <c r="E661" s="121"/>
      <c r="F661" s="121"/>
      <c r="G661" s="121"/>
      <c r="H661" s="121"/>
      <c r="I661" s="142"/>
      <c r="J661" s="121"/>
      <c r="K661" s="121"/>
      <c r="L661" s="144"/>
      <c r="M661" s="144"/>
      <c r="N661" s="144"/>
      <c r="O661" s="144"/>
      <c r="P661" s="144"/>
    </row>
    <row r="662" spans="1:16" s="135" customFormat="1" ht="15.75" x14ac:dyDescent="0.25">
      <c r="A662" s="109"/>
      <c r="B662" s="109"/>
      <c r="C662" s="118" t="str">
        <f t="shared" si="20"/>
        <v/>
      </c>
      <c r="D662" s="118" t="str">
        <f t="shared" si="21"/>
        <v/>
      </c>
      <c r="E662" s="121"/>
      <c r="F662" s="121"/>
      <c r="G662" s="121"/>
      <c r="H662" s="121"/>
      <c r="I662" s="142"/>
      <c r="J662" s="121"/>
      <c r="K662" s="121"/>
      <c r="L662" s="144"/>
      <c r="M662" s="144"/>
      <c r="N662" s="144"/>
      <c r="O662" s="144"/>
      <c r="P662" s="144"/>
    </row>
    <row r="663" spans="1:16" s="135" customFormat="1" ht="15.75" x14ac:dyDescent="0.25">
      <c r="A663" s="109"/>
      <c r="B663" s="109"/>
      <c r="C663" s="118" t="str">
        <f t="shared" si="20"/>
        <v/>
      </c>
      <c r="D663" s="118" t="str">
        <f t="shared" si="21"/>
        <v/>
      </c>
      <c r="E663" s="121"/>
      <c r="F663" s="121"/>
      <c r="G663" s="121"/>
      <c r="H663" s="121"/>
      <c r="I663" s="142"/>
      <c r="J663" s="121"/>
      <c r="K663" s="121"/>
      <c r="L663" s="144"/>
      <c r="M663" s="144"/>
      <c r="N663" s="144"/>
      <c r="O663" s="144"/>
      <c r="P663" s="144"/>
    </row>
    <row r="664" spans="1:16" s="135" customFormat="1" ht="15.75" x14ac:dyDescent="0.25">
      <c r="A664" s="109"/>
      <c r="B664" s="109"/>
      <c r="C664" s="118" t="str">
        <f t="shared" si="20"/>
        <v/>
      </c>
      <c r="D664" s="118" t="str">
        <f t="shared" si="21"/>
        <v/>
      </c>
      <c r="E664" s="121"/>
      <c r="F664" s="121"/>
      <c r="G664" s="121"/>
      <c r="H664" s="121"/>
      <c r="I664" s="142"/>
      <c r="J664" s="121"/>
      <c r="K664" s="121"/>
      <c r="L664" s="144"/>
      <c r="M664" s="144"/>
      <c r="N664" s="144"/>
      <c r="O664" s="144"/>
      <c r="P664" s="144"/>
    </row>
    <row r="665" spans="1:16" s="135" customFormat="1" ht="15.75" x14ac:dyDescent="0.25">
      <c r="A665" s="109"/>
      <c r="B665" s="109"/>
      <c r="C665" s="118" t="str">
        <f t="shared" si="20"/>
        <v/>
      </c>
      <c r="D665" s="118" t="str">
        <f t="shared" si="21"/>
        <v/>
      </c>
      <c r="E665" s="121"/>
      <c r="F665" s="121"/>
      <c r="G665" s="121"/>
      <c r="H665" s="121"/>
      <c r="I665" s="142"/>
      <c r="J665" s="121"/>
      <c r="K665" s="121"/>
      <c r="L665" s="144"/>
      <c r="M665" s="144"/>
      <c r="N665" s="144"/>
      <c r="O665" s="144"/>
      <c r="P665" s="144"/>
    </row>
    <row r="666" spans="1:16" s="135" customFormat="1" ht="15.75" x14ac:dyDescent="0.25">
      <c r="A666" s="109"/>
      <c r="B666" s="109"/>
      <c r="C666" s="118" t="str">
        <f t="shared" si="20"/>
        <v/>
      </c>
      <c r="D666" s="118" t="str">
        <f t="shared" si="21"/>
        <v/>
      </c>
      <c r="E666" s="121"/>
      <c r="F666" s="121"/>
      <c r="G666" s="121"/>
      <c r="H666" s="121"/>
      <c r="I666" s="142"/>
      <c r="J666" s="121"/>
      <c r="K666" s="121"/>
      <c r="L666" s="144"/>
      <c r="M666" s="144"/>
      <c r="N666" s="144"/>
      <c r="O666" s="144"/>
      <c r="P666" s="144"/>
    </row>
    <row r="667" spans="1:16" s="135" customFormat="1" ht="15.75" x14ac:dyDescent="0.25">
      <c r="A667" s="109"/>
      <c r="B667" s="109"/>
      <c r="C667" s="118" t="str">
        <f t="shared" si="20"/>
        <v/>
      </c>
      <c r="D667" s="118" t="str">
        <f t="shared" si="21"/>
        <v/>
      </c>
      <c r="E667" s="121"/>
      <c r="F667" s="121"/>
      <c r="G667" s="121"/>
      <c r="H667" s="121"/>
      <c r="I667" s="142"/>
      <c r="J667" s="121"/>
      <c r="K667" s="121"/>
      <c r="L667" s="144"/>
      <c r="M667" s="144"/>
      <c r="N667" s="144"/>
      <c r="O667" s="144"/>
      <c r="P667" s="144"/>
    </row>
    <row r="668" spans="1:16" s="135" customFormat="1" ht="15.75" x14ac:dyDescent="0.25">
      <c r="A668" s="109"/>
      <c r="B668" s="109"/>
      <c r="C668" s="118" t="str">
        <f t="shared" si="20"/>
        <v/>
      </c>
      <c r="D668" s="118" t="str">
        <f t="shared" si="21"/>
        <v/>
      </c>
      <c r="E668" s="121"/>
      <c r="F668" s="121"/>
      <c r="G668" s="121"/>
      <c r="H668" s="121"/>
      <c r="I668" s="142"/>
      <c r="J668" s="121"/>
      <c r="K668" s="121"/>
      <c r="L668" s="144"/>
      <c r="M668" s="144"/>
      <c r="N668" s="144"/>
      <c r="O668" s="144"/>
      <c r="P668" s="144"/>
    </row>
    <row r="669" spans="1:16" s="135" customFormat="1" ht="15.75" x14ac:dyDescent="0.25">
      <c r="A669" s="109"/>
      <c r="B669" s="109"/>
      <c r="C669" s="118" t="str">
        <f t="shared" si="20"/>
        <v/>
      </c>
      <c r="D669" s="118" t="str">
        <f t="shared" si="21"/>
        <v/>
      </c>
      <c r="E669" s="121"/>
      <c r="F669" s="121"/>
      <c r="G669" s="121"/>
      <c r="H669" s="121"/>
      <c r="I669" s="142"/>
      <c r="J669" s="121"/>
      <c r="K669" s="121"/>
      <c r="L669" s="144"/>
      <c r="M669" s="144"/>
      <c r="N669" s="144"/>
      <c r="O669" s="144"/>
      <c r="P669" s="144"/>
    </row>
    <row r="670" spans="1:16" s="135" customFormat="1" ht="15.75" x14ac:dyDescent="0.25">
      <c r="A670" s="109"/>
      <c r="B670" s="109"/>
      <c r="C670" s="118" t="str">
        <f t="shared" si="20"/>
        <v/>
      </c>
      <c r="D670" s="118" t="str">
        <f t="shared" si="21"/>
        <v/>
      </c>
      <c r="E670" s="121"/>
      <c r="F670" s="121"/>
      <c r="G670" s="121"/>
      <c r="H670" s="121"/>
      <c r="I670" s="142"/>
      <c r="J670" s="121"/>
      <c r="K670" s="121"/>
      <c r="L670" s="144"/>
      <c r="M670" s="144"/>
      <c r="N670" s="144"/>
      <c r="O670" s="144"/>
      <c r="P670" s="144"/>
    </row>
    <row r="671" spans="1:16" s="135" customFormat="1" ht="15.75" x14ac:dyDescent="0.25">
      <c r="A671" s="109"/>
      <c r="B671" s="109"/>
      <c r="C671" s="118" t="str">
        <f t="shared" si="20"/>
        <v/>
      </c>
      <c r="D671" s="118" t="str">
        <f t="shared" si="21"/>
        <v/>
      </c>
      <c r="E671" s="121"/>
      <c r="F671" s="121"/>
      <c r="G671" s="121"/>
      <c r="H671" s="121"/>
      <c r="I671" s="142"/>
      <c r="J671" s="121"/>
      <c r="K671" s="121"/>
      <c r="L671" s="144"/>
      <c r="M671" s="144"/>
      <c r="N671" s="144"/>
      <c r="O671" s="144"/>
      <c r="P671" s="144"/>
    </row>
    <row r="672" spans="1:16" s="135" customFormat="1" ht="15.75" x14ac:dyDescent="0.25">
      <c r="A672" s="109"/>
      <c r="B672" s="109"/>
      <c r="C672" s="118" t="str">
        <f t="shared" si="20"/>
        <v/>
      </c>
      <c r="D672" s="118" t="str">
        <f t="shared" si="21"/>
        <v/>
      </c>
      <c r="E672" s="121"/>
      <c r="F672" s="121"/>
      <c r="G672" s="121"/>
      <c r="H672" s="121"/>
      <c r="I672" s="142"/>
      <c r="J672" s="121"/>
      <c r="K672" s="121"/>
      <c r="L672" s="144"/>
      <c r="M672" s="144"/>
      <c r="N672" s="144"/>
      <c r="O672" s="144"/>
      <c r="P672" s="144"/>
    </row>
    <row r="673" spans="1:16" s="135" customFormat="1" ht="15.75" x14ac:dyDescent="0.25">
      <c r="A673" s="109"/>
      <c r="B673" s="109"/>
      <c r="C673" s="118" t="str">
        <f t="shared" si="20"/>
        <v/>
      </c>
      <c r="D673" s="118" t="str">
        <f t="shared" si="21"/>
        <v/>
      </c>
      <c r="E673" s="121"/>
      <c r="F673" s="121"/>
      <c r="G673" s="121"/>
      <c r="H673" s="121"/>
      <c r="I673" s="142"/>
      <c r="J673" s="121"/>
      <c r="K673" s="121"/>
      <c r="L673" s="144"/>
      <c r="M673" s="144"/>
      <c r="N673" s="144"/>
      <c r="O673" s="144"/>
      <c r="P673" s="144"/>
    </row>
    <row r="674" spans="1:16" s="135" customFormat="1" ht="15.75" x14ac:dyDescent="0.25">
      <c r="A674" s="109"/>
      <c r="B674" s="109"/>
      <c r="C674" s="118" t="str">
        <f t="shared" si="20"/>
        <v/>
      </c>
      <c r="D674" s="118" t="str">
        <f t="shared" si="21"/>
        <v/>
      </c>
      <c r="E674" s="121"/>
      <c r="F674" s="121"/>
      <c r="G674" s="121"/>
      <c r="H674" s="121"/>
      <c r="I674" s="142"/>
      <c r="J674" s="121"/>
      <c r="K674" s="121"/>
      <c r="L674" s="144"/>
      <c r="M674" s="144"/>
      <c r="N674" s="144"/>
      <c r="O674" s="144"/>
      <c r="P674" s="144"/>
    </row>
    <row r="675" spans="1:16" s="135" customFormat="1" ht="15.75" x14ac:dyDescent="0.25">
      <c r="A675" s="109"/>
      <c r="B675" s="109"/>
      <c r="C675" s="118" t="str">
        <f t="shared" si="20"/>
        <v/>
      </c>
      <c r="D675" s="118" t="str">
        <f t="shared" si="21"/>
        <v/>
      </c>
      <c r="E675" s="121"/>
      <c r="F675" s="121"/>
      <c r="G675" s="121"/>
      <c r="H675" s="121"/>
      <c r="I675" s="142"/>
      <c r="J675" s="121"/>
      <c r="K675" s="121"/>
      <c r="L675" s="144"/>
      <c r="M675" s="144"/>
      <c r="N675" s="144"/>
      <c r="O675" s="144"/>
      <c r="P675" s="144"/>
    </row>
    <row r="676" spans="1:16" s="135" customFormat="1" ht="15.75" x14ac:dyDescent="0.25">
      <c r="A676" s="109"/>
      <c r="B676" s="109"/>
      <c r="C676" s="118" t="str">
        <f t="shared" si="20"/>
        <v/>
      </c>
      <c r="D676" s="118" t="str">
        <f t="shared" si="21"/>
        <v/>
      </c>
      <c r="E676" s="121"/>
      <c r="F676" s="121"/>
      <c r="G676" s="121"/>
      <c r="H676" s="121"/>
      <c r="I676" s="142"/>
      <c r="J676" s="121"/>
      <c r="K676" s="121"/>
      <c r="L676" s="144"/>
      <c r="M676" s="144"/>
      <c r="N676" s="144"/>
      <c r="O676" s="144"/>
      <c r="P676" s="144"/>
    </row>
    <row r="677" spans="1:16" s="135" customFormat="1" ht="15.75" x14ac:dyDescent="0.25">
      <c r="A677" s="109"/>
      <c r="B677" s="109"/>
      <c r="C677" s="118" t="str">
        <f t="shared" si="20"/>
        <v/>
      </c>
      <c r="D677" s="118" t="str">
        <f t="shared" si="21"/>
        <v/>
      </c>
      <c r="E677" s="121"/>
      <c r="F677" s="121"/>
      <c r="G677" s="121"/>
      <c r="H677" s="121"/>
      <c r="I677" s="142"/>
      <c r="J677" s="121"/>
      <c r="K677" s="121"/>
      <c r="L677" s="144"/>
      <c r="M677" s="144"/>
      <c r="N677" s="144"/>
      <c r="O677" s="144"/>
      <c r="P677" s="144"/>
    </row>
    <row r="678" spans="1:16" s="135" customFormat="1" ht="15.75" x14ac:dyDescent="0.25">
      <c r="A678" s="109"/>
      <c r="B678" s="109"/>
      <c r="C678" s="118" t="str">
        <f t="shared" si="20"/>
        <v/>
      </c>
      <c r="D678" s="118" t="str">
        <f t="shared" si="21"/>
        <v/>
      </c>
      <c r="E678" s="121"/>
      <c r="F678" s="121"/>
      <c r="G678" s="121"/>
      <c r="H678" s="121"/>
      <c r="I678" s="142"/>
      <c r="J678" s="121"/>
      <c r="K678" s="121"/>
      <c r="L678" s="144"/>
      <c r="M678" s="144"/>
      <c r="N678" s="144"/>
      <c r="O678" s="144"/>
      <c r="P678" s="144"/>
    </row>
    <row r="679" spans="1:16" s="135" customFormat="1" ht="15.75" x14ac:dyDescent="0.25">
      <c r="A679" s="109"/>
      <c r="B679" s="109"/>
      <c r="C679" s="118" t="str">
        <f t="shared" si="20"/>
        <v/>
      </c>
      <c r="D679" s="118" t="str">
        <f t="shared" si="21"/>
        <v/>
      </c>
      <c r="E679" s="121"/>
      <c r="F679" s="121"/>
      <c r="G679" s="121"/>
      <c r="H679" s="121"/>
      <c r="I679" s="142"/>
      <c r="J679" s="121"/>
      <c r="K679" s="121"/>
      <c r="L679" s="144"/>
      <c r="M679" s="144"/>
      <c r="N679" s="144"/>
      <c r="O679" s="144"/>
      <c r="P679" s="144"/>
    </row>
    <row r="680" spans="1:16" s="135" customFormat="1" ht="15.75" x14ac:dyDescent="0.25">
      <c r="A680" s="109"/>
      <c r="B680" s="109"/>
      <c r="C680" s="118" t="str">
        <f t="shared" si="20"/>
        <v/>
      </c>
      <c r="D680" s="118" t="str">
        <f t="shared" si="21"/>
        <v/>
      </c>
      <c r="E680" s="121"/>
      <c r="F680" s="121"/>
      <c r="G680" s="121"/>
      <c r="H680" s="121"/>
      <c r="I680" s="142"/>
      <c r="J680" s="121"/>
      <c r="K680" s="121"/>
      <c r="L680" s="144"/>
      <c r="M680" s="144"/>
      <c r="N680" s="144"/>
      <c r="O680" s="144"/>
      <c r="P680" s="144"/>
    </row>
    <row r="681" spans="1:16" s="135" customFormat="1" ht="15.75" x14ac:dyDescent="0.25">
      <c r="A681" s="109"/>
      <c r="B681" s="109"/>
      <c r="C681" s="118" t="str">
        <f t="shared" si="20"/>
        <v/>
      </c>
      <c r="D681" s="118" t="str">
        <f t="shared" si="21"/>
        <v/>
      </c>
      <c r="E681" s="121"/>
      <c r="F681" s="121"/>
      <c r="G681" s="121"/>
      <c r="H681" s="121"/>
      <c r="I681" s="142"/>
      <c r="J681" s="121"/>
      <c r="K681" s="121"/>
      <c r="L681" s="144"/>
      <c r="M681" s="144"/>
      <c r="N681" s="144"/>
      <c r="O681" s="144"/>
      <c r="P681" s="144"/>
    </row>
    <row r="682" spans="1:16" s="135" customFormat="1" ht="15.75" x14ac:dyDescent="0.25">
      <c r="A682" s="109"/>
      <c r="B682" s="109"/>
      <c r="C682" s="118" t="str">
        <f t="shared" si="20"/>
        <v/>
      </c>
      <c r="D682" s="118" t="str">
        <f t="shared" si="21"/>
        <v/>
      </c>
      <c r="E682" s="121"/>
      <c r="F682" s="121"/>
      <c r="G682" s="121"/>
      <c r="H682" s="121"/>
      <c r="I682" s="142"/>
      <c r="J682" s="121"/>
      <c r="K682" s="121"/>
      <c r="L682" s="144"/>
      <c r="M682" s="144"/>
      <c r="N682" s="144"/>
      <c r="O682" s="144"/>
      <c r="P682" s="144"/>
    </row>
    <row r="683" spans="1:16" s="135" customFormat="1" ht="15.75" x14ac:dyDescent="0.25">
      <c r="A683" s="109"/>
      <c r="B683" s="109"/>
      <c r="C683" s="118" t="str">
        <f t="shared" si="20"/>
        <v/>
      </c>
      <c r="D683" s="118" t="str">
        <f t="shared" si="21"/>
        <v/>
      </c>
      <c r="E683" s="121"/>
      <c r="F683" s="121"/>
      <c r="G683" s="121"/>
      <c r="H683" s="121"/>
      <c r="I683" s="142"/>
      <c r="J683" s="121"/>
      <c r="K683" s="121"/>
      <c r="L683" s="144"/>
      <c r="M683" s="144"/>
      <c r="N683" s="144"/>
      <c r="O683" s="144"/>
      <c r="P683" s="144"/>
    </row>
    <row r="684" spans="1:16" s="135" customFormat="1" ht="15.75" x14ac:dyDescent="0.25">
      <c r="A684" s="109"/>
      <c r="B684" s="109"/>
      <c r="C684" s="118" t="str">
        <f t="shared" si="20"/>
        <v/>
      </c>
      <c r="D684" s="118" t="str">
        <f t="shared" si="21"/>
        <v/>
      </c>
      <c r="E684" s="121"/>
      <c r="F684" s="121"/>
      <c r="G684" s="121"/>
      <c r="H684" s="121"/>
      <c r="I684" s="142"/>
      <c r="J684" s="121"/>
      <c r="K684" s="121"/>
      <c r="L684" s="144"/>
      <c r="M684" s="144"/>
      <c r="N684" s="144"/>
      <c r="O684" s="144"/>
      <c r="P684" s="144"/>
    </row>
    <row r="685" spans="1:16" s="135" customFormat="1" ht="15.75" x14ac:dyDescent="0.25">
      <c r="A685" s="109"/>
      <c r="B685" s="109"/>
      <c r="C685" s="118" t="str">
        <f t="shared" si="20"/>
        <v/>
      </c>
      <c r="D685" s="118" t="str">
        <f t="shared" si="21"/>
        <v/>
      </c>
      <c r="E685" s="121"/>
      <c r="F685" s="121"/>
      <c r="G685" s="121"/>
      <c r="H685" s="121"/>
      <c r="I685" s="142"/>
      <c r="J685" s="121"/>
      <c r="K685" s="121"/>
      <c r="L685" s="144"/>
      <c r="M685" s="144"/>
      <c r="N685" s="144"/>
      <c r="O685" s="144"/>
      <c r="P685" s="144"/>
    </row>
    <row r="686" spans="1:16" s="135" customFormat="1" ht="15.75" x14ac:dyDescent="0.25">
      <c r="A686" s="109"/>
      <c r="B686" s="109"/>
      <c r="C686" s="118" t="str">
        <f t="shared" si="20"/>
        <v/>
      </c>
      <c r="D686" s="118" t="str">
        <f t="shared" si="21"/>
        <v/>
      </c>
      <c r="E686" s="121"/>
      <c r="F686" s="121"/>
      <c r="G686" s="121"/>
      <c r="H686" s="121"/>
      <c r="I686" s="142"/>
      <c r="J686" s="121"/>
      <c r="K686" s="121"/>
      <c r="L686" s="144"/>
      <c r="M686" s="144"/>
      <c r="N686" s="144"/>
      <c r="O686" s="144"/>
      <c r="P686" s="144"/>
    </row>
    <row r="687" spans="1:16" s="135" customFormat="1" ht="15.75" x14ac:dyDescent="0.25">
      <c r="A687" s="109"/>
      <c r="B687" s="109"/>
      <c r="C687" s="118" t="str">
        <f t="shared" si="20"/>
        <v/>
      </c>
      <c r="D687" s="118" t="str">
        <f t="shared" si="21"/>
        <v/>
      </c>
      <c r="E687" s="121"/>
      <c r="F687" s="121"/>
      <c r="G687" s="121"/>
      <c r="H687" s="121"/>
      <c r="I687" s="142"/>
      <c r="J687" s="121"/>
      <c r="K687" s="121"/>
      <c r="L687" s="144"/>
      <c r="M687" s="144"/>
      <c r="N687" s="144"/>
      <c r="O687" s="144"/>
      <c r="P687" s="144"/>
    </row>
    <row r="688" spans="1:16" s="135" customFormat="1" ht="15.75" x14ac:dyDescent="0.25">
      <c r="A688" s="109"/>
      <c r="B688" s="109"/>
      <c r="C688" s="118" t="str">
        <f t="shared" si="20"/>
        <v/>
      </c>
      <c r="D688" s="118" t="str">
        <f t="shared" si="21"/>
        <v/>
      </c>
      <c r="E688" s="121"/>
      <c r="F688" s="121"/>
      <c r="G688" s="121"/>
      <c r="H688" s="121"/>
      <c r="I688" s="142"/>
      <c r="J688" s="121"/>
      <c r="K688" s="121"/>
      <c r="L688" s="144"/>
      <c r="M688" s="144"/>
      <c r="N688" s="144"/>
      <c r="O688" s="144"/>
      <c r="P688" s="144"/>
    </row>
    <row r="689" spans="1:16" s="135" customFormat="1" ht="15.75" x14ac:dyDescent="0.25">
      <c r="A689" s="109"/>
      <c r="B689" s="109"/>
      <c r="C689" s="118" t="str">
        <f t="shared" si="20"/>
        <v/>
      </c>
      <c r="D689" s="118" t="str">
        <f t="shared" si="21"/>
        <v/>
      </c>
      <c r="E689" s="121"/>
      <c r="F689" s="121"/>
      <c r="G689" s="121"/>
      <c r="H689" s="121"/>
      <c r="I689" s="142"/>
      <c r="J689" s="121"/>
      <c r="K689" s="121"/>
      <c r="L689" s="144"/>
      <c r="M689" s="144"/>
      <c r="N689" s="144"/>
      <c r="O689" s="144"/>
      <c r="P689" s="144"/>
    </row>
    <row r="690" spans="1:16" s="135" customFormat="1" ht="15.75" x14ac:dyDescent="0.25">
      <c r="A690" s="109"/>
      <c r="B690" s="109"/>
      <c r="C690" s="118" t="str">
        <f t="shared" si="20"/>
        <v/>
      </c>
      <c r="D690" s="118" t="str">
        <f t="shared" si="21"/>
        <v/>
      </c>
      <c r="E690" s="121"/>
      <c r="F690" s="121"/>
      <c r="G690" s="121"/>
      <c r="H690" s="121"/>
      <c r="I690" s="142"/>
      <c r="J690" s="121"/>
      <c r="K690" s="121"/>
      <c r="L690" s="144"/>
      <c r="M690" s="144"/>
      <c r="N690" s="144"/>
      <c r="O690" s="144"/>
      <c r="P690" s="144"/>
    </row>
    <row r="691" spans="1:16" s="135" customFormat="1" ht="15.75" x14ac:dyDescent="0.25">
      <c r="A691" s="109"/>
      <c r="B691" s="109"/>
      <c r="C691" s="118" t="str">
        <f t="shared" si="20"/>
        <v/>
      </c>
      <c r="D691" s="118" t="str">
        <f t="shared" si="21"/>
        <v/>
      </c>
      <c r="E691" s="121"/>
      <c r="F691" s="121"/>
      <c r="G691" s="121"/>
      <c r="H691" s="121"/>
      <c r="I691" s="142"/>
      <c r="J691" s="121"/>
      <c r="K691" s="121"/>
      <c r="L691" s="144"/>
      <c r="M691" s="144"/>
      <c r="N691" s="144"/>
      <c r="O691" s="144"/>
      <c r="P691" s="144"/>
    </row>
    <row r="692" spans="1:16" s="135" customFormat="1" ht="15.75" x14ac:dyDescent="0.25">
      <c r="A692" s="109"/>
      <c r="B692" s="109"/>
      <c r="C692" s="118" t="str">
        <f t="shared" si="20"/>
        <v/>
      </c>
      <c r="D692" s="118" t="str">
        <f t="shared" si="21"/>
        <v/>
      </c>
      <c r="E692" s="121"/>
      <c r="F692" s="121"/>
      <c r="G692" s="121"/>
      <c r="H692" s="121"/>
      <c r="I692" s="142"/>
      <c r="J692" s="121"/>
      <c r="K692" s="121"/>
      <c r="L692" s="144"/>
      <c r="M692" s="144"/>
      <c r="N692" s="144"/>
      <c r="O692" s="144"/>
      <c r="P692" s="144"/>
    </row>
    <row r="693" spans="1:16" s="135" customFormat="1" ht="15.75" x14ac:dyDescent="0.25">
      <c r="A693" s="109"/>
      <c r="B693" s="109"/>
      <c r="C693" s="118" t="str">
        <f t="shared" si="20"/>
        <v/>
      </c>
      <c r="D693" s="118" t="str">
        <f t="shared" si="21"/>
        <v/>
      </c>
      <c r="E693" s="121"/>
      <c r="F693" s="121"/>
      <c r="G693" s="121"/>
      <c r="H693" s="121"/>
      <c r="I693" s="142"/>
      <c r="J693" s="121"/>
      <c r="K693" s="121"/>
      <c r="L693" s="144"/>
      <c r="M693" s="144"/>
      <c r="N693" s="144"/>
      <c r="O693" s="144"/>
      <c r="P693" s="144"/>
    </row>
    <row r="694" spans="1:16" s="135" customFormat="1" ht="15.75" x14ac:dyDescent="0.25">
      <c r="A694" s="109"/>
      <c r="B694" s="109"/>
      <c r="C694" s="118" t="str">
        <f t="shared" si="20"/>
        <v/>
      </c>
      <c r="D694" s="118" t="str">
        <f t="shared" si="21"/>
        <v/>
      </c>
      <c r="E694" s="121"/>
      <c r="F694" s="121"/>
      <c r="G694" s="121"/>
      <c r="H694" s="121"/>
      <c r="I694" s="142"/>
      <c r="J694" s="121"/>
      <c r="K694" s="121"/>
      <c r="L694" s="144"/>
      <c r="M694" s="144"/>
      <c r="N694" s="144"/>
      <c r="O694" s="144"/>
      <c r="P694" s="144"/>
    </row>
    <row r="695" spans="1:16" s="135" customFormat="1" ht="15.75" x14ac:dyDescent="0.25">
      <c r="A695" s="109"/>
      <c r="B695" s="109"/>
      <c r="C695" s="118" t="str">
        <f t="shared" si="20"/>
        <v/>
      </c>
      <c r="D695" s="118" t="str">
        <f t="shared" si="21"/>
        <v/>
      </c>
      <c r="E695" s="121"/>
      <c r="F695" s="121"/>
      <c r="G695" s="121"/>
      <c r="H695" s="121"/>
      <c r="I695" s="142"/>
      <c r="J695" s="121"/>
      <c r="K695" s="121"/>
      <c r="L695" s="144"/>
      <c r="M695" s="144"/>
      <c r="N695" s="144"/>
      <c r="O695" s="144"/>
      <c r="P695" s="144"/>
    </row>
    <row r="696" spans="1:16" s="135" customFormat="1" ht="15.75" x14ac:dyDescent="0.25">
      <c r="A696" s="109"/>
      <c r="B696" s="109"/>
      <c r="C696" s="118" t="str">
        <f t="shared" si="20"/>
        <v/>
      </c>
      <c r="D696" s="118" t="str">
        <f t="shared" si="21"/>
        <v/>
      </c>
      <c r="E696" s="121"/>
      <c r="F696" s="121"/>
      <c r="G696" s="121"/>
      <c r="H696" s="121"/>
      <c r="I696" s="142"/>
      <c r="J696" s="121"/>
      <c r="K696" s="121"/>
      <c r="L696" s="144"/>
      <c r="M696" s="144"/>
      <c r="N696" s="144"/>
      <c r="O696" s="144"/>
      <c r="P696" s="144"/>
    </row>
    <row r="697" spans="1:16" s="135" customFormat="1" ht="15.75" x14ac:dyDescent="0.25">
      <c r="A697" s="109"/>
      <c r="B697" s="109"/>
      <c r="C697" s="118" t="str">
        <f t="shared" si="20"/>
        <v/>
      </c>
      <c r="D697" s="118" t="str">
        <f t="shared" si="21"/>
        <v/>
      </c>
      <c r="E697" s="121"/>
      <c r="F697" s="121"/>
      <c r="G697" s="121"/>
      <c r="H697" s="121"/>
      <c r="I697" s="142"/>
      <c r="J697" s="121"/>
      <c r="K697" s="121"/>
      <c r="L697" s="144"/>
      <c r="M697" s="144"/>
      <c r="N697" s="144"/>
      <c r="O697" s="144"/>
      <c r="P697" s="144"/>
    </row>
    <row r="698" spans="1:16" s="135" customFormat="1" ht="15.75" x14ac:dyDescent="0.25">
      <c r="A698" s="109"/>
      <c r="B698" s="109"/>
      <c r="C698" s="118" t="str">
        <f t="shared" si="20"/>
        <v/>
      </c>
      <c r="D698" s="118" t="str">
        <f t="shared" si="21"/>
        <v/>
      </c>
      <c r="E698" s="121"/>
      <c r="F698" s="121"/>
      <c r="G698" s="121"/>
      <c r="H698" s="121"/>
      <c r="I698" s="142"/>
      <c r="J698" s="121"/>
      <c r="K698" s="121"/>
      <c r="L698" s="144"/>
      <c r="M698" s="144"/>
      <c r="N698" s="144"/>
      <c r="O698" s="144"/>
      <c r="P698" s="144"/>
    </row>
    <row r="699" spans="1:16" s="135" customFormat="1" ht="15.75" x14ac:dyDescent="0.25">
      <c r="A699" s="109"/>
      <c r="B699" s="109"/>
      <c r="C699" s="118" t="str">
        <f t="shared" si="20"/>
        <v/>
      </c>
      <c r="D699" s="118" t="str">
        <f t="shared" si="21"/>
        <v/>
      </c>
      <c r="E699" s="121"/>
      <c r="F699" s="121"/>
      <c r="G699" s="121"/>
      <c r="H699" s="121"/>
      <c r="I699" s="142"/>
      <c r="J699" s="121"/>
      <c r="K699" s="121"/>
      <c r="L699" s="144"/>
      <c r="M699" s="144"/>
      <c r="N699" s="144"/>
      <c r="O699" s="144"/>
      <c r="P699" s="144"/>
    </row>
    <row r="700" spans="1:16" s="135" customFormat="1" ht="15.75" x14ac:dyDescent="0.25">
      <c r="A700" s="109"/>
      <c r="B700" s="109"/>
      <c r="C700" s="118" t="str">
        <f t="shared" si="20"/>
        <v/>
      </c>
      <c r="D700" s="118" t="str">
        <f t="shared" si="21"/>
        <v/>
      </c>
      <c r="E700" s="121"/>
      <c r="F700" s="121"/>
      <c r="G700" s="121"/>
      <c r="H700" s="121"/>
      <c r="I700" s="142"/>
      <c r="J700" s="121"/>
      <c r="K700" s="121"/>
      <c r="L700" s="144"/>
      <c r="M700" s="144"/>
      <c r="N700" s="144"/>
      <c r="O700" s="144"/>
      <c r="P700" s="144"/>
    </row>
    <row r="701" spans="1:16" s="135" customFormat="1" ht="15.75" x14ac:dyDescent="0.25">
      <c r="A701" s="109"/>
      <c r="B701" s="109"/>
      <c r="C701" s="118" t="str">
        <f t="shared" si="20"/>
        <v/>
      </c>
      <c r="D701" s="118" t="str">
        <f t="shared" si="21"/>
        <v/>
      </c>
      <c r="E701" s="121"/>
      <c r="F701" s="121"/>
      <c r="G701" s="121"/>
      <c r="H701" s="121"/>
      <c r="I701" s="142"/>
      <c r="J701" s="121"/>
      <c r="K701" s="121"/>
      <c r="L701" s="144"/>
      <c r="M701" s="144"/>
      <c r="N701" s="144"/>
      <c r="O701" s="144"/>
      <c r="P701" s="144"/>
    </row>
    <row r="702" spans="1:16" s="135" customFormat="1" ht="15.75" x14ac:dyDescent="0.25">
      <c r="A702" s="109"/>
      <c r="B702" s="109"/>
      <c r="C702" s="118" t="str">
        <f t="shared" si="20"/>
        <v/>
      </c>
      <c r="D702" s="118" t="str">
        <f t="shared" si="21"/>
        <v/>
      </c>
      <c r="E702" s="121"/>
      <c r="F702" s="121"/>
      <c r="G702" s="121"/>
      <c r="H702" s="121"/>
      <c r="I702" s="142"/>
      <c r="J702" s="121"/>
      <c r="K702" s="121"/>
      <c r="L702" s="144"/>
      <c r="M702" s="144"/>
      <c r="N702" s="144"/>
      <c r="O702" s="144"/>
      <c r="P702" s="144"/>
    </row>
    <row r="703" spans="1:16" s="135" customFormat="1" ht="15.75" x14ac:dyDescent="0.25">
      <c r="A703" s="109"/>
      <c r="B703" s="109"/>
      <c r="C703" s="118" t="str">
        <f t="shared" si="20"/>
        <v/>
      </c>
      <c r="D703" s="118" t="str">
        <f t="shared" si="21"/>
        <v/>
      </c>
      <c r="E703" s="121"/>
      <c r="F703" s="121"/>
      <c r="G703" s="121"/>
      <c r="H703" s="121"/>
      <c r="I703" s="142"/>
      <c r="J703" s="121"/>
      <c r="K703" s="121"/>
      <c r="L703" s="144"/>
      <c r="M703" s="144"/>
      <c r="N703" s="144"/>
      <c r="O703" s="144"/>
      <c r="P703" s="144"/>
    </row>
    <row r="704" spans="1:16" s="135" customFormat="1" ht="15.75" x14ac:dyDescent="0.25">
      <c r="A704" s="109"/>
      <c r="B704" s="109"/>
      <c r="C704" s="118" t="str">
        <f t="shared" si="20"/>
        <v/>
      </c>
      <c r="D704" s="118" t="str">
        <f t="shared" si="21"/>
        <v/>
      </c>
      <c r="E704" s="121"/>
      <c r="F704" s="121"/>
      <c r="G704" s="121"/>
      <c r="H704" s="121"/>
      <c r="I704" s="142"/>
      <c r="J704" s="121"/>
      <c r="K704" s="121"/>
      <c r="L704" s="144"/>
      <c r="M704" s="144"/>
      <c r="N704" s="144"/>
      <c r="O704" s="144"/>
      <c r="P704" s="144"/>
    </row>
    <row r="705" spans="1:16" s="135" customFormat="1" ht="15.75" x14ac:dyDescent="0.25">
      <c r="A705" s="109"/>
      <c r="B705" s="109"/>
      <c r="C705" s="118" t="str">
        <f t="shared" si="20"/>
        <v/>
      </c>
      <c r="D705" s="118" t="str">
        <f t="shared" si="21"/>
        <v/>
      </c>
      <c r="E705" s="121"/>
      <c r="F705" s="121"/>
      <c r="G705" s="121"/>
      <c r="H705" s="121"/>
      <c r="I705" s="142"/>
      <c r="J705" s="121"/>
      <c r="K705" s="121"/>
      <c r="L705" s="144"/>
      <c r="M705" s="144"/>
      <c r="N705" s="144"/>
      <c r="O705" s="144"/>
      <c r="P705" s="144"/>
    </row>
    <row r="706" spans="1:16" s="135" customFormat="1" ht="15.75" x14ac:dyDescent="0.25">
      <c r="A706" s="109"/>
      <c r="B706" s="109"/>
      <c r="C706" s="118" t="str">
        <f t="shared" si="20"/>
        <v/>
      </c>
      <c r="D706" s="118" t="str">
        <f t="shared" si="21"/>
        <v/>
      </c>
      <c r="E706" s="121"/>
      <c r="F706" s="121"/>
      <c r="G706" s="121"/>
      <c r="H706" s="121"/>
      <c r="I706" s="142"/>
      <c r="J706" s="121"/>
      <c r="K706" s="121"/>
      <c r="L706" s="144"/>
      <c r="M706" s="144"/>
      <c r="N706" s="144"/>
      <c r="O706" s="144"/>
      <c r="P706" s="144"/>
    </row>
    <row r="707" spans="1:16" s="135" customFormat="1" ht="15.75" x14ac:dyDescent="0.25">
      <c r="A707" s="109"/>
      <c r="B707" s="109"/>
      <c r="C707" s="118" t="str">
        <f t="shared" si="20"/>
        <v/>
      </c>
      <c r="D707" s="118" t="str">
        <f t="shared" si="21"/>
        <v/>
      </c>
      <c r="E707" s="121"/>
      <c r="F707" s="121"/>
      <c r="G707" s="121"/>
      <c r="H707" s="121"/>
      <c r="I707" s="142"/>
      <c r="J707" s="121"/>
      <c r="K707" s="121"/>
      <c r="L707" s="144"/>
      <c r="M707" s="144"/>
      <c r="N707" s="144"/>
      <c r="O707" s="144"/>
      <c r="P707" s="144"/>
    </row>
    <row r="708" spans="1:16" s="135" customFormat="1" ht="15.75" x14ac:dyDescent="0.25">
      <c r="A708" s="109"/>
      <c r="B708" s="109"/>
      <c r="C708" s="118" t="str">
        <f t="shared" si="20"/>
        <v/>
      </c>
      <c r="D708" s="118" t="str">
        <f t="shared" si="21"/>
        <v/>
      </c>
      <c r="E708" s="121"/>
      <c r="F708" s="121"/>
      <c r="G708" s="121"/>
      <c r="H708" s="121"/>
      <c r="I708" s="142"/>
      <c r="J708" s="121"/>
      <c r="K708" s="121"/>
      <c r="L708" s="144"/>
      <c r="M708" s="144"/>
      <c r="N708" s="144"/>
      <c r="O708" s="144"/>
      <c r="P708" s="144"/>
    </row>
    <row r="709" spans="1:16" s="135" customFormat="1" ht="15.75" x14ac:dyDescent="0.25">
      <c r="A709" s="109"/>
      <c r="B709" s="109"/>
      <c r="C709" s="118" t="str">
        <f t="shared" si="20"/>
        <v/>
      </c>
      <c r="D709" s="118" t="str">
        <f t="shared" si="21"/>
        <v/>
      </c>
      <c r="E709" s="121"/>
      <c r="F709" s="121"/>
      <c r="G709" s="121"/>
      <c r="H709" s="121"/>
      <c r="I709" s="142"/>
      <c r="J709" s="121"/>
      <c r="K709" s="121"/>
      <c r="L709" s="144"/>
      <c r="M709" s="144"/>
      <c r="N709" s="144"/>
      <c r="O709" s="144"/>
      <c r="P709" s="144"/>
    </row>
    <row r="710" spans="1:16" s="135" customFormat="1" ht="15.75" x14ac:dyDescent="0.25">
      <c r="A710" s="109"/>
      <c r="B710" s="109"/>
      <c r="C710" s="118" t="str">
        <f t="shared" si="20"/>
        <v/>
      </c>
      <c r="D710" s="118" t="str">
        <f t="shared" si="21"/>
        <v/>
      </c>
      <c r="E710" s="121"/>
      <c r="F710" s="121"/>
      <c r="G710" s="121"/>
      <c r="H710" s="121"/>
      <c r="I710" s="142"/>
      <c r="J710" s="121"/>
      <c r="K710" s="121"/>
      <c r="L710" s="144"/>
      <c r="M710" s="144"/>
      <c r="N710" s="144"/>
      <c r="O710" s="144"/>
      <c r="P710" s="144"/>
    </row>
    <row r="711" spans="1:16" s="135" customFormat="1" ht="15.75" x14ac:dyDescent="0.25">
      <c r="A711" s="109"/>
      <c r="B711" s="109"/>
      <c r="C711" s="118" t="str">
        <f t="shared" si="20"/>
        <v/>
      </c>
      <c r="D711" s="118" t="str">
        <f t="shared" si="21"/>
        <v/>
      </c>
      <c r="E711" s="121"/>
      <c r="F711" s="121"/>
      <c r="G711" s="121"/>
      <c r="H711" s="121"/>
      <c r="I711" s="142"/>
      <c r="J711" s="121"/>
      <c r="K711" s="121"/>
      <c r="L711" s="144"/>
      <c r="M711" s="144"/>
      <c r="N711" s="144"/>
      <c r="O711" s="144"/>
      <c r="P711" s="144"/>
    </row>
    <row r="712" spans="1:16" s="135" customFormat="1" ht="15.75" x14ac:dyDescent="0.25">
      <c r="A712" s="109"/>
      <c r="B712" s="109"/>
      <c r="C712" s="118" t="str">
        <f t="shared" si="20"/>
        <v/>
      </c>
      <c r="D712" s="118" t="str">
        <f t="shared" si="21"/>
        <v/>
      </c>
      <c r="E712" s="121"/>
      <c r="F712" s="121"/>
      <c r="G712" s="121"/>
      <c r="H712" s="121"/>
      <c r="I712" s="142"/>
      <c r="J712" s="121"/>
      <c r="K712" s="121"/>
      <c r="L712" s="144"/>
      <c r="M712" s="144"/>
      <c r="N712" s="144"/>
      <c r="O712" s="144"/>
      <c r="P712" s="144"/>
    </row>
    <row r="713" spans="1:16" s="135" customFormat="1" ht="15.75" x14ac:dyDescent="0.25">
      <c r="A713" s="109"/>
      <c r="B713" s="109"/>
      <c r="C713" s="118" t="str">
        <f t="shared" si="20"/>
        <v/>
      </c>
      <c r="D713" s="118" t="str">
        <f t="shared" si="21"/>
        <v/>
      </c>
      <c r="E713" s="121"/>
      <c r="F713" s="121"/>
      <c r="G713" s="121"/>
      <c r="H713" s="121"/>
      <c r="I713" s="142"/>
      <c r="J713" s="121"/>
      <c r="K713" s="121"/>
      <c r="L713" s="144"/>
      <c r="M713" s="144"/>
      <c r="N713" s="144"/>
      <c r="O713" s="144"/>
      <c r="P713" s="144"/>
    </row>
    <row r="714" spans="1:16" s="135" customFormat="1" ht="15.75" x14ac:dyDescent="0.25">
      <c r="A714" s="109"/>
      <c r="B714" s="109"/>
      <c r="C714" s="118" t="str">
        <f t="shared" si="20"/>
        <v/>
      </c>
      <c r="D714" s="118" t="str">
        <f t="shared" si="21"/>
        <v/>
      </c>
      <c r="E714" s="121"/>
      <c r="F714" s="121"/>
      <c r="G714" s="121"/>
      <c r="H714" s="121"/>
      <c r="I714" s="142"/>
      <c r="J714" s="121"/>
      <c r="K714" s="121"/>
      <c r="L714" s="144"/>
      <c r="M714" s="144"/>
      <c r="N714" s="144"/>
      <c r="O714" s="144"/>
      <c r="P714" s="144"/>
    </row>
    <row r="715" spans="1:16" s="135" customFormat="1" ht="15.75" x14ac:dyDescent="0.25">
      <c r="A715" s="109"/>
      <c r="B715" s="109"/>
      <c r="C715" s="118" t="str">
        <f t="shared" si="20"/>
        <v/>
      </c>
      <c r="D715" s="118" t="str">
        <f t="shared" si="21"/>
        <v/>
      </c>
      <c r="E715" s="121"/>
      <c r="F715" s="121"/>
      <c r="G715" s="121"/>
      <c r="H715" s="121"/>
      <c r="I715" s="142"/>
      <c r="J715" s="121"/>
      <c r="K715" s="121"/>
      <c r="L715" s="144"/>
      <c r="M715" s="144"/>
      <c r="N715" s="144"/>
      <c r="O715" s="144"/>
      <c r="P715" s="144"/>
    </row>
    <row r="716" spans="1:16" s="135" customFormat="1" ht="15.75" x14ac:dyDescent="0.25">
      <c r="A716" s="109"/>
      <c r="B716" s="109"/>
      <c r="C716" s="118" t="str">
        <f t="shared" si="20"/>
        <v/>
      </c>
      <c r="D716" s="118" t="str">
        <f t="shared" si="21"/>
        <v/>
      </c>
      <c r="E716" s="121"/>
      <c r="F716" s="121"/>
      <c r="G716" s="121"/>
      <c r="H716" s="121"/>
      <c r="I716" s="142"/>
      <c r="J716" s="121"/>
      <c r="K716" s="121"/>
      <c r="L716" s="144"/>
      <c r="M716" s="144"/>
      <c r="N716" s="144"/>
      <c r="O716" s="144"/>
      <c r="P716" s="144"/>
    </row>
    <row r="717" spans="1:16" s="135" customFormat="1" ht="15.75" x14ac:dyDescent="0.25">
      <c r="A717" s="109"/>
      <c r="B717" s="109"/>
      <c r="C717" s="118" t="str">
        <f t="shared" si="20"/>
        <v/>
      </c>
      <c r="D717" s="118" t="str">
        <f t="shared" si="21"/>
        <v/>
      </c>
      <c r="E717" s="121"/>
      <c r="F717" s="121"/>
      <c r="G717" s="121"/>
      <c r="H717" s="121"/>
      <c r="I717" s="142"/>
      <c r="J717" s="121"/>
      <c r="K717" s="121"/>
      <c r="L717" s="144"/>
      <c r="M717" s="144"/>
      <c r="N717" s="144"/>
      <c r="O717" s="144"/>
      <c r="P717" s="144"/>
    </row>
    <row r="718" spans="1:16" s="135" customFormat="1" ht="15.75" x14ac:dyDescent="0.25">
      <c r="A718" s="109"/>
      <c r="B718" s="109"/>
      <c r="C718" s="118" t="str">
        <f t="shared" si="20"/>
        <v/>
      </c>
      <c r="D718" s="118" t="str">
        <f t="shared" si="21"/>
        <v/>
      </c>
      <c r="E718" s="121"/>
      <c r="F718" s="121"/>
      <c r="G718" s="121"/>
      <c r="H718" s="121"/>
      <c r="I718" s="142"/>
      <c r="J718" s="121"/>
      <c r="K718" s="121"/>
      <c r="L718" s="144"/>
      <c r="M718" s="144"/>
      <c r="N718" s="144"/>
      <c r="O718" s="144"/>
      <c r="P718" s="144"/>
    </row>
    <row r="719" spans="1:16" s="135" customFormat="1" ht="15.75" x14ac:dyDescent="0.25">
      <c r="A719" s="109"/>
      <c r="B719" s="109"/>
      <c r="C719" s="118" t="str">
        <f t="shared" si="20"/>
        <v/>
      </c>
      <c r="D719" s="118" t="str">
        <f t="shared" si="21"/>
        <v/>
      </c>
      <c r="E719" s="121"/>
      <c r="F719" s="121"/>
      <c r="G719" s="121"/>
      <c r="H719" s="121"/>
      <c r="I719" s="142"/>
      <c r="J719" s="121"/>
      <c r="K719" s="121"/>
      <c r="L719" s="144"/>
      <c r="M719" s="144"/>
      <c r="N719" s="144"/>
      <c r="O719" s="144"/>
      <c r="P719" s="144"/>
    </row>
    <row r="720" spans="1:16" s="135" customFormat="1" ht="15.75" x14ac:dyDescent="0.25">
      <c r="A720" s="109"/>
      <c r="B720" s="109"/>
      <c r="C720" s="118" t="str">
        <f t="shared" si="20"/>
        <v/>
      </c>
      <c r="D720" s="118" t="str">
        <f t="shared" si="21"/>
        <v/>
      </c>
      <c r="E720" s="121"/>
      <c r="F720" s="121"/>
      <c r="G720" s="121"/>
      <c r="H720" s="121"/>
      <c r="I720" s="142"/>
      <c r="J720" s="121"/>
      <c r="K720" s="121"/>
      <c r="L720" s="144"/>
      <c r="M720" s="144"/>
      <c r="N720" s="144"/>
      <c r="O720" s="144"/>
      <c r="P720" s="144"/>
    </row>
    <row r="721" spans="1:16" s="135" customFormat="1" ht="15.75" x14ac:dyDescent="0.25">
      <c r="A721" s="109"/>
      <c r="B721" s="109"/>
      <c r="C721" s="118" t="str">
        <f t="shared" si="20"/>
        <v/>
      </c>
      <c r="D721" s="118" t="str">
        <f t="shared" si="21"/>
        <v/>
      </c>
      <c r="E721" s="121"/>
      <c r="F721" s="121"/>
      <c r="G721" s="121"/>
      <c r="H721" s="121"/>
      <c r="I721" s="142"/>
      <c r="J721" s="121"/>
      <c r="K721" s="121"/>
      <c r="L721" s="144"/>
      <c r="M721" s="144"/>
      <c r="N721" s="144"/>
      <c r="O721" s="144"/>
      <c r="P721" s="144"/>
    </row>
    <row r="722" spans="1:16" s="135" customFormat="1" ht="15.75" x14ac:dyDescent="0.25">
      <c r="A722" s="109"/>
      <c r="B722" s="109"/>
      <c r="C722" s="118" t="str">
        <f t="shared" si="20"/>
        <v/>
      </c>
      <c r="D722" s="118" t="str">
        <f t="shared" si="21"/>
        <v/>
      </c>
      <c r="E722" s="121"/>
      <c r="F722" s="121"/>
      <c r="G722" s="121"/>
      <c r="H722" s="121"/>
      <c r="I722" s="142"/>
      <c r="J722" s="121"/>
      <c r="K722" s="121"/>
      <c r="L722" s="144"/>
      <c r="M722" s="144"/>
      <c r="N722" s="144"/>
      <c r="O722" s="144"/>
      <c r="P722" s="144"/>
    </row>
    <row r="723" spans="1:16" s="135" customFormat="1" ht="15.75" x14ac:dyDescent="0.25">
      <c r="A723" s="109"/>
      <c r="B723" s="109"/>
      <c r="C723" s="118" t="str">
        <f t="shared" si="20"/>
        <v/>
      </c>
      <c r="D723" s="118" t="str">
        <f t="shared" si="21"/>
        <v/>
      </c>
      <c r="E723" s="121"/>
      <c r="F723" s="121"/>
      <c r="G723" s="121"/>
      <c r="H723" s="121"/>
      <c r="I723" s="142"/>
      <c r="J723" s="121"/>
      <c r="K723" s="121"/>
      <c r="L723" s="144"/>
      <c r="M723" s="144"/>
      <c r="N723" s="144"/>
      <c r="O723" s="144"/>
      <c r="P723" s="144"/>
    </row>
    <row r="724" spans="1:16" s="135" customFormat="1" ht="15.75" x14ac:dyDescent="0.25">
      <c r="A724" s="109"/>
      <c r="B724" s="109"/>
      <c r="C724" s="118" t="str">
        <f t="shared" ref="C724:C787" si="22">IF(A724=0,"",VLOOKUP(B724,MatDB,2,FALSE))</f>
        <v/>
      </c>
      <c r="D724" s="118" t="str">
        <f t="shared" si="21"/>
        <v/>
      </c>
      <c r="E724" s="121"/>
      <c r="F724" s="121"/>
      <c r="G724" s="121"/>
      <c r="H724" s="121"/>
      <c r="I724" s="142"/>
      <c r="J724" s="121"/>
      <c r="K724" s="121"/>
      <c r="L724" s="144"/>
      <c r="M724" s="144"/>
      <c r="N724" s="144"/>
      <c r="O724" s="144"/>
      <c r="P724" s="144"/>
    </row>
    <row r="725" spans="1:16" s="135" customFormat="1" ht="15.75" x14ac:dyDescent="0.25">
      <c r="A725" s="109"/>
      <c r="B725" s="109"/>
      <c r="C725" s="118" t="str">
        <f t="shared" si="22"/>
        <v/>
      </c>
      <c r="D725" s="118" t="str">
        <f t="shared" ref="D725:D788" si="23">IF(A725=0,"","Steel02")</f>
        <v/>
      </c>
      <c r="E725" s="121"/>
      <c r="F725" s="121"/>
      <c r="G725" s="121"/>
      <c r="H725" s="121"/>
      <c r="I725" s="142"/>
      <c r="J725" s="121"/>
      <c r="K725" s="121"/>
      <c r="L725" s="144"/>
      <c r="M725" s="144"/>
      <c r="N725" s="144"/>
      <c r="O725" s="144"/>
      <c r="P725" s="144"/>
    </row>
    <row r="726" spans="1:16" s="135" customFormat="1" ht="15.75" x14ac:dyDescent="0.25">
      <c r="A726" s="109"/>
      <c r="B726" s="109"/>
      <c r="C726" s="118" t="str">
        <f t="shared" si="22"/>
        <v/>
      </c>
      <c r="D726" s="118" t="str">
        <f t="shared" si="23"/>
        <v/>
      </c>
      <c r="E726" s="121"/>
      <c r="F726" s="121"/>
      <c r="G726" s="121"/>
      <c r="H726" s="121"/>
      <c r="I726" s="142"/>
      <c r="J726" s="121"/>
      <c r="K726" s="121"/>
      <c r="L726" s="144"/>
      <c r="M726" s="144"/>
      <c r="N726" s="144"/>
      <c r="O726" s="144"/>
      <c r="P726" s="144"/>
    </row>
    <row r="727" spans="1:16" s="135" customFormat="1" ht="15.75" x14ac:dyDescent="0.25">
      <c r="A727" s="109"/>
      <c r="B727" s="109"/>
      <c r="C727" s="118" t="str">
        <f t="shared" si="22"/>
        <v/>
      </c>
      <c r="D727" s="118" t="str">
        <f t="shared" si="23"/>
        <v/>
      </c>
      <c r="E727" s="121"/>
      <c r="F727" s="121"/>
      <c r="G727" s="121"/>
      <c r="H727" s="121"/>
      <c r="I727" s="142"/>
      <c r="J727" s="121"/>
      <c r="K727" s="121"/>
      <c r="L727" s="144"/>
      <c r="M727" s="144"/>
      <c r="N727" s="144"/>
      <c r="O727" s="144"/>
      <c r="P727" s="144"/>
    </row>
    <row r="728" spans="1:16" s="135" customFormat="1" ht="15.75" x14ac:dyDescent="0.25">
      <c r="A728" s="109"/>
      <c r="B728" s="109"/>
      <c r="C728" s="118" t="str">
        <f t="shared" si="22"/>
        <v/>
      </c>
      <c r="D728" s="118" t="str">
        <f t="shared" si="23"/>
        <v/>
      </c>
      <c r="E728" s="121"/>
      <c r="F728" s="121"/>
      <c r="G728" s="121"/>
      <c r="H728" s="121"/>
      <c r="I728" s="142"/>
      <c r="J728" s="121"/>
      <c r="K728" s="121"/>
      <c r="L728" s="144"/>
      <c r="M728" s="144"/>
      <c r="N728" s="144"/>
      <c r="O728" s="144"/>
      <c r="P728" s="144"/>
    </row>
    <row r="729" spans="1:16" s="135" customFormat="1" ht="15.75" x14ac:dyDescent="0.25">
      <c r="A729" s="109"/>
      <c r="B729" s="109"/>
      <c r="C729" s="118" t="str">
        <f t="shared" si="22"/>
        <v/>
      </c>
      <c r="D729" s="118" t="str">
        <f t="shared" si="23"/>
        <v/>
      </c>
      <c r="E729" s="121"/>
      <c r="F729" s="121"/>
      <c r="G729" s="121"/>
      <c r="H729" s="121"/>
      <c r="I729" s="142"/>
      <c r="J729" s="121"/>
      <c r="K729" s="121"/>
      <c r="L729" s="144"/>
      <c r="M729" s="144"/>
      <c r="N729" s="144"/>
      <c r="O729" s="144"/>
      <c r="P729" s="144"/>
    </row>
    <row r="730" spans="1:16" s="135" customFormat="1" ht="15.75" x14ac:dyDescent="0.25">
      <c r="A730" s="109"/>
      <c r="B730" s="109"/>
      <c r="C730" s="118" t="str">
        <f t="shared" si="22"/>
        <v/>
      </c>
      <c r="D730" s="118" t="str">
        <f t="shared" si="23"/>
        <v/>
      </c>
      <c r="E730" s="121"/>
      <c r="F730" s="121"/>
      <c r="G730" s="121"/>
      <c r="H730" s="121"/>
      <c r="I730" s="142"/>
      <c r="J730" s="121"/>
      <c r="K730" s="121"/>
      <c r="L730" s="144"/>
      <c r="M730" s="144"/>
      <c r="N730" s="144"/>
      <c r="O730" s="144"/>
      <c r="P730" s="144"/>
    </row>
    <row r="731" spans="1:16" s="135" customFormat="1" ht="15.75" x14ac:dyDescent="0.25">
      <c r="A731" s="109"/>
      <c r="B731" s="109"/>
      <c r="C731" s="118" t="str">
        <f t="shared" si="22"/>
        <v/>
      </c>
      <c r="D731" s="118" t="str">
        <f t="shared" si="23"/>
        <v/>
      </c>
      <c r="E731" s="121"/>
      <c r="F731" s="121"/>
      <c r="G731" s="121"/>
      <c r="H731" s="121"/>
      <c r="I731" s="142"/>
      <c r="J731" s="121"/>
      <c r="K731" s="121"/>
      <c r="L731" s="144"/>
      <c r="M731" s="144"/>
      <c r="N731" s="144"/>
      <c r="O731" s="144"/>
      <c r="P731" s="144"/>
    </row>
    <row r="732" spans="1:16" s="135" customFormat="1" ht="15.75" x14ac:dyDescent="0.25">
      <c r="A732" s="109"/>
      <c r="B732" s="109"/>
      <c r="C732" s="118" t="str">
        <f t="shared" si="22"/>
        <v/>
      </c>
      <c r="D732" s="118" t="str">
        <f t="shared" si="23"/>
        <v/>
      </c>
      <c r="E732" s="121"/>
      <c r="F732" s="121"/>
      <c r="G732" s="121"/>
      <c r="H732" s="121"/>
      <c r="I732" s="142"/>
      <c r="J732" s="121"/>
      <c r="K732" s="121"/>
      <c r="L732" s="144"/>
      <c r="M732" s="144"/>
      <c r="N732" s="144"/>
      <c r="O732" s="144"/>
      <c r="P732" s="144"/>
    </row>
    <row r="733" spans="1:16" s="135" customFormat="1" ht="15.75" x14ac:dyDescent="0.25">
      <c r="A733" s="109"/>
      <c r="B733" s="109"/>
      <c r="C733" s="118" t="str">
        <f t="shared" si="22"/>
        <v/>
      </c>
      <c r="D733" s="118" t="str">
        <f t="shared" si="23"/>
        <v/>
      </c>
      <c r="E733" s="121"/>
      <c r="F733" s="121"/>
      <c r="G733" s="121"/>
      <c r="H733" s="121"/>
      <c r="I733" s="142"/>
      <c r="J733" s="121"/>
      <c r="K733" s="121"/>
      <c r="L733" s="144"/>
      <c r="M733" s="144"/>
      <c r="N733" s="144"/>
      <c r="O733" s="144"/>
      <c r="P733" s="144"/>
    </row>
    <row r="734" spans="1:16" s="135" customFormat="1" ht="15.75" x14ac:dyDescent="0.25">
      <c r="A734" s="109"/>
      <c r="B734" s="109"/>
      <c r="C734" s="118" t="str">
        <f t="shared" si="22"/>
        <v/>
      </c>
      <c r="D734" s="118" t="str">
        <f t="shared" si="23"/>
        <v/>
      </c>
      <c r="E734" s="121"/>
      <c r="F734" s="121"/>
      <c r="G734" s="121"/>
      <c r="H734" s="121"/>
      <c r="I734" s="142"/>
      <c r="J734" s="121"/>
      <c r="K734" s="121"/>
      <c r="L734" s="144"/>
      <c r="M734" s="144"/>
      <c r="N734" s="144"/>
      <c r="O734" s="144"/>
      <c r="P734" s="144"/>
    </row>
    <row r="735" spans="1:16" s="135" customFormat="1" ht="15.75" x14ac:dyDescent="0.25">
      <c r="A735" s="109"/>
      <c r="B735" s="109"/>
      <c r="C735" s="118" t="str">
        <f t="shared" si="22"/>
        <v/>
      </c>
      <c r="D735" s="118" t="str">
        <f t="shared" si="23"/>
        <v/>
      </c>
      <c r="E735" s="121"/>
      <c r="F735" s="121"/>
      <c r="G735" s="121"/>
      <c r="H735" s="121"/>
      <c r="I735" s="142"/>
      <c r="J735" s="121"/>
      <c r="K735" s="121"/>
      <c r="L735" s="144"/>
      <c r="M735" s="144"/>
      <c r="N735" s="144"/>
      <c r="O735" s="144"/>
      <c r="P735" s="144"/>
    </row>
    <row r="736" spans="1:16" s="135" customFormat="1" ht="15.75" x14ac:dyDescent="0.25">
      <c r="A736" s="109"/>
      <c r="B736" s="109"/>
      <c r="C736" s="118" t="str">
        <f t="shared" si="22"/>
        <v/>
      </c>
      <c r="D736" s="118" t="str">
        <f t="shared" si="23"/>
        <v/>
      </c>
      <c r="E736" s="121"/>
      <c r="F736" s="121"/>
      <c r="G736" s="121"/>
      <c r="H736" s="121"/>
      <c r="I736" s="142"/>
      <c r="J736" s="121"/>
      <c r="K736" s="121"/>
      <c r="L736" s="144"/>
      <c r="M736" s="144"/>
      <c r="N736" s="144"/>
      <c r="O736" s="144"/>
      <c r="P736" s="144"/>
    </row>
    <row r="737" spans="1:16" s="135" customFormat="1" ht="15.75" x14ac:dyDescent="0.25">
      <c r="A737" s="109"/>
      <c r="B737" s="109"/>
      <c r="C737" s="118" t="str">
        <f t="shared" si="22"/>
        <v/>
      </c>
      <c r="D737" s="118" t="str">
        <f t="shared" si="23"/>
        <v/>
      </c>
      <c r="E737" s="121"/>
      <c r="F737" s="121"/>
      <c r="G737" s="121"/>
      <c r="H737" s="121"/>
      <c r="I737" s="142"/>
      <c r="J737" s="121"/>
      <c r="K737" s="121"/>
      <c r="L737" s="144"/>
      <c r="M737" s="144"/>
      <c r="N737" s="144"/>
      <c r="O737" s="144"/>
      <c r="P737" s="144"/>
    </row>
    <row r="738" spans="1:16" s="135" customFormat="1" ht="15.75" x14ac:dyDescent="0.25">
      <c r="A738" s="109"/>
      <c r="B738" s="109"/>
      <c r="C738" s="118" t="str">
        <f t="shared" si="22"/>
        <v/>
      </c>
      <c r="D738" s="118" t="str">
        <f t="shared" si="23"/>
        <v/>
      </c>
      <c r="E738" s="121"/>
      <c r="F738" s="121"/>
      <c r="G738" s="121"/>
      <c r="H738" s="121"/>
      <c r="I738" s="142"/>
      <c r="J738" s="121"/>
      <c r="K738" s="121"/>
      <c r="L738" s="144"/>
      <c r="M738" s="144"/>
      <c r="N738" s="144"/>
      <c r="O738" s="144"/>
      <c r="P738" s="144"/>
    </row>
    <row r="739" spans="1:16" s="135" customFormat="1" ht="15.75" x14ac:dyDescent="0.25">
      <c r="A739" s="109"/>
      <c r="B739" s="109"/>
      <c r="C739" s="118" t="str">
        <f t="shared" si="22"/>
        <v/>
      </c>
      <c r="D739" s="118" t="str">
        <f t="shared" si="23"/>
        <v/>
      </c>
      <c r="E739" s="121"/>
      <c r="F739" s="121"/>
      <c r="G739" s="121"/>
      <c r="H739" s="121"/>
      <c r="I739" s="142"/>
      <c r="J739" s="121"/>
      <c r="K739" s="121"/>
      <c r="L739" s="144"/>
      <c r="M739" s="144"/>
      <c r="N739" s="144"/>
      <c r="O739" s="144"/>
      <c r="P739" s="144"/>
    </row>
    <row r="740" spans="1:16" s="135" customFormat="1" ht="15.75" x14ac:dyDescent="0.25">
      <c r="A740" s="109"/>
      <c r="B740" s="109"/>
      <c r="C740" s="118" t="str">
        <f t="shared" si="22"/>
        <v/>
      </c>
      <c r="D740" s="118" t="str">
        <f t="shared" si="23"/>
        <v/>
      </c>
      <c r="E740" s="121"/>
      <c r="F740" s="121"/>
      <c r="G740" s="121"/>
      <c r="H740" s="121"/>
      <c r="I740" s="142"/>
      <c r="J740" s="121"/>
      <c r="K740" s="121"/>
      <c r="L740" s="144"/>
      <c r="M740" s="144"/>
      <c r="N740" s="144"/>
      <c r="O740" s="144"/>
      <c r="P740" s="144"/>
    </row>
    <row r="741" spans="1:16" s="135" customFormat="1" ht="15.75" x14ac:dyDescent="0.25">
      <c r="A741" s="109"/>
      <c r="B741" s="109"/>
      <c r="C741" s="118" t="str">
        <f t="shared" si="22"/>
        <v/>
      </c>
      <c r="D741" s="118" t="str">
        <f t="shared" si="23"/>
        <v/>
      </c>
      <c r="E741" s="121"/>
      <c r="F741" s="121"/>
      <c r="G741" s="121"/>
      <c r="H741" s="121"/>
      <c r="I741" s="142"/>
      <c r="J741" s="121"/>
      <c r="K741" s="121"/>
      <c r="L741" s="144"/>
      <c r="M741" s="144"/>
      <c r="N741" s="144"/>
      <c r="O741" s="144"/>
      <c r="P741" s="144"/>
    </row>
    <row r="742" spans="1:16" s="135" customFormat="1" ht="15.75" x14ac:dyDescent="0.25">
      <c r="A742" s="109"/>
      <c r="B742" s="109"/>
      <c r="C742" s="118" t="str">
        <f t="shared" si="22"/>
        <v/>
      </c>
      <c r="D742" s="118" t="str">
        <f t="shared" si="23"/>
        <v/>
      </c>
      <c r="E742" s="121"/>
      <c r="F742" s="121"/>
      <c r="G742" s="121"/>
      <c r="H742" s="121"/>
      <c r="I742" s="142"/>
      <c r="J742" s="121"/>
      <c r="K742" s="121"/>
      <c r="L742" s="144"/>
      <c r="M742" s="144"/>
      <c r="N742" s="144"/>
      <c r="O742" s="144"/>
      <c r="P742" s="144"/>
    </row>
    <row r="743" spans="1:16" s="135" customFormat="1" ht="15.75" x14ac:dyDescent="0.25">
      <c r="A743" s="109"/>
      <c r="B743" s="109"/>
      <c r="C743" s="118" t="str">
        <f t="shared" si="22"/>
        <v/>
      </c>
      <c r="D743" s="118" t="str">
        <f t="shared" si="23"/>
        <v/>
      </c>
      <c r="E743" s="121"/>
      <c r="F743" s="121"/>
      <c r="G743" s="121"/>
      <c r="H743" s="121"/>
      <c r="I743" s="142"/>
      <c r="J743" s="121"/>
      <c r="K743" s="121"/>
      <c r="L743" s="144"/>
      <c r="M743" s="144"/>
      <c r="N743" s="144"/>
      <c r="O743" s="144"/>
      <c r="P743" s="144"/>
    </row>
    <row r="744" spans="1:16" s="135" customFormat="1" ht="15.75" x14ac:dyDescent="0.25">
      <c r="A744" s="109"/>
      <c r="B744" s="109"/>
      <c r="C744" s="118" t="str">
        <f t="shared" si="22"/>
        <v/>
      </c>
      <c r="D744" s="118" t="str">
        <f t="shared" si="23"/>
        <v/>
      </c>
      <c r="E744" s="121"/>
      <c r="F744" s="121"/>
      <c r="G744" s="121"/>
      <c r="H744" s="121"/>
      <c r="I744" s="142"/>
      <c r="J744" s="121"/>
      <c r="K744" s="121"/>
      <c r="L744" s="144"/>
      <c r="M744" s="144"/>
      <c r="N744" s="144"/>
      <c r="O744" s="144"/>
      <c r="P744" s="144"/>
    </row>
    <row r="745" spans="1:16" s="135" customFormat="1" ht="15.75" x14ac:dyDescent="0.25">
      <c r="A745" s="109"/>
      <c r="B745" s="109"/>
      <c r="C745" s="118" t="str">
        <f t="shared" si="22"/>
        <v/>
      </c>
      <c r="D745" s="118" t="str">
        <f t="shared" si="23"/>
        <v/>
      </c>
      <c r="E745" s="121"/>
      <c r="F745" s="121"/>
      <c r="G745" s="121"/>
      <c r="H745" s="121"/>
      <c r="I745" s="142"/>
      <c r="J745" s="121"/>
      <c r="K745" s="121"/>
      <c r="L745" s="144"/>
      <c r="M745" s="144"/>
      <c r="N745" s="144"/>
      <c r="O745" s="144"/>
      <c r="P745" s="144"/>
    </row>
    <row r="746" spans="1:16" s="135" customFormat="1" ht="15.75" x14ac:dyDescent="0.25">
      <c r="A746" s="109"/>
      <c r="B746" s="109"/>
      <c r="C746" s="118" t="str">
        <f t="shared" si="22"/>
        <v/>
      </c>
      <c r="D746" s="118" t="str">
        <f t="shared" si="23"/>
        <v/>
      </c>
      <c r="E746" s="121"/>
      <c r="F746" s="121"/>
      <c r="G746" s="121"/>
      <c r="H746" s="121"/>
      <c r="I746" s="142"/>
      <c r="J746" s="121"/>
      <c r="K746" s="121"/>
      <c r="L746" s="144"/>
      <c r="M746" s="144"/>
      <c r="N746" s="144"/>
      <c r="O746" s="144"/>
      <c r="P746" s="144"/>
    </row>
    <row r="747" spans="1:16" s="135" customFormat="1" ht="15.75" x14ac:dyDescent="0.25">
      <c r="A747" s="109"/>
      <c r="B747" s="109"/>
      <c r="C747" s="118" t="str">
        <f t="shared" si="22"/>
        <v/>
      </c>
      <c r="D747" s="118" t="str">
        <f t="shared" si="23"/>
        <v/>
      </c>
      <c r="E747" s="121"/>
      <c r="F747" s="121"/>
      <c r="G747" s="121"/>
      <c r="H747" s="121"/>
      <c r="I747" s="142"/>
      <c r="J747" s="121"/>
      <c r="K747" s="121"/>
      <c r="L747" s="144"/>
      <c r="M747" s="144"/>
      <c r="N747" s="144"/>
      <c r="O747" s="144"/>
      <c r="P747" s="144"/>
    </row>
    <row r="748" spans="1:16" s="135" customFormat="1" ht="15.75" x14ac:dyDescent="0.25">
      <c r="A748" s="109"/>
      <c r="B748" s="109"/>
      <c r="C748" s="118" t="str">
        <f t="shared" si="22"/>
        <v/>
      </c>
      <c r="D748" s="118" t="str">
        <f t="shared" si="23"/>
        <v/>
      </c>
      <c r="E748" s="121"/>
      <c r="F748" s="121"/>
      <c r="G748" s="121"/>
      <c r="H748" s="121"/>
      <c r="I748" s="142"/>
      <c r="J748" s="121"/>
      <c r="K748" s="121"/>
      <c r="L748" s="144"/>
      <c r="M748" s="144"/>
      <c r="N748" s="144"/>
      <c r="O748" s="144"/>
      <c r="P748" s="144"/>
    </row>
    <row r="749" spans="1:16" s="135" customFormat="1" ht="15.75" x14ac:dyDescent="0.25">
      <c r="A749" s="109"/>
      <c r="B749" s="109"/>
      <c r="C749" s="118" t="str">
        <f t="shared" si="22"/>
        <v/>
      </c>
      <c r="D749" s="118" t="str">
        <f t="shared" si="23"/>
        <v/>
      </c>
      <c r="E749" s="121"/>
      <c r="F749" s="121"/>
      <c r="G749" s="121"/>
      <c r="H749" s="121"/>
      <c r="I749" s="142"/>
      <c r="J749" s="121"/>
      <c r="K749" s="121"/>
      <c r="L749" s="144"/>
      <c r="M749" s="144"/>
      <c r="N749" s="144"/>
      <c r="O749" s="144"/>
      <c r="P749" s="144"/>
    </row>
    <row r="750" spans="1:16" s="135" customFormat="1" ht="15.75" x14ac:dyDescent="0.25">
      <c r="A750" s="109"/>
      <c r="B750" s="109"/>
      <c r="C750" s="118" t="str">
        <f t="shared" si="22"/>
        <v/>
      </c>
      <c r="D750" s="118" t="str">
        <f t="shared" si="23"/>
        <v/>
      </c>
      <c r="E750" s="121"/>
      <c r="F750" s="121"/>
      <c r="G750" s="121"/>
      <c r="H750" s="121"/>
      <c r="I750" s="142"/>
      <c r="J750" s="121"/>
      <c r="K750" s="121"/>
      <c r="L750" s="144"/>
      <c r="M750" s="144"/>
      <c r="N750" s="144"/>
      <c r="O750" s="144"/>
      <c r="P750" s="144"/>
    </row>
    <row r="751" spans="1:16" s="135" customFormat="1" ht="15.75" x14ac:dyDescent="0.25">
      <c r="A751" s="109"/>
      <c r="B751" s="109"/>
      <c r="C751" s="118" t="str">
        <f t="shared" si="22"/>
        <v/>
      </c>
      <c r="D751" s="118" t="str">
        <f t="shared" si="23"/>
        <v/>
      </c>
      <c r="E751" s="121"/>
      <c r="F751" s="121"/>
      <c r="G751" s="121"/>
      <c r="H751" s="121"/>
      <c r="I751" s="142"/>
      <c r="J751" s="121"/>
      <c r="K751" s="121"/>
      <c r="L751" s="144"/>
      <c r="M751" s="144"/>
      <c r="N751" s="144"/>
      <c r="O751" s="144"/>
      <c r="P751" s="144"/>
    </row>
    <row r="752" spans="1:16" s="135" customFormat="1" ht="15.75" x14ac:dyDescent="0.25">
      <c r="A752" s="109"/>
      <c r="B752" s="109"/>
      <c r="C752" s="118" t="str">
        <f t="shared" si="22"/>
        <v/>
      </c>
      <c r="D752" s="118" t="str">
        <f t="shared" si="23"/>
        <v/>
      </c>
      <c r="E752" s="121"/>
      <c r="F752" s="121"/>
      <c r="G752" s="121"/>
      <c r="H752" s="121"/>
      <c r="I752" s="142"/>
      <c r="J752" s="121"/>
      <c r="K752" s="121"/>
      <c r="L752" s="144"/>
      <c r="M752" s="144"/>
      <c r="N752" s="144"/>
      <c r="O752" s="144"/>
      <c r="P752" s="144"/>
    </row>
    <row r="753" spans="1:16" s="135" customFormat="1" ht="15.75" x14ac:dyDescent="0.25">
      <c r="A753" s="109"/>
      <c r="B753" s="109"/>
      <c r="C753" s="118" t="str">
        <f t="shared" si="22"/>
        <v/>
      </c>
      <c r="D753" s="118" t="str">
        <f t="shared" si="23"/>
        <v/>
      </c>
      <c r="E753" s="121"/>
      <c r="F753" s="121"/>
      <c r="G753" s="121"/>
      <c r="H753" s="121"/>
      <c r="I753" s="142"/>
      <c r="J753" s="121"/>
      <c r="K753" s="121"/>
      <c r="L753" s="144"/>
      <c r="M753" s="144"/>
      <c r="N753" s="144"/>
      <c r="O753" s="144"/>
      <c r="P753" s="144"/>
    </row>
    <row r="754" spans="1:16" s="135" customFormat="1" ht="15.75" x14ac:dyDescent="0.25">
      <c r="A754" s="109"/>
      <c r="B754" s="109"/>
      <c r="C754" s="118" t="str">
        <f t="shared" si="22"/>
        <v/>
      </c>
      <c r="D754" s="118" t="str">
        <f t="shared" si="23"/>
        <v/>
      </c>
      <c r="E754" s="121"/>
      <c r="F754" s="121"/>
      <c r="G754" s="121"/>
      <c r="H754" s="121"/>
      <c r="I754" s="142"/>
      <c r="J754" s="121"/>
      <c r="K754" s="121"/>
      <c r="L754" s="144"/>
      <c r="M754" s="144"/>
      <c r="N754" s="144"/>
      <c r="O754" s="144"/>
      <c r="P754" s="144"/>
    </row>
    <row r="755" spans="1:16" s="135" customFormat="1" ht="15.75" x14ac:dyDescent="0.25">
      <c r="A755" s="109"/>
      <c r="B755" s="109"/>
      <c r="C755" s="118" t="str">
        <f t="shared" si="22"/>
        <v/>
      </c>
      <c r="D755" s="118" t="str">
        <f t="shared" si="23"/>
        <v/>
      </c>
      <c r="E755" s="121"/>
      <c r="F755" s="121"/>
      <c r="G755" s="121"/>
      <c r="H755" s="121"/>
      <c r="I755" s="142"/>
      <c r="J755" s="121"/>
      <c r="K755" s="121"/>
      <c r="L755" s="144"/>
      <c r="M755" s="144"/>
      <c r="N755" s="144"/>
      <c r="O755" s="144"/>
      <c r="P755" s="144"/>
    </row>
    <row r="756" spans="1:16" s="135" customFormat="1" ht="15.75" x14ac:dyDescent="0.25">
      <c r="A756" s="109"/>
      <c r="B756" s="109"/>
      <c r="C756" s="118" t="str">
        <f t="shared" si="22"/>
        <v/>
      </c>
      <c r="D756" s="118" t="str">
        <f t="shared" si="23"/>
        <v/>
      </c>
      <c r="E756" s="121"/>
      <c r="F756" s="121"/>
      <c r="G756" s="121"/>
      <c r="H756" s="121"/>
      <c r="I756" s="142"/>
      <c r="J756" s="121"/>
      <c r="K756" s="121"/>
      <c r="L756" s="144"/>
      <c r="M756" s="144"/>
      <c r="N756" s="144"/>
      <c r="O756" s="144"/>
      <c r="P756" s="144"/>
    </row>
    <row r="757" spans="1:16" s="135" customFormat="1" ht="15.75" x14ac:dyDescent="0.25">
      <c r="A757" s="109"/>
      <c r="B757" s="109"/>
      <c r="C757" s="118" t="str">
        <f t="shared" si="22"/>
        <v/>
      </c>
      <c r="D757" s="118" t="str">
        <f t="shared" si="23"/>
        <v/>
      </c>
      <c r="E757" s="121"/>
      <c r="F757" s="121"/>
      <c r="G757" s="121"/>
      <c r="H757" s="121"/>
      <c r="I757" s="142"/>
      <c r="J757" s="121"/>
      <c r="K757" s="121"/>
      <c r="L757" s="144"/>
      <c r="M757" s="144"/>
      <c r="N757" s="144"/>
      <c r="O757" s="144"/>
      <c r="P757" s="144"/>
    </row>
    <row r="758" spans="1:16" s="135" customFormat="1" ht="15.75" x14ac:dyDescent="0.25">
      <c r="A758" s="109"/>
      <c r="B758" s="109"/>
      <c r="C758" s="118" t="str">
        <f t="shared" si="22"/>
        <v/>
      </c>
      <c r="D758" s="118" t="str">
        <f t="shared" si="23"/>
        <v/>
      </c>
      <c r="E758" s="121"/>
      <c r="F758" s="121"/>
      <c r="G758" s="121"/>
      <c r="H758" s="121"/>
      <c r="I758" s="142"/>
      <c r="J758" s="121"/>
      <c r="K758" s="121"/>
      <c r="L758" s="144"/>
      <c r="M758" s="144"/>
      <c r="N758" s="144"/>
      <c r="O758" s="144"/>
      <c r="P758" s="144"/>
    </row>
    <row r="759" spans="1:16" s="135" customFormat="1" ht="15.75" x14ac:dyDescent="0.25">
      <c r="A759" s="109"/>
      <c r="B759" s="109"/>
      <c r="C759" s="118" t="str">
        <f t="shared" si="22"/>
        <v/>
      </c>
      <c r="D759" s="118" t="str">
        <f t="shared" si="23"/>
        <v/>
      </c>
      <c r="E759" s="121"/>
      <c r="F759" s="121"/>
      <c r="G759" s="121"/>
      <c r="H759" s="121"/>
      <c r="I759" s="142"/>
      <c r="J759" s="121"/>
      <c r="K759" s="121"/>
      <c r="L759" s="144"/>
      <c r="M759" s="144"/>
      <c r="N759" s="144"/>
      <c r="O759" s="144"/>
      <c r="P759" s="144"/>
    </row>
    <row r="760" spans="1:16" s="135" customFormat="1" ht="15.75" x14ac:dyDescent="0.25">
      <c r="A760" s="109"/>
      <c r="B760" s="109"/>
      <c r="C760" s="118" t="str">
        <f t="shared" si="22"/>
        <v/>
      </c>
      <c r="D760" s="118" t="str">
        <f t="shared" si="23"/>
        <v/>
      </c>
      <c r="E760" s="121"/>
      <c r="F760" s="121"/>
      <c r="G760" s="121"/>
      <c r="H760" s="121"/>
      <c r="I760" s="142"/>
      <c r="J760" s="121"/>
      <c r="K760" s="121"/>
      <c r="L760" s="144"/>
      <c r="M760" s="144"/>
      <c r="N760" s="144"/>
      <c r="O760" s="144"/>
      <c r="P760" s="144"/>
    </row>
    <row r="761" spans="1:16" s="135" customFormat="1" ht="15.75" x14ac:dyDescent="0.25">
      <c r="A761" s="109"/>
      <c r="B761" s="109"/>
      <c r="C761" s="118" t="str">
        <f t="shared" si="22"/>
        <v/>
      </c>
      <c r="D761" s="118" t="str">
        <f t="shared" si="23"/>
        <v/>
      </c>
      <c r="E761" s="121"/>
      <c r="F761" s="121"/>
      <c r="G761" s="121"/>
      <c r="H761" s="121"/>
      <c r="I761" s="142"/>
      <c r="J761" s="121"/>
      <c r="K761" s="121"/>
      <c r="L761" s="144"/>
      <c r="M761" s="144"/>
      <c r="N761" s="144"/>
      <c r="O761" s="144"/>
      <c r="P761" s="144"/>
    </row>
    <row r="762" spans="1:16" s="135" customFormat="1" ht="15.75" x14ac:dyDescent="0.25">
      <c r="A762" s="109"/>
      <c r="B762" s="109"/>
      <c r="C762" s="118" t="str">
        <f t="shared" si="22"/>
        <v/>
      </c>
      <c r="D762" s="118" t="str">
        <f t="shared" si="23"/>
        <v/>
      </c>
      <c r="E762" s="121"/>
      <c r="F762" s="121"/>
      <c r="G762" s="121"/>
      <c r="H762" s="121"/>
      <c r="I762" s="142"/>
      <c r="J762" s="121"/>
      <c r="K762" s="121"/>
      <c r="L762" s="144"/>
      <c r="M762" s="144"/>
      <c r="N762" s="144"/>
      <c r="O762" s="144"/>
      <c r="P762" s="144"/>
    </row>
    <row r="763" spans="1:16" s="135" customFormat="1" ht="15.75" x14ac:dyDescent="0.25">
      <c r="A763" s="109"/>
      <c r="B763" s="109"/>
      <c r="C763" s="118" t="str">
        <f t="shared" si="22"/>
        <v/>
      </c>
      <c r="D763" s="118" t="str">
        <f t="shared" si="23"/>
        <v/>
      </c>
      <c r="E763" s="121"/>
      <c r="F763" s="121"/>
      <c r="G763" s="121"/>
      <c r="H763" s="121"/>
      <c r="I763" s="142"/>
      <c r="J763" s="121"/>
      <c r="K763" s="121"/>
      <c r="L763" s="144"/>
      <c r="M763" s="144"/>
      <c r="N763" s="144"/>
      <c r="O763" s="144"/>
      <c r="P763" s="144"/>
    </row>
    <row r="764" spans="1:16" s="135" customFormat="1" ht="15.75" x14ac:dyDescent="0.25">
      <c r="A764" s="109"/>
      <c r="B764" s="109"/>
      <c r="C764" s="118" t="str">
        <f t="shared" si="22"/>
        <v/>
      </c>
      <c r="D764" s="118" t="str">
        <f t="shared" si="23"/>
        <v/>
      </c>
      <c r="E764" s="121"/>
      <c r="F764" s="121"/>
      <c r="G764" s="121"/>
      <c r="H764" s="121"/>
      <c r="I764" s="142"/>
      <c r="J764" s="121"/>
      <c r="K764" s="121"/>
      <c r="L764" s="144"/>
      <c r="M764" s="144"/>
      <c r="N764" s="144"/>
      <c r="O764" s="144"/>
      <c r="P764" s="144"/>
    </row>
    <row r="765" spans="1:16" s="135" customFormat="1" ht="15.75" x14ac:dyDescent="0.25">
      <c r="A765" s="109"/>
      <c r="B765" s="109"/>
      <c r="C765" s="118" t="str">
        <f t="shared" si="22"/>
        <v/>
      </c>
      <c r="D765" s="118" t="str">
        <f t="shared" si="23"/>
        <v/>
      </c>
      <c r="E765" s="121"/>
      <c r="F765" s="121"/>
      <c r="G765" s="121"/>
      <c r="H765" s="121"/>
      <c r="I765" s="142"/>
      <c r="J765" s="121"/>
      <c r="K765" s="121"/>
      <c r="L765" s="144"/>
      <c r="M765" s="144"/>
      <c r="N765" s="144"/>
      <c r="O765" s="144"/>
      <c r="P765" s="144"/>
    </row>
    <row r="766" spans="1:16" s="135" customFormat="1" ht="15.75" x14ac:dyDescent="0.25">
      <c r="A766" s="109"/>
      <c r="B766" s="109"/>
      <c r="C766" s="118" t="str">
        <f t="shared" si="22"/>
        <v/>
      </c>
      <c r="D766" s="118" t="str">
        <f t="shared" si="23"/>
        <v/>
      </c>
      <c r="E766" s="121"/>
      <c r="F766" s="121"/>
      <c r="G766" s="121"/>
      <c r="H766" s="121"/>
      <c r="I766" s="142"/>
      <c r="J766" s="121"/>
      <c r="K766" s="121"/>
      <c r="L766" s="144"/>
      <c r="M766" s="144"/>
      <c r="N766" s="144"/>
      <c r="O766" s="144"/>
      <c r="P766" s="144"/>
    </row>
    <row r="767" spans="1:16" s="135" customFormat="1" ht="15.75" x14ac:dyDescent="0.25">
      <c r="A767" s="109"/>
      <c r="B767" s="109"/>
      <c r="C767" s="118" t="str">
        <f t="shared" si="22"/>
        <v/>
      </c>
      <c r="D767" s="118" t="str">
        <f t="shared" si="23"/>
        <v/>
      </c>
      <c r="E767" s="121"/>
      <c r="F767" s="121"/>
      <c r="G767" s="121"/>
      <c r="H767" s="121"/>
      <c r="I767" s="142"/>
      <c r="J767" s="121"/>
      <c r="K767" s="121"/>
      <c r="L767" s="144"/>
      <c r="M767" s="144"/>
      <c r="N767" s="144"/>
      <c r="O767" s="144"/>
      <c r="P767" s="144"/>
    </row>
    <row r="768" spans="1:16" s="135" customFormat="1" ht="15.75" x14ac:dyDescent="0.25">
      <c r="A768" s="109"/>
      <c r="B768" s="109"/>
      <c r="C768" s="118" t="str">
        <f t="shared" si="22"/>
        <v/>
      </c>
      <c r="D768" s="118" t="str">
        <f t="shared" si="23"/>
        <v/>
      </c>
      <c r="E768" s="121"/>
      <c r="F768" s="121"/>
      <c r="G768" s="121"/>
      <c r="H768" s="121"/>
      <c r="I768" s="142"/>
      <c r="J768" s="121"/>
      <c r="K768" s="121"/>
      <c r="L768" s="144"/>
      <c r="M768" s="144"/>
      <c r="N768" s="144"/>
      <c r="O768" s="144"/>
      <c r="P768" s="144"/>
    </row>
    <row r="769" spans="1:16" s="135" customFormat="1" ht="15.75" x14ac:dyDescent="0.25">
      <c r="A769" s="109"/>
      <c r="B769" s="109"/>
      <c r="C769" s="118" t="str">
        <f t="shared" si="22"/>
        <v/>
      </c>
      <c r="D769" s="118" t="str">
        <f t="shared" si="23"/>
        <v/>
      </c>
      <c r="E769" s="121"/>
      <c r="F769" s="121"/>
      <c r="G769" s="121"/>
      <c r="H769" s="121"/>
      <c r="I769" s="142"/>
      <c r="J769" s="121"/>
      <c r="K769" s="121"/>
      <c r="L769" s="144"/>
      <c r="M769" s="144"/>
      <c r="N769" s="144"/>
      <c r="O769" s="144"/>
      <c r="P769" s="144"/>
    </row>
    <row r="770" spans="1:16" s="135" customFormat="1" ht="15.75" x14ac:dyDescent="0.25">
      <c r="A770" s="109"/>
      <c r="B770" s="109"/>
      <c r="C770" s="118" t="str">
        <f t="shared" si="22"/>
        <v/>
      </c>
      <c r="D770" s="118" t="str">
        <f t="shared" si="23"/>
        <v/>
      </c>
      <c r="E770" s="121"/>
      <c r="F770" s="121"/>
      <c r="G770" s="121"/>
      <c r="H770" s="121"/>
      <c r="I770" s="142"/>
      <c r="J770" s="121"/>
      <c r="K770" s="121"/>
      <c r="L770" s="144"/>
      <c r="M770" s="144"/>
      <c r="N770" s="144"/>
      <c r="O770" s="144"/>
      <c r="P770" s="144"/>
    </row>
    <row r="771" spans="1:16" s="135" customFormat="1" ht="15.75" x14ac:dyDescent="0.25">
      <c r="A771" s="109"/>
      <c r="B771" s="109"/>
      <c r="C771" s="118" t="str">
        <f t="shared" si="22"/>
        <v/>
      </c>
      <c r="D771" s="118" t="str">
        <f t="shared" si="23"/>
        <v/>
      </c>
      <c r="E771" s="121"/>
      <c r="F771" s="121"/>
      <c r="G771" s="121"/>
      <c r="H771" s="121"/>
      <c r="I771" s="142"/>
      <c r="J771" s="121"/>
      <c r="K771" s="121"/>
      <c r="L771" s="144"/>
      <c r="M771" s="144"/>
      <c r="N771" s="144"/>
      <c r="O771" s="144"/>
      <c r="P771" s="144"/>
    </row>
    <row r="772" spans="1:16" s="135" customFormat="1" ht="15.75" x14ac:dyDescent="0.25">
      <c r="A772" s="109"/>
      <c r="B772" s="109"/>
      <c r="C772" s="118" t="str">
        <f t="shared" si="22"/>
        <v/>
      </c>
      <c r="D772" s="118" t="str">
        <f t="shared" si="23"/>
        <v/>
      </c>
      <c r="E772" s="121"/>
      <c r="F772" s="121"/>
      <c r="G772" s="121"/>
      <c r="H772" s="121"/>
      <c r="I772" s="142"/>
      <c r="J772" s="121"/>
      <c r="K772" s="121"/>
      <c r="L772" s="144"/>
      <c r="M772" s="144"/>
      <c r="N772" s="144"/>
      <c r="O772" s="144"/>
      <c r="P772" s="144"/>
    </row>
    <row r="773" spans="1:16" s="135" customFormat="1" ht="15.75" x14ac:dyDescent="0.25">
      <c r="A773" s="109"/>
      <c r="B773" s="109"/>
      <c r="C773" s="118" t="str">
        <f t="shared" si="22"/>
        <v/>
      </c>
      <c r="D773" s="118" t="str">
        <f t="shared" si="23"/>
        <v/>
      </c>
      <c r="E773" s="121"/>
      <c r="F773" s="121"/>
      <c r="G773" s="121"/>
      <c r="H773" s="121"/>
      <c r="I773" s="142"/>
      <c r="J773" s="121"/>
      <c r="K773" s="121"/>
      <c r="L773" s="144"/>
      <c r="M773" s="144"/>
      <c r="N773" s="144"/>
      <c r="O773" s="144"/>
      <c r="P773" s="144"/>
    </row>
    <row r="774" spans="1:16" s="135" customFormat="1" ht="15.75" x14ac:dyDescent="0.25">
      <c r="A774" s="109"/>
      <c r="B774" s="109"/>
      <c r="C774" s="118" t="str">
        <f t="shared" si="22"/>
        <v/>
      </c>
      <c r="D774" s="118" t="str">
        <f t="shared" si="23"/>
        <v/>
      </c>
      <c r="E774" s="121"/>
      <c r="F774" s="121"/>
      <c r="G774" s="121"/>
      <c r="H774" s="121"/>
      <c r="I774" s="142"/>
      <c r="J774" s="121"/>
      <c r="K774" s="121"/>
      <c r="L774" s="144"/>
      <c r="M774" s="144"/>
      <c r="N774" s="144"/>
      <c r="O774" s="144"/>
      <c r="P774" s="144"/>
    </row>
    <row r="775" spans="1:16" s="135" customFormat="1" ht="15.75" x14ac:dyDescent="0.25">
      <c r="A775" s="109"/>
      <c r="B775" s="109"/>
      <c r="C775" s="118" t="str">
        <f t="shared" si="22"/>
        <v/>
      </c>
      <c r="D775" s="118" t="str">
        <f t="shared" si="23"/>
        <v/>
      </c>
      <c r="E775" s="121"/>
      <c r="F775" s="121"/>
      <c r="G775" s="121"/>
      <c r="H775" s="121"/>
      <c r="I775" s="142"/>
      <c r="J775" s="121"/>
      <c r="K775" s="121"/>
      <c r="L775" s="144"/>
      <c r="M775" s="144"/>
      <c r="N775" s="144"/>
      <c r="O775" s="144"/>
      <c r="P775" s="144"/>
    </row>
    <row r="776" spans="1:16" s="135" customFormat="1" ht="15.75" x14ac:dyDescent="0.25">
      <c r="A776" s="109"/>
      <c r="B776" s="109"/>
      <c r="C776" s="118" t="str">
        <f t="shared" si="22"/>
        <v/>
      </c>
      <c r="D776" s="118" t="str">
        <f t="shared" si="23"/>
        <v/>
      </c>
      <c r="E776" s="121"/>
      <c r="F776" s="121"/>
      <c r="G776" s="121"/>
      <c r="H776" s="121"/>
      <c r="I776" s="142"/>
      <c r="J776" s="121"/>
      <c r="K776" s="121"/>
      <c r="L776" s="144"/>
      <c r="M776" s="144"/>
      <c r="N776" s="144"/>
      <c r="O776" s="144"/>
      <c r="P776" s="144"/>
    </row>
    <row r="777" spans="1:16" s="135" customFormat="1" ht="15.75" x14ac:dyDescent="0.25">
      <c r="A777" s="109"/>
      <c r="B777" s="109"/>
      <c r="C777" s="118" t="str">
        <f t="shared" si="22"/>
        <v/>
      </c>
      <c r="D777" s="118" t="str">
        <f t="shared" si="23"/>
        <v/>
      </c>
      <c r="E777" s="121"/>
      <c r="F777" s="121"/>
      <c r="G777" s="121"/>
      <c r="H777" s="121"/>
      <c r="I777" s="142"/>
      <c r="J777" s="121"/>
      <c r="K777" s="121"/>
      <c r="L777" s="144"/>
      <c r="M777" s="144"/>
      <c r="N777" s="144"/>
      <c r="O777" s="144"/>
      <c r="P777" s="144"/>
    </row>
    <row r="778" spans="1:16" s="135" customFormat="1" ht="15.75" x14ac:dyDescent="0.25">
      <c r="A778" s="109"/>
      <c r="B778" s="109"/>
      <c r="C778" s="118" t="str">
        <f t="shared" si="22"/>
        <v/>
      </c>
      <c r="D778" s="118" t="str">
        <f t="shared" si="23"/>
        <v/>
      </c>
      <c r="E778" s="121"/>
      <c r="F778" s="121"/>
      <c r="G778" s="121"/>
      <c r="H778" s="121"/>
      <c r="I778" s="142"/>
      <c r="J778" s="121"/>
      <c r="K778" s="121"/>
      <c r="L778" s="144"/>
      <c r="M778" s="144"/>
      <c r="N778" s="144"/>
      <c r="O778" s="144"/>
      <c r="P778" s="144"/>
    </row>
    <row r="779" spans="1:16" s="135" customFormat="1" ht="15.75" x14ac:dyDescent="0.25">
      <c r="A779" s="109"/>
      <c r="B779" s="109"/>
      <c r="C779" s="118" t="str">
        <f t="shared" si="22"/>
        <v/>
      </c>
      <c r="D779" s="118" t="str">
        <f t="shared" si="23"/>
        <v/>
      </c>
      <c r="E779" s="121"/>
      <c r="F779" s="121"/>
      <c r="G779" s="121"/>
      <c r="H779" s="121"/>
      <c r="I779" s="142"/>
      <c r="J779" s="121"/>
      <c r="K779" s="121"/>
      <c r="L779" s="144"/>
      <c r="M779" s="144"/>
      <c r="N779" s="144"/>
      <c r="O779" s="144"/>
      <c r="P779" s="144"/>
    </row>
    <row r="780" spans="1:16" s="135" customFormat="1" ht="15.75" x14ac:dyDescent="0.25">
      <c r="A780" s="109"/>
      <c r="B780" s="109"/>
      <c r="C780" s="118" t="str">
        <f t="shared" si="22"/>
        <v/>
      </c>
      <c r="D780" s="118" t="str">
        <f t="shared" si="23"/>
        <v/>
      </c>
      <c r="E780" s="121"/>
      <c r="F780" s="121"/>
      <c r="G780" s="121"/>
      <c r="H780" s="121"/>
      <c r="I780" s="142"/>
      <c r="J780" s="121"/>
      <c r="K780" s="121"/>
      <c r="L780" s="144"/>
      <c r="M780" s="144"/>
      <c r="N780" s="144"/>
      <c r="O780" s="144"/>
      <c r="P780" s="144"/>
    </row>
    <row r="781" spans="1:16" s="135" customFormat="1" ht="15.75" x14ac:dyDescent="0.25">
      <c r="A781" s="109"/>
      <c r="B781" s="109"/>
      <c r="C781" s="118" t="str">
        <f t="shared" si="22"/>
        <v/>
      </c>
      <c r="D781" s="118" t="str">
        <f t="shared" si="23"/>
        <v/>
      </c>
      <c r="E781" s="121"/>
      <c r="F781" s="121"/>
      <c r="G781" s="121"/>
      <c r="H781" s="121"/>
      <c r="I781" s="142"/>
      <c r="J781" s="121"/>
      <c r="K781" s="121"/>
      <c r="L781" s="144"/>
      <c r="M781" s="144"/>
      <c r="N781" s="144"/>
      <c r="O781" s="144"/>
      <c r="P781" s="144"/>
    </row>
    <row r="782" spans="1:16" s="135" customFormat="1" ht="15.75" x14ac:dyDescent="0.25">
      <c r="A782" s="109"/>
      <c r="B782" s="109"/>
      <c r="C782" s="118" t="str">
        <f t="shared" si="22"/>
        <v/>
      </c>
      <c r="D782" s="118" t="str">
        <f t="shared" si="23"/>
        <v/>
      </c>
      <c r="E782" s="121"/>
      <c r="F782" s="121"/>
      <c r="G782" s="121"/>
      <c r="H782" s="121"/>
      <c r="I782" s="142"/>
      <c r="J782" s="121"/>
      <c r="K782" s="121"/>
      <c r="L782" s="144"/>
      <c r="M782" s="144"/>
      <c r="N782" s="144"/>
      <c r="O782" s="144"/>
      <c r="P782" s="144"/>
    </row>
    <row r="783" spans="1:16" s="135" customFormat="1" ht="15.75" x14ac:dyDescent="0.25">
      <c r="A783" s="109"/>
      <c r="B783" s="109"/>
      <c r="C783" s="118" t="str">
        <f t="shared" si="22"/>
        <v/>
      </c>
      <c r="D783" s="118" t="str">
        <f t="shared" si="23"/>
        <v/>
      </c>
      <c r="E783" s="121"/>
      <c r="F783" s="121"/>
      <c r="G783" s="121"/>
      <c r="H783" s="121"/>
      <c r="I783" s="142"/>
      <c r="J783" s="121"/>
      <c r="K783" s="121"/>
      <c r="L783" s="144"/>
      <c r="M783" s="144"/>
      <c r="N783" s="144"/>
      <c r="O783" s="144"/>
      <c r="P783" s="144"/>
    </row>
    <row r="784" spans="1:16" s="135" customFormat="1" ht="15.75" x14ac:dyDescent="0.25">
      <c r="A784" s="109"/>
      <c r="B784" s="109"/>
      <c r="C784" s="118" t="str">
        <f t="shared" si="22"/>
        <v/>
      </c>
      <c r="D784" s="118" t="str">
        <f t="shared" si="23"/>
        <v/>
      </c>
      <c r="E784" s="121"/>
      <c r="F784" s="121"/>
      <c r="G784" s="121"/>
      <c r="H784" s="121"/>
      <c r="I784" s="142"/>
      <c r="J784" s="121"/>
      <c r="K784" s="121"/>
      <c r="L784" s="144"/>
      <c r="M784" s="144"/>
      <c r="N784" s="144"/>
      <c r="O784" s="144"/>
      <c r="P784" s="144"/>
    </row>
    <row r="785" spans="1:16" s="135" customFormat="1" ht="15.75" x14ac:dyDescent="0.25">
      <c r="A785" s="109"/>
      <c r="B785" s="109"/>
      <c r="C785" s="118" t="str">
        <f t="shared" si="22"/>
        <v/>
      </c>
      <c r="D785" s="118" t="str">
        <f t="shared" si="23"/>
        <v/>
      </c>
      <c r="E785" s="121"/>
      <c r="F785" s="121"/>
      <c r="G785" s="121"/>
      <c r="H785" s="121"/>
      <c r="I785" s="142"/>
      <c r="J785" s="121"/>
      <c r="K785" s="121"/>
      <c r="L785" s="144"/>
      <c r="M785" s="144"/>
      <c r="N785" s="144"/>
      <c r="O785" s="144"/>
      <c r="P785" s="144"/>
    </row>
    <row r="786" spans="1:16" s="135" customFormat="1" ht="15.75" x14ac:dyDescent="0.25">
      <c r="A786" s="109"/>
      <c r="B786" s="109"/>
      <c r="C786" s="118" t="str">
        <f t="shared" si="22"/>
        <v/>
      </c>
      <c r="D786" s="118" t="str">
        <f t="shared" si="23"/>
        <v/>
      </c>
      <c r="E786" s="121"/>
      <c r="F786" s="121"/>
      <c r="G786" s="121"/>
      <c r="H786" s="121"/>
      <c r="I786" s="142"/>
      <c r="J786" s="121"/>
      <c r="K786" s="121"/>
      <c r="L786" s="144"/>
      <c r="M786" s="144"/>
      <c r="N786" s="144"/>
      <c r="O786" s="144"/>
      <c r="P786" s="144"/>
    </row>
    <row r="787" spans="1:16" s="135" customFormat="1" ht="15.75" x14ac:dyDescent="0.25">
      <c r="A787" s="109"/>
      <c r="B787" s="109"/>
      <c r="C787" s="118" t="str">
        <f t="shared" si="22"/>
        <v/>
      </c>
      <c r="D787" s="118" t="str">
        <f t="shared" si="23"/>
        <v/>
      </c>
      <c r="E787" s="121"/>
      <c r="F787" s="121"/>
      <c r="G787" s="121"/>
      <c r="H787" s="121"/>
      <c r="I787" s="142"/>
      <c r="J787" s="121"/>
      <c r="K787" s="121"/>
      <c r="L787" s="144"/>
      <c r="M787" s="144"/>
      <c r="N787" s="144"/>
      <c r="O787" s="144"/>
      <c r="P787" s="144"/>
    </row>
    <row r="788" spans="1:16" s="135" customFormat="1" ht="15.75" x14ac:dyDescent="0.25">
      <c r="A788" s="109"/>
      <c r="B788" s="109"/>
      <c r="C788" s="118" t="str">
        <f t="shared" ref="C788:C851" si="24">IF(A788=0,"",VLOOKUP(B788,MatDB,2,FALSE))</f>
        <v/>
      </c>
      <c r="D788" s="118" t="str">
        <f t="shared" si="23"/>
        <v/>
      </c>
      <c r="E788" s="121"/>
      <c r="F788" s="121"/>
      <c r="G788" s="121"/>
      <c r="H788" s="121"/>
      <c r="I788" s="142"/>
      <c r="J788" s="121"/>
      <c r="K788" s="121"/>
      <c r="L788" s="144"/>
      <c r="M788" s="144"/>
      <c r="N788" s="144"/>
      <c r="O788" s="144"/>
      <c r="P788" s="144"/>
    </row>
    <row r="789" spans="1:16" s="135" customFormat="1" ht="15.75" x14ac:dyDescent="0.25">
      <c r="A789" s="109"/>
      <c r="B789" s="109"/>
      <c r="C789" s="118" t="str">
        <f t="shared" si="24"/>
        <v/>
      </c>
      <c r="D789" s="118" t="str">
        <f t="shared" ref="D789:D852" si="25">IF(A789=0,"","Steel02")</f>
        <v/>
      </c>
      <c r="E789" s="121"/>
      <c r="F789" s="121"/>
      <c r="G789" s="121"/>
      <c r="H789" s="121"/>
      <c r="I789" s="142"/>
      <c r="J789" s="121"/>
      <c r="K789" s="121"/>
      <c r="L789" s="144"/>
      <c r="M789" s="144"/>
      <c r="N789" s="144"/>
      <c r="O789" s="144"/>
      <c r="P789" s="144"/>
    </row>
    <row r="790" spans="1:16" s="135" customFormat="1" ht="15.75" x14ac:dyDescent="0.25">
      <c r="A790" s="109"/>
      <c r="B790" s="109"/>
      <c r="C790" s="118" t="str">
        <f t="shared" si="24"/>
        <v/>
      </c>
      <c r="D790" s="118" t="str">
        <f t="shared" si="25"/>
        <v/>
      </c>
      <c r="E790" s="121"/>
      <c r="F790" s="121"/>
      <c r="G790" s="121"/>
      <c r="H790" s="121"/>
      <c r="I790" s="142"/>
      <c r="J790" s="121"/>
      <c r="K790" s="121"/>
      <c r="L790" s="144"/>
      <c r="M790" s="144"/>
      <c r="N790" s="144"/>
      <c r="O790" s="144"/>
      <c r="P790" s="144"/>
    </row>
    <row r="791" spans="1:16" s="135" customFormat="1" ht="15.75" x14ac:dyDescent="0.25">
      <c r="A791" s="109"/>
      <c r="B791" s="109"/>
      <c r="C791" s="118" t="str">
        <f t="shared" si="24"/>
        <v/>
      </c>
      <c r="D791" s="118" t="str">
        <f t="shared" si="25"/>
        <v/>
      </c>
      <c r="E791" s="121"/>
      <c r="F791" s="121"/>
      <c r="G791" s="121"/>
      <c r="H791" s="121"/>
      <c r="I791" s="142"/>
      <c r="J791" s="121"/>
      <c r="K791" s="121"/>
      <c r="L791" s="144"/>
      <c r="M791" s="144"/>
      <c r="N791" s="144"/>
      <c r="O791" s="144"/>
      <c r="P791" s="144"/>
    </row>
    <row r="792" spans="1:16" s="135" customFormat="1" ht="15.75" x14ac:dyDescent="0.25">
      <c r="A792" s="109"/>
      <c r="B792" s="109"/>
      <c r="C792" s="118" t="str">
        <f t="shared" si="24"/>
        <v/>
      </c>
      <c r="D792" s="118" t="str">
        <f t="shared" si="25"/>
        <v/>
      </c>
      <c r="E792" s="121"/>
      <c r="F792" s="121"/>
      <c r="G792" s="121"/>
      <c r="H792" s="121"/>
      <c r="I792" s="142"/>
      <c r="J792" s="121"/>
      <c r="K792" s="121"/>
      <c r="L792" s="144"/>
      <c r="M792" s="144"/>
      <c r="N792" s="144"/>
      <c r="O792" s="144"/>
      <c r="P792" s="144"/>
    </row>
    <row r="793" spans="1:16" s="135" customFormat="1" ht="15.75" x14ac:dyDescent="0.25">
      <c r="A793" s="109"/>
      <c r="B793" s="109"/>
      <c r="C793" s="118" t="str">
        <f t="shared" si="24"/>
        <v/>
      </c>
      <c r="D793" s="118" t="str">
        <f t="shared" si="25"/>
        <v/>
      </c>
      <c r="E793" s="121"/>
      <c r="F793" s="121"/>
      <c r="G793" s="121"/>
      <c r="H793" s="121"/>
      <c r="I793" s="142"/>
      <c r="J793" s="121"/>
      <c r="K793" s="121"/>
      <c r="L793" s="144"/>
      <c r="M793" s="144"/>
      <c r="N793" s="144"/>
      <c r="O793" s="144"/>
      <c r="P793" s="144"/>
    </row>
    <row r="794" spans="1:16" s="135" customFormat="1" ht="15.75" x14ac:dyDescent="0.25">
      <c r="A794" s="109"/>
      <c r="B794" s="109"/>
      <c r="C794" s="118" t="str">
        <f t="shared" si="24"/>
        <v/>
      </c>
      <c r="D794" s="118" t="str">
        <f t="shared" si="25"/>
        <v/>
      </c>
      <c r="E794" s="121"/>
      <c r="F794" s="121"/>
      <c r="G794" s="121"/>
      <c r="H794" s="121"/>
      <c r="I794" s="142"/>
      <c r="J794" s="121"/>
      <c r="K794" s="121"/>
      <c r="L794" s="144"/>
      <c r="M794" s="144"/>
      <c r="N794" s="144"/>
      <c r="O794" s="144"/>
      <c r="P794" s="144"/>
    </row>
    <row r="795" spans="1:16" s="135" customFormat="1" ht="15.75" x14ac:dyDescent="0.25">
      <c r="A795" s="109"/>
      <c r="B795" s="109"/>
      <c r="C795" s="118" t="str">
        <f t="shared" si="24"/>
        <v/>
      </c>
      <c r="D795" s="118" t="str">
        <f t="shared" si="25"/>
        <v/>
      </c>
      <c r="E795" s="121"/>
      <c r="F795" s="121"/>
      <c r="G795" s="121"/>
      <c r="H795" s="121"/>
      <c r="I795" s="142"/>
      <c r="J795" s="121"/>
      <c r="K795" s="121"/>
      <c r="L795" s="144"/>
      <c r="M795" s="144"/>
      <c r="N795" s="144"/>
      <c r="O795" s="144"/>
      <c r="P795" s="144"/>
    </row>
    <row r="796" spans="1:16" s="135" customFormat="1" ht="15.75" x14ac:dyDescent="0.25">
      <c r="A796" s="109"/>
      <c r="B796" s="109"/>
      <c r="C796" s="118" t="str">
        <f t="shared" si="24"/>
        <v/>
      </c>
      <c r="D796" s="118" t="str">
        <f t="shared" si="25"/>
        <v/>
      </c>
      <c r="E796" s="121"/>
      <c r="F796" s="121"/>
      <c r="G796" s="121"/>
      <c r="H796" s="121"/>
      <c r="I796" s="142"/>
      <c r="J796" s="121"/>
      <c r="K796" s="121"/>
      <c r="L796" s="144"/>
      <c r="M796" s="144"/>
      <c r="N796" s="144"/>
      <c r="O796" s="144"/>
      <c r="P796" s="144"/>
    </row>
    <row r="797" spans="1:16" s="135" customFormat="1" ht="15.75" x14ac:dyDescent="0.25">
      <c r="A797" s="109"/>
      <c r="B797" s="109"/>
      <c r="C797" s="118" t="str">
        <f t="shared" si="24"/>
        <v/>
      </c>
      <c r="D797" s="118" t="str">
        <f t="shared" si="25"/>
        <v/>
      </c>
      <c r="E797" s="121"/>
      <c r="F797" s="121"/>
      <c r="G797" s="121"/>
      <c r="H797" s="121"/>
      <c r="I797" s="142"/>
      <c r="J797" s="121"/>
      <c r="K797" s="121"/>
      <c r="L797" s="144"/>
      <c r="M797" s="144"/>
      <c r="N797" s="144"/>
      <c r="O797" s="144"/>
      <c r="P797" s="144"/>
    </row>
    <row r="798" spans="1:16" s="135" customFormat="1" ht="15.75" x14ac:dyDescent="0.25">
      <c r="A798" s="109"/>
      <c r="B798" s="109"/>
      <c r="C798" s="118" t="str">
        <f t="shared" si="24"/>
        <v/>
      </c>
      <c r="D798" s="118" t="str">
        <f t="shared" si="25"/>
        <v/>
      </c>
      <c r="E798" s="121"/>
      <c r="F798" s="121"/>
      <c r="G798" s="121"/>
      <c r="H798" s="121"/>
      <c r="I798" s="142"/>
      <c r="J798" s="121"/>
      <c r="K798" s="121"/>
      <c r="L798" s="144"/>
      <c r="M798" s="144"/>
      <c r="N798" s="144"/>
      <c r="O798" s="144"/>
      <c r="P798" s="144"/>
    </row>
    <row r="799" spans="1:16" s="135" customFormat="1" ht="15.75" x14ac:dyDescent="0.25">
      <c r="A799" s="109"/>
      <c r="B799" s="109"/>
      <c r="C799" s="118" t="str">
        <f t="shared" si="24"/>
        <v/>
      </c>
      <c r="D799" s="118" t="str">
        <f t="shared" si="25"/>
        <v/>
      </c>
      <c r="E799" s="121"/>
      <c r="F799" s="121"/>
      <c r="G799" s="121"/>
      <c r="H799" s="121"/>
      <c r="I799" s="142"/>
      <c r="J799" s="121"/>
      <c r="K799" s="121"/>
      <c r="L799" s="144"/>
      <c r="M799" s="144"/>
      <c r="N799" s="144"/>
      <c r="O799" s="144"/>
      <c r="P799" s="144"/>
    </row>
    <row r="800" spans="1:16" s="135" customFormat="1" ht="15.75" x14ac:dyDescent="0.25">
      <c r="A800" s="109"/>
      <c r="B800" s="109"/>
      <c r="C800" s="118" t="str">
        <f t="shared" si="24"/>
        <v/>
      </c>
      <c r="D800" s="118" t="str">
        <f t="shared" si="25"/>
        <v/>
      </c>
      <c r="E800" s="121"/>
      <c r="F800" s="121"/>
      <c r="G800" s="121"/>
      <c r="H800" s="121"/>
      <c r="I800" s="142"/>
      <c r="J800" s="121"/>
      <c r="K800" s="121"/>
      <c r="L800" s="144"/>
      <c r="M800" s="144"/>
      <c r="N800" s="144"/>
      <c r="O800" s="144"/>
      <c r="P800" s="144"/>
    </row>
    <row r="801" spans="1:16" s="135" customFormat="1" ht="15.75" x14ac:dyDescent="0.25">
      <c r="A801" s="109"/>
      <c r="B801" s="109"/>
      <c r="C801" s="118" t="str">
        <f t="shared" si="24"/>
        <v/>
      </c>
      <c r="D801" s="118" t="str">
        <f t="shared" si="25"/>
        <v/>
      </c>
      <c r="E801" s="121"/>
      <c r="F801" s="121"/>
      <c r="G801" s="121"/>
      <c r="H801" s="121"/>
      <c r="I801" s="142"/>
      <c r="J801" s="121"/>
      <c r="K801" s="121"/>
      <c r="L801" s="144"/>
      <c r="M801" s="144"/>
      <c r="N801" s="144"/>
      <c r="O801" s="144"/>
      <c r="P801" s="144"/>
    </row>
    <row r="802" spans="1:16" s="135" customFormat="1" ht="15.75" x14ac:dyDescent="0.25">
      <c r="A802" s="109"/>
      <c r="B802" s="109"/>
      <c r="C802" s="118" t="str">
        <f t="shared" si="24"/>
        <v/>
      </c>
      <c r="D802" s="118" t="str">
        <f t="shared" si="25"/>
        <v/>
      </c>
      <c r="E802" s="121"/>
      <c r="F802" s="121"/>
      <c r="G802" s="121"/>
      <c r="H802" s="121"/>
      <c r="I802" s="142"/>
      <c r="J802" s="121"/>
      <c r="K802" s="121"/>
      <c r="L802" s="144"/>
      <c r="M802" s="144"/>
      <c r="N802" s="144"/>
      <c r="O802" s="144"/>
      <c r="P802" s="144"/>
    </row>
    <row r="803" spans="1:16" s="135" customFormat="1" ht="15.75" x14ac:dyDescent="0.25">
      <c r="A803" s="109"/>
      <c r="B803" s="109"/>
      <c r="C803" s="118" t="str">
        <f t="shared" si="24"/>
        <v/>
      </c>
      <c r="D803" s="118" t="str">
        <f t="shared" si="25"/>
        <v/>
      </c>
      <c r="E803" s="121"/>
      <c r="F803" s="121"/>
      <c r="G803" s="121"/>
      <c r="H803" s="121"/>
      <c r="I803" s="142"/>
      <c r="J803" s="121"/>
      <c r="K803" s="121"/>
      <c r="L803" s="144"/>
      <c r="M803" s="144"/>
      <c r="N803" s="144"/>
      <c r="O803" s="144"/>
      <c r="P803" s="144"/>
    </row>
    <row r="804" spans="1:16" s="135" customFormat="1" ht="15.75" x14ac:dyDescent="0.25">
      <c r="A804" s="109"/>
      <c r="B804" s="109"/>
      <c r="C804" s="118" t="str">
        <f t="shared" si="24"/>
        <v/>
      </c>
      <c r="D804" s="118" t="str">
        <f t="shared" si="25"/>
        <v/>
      </c>
      <c r="E804" s="121"/>
      <c r="F804" s="121"/>
      <c r="G804" s="121"/>
      <c r="H804" s="121"/>
      <c r="I804" s="142"/>
      <c r="J804" s="121"/>
      <c r="K804" s="121"/>
      <c r="L804" s="144"/>
      <c r="M804" s="144"/>
      <c r="N804" s="144"/>
      <c r="O804" s="144"/>
      <c r="P804" s="144"/>
    </row>
    <row r="805" spans="1:16" s="135" customFormat="1" ht="15.75" x14ac:dyDescent="0.25">
      <c r="A805" s="109"/>
      <c r="B805" s="109"/>
      <c r="C805" s="118" t="str">
        <f t="shared" si="24"/>
        <v/>
      </c>
      <c r="D805" s="118" t="str">
        <f t="shared" si="25"/>
        <v/>
      </c>
      <c r="E805" s="121"/>
      <c r="F805" s="121"/>
      <c r="G805" s="121"/>
      <c r="H805" s="121"/>
      <c r="I805" s="142"/>
      <c r="J805" s="121"/>
      <c r="K805" s="121"/>
      <c r="L805" s="144"/>
      <c r="M805" s="144"/>
      <c r="N805" s="144"/>
      <c r="O805" s="144"/>
      <c r="P805" s="144"/>
    </row>
    <row r="806" spans="1:16" s="135" customFormat="1" ht="15.75" x14ac:dyDescent="0.25">
      <c r="A806" s="109"/>
      <c r="B806" s="109"/>
      <c r="C806" s="118" t="str">
        <f t="shared" si="24"/>
        <v/>
      </c>
      <c r="D806" s="118" t="str">
        <f t="shared" si="25"/>
        <v/>
      </c>
      <c r="E806" s="121"/>
      <c r="F806" s="121"/>
      <c r="G806" s="121"/>
      <c r="H806" s="121"/>
      <c r="I806" s="142"/>
      <c r="J806" s="121"/>
      <c r="K806" s="121"/>
      <c r="L806" s="144"/>
      <c r="M806" s="144"/>
      <c r="N806" s="144"/>
      <c r="O806" s="144"/>
      <c r="P806" s="144"/>
    </row>
    <row r="807" spans="1:16" s="135" customFormat="1" ht="15.75" x14ac:dyDescent="0.25">
      <c r="A807" s="109"/>
      <c r="B807" s="109"/>
      <c r="C807" s="118" t="str">
        <f t="shared" si="24"/>
        <v/>
      </c>
      <c r="D807" s="118" t="str">
        <f t="shared" si="25"/>
        <v/>
      </c>
      <c r="E807" s="121"/>
      <c r="F807" s="121"/>
      <c r="G807" s="121"/>
      <c r="H807" s="121"/>
      <c r="I807" s="142"/>
      <c r="J807" s="121"/>
      <c r="K807" s="121"/>
      <c r="L807" s="144"/>
      <c r="M807" s="144"/>
      <c r="N807" s="144"/>
      <c r="O807" s="144"/>
      <c r="P807" s="144"/>
    </row>
    <row r="808" spans="1:16" s="135" customFormat="1" ht="15.75" x14ac:dyDescent="0.25">
      <c r="A808" s="109"/>
      <c r="B808" s="109"/>
      <c r="C808" s="118" t="str">
        <f t="shared" si="24"/>
        <v/>
      </c>
      <c r="D808" s="118" t="str">
        <f t="shared" si="25"/>
        <v/>
      </c>
      <c r="E808" s="121"/>
      <c r="F808" s="121"/>
      <c r="G808" s="121"/>
      <c r="H808" s="121"/>
      <c r="I808" s="142"/>
      <c r="J808" s="121"/>
      <c r="K808" s="121"/>
      <c r="L808" s="144"/>
      <c r="M808" s="144"/>
      <c r="N808" s="144"/>
      <c r="O808" s="144"/>
      <c r="P808" s="144"/>
    </row>
    <row r="809" spans="1:16" s="135" customFormat="1" ht="15.75" x14ac:dyDescent="0.25">
      <c r="A809" s="109"/>
      <c r="B809" s="109"/>
      <c r="C809" s="118" t="str">
        <f t="shared" si="24"/>
        <v/>
      </c>
      <c r="D809" s="118" t="str">
        <f t="shared" si="25"/>
        <v/>
      </c>
      <c r="E809" s="121"/>
      <c r="F809" s="121"/>
      <c r="G809" s="121"/>
      <c r="H809" s="121"/>
      <c r="I809" s="142"/>
      <c r="J809" s="121"/>
      <c r="K809" s="121"/>
      <c r="L809" s="144"/>
      <c r="M809" s="144"/>
      <c r="N809" s="144"/>
      <c r="O809" s="144"/>
      <c r="P809" s="144"/>
    </row>
    <row r="810" spans="1:16" s="135" customFormat="1" ht="15.75" x14ac:dyDescent="0.25">
      <c r="A810" s="109"/>
      <c r="B810" s="109"/>
      <c r="C810" s="118" t="str">
        <f t="shared" si="24"/>
        <v/>
      </c>
      <c r="D810" s="118" t="str">
        <f t="shared" si="25"/>
        <v/>
      </c>
      <c r="E810" s="121"/>
      <c r="F810" s="121"/>
      <c r="G810" s="121"/>
      <c r="H810" s="121"/>
      <c r="I810" s="142"/>
      <c r="J810" s="121"/>
      <c r="K810" s="121"/>
      <c r="L810" s="144"/>
      <c r="M810" s="144"/>
      <c r="N810" s="144"/>
      <c r="O810" s="144"/>
      <c r="P810" s="144"/>
    </row>
    <row r="811" spans="1:16" s="135" customFormat="1" ht="15.75" x14ac:dyDescent="0.25">
      <c r="A811" s="109"/>
      <c r="B811" s="109"/>
      <c r="C811" s="118" t="str">
        <f t="shared" si="24"/>
        <v/>
      </c>
      <c r="D811" s="118" t="str">
        <f t="shared" si="25"/>
        <v/>
      </c>
      <c r="E811" s="121"/>
      <c r="F811" s="121"/>
      <c r="G811" s="121"/>
      <c r="H811" s="121"/>
      <c r="I811" s="142"/>
      <c r="J811" s="121"/>
      <c r="K811" s="121"/>
      <c r="L811" s="144"/>
      <c r="M811" s="144"/>
      <c r="N811" s="144"/>
      <c r="O811" s="144"/>
      <c r="P811" s="144"/>
    </row>
    <row r="812" spans="1:16" s="135" customFormat="1" ht="15.75" x14ac:dyDescent="0.25">
      <c r="A812" s="109"/>
      <c r="B812" s="109"/>
      <c r="C812" s="118" t="str">
        <f t="shared" si="24"/>
        <v/>
      </c>
      <c r="D812" s="118" t="str">
        <f t="shared" si="25"/>
        <v/>
      </c>
      <c r="E812" s="121"/>
      <c r="F812" s="121"/>
      <c r="G812" s="121"/>
      <c r="H812" s="121"/>
      <c r="I812" s="142"/>
      <c r="J812" s="121"/>
      <c r="K812" s="121"/>
      <c r="L812" s="144"/>
      <c r="M812" s="144"/>
      <c r="N812" s="144"/>
      <c r="O812" s="144"/>
      <c r="P812" s="144"/>
    </row>
    <row r="813" spans="1:16" s="135" customFormat="1" ht="15.75" x14ac:dyDescent="0.25">
      <c r="A813" s="109"/>
      <c r="B813" s="109"/>
      <c r="C813" s="118" t="str">
        <f t="shared" si="24"/>
        <v/>
      </c>
      <c r="D813" s="118" t="str">
        <f t="shared" si="25"/>
        <v/>
      </c>
      <c r="E813" s="121"/>
      <c r="F813" s="121"/>
      <c r="G813" s="121"/>
      <c r="H813" s="121"/>
      <c r="I813" s="142"/>
      <c r="J813" s="121"/>
      <c r="K813" s="121"/>
      <c r="L813" s="144"/>
      <c r="M813" s="144"/>
      <c r="N813" s="144"/>
      <c r="O813" s="144"/>
      <c r="P813" s="144"/>
    </row>
    <row r="814" spans="1:16" s="135" customFormat="1" ht="15.75" x14ac:dyDescent="0.25">
      <c r="A814" s="109"/>
      <c r="B814" s="109"/>
      <c r="C814" s="118" t="str">
        <f t="shared" si="24"/>
        <v/>
      </c>
      <c r="D814" s="118" t="str">
        <f t="shared" si="25"/>
        <v/>
      </c>
      <c r="E814" s="121"/>
      <c r="F814" s="121"/>
      <c r="G814" s="121"/>
      <c r="H814" s="121"/>
      <c r="I814" s="142"/>
      <c r="J814" s="121"/>
      <c r="K814" s="121"/>
      <c r="L814" s="144"/>
      <c r="M814" s="144"/>
      <c r="N814" s="144"/>
      <c r="O814" s="144"/>
      <c r="P814" s="144"/>
    </row>
    <row r="815" spans="1:16" s="135" customFormat="1" ht="15.75" x14ac:dyDescent="0.25">
      <c r="A815" s="109"/>
      <c r="B815" s="109"/>
      <c r="C815" s="118" t="str">
        <f t="shared" si="24"/>
        <v/>
      </c>
      <c r="D815" s="118" t="str">
        <f t="shared" si="25"/>
        <v/>
      </c>
      <c r="E815" s="121"/>
      <c r="F815" s="121"/>
      <c r="G815" s="121"/>
      <c r="H815" s="121"/>
      <c r="I815" s="142"/>
      <c r="J815" s="121"/>
      <c r="K815" s="121"/>
      <c r="L815" s="144"/>
      <c r="M815" s="144"/>
      <c r="N815" s="144"/>
      <c r="O815" s="144"/>
      <c r="P815" s="144"/>
    </row>
    <row r="816" spans="1:16" s="135" customFormat="1" ht="15.75" x14ac:dyDescent="0.25">
      <c r="A816" s="109"/>
      <c r="B816" s="109"/>
      <c r="C816" s="118" t="str">
        <f t="shared" si="24"/>
        <v/>
      </c>
      <c r="D816" s="118" t="str">
        <f t="shared" si="25"/>
        <v/>
      </c>
      <c r="E816" s="121"/>
      <c r="F816" s="121"/>
      <c r="G816" s="121"/>
      <c r="H816" s="121"/>
      <c r="I816" s="142"/>
      <c r="J816" s="121"/>
      <c r="K816" s="121"/>
      <c r="L816" s="144"/>
      <c r="M816" s="144"/>
      <c r="N816" s="144"/>
      <c r="O816" s="144"/>
      <c r="P816" s="144"/>
    </row>
    <row r="817" spans="1:16" s="135" customFormat="1" ht="15.75" x14ac:dyDescent="0.25">
      <c r="A817" s="109"/>
      <c r="B817" s="109"/>
      <c r="C817" s="118" t="str">
        <f t="shared" si="24"/>
        <v/>
      </c>
      <c r="D817" s="118" t="str">
        <f t="shared" si="25"/>
        <v/>
      </c>
      <c r="E817" s="121"/>
      <c r="F817" s="121"/>
      <c r="G817" s="121"/>
      <c r="H817" s="121"/>
      <c r="I817" s="142"/>
      <c r="J817" s="121"/>
      <c r="K817" s="121"/>
      <c r="L817" s="144"/>
      <c r="M817" s="144"/>
      <c r="N817" s="144"/>
      <c r="O817" s="144"/>
      <c r="P817" s="144"/>
    </row>
    <row r="818" spans="1:16" s="135" customFormat="1" ht="15.75" x14ac:dyDescent="0.25">
      <c r="A818" s="109"/>
      <c r="B818" s="109"/>
      <c r="C818" s="118" t="str">
        <f t="shared" si="24"/>
        <v/>
      </c>
      <c r="D818" s="118" t="str">
        <f t="shared" si="25"/>
        <v/>
      </c>
      <c r="E818" s="121"/>
      <c r="F818" s="121"/>
      <c r="G818" s="121"/>
      <c r="H818" s="121"/>
      <c r="I818" s="142"/>
      <c r="J818" s="121"/>
      <c r="K818" s="121"/>
      <c r="L818" s="144"/>
      <c r="M818" s="144"/>
      <c r="N818" s="144"/>
      <c r="O818" s="144"/>
      <c r="P818" s="144"/>
    </row>
    <row r="819" spans="1:16" s="135" customFormat="1" ht="15.75" x14ac:dyDescent="0.25">
      <c r="A819" s="109"/>
      <c r="B819" s="109"/>
      <c r="C819" s="118" t="str">
        <f t="shared" si="24"/>
        <v/>
      </c>
      <c r="D819" s="118" t="str">
        <f t="shared" si="25"/>
        <v/>
      </c>
      <c r="E819" s="121"/>
      <c r="F819" s="121"/>
      <c r="G819" s="121"/>
      <c r="H819" s="121"/>
      <c r="I819" s="142"/>
      <c r="J819" s="121"/>
      <c r="K819" s="121"/>
      <c r="L819" s="144"/>
      <c r="M819" s="144"/>
      <c r="N819" s="144"/>
      <c r="O819" s="144"/>
      <c r="P819" s="144"/>
    </row>
    <row r="820" spans="1:16" s="135" customFormat="1" ht="15.75" x14ac:dyDescent="0.25">
      <c r="A820" s="109"/>
      <c r="B820" s="109"/>
      <c r="C820" s="118" t="str">
        <f t="shared" si="24"/>
        <v/>
      </c>
      <c r="D820" s="118" t="str">
        <f t="shared" si="25"/>
        <v/>
      </c>
      <c r="E820" s="121"/>
      <c r="F820" s="121"/>
      <c r="G820" s="121"/>
      <c r="H820" s="121"/>
      <c r="I820" s="142"/>
      <c r="J820" s="121"/>
      <c r="K820" s="121"/>
      <c r="L820" s="144"/>
      <c r="M820" s="144"/>
      <c r="N820" s="144"/>
      <c r="O820" s="144"/>
      <c r="P820" s="144"/>
    </row>
    <row r="821" spans="1:16" s="135" customFormat="1" ht="15.75" x14ac:dyDescent="0.25">
      <c r="A821" s="109"/>
      <c r="B821" s="109"/>
      <c r="C821" s="118" t="str">
        <f t="shared" si="24"/>
        <v/>
      </c>
      <c r="D821" s="118" t="str">
        <f t="shared" si="25"/>
        <v/>
      </c>
      <c r="E821" s="121"/>
      <c r="F821" s="121"/>
      <c r="G821" s="121"/>
      <c r="H821" s="121"/>
      <c r="I821" s="142"/>
      <c r="J821" s="121"/>
      <c r="K821" s="121"/>
      <c r="L821" s="144"/>
      <c r="M821" s="144"/>
      <c r="N821" s="144"/>
      <c r="O821" s="144"/>
      <c r="P821" s="144"/>
    </row>
    <row r="822" spans="1:16" s="135" customFormat="1" ht="15.75" x14ac:dyDescent="0.25">
      <c r="A822" s="109"/>
      <c r="B822" s="109"/>
      <c r="C822" s="118" t="str">
        <f t="shared" si="24"/>
        <v/>
      </c>
      <c r="D822" s="118" t="str">
        <f t="shared" si="25"/>
        <v/>
      </c>
      <c r="E822" s="121"/>
      <c r="F822" s="121"/>
      <c r="G822" s="121"/>
      <c r="H822" s="121"/>
      <c r="I822" s="142"/>
      <c r="J822" s="121"/>
      <c r="K822" s="121"/>
      <c r="L822" s="144"/>
      <c r="M822" s="144"/>
      <c r="N822" s="144"/>
      <c r="O822" s="144"/>
      <c r="P822" s="144"/>
    </row>
    <row r="823" spans="1:16" s="135" customFormat="1" ht="15.75" x14ac:dyDescent="0.25">
      <c r="A823" s="109"/>
      <c r="B823" s="109"/>
      <c r="C823" s="118" t="str">
        <f t="shared" si="24"/>
        <v/>
      </c>
      <c r="D823" s="118" t="str">
        <f t="shared" si="25"/>
        <v/>
      </c>
      <c r="E823" s="121"/>
      <c r="F823" s="121"/>
      <c r="G823" s="121"/>
      <c r="H823" s="121"/>
      <c r="I823" s="142"/>
      <c r="J823" s="121"/>
      <c r="K823" s="121"/>
      <c r="L823" s="144"/>
      <c r="M823" s="144"/>
      <c r="N823" s="144"/>
      <c r="O823" s="144"/>
      <c r="P823" s="144"/>
    </row>
    <row r="824" spans="1:16" s="135" customFormat="1" ht="15.75" x14ac:dyDescent="0.25">
      <c r="A824" s="109"/>
      <c r="B824" s="109"/>
      <c r="C824" s="118" t="str">
        <f t="shared" si="24"/>
        <v/>
      </c>
      <c r="D824" s="118" t="str">
        <f t="shared" si="25"/>
        <v/>
      </c>
      <c r="E824" s="121"/>
      <c r="F824" s="121"/>
      <c r="G824" s="121"/>
      <c r="H824" s="121"/>
      <c r="I824" s="142"/>
      <c r="J824" s="121"/>
      <c r="K824" s="121"/>
      <c r="L824" s="144"/>
      <c r="M824" s="144"/>
      <c r="N824" s="144"/>
      <c r="O824" s="144"/>
      <c r="P824" s="144"/>
    </row>
    <row r="825" spans="1:16" s="135" customFormat="1" ht="15.75" x14ac:dyDescent="0.25">
      <c r="A825" s="109"/>
      <c r="B825" s="109"/>
      <c r="C825" s="118" t="str">
        <f t="shared" si="24"/>
        <v/>
      </c>
      <c r="D825" s="118" t="str">
        <f t="shared" si="25"/>
        <v/>
      </c>
      <c r="E825" s="121"/>
      <c r="F825" s="121"/>
      <c r="G825" s="121"/>
      <c r="H825" s="121"/>
      <c r="I825" s="142"/>
      <c r="J825" s="121"/>
      <c r="K825" s="121"/>
      <c r="L825" s="144"/>
      <c r="M825" s="144"/>
      <c r="N825" s="144"/>
      <c r="O825" s="144"/>
      <c r="P825" s="144"/>
    </row>
    <row r="826" spans="1:16" s="135" customFormat="1" ht="15.75" x14ac:dyDescent="0.25">
      <c r="A826" s="109"/>
      <c r="B826" s="109"/>
      <c r="C826" s="118" t="str">
        <f t="shared" si="24"/>
        <v/>
      </c>
      <c r="D826" s="118" t="str">
        <f t="shared" si="25"/>
        <v/>
      </c>
      <c r="E826" s="121"/>
      <c r="F826" s="121"/>
      <c r="G826" s="121"/>
      <c r="H826" s="121"/>
      <c r="I826" s="142"/>
      <c r="J826" s="121"/>
      <c r="K826" s="121"/>
      <c r="L826" s="144"/>
      <c r="M826" s="144"/>
      <c r="N826" s="144"/>
      <c r="O826" s="144"/>
      <c r="P826" s="144"/>
    </row>
    <row r="827" spans="1:16" s="135" customFormat="1" ht="15.75" x14ac:dyDescent="0.25">
      <c r="A827" s="109"/>
      <c r="B827" s="109"/>
      <c r="C827" s="118" t="str">
        <f t="shared" si="24"/>
        <v/>
      </c>
      <c r="D827" s="118" t="str">
        <f t="shared" si="25"/>
        <v/>
      </c>
      <c r="E827" s="121"/>
      <c r="F827" s="121"/>
      <c r="G827" s="121"/>
      <c r="H827" s="121"/>
      <c r="I827" s="142"/>
      <c r="J827" s="121"/>
      <c r="K827" s="121"/>
      <c r="L827" s="144"/>
      <c r="M827" s="144"/>
      <c r="N827" s="144"/>
      <c r="O827" s="144"/>
      <c r="P827" s="144"/>
    </row>
    <row r="828" spans="1:16" s="135" customFormat="1" ht="15.75" x14ac:dyDescent="0.25">
      <c r="A828" s="109"/>
      <c r="B828" s="109"/>
      <c r="C828" s="118" t="str">
        <f t="shared" si="24"/>
        <v/>
      </c>
      <c r="D828" s="118" t="str">
        <f t="shared" si="25"/>
        <v/>
      </c>
      <c r="E828" s="121"/>
      <c r="F828" s="121"/>
      <c r="G828" s="121"/>
      <c r="H828" s="121"/>
      <c r="I828" s="142"/>
      <c r="J828" s="121"/>
      <c r="K828" s="121"/>
      <c r="L828" s="144"/>
      <c r="M828" s="144"/>
      <c r="N828" s="144"/>
      <c r="O828" s="144"/>
      <c r="P828" s="144"/>
    </row>
    <row r="829" spans="1:16" s="135" customFormat="1" ht="15.75" x14ac:dyDescent="0.25">
      <c r="A829" s="109"/>
      <c r="B829" s="109"/>
      <c r="C829" s="118" t="str">
        <f t="shared" si="24"/>
        <v/>
      </c>
      <c r="D829" s="118" t="str">
        <f t="shared" si="25"/>
        <v/>
      </c>
      <c r="E829" s="121"/>
      <c r="F829" s="121"/>
      <c r="G829" s="121"/>
      <c r="H829" s="121"/>
      <c r="I829" s="142"/>
      <c r="J829" s="121"/>
      <c r="K829" s="121"/>
      <c r="L829" s="144"/>
      <c r="M829" s="144"/>
      <c r="N829" s="144"/>
      <c r="O829" s="144"/>
      <c r="P829" s="144"/>
    </row>
    <row r="830" spans="1:16" s="135" customFormat="1" ht="15.75" x14ac:dyDescent="0.25">
      <c r="A830" s="109"/>
      <c r="B830" s="109"/>
      <c r="C830" s="118" t="str">
        <f t="shared" si="24"/>
        <v/>
      </c>
      <c r="D830" s="118" t="str">
        <f t="shared" si="25"/>
        <v/>
      </c>
      <c r="E830" s="121"/>
      <c r="F830" s="121"/>
      <c r="G830" s="121"/>
      <c r="H830" s="121"/>
      <c r="I830" s="142"/>
      <c r="J830" s="121"/>
      <c r="K830" s="121"/>
      <c r="L830" s="144"/>
      <c r="M830" s="144"/>
      <c r="N830" s="144"/>
      <c r="O830" s="144"/>
      <c r="P830" s="144"/>
    </row>
    <row r="831" spans="1:16" s="135" customFormat="1" ht="15.75" x14ac:dyDescent="0.25">
      <c r="A831" s="109"/>
      <c r="B831" s="109"/>
      <c r="C831" s="118" t="str">
        <f t="shared" si="24"/>
        <v/>
      </c>
      <c r="D831" s="118" t="str">
        <f t="shared" si="25"/>
        <v/>
      </c>
      <c r="E831" s="121"/>
      <c r="F831" s="121"/>
      <c r="G831" s="121"/>
      <c r="H831" s="121"/>
      <c r="I831" s="142"/>
      <c r="J831" s="121"/>
      <c r="K831" s="121"/>
      <c r="L831" s="144"/>
      <c r="M831" s="144"/>
      <c r="N831" s="144"/>
      <c r="O831" s="144"/>
      <c r="P831" s="144"/>
    </row>
    <row r="832" spans="1:16" s="135" customFormat="1" ht="15.75" x14ac:dyDescent="0.25">
      <c r="A832" s="109"/>
      <c r="B832" s="109"/>
      <c r="C832" s="118" t="str">
        <f t="shared" si="24"/>
        <v/>
      </c>
      <c r="D832" s="118" t="str">
        <f t="shared" si="25"/>
        <v/>
      </c>
      <c r="E832" s="121"/>
      <c r="F832" s="121"/>
      <c r="G832" s="121"/>
      <c r="H832" s="121"/>
      <c r="I832" s="142"/>
      <c r="J832" s="121"/>
      <c r="K832" s="121"/>
      <c r="L832" s="144"/>
      <c r="M832" s="144"/>
      <c r="N832" s="144"/>
      <c r="O832" s="144"/>
      <c r="P832" s="144"/>
    </row>
    <row r="833" spans="1:16" s="135" customFormat="1" ht="15.75" x14ac:dyDescent="0.25">
      <c r="A833" s="109"/>
      <c r="B833" s="109"/>
      <c r="C833" s="118" t="str">
        <f t="shared" si="24"/>
        <v/>
      </c>
      <c r="D833" s="118" t="str">
        <f t="shared" si="25"/>
        <v/>
      </c>
      <c r="E833" s="121"/>
      <c r="F833" s="121"/>
      <c r="G833" s="121"/>
      <c r="H833" s="121"/>
      <c r="I833" s="142"/>
      <c r="J833" s="121"/>
      <c r="K833" s="121"/>
      <c r="L833" s="144"/>
      <c r="M833" s="144"/>
      <c r="N833" s="144"/>
      <c r="O833" s="144"/>
      <c r="P833" s="144"/>
    </row>
    <row r="834" spans="1:16" s="135" customFormat="1" ht="15.75" x14ac:dyDescent="0.25">
      <c r="A834" s="109"/>
      <c r="B834" s="109"/>
      <c r="C834" s="118" t="str">
        <f t="shared" si="24"/>
        <v/>
      </c>
      <c r="D834" s="118" t="str">
        <f t="shared" si="25"/>
        <v/>
      </c>
      <c r="E834" s="121"/>
      <c r="F834" s="121"/>
      <c r="G834" s="121"/>
      <c r="H834" s="121"/>
      <c r="I834" s="142"/>
      <c r="J834" s="121"/>
      <c r="K834" s="121"/>
      <c r="L834" s="144"/>
      <c r="M834" s="144"/>
      <c r="N834" s="144"/>
      <c r="O834" s="144"/>
      <c r="P834" s="144"/>
    </row>
    <row r="835" spans="1:16" s="135" customFormat="1" ht="15.75" x14ac:dyDescent="0.25">
      <c r="A835" s="109"/>
      <c r="B835" s="109"/>
      <c r="C835" s="118" t="str">
        <f t="shared" si="24"/>
        <v/>
      </c>
      <c r="D835" s="118" t="str">
        <f t="shared" si="25"/>
        <v/>
      </c>
      <c r="E835" s="121"/>
      <c r="F835" s="121"/>
      <c r="G835" s="121"/>
      <c r="H835" s="121"/>
      <c r="I835" s="142"/>
      <c r="J835" s="121"/>
      <c r="K835" s="121"/>
      <c r="L835" s="144"/>
      <c r="M835" s="144"/>
      <c r="N835" s="144"/>
      <c r="O835" s="144"/>
      <c r="P835" s="144"/>
    </row>
    <row r="836" spans="1:16" s="135" customFormat="1" ht="15.75" x14ac:dyDescent="0.25">
      <c r="A836" s="109"/>
      <c r="B836" s="109"/>
      <c r="C836" s="118" t="str">
        <f t="shared" si="24"/>
        <v/>
      </c>
      <c r="D836" s="118" t="str">
        <f t="shared" si="25"/>
        <v/>
      </c>
      <c r="E836" s="121"/>
      <c r="F836" s="121"/>
      <c r="G836" s="121"/>
      <c r="H836" s="121"/>
      <c r="I836" s="142"/>
      <c r="J836" s="121"/>
      <c r="K836" s="121"/>
      <c r="L836" s="144"/>
      <c r="M836" s="144"/>
      <c r="N836" s="144"/>
      <c r="O836" s="144"/>
      <c r="P836" s="144"/>
    </row>
    <row r="837" spans="1:16" s="135" customFormat="1" ht="15.75" x14ac:dyDescent="0.25">
      <c r="A837" s="109"/>
      <c r="B837" s="109"/>
      <c r="C837" s="118" t="str">
        <f t="shared" si="24"/>
        <v/>
      </c>
      <c r="D837" s="118" t="str">
        <f t="shared" si="25"/>
        <v/>
      </c>
      <c r="E837" s="121"/>
      <c r="F837" s="121"/>
      <c r="G837" s="121"/>
      <c r="H837" s="121"/>
      <c r="I837" s="142"/>
      <c r="J837" s="121"/>
      <c r="K837" s="121"/>
      <c r="L837" s="144"/>
      <c r="M837" s="144"/>
      <c r="N837" s="144"/>
      <c r="O837" s="144"/>
      <c r="P837" s="144"/>
    </row>
    <row r="838" spans="1:16" s="135" customFormat="1" ht="15.75" x14ac:dyDescent="0.25">
      <c r="A838" s="109"/>
      <c r="B838" s="109"/>
      <c r="C838" s="118" t="str">
        <f t="shared" si="24"/>
        <v/>
      </c>
      <c r="D838" s="118" t="str">
        <f t="shared" si="25"/>
        <v/>
      </c>
      <c r="E838" s="121"/>
      <c r="F838" s="121"/>
      <c r="G838" s="121"/>
      <c r="H838" s="121"/>
      <c r="I838" s="142"/>
      <c r="J838" s="121"/>
      <c r="K838" s="121"/>
      <c r="L838" s="144"/>
      <c r="M838" s="144"/>
      <c r="N838" s="144"/>
      <c r="O838" s="144"/>
      <c r="P838" s="144"/>
    </row>
    <row r="839" spans="1:16" s="135" customFormat="1" ht="15.75" x14ac:dyDescent="0.25">
      <c r="A839" s="109"/>
      <c r="B839" s="109"/>
      <c r="C839" s="118" t="str">
        <f t="shared" si="24"/>
        <v/>
      </c>
      <c r="D839" s="118" t="str">
        <f t="shared" si="25"/>
        <v/>
      </c>
      <c r="E839" s="121"/>
      <c r="F839" s="121"/>
      <c r="G839" s="121"/>
      <c r="H839" s="121"/>
      <c r="I839" s="142"/>
      <c r="J839" s="121"/>
      <c r="K839" s="121"/>
      <c r="L839" s="144"/>
      <c r="M839" s="144"/>
      <c r="N839" s="144"/>
      <c r="O839" s="144"/>
      <c r="P839" s="144"/>
    </row>
    <row r="840" spans="1:16" s="135" customFormat="1" ht="15.75" x14ac:dyDescent="0.25">
      <c r="A840" s="109"/>
      <c r="B840" s="109"/>
      <c r="C840" s="118" t="str">
        <f t="shared" si="24"/>
        <v/>
      </c>
      <c r="D840" s="118" t="str">
        <f t="shared" si="25"/>
        <v/>
      </c>
      <c r="E840" s="121"/>
      <c r="F840" s="121"/>
      <c r="G840" s="121"/>
      <c r="H840" s="121"/>
      <c r="I840" s="142"/>
      <c r="J840" s="121"/>
      <c r="K840" s="121"/>
      <c r="L840" s="144"/>
      <c r="M840" s="144"/>
      <c r="N840" s="144"/>
      <c r="O840" s="144"/>
      <c r="P840" s="144"/>
    </row>
    <row r="841" spans="1:16" s="135" customFormat="1" ht="15.75" x14ac:dyDescent="0.25">
      <c r="A841" s="109"/>
      <c r="B841" s="109"/>
      <c r="C841" s="118" t="str">
        <f t="shared" si="24"/>
        <v/>
      </c>
      <c r="D841" s="118" t="str">
        <f t="shared" si="25"/>
        <v/>
      </c>
      <c r="E841" s="121"/>
      <c r="F841" s="121"/>
      <c r="G841" s="121"/>
      <c r="H841" s="121"/>
      <c r="I841" s="142"/>
      <c r="J841" s="121"/>
      <c r="K841" s="121"/>
      <c r="L841" s="144"/>
      <c r="M841" s="144"/>
      <c r="N841" s="144"/>
      <c r="O841" s="144"/>
      <c r="P841" s="144"/>
    </row>
    <row r="842" spans="1:16" s="135" customFormat="1" ht="15.75" x14ac:dyDescent="0.25">
      <c r="A842" s="109"/>
      <c r="B842" s="109"/>
      <c r="C842" s="118" t="str">
        <f t="shared" si="24"/>
        <v/>
      </c>
      <c r="D842" s="118" t="str">
        <f t="shared" si="25"/>
        <v/>
      </c>
      <c r="E842" s="121"/>
      <c r="F842" s="121"/>
      <c r="G842" s="121"/>
      <c r="H842" s="121"/>
      <c r="I842" s="142"/>
      <c r="J842" s="121"/>
      <c r="K842" s="121"/>
      <c r="L842" s="144"/>
      <c r="M842" s="144"/>
      <c r="N842" s="144"/>
      <c r="O842" s="144"/>
      <c r="P842" s="144"/>
    </row>
    <row r="843" spans="1:16" s="135" customFormat="1" ht="15.75" x14ac:dyDescent="0.25">
      <c r="A843" s="109"/>
      <c r="B843" s="109"/>
      <c r="C843" s="118" t="str">
        <f t="shared" si="24"/>
        <v/>
      </c>
      <c r="D843" s="118" t="str">
        <f t="shared" si="25"/>
        <v/>
      </c>
      <c r="E843" s="121"/>
      <c r="F843" s="121"/>
      <c r="G843" s="121"/>
      <c r="H843" s="121"/>
      <c r="I843" s="142"/>
      <c r="J843" s="121"/>
      <c r="K843" s="121"/>
      <c r="L843" s="144"/>
      <c r="M843" s="144"/>
      <c r="N843" s="144"/>
      <c r="O843" s="144"/>
      <c r="P843" s="144"/>
    </row>
    <row r="844" spans="1:16" s="135" customFormat="1" ht="15.75" x14ac:dyDescent="0.25">
      <c r="A844" s="109"/>
      <c r="B844" s="109"/>
      <c r="C844" s="118" t="str">
        <f t="shared" si="24"/>
        <v/>
      </c>
      <c r="D844" s="118" t="str">
        <f t="shared" si="25"/>
        <v/>
      </c>
      <c r="E844" s="121"/>
      <c r="F844" s="121"/>
      <c r="G844" s="121"/>
      <c r="H844" s="121"/>
      <c r="I844" s="142"/>
      <c r="J844" s="121"/>
      <c r="K844" s="121"/>
      <c r="L844" s="144"/>
      <c r="M844" s="144"/>
      <c r="N844" s="144"/>
      <c r="O844" s="144"/>
      <c r="P844" s="144"/>
    </row>
    <row r="845" spans="1:16" s="135" customFormat="1" ht="15.75" x14ac:dyDescent="0.25">
      <c r="A845" s="109"/>
      <c r="B845" s="109"/>
      <c r="C845" s="118" t="str">
        <f t="shared" si="24"/>
        <v/>
      </c>
      <c r="D845" s="118" t="str">
        <f t="shared" si="25"/>
        <v/>
      </c>
      <c r="E845" s="121"/>
      <c r="F845" s="121"/>
      <c r="G845" s="121"/>
      <c r="H845" s="121"/>
      <c r="I845" s="142"/>
      <c r="J845" s="121"/>
      <c r="K845" s="121"/>
      <c r="L845" s="144"/>
      <c r="M845" s="144"/>
      <c r="N845" s="144"/>
      <c r="O845" s="144"/>
      <c r="P845" s="144"/>
    </row>
    <row r="846" spans="1:16" s="135" customFormat="1" ht="15.75" x14ac:dyDescent="0.25">
      <c r="A846" s="109"/>
      <c r="B846" s="109"/>
      <c r="C846" s="118" t="str">
        <f t="shared" si="24"/>
        <v/>
      </c>
      <c r="D846" s="118" t="str">
        <f t="shared" si="25"/>
        <v/>
      </c>
      <c r="E846" s="121"/>
      <c r="F846" s="121"/>
      <c r="G846" s="121"/>
      <c r="H846" s="121"/>
      <c r="I846" s="142"/>
      <c r="J846" s="121"/>
      <c r="K846" s="121"/>
      <c r="L846" s="144"/>
      <c r="M846" s="144"/>
      <c r="N846" s="144"/>
      <c r="O846" s="144"/>
      <c r="P846" s="144"/>
    </row>
    <row r="847" spans="1:16" s="135" customFormat="1" ht="15.75" x14ac:dyDescent="0.25">
      <c r="A847" s="109"/>
      <c r="B847" s="109"/>
      <c r="C847" s="118" t="str">
        <f t="shared" si="24"/>
        <v/>
      </c>
      <c r="D847" s="118" t="str">
        <f t="shared" si="25"/>
        <v/>
      </c>
      <c r="E847" s="121"/>
      <c r="F847" s="121"/>
      <c r="G847" s="121"/>
      <c r="H847" s="121"/>
      <c r="I847" s="142"/>
      <c r="J847" s="121"/>
      <c r="K847" s="121"/>
      <c r="L847" s="144"/>
      <c r="M847" s="144"/>
      <c r="N847" s="144"/>
      <c r="O847" s="144"/>
      <c r="P847" s="144"/>
    </row>
    <row r="848" spans="1:16" s="135" customFormat="1" ht="15.75" x14ac:dyDescent="0.25">
      <c r="A848" s="109"/>
      <c r="B848" s="109"/>
      <c r="C848" s="118" t="str">
        <f t="shared" si="24"/>
        <v/>
      </c>
      <c r="D848" s="118" t="str">
        <f t="shared" si="25"/>
        <v/>
      </c>
      <c r="E848" s="121"/>
      <c r="F848" s="121"/>
      <c r="G848" s="121"/>
      <c r="H848" s="121"/>
      <c r="I848" s="142"/>
      <c r="J848" s="121"/>
      <c r="K848" s="121"/>
      <c r="L848" s="144"/>
      <c r="M848" s="144"/>
      <c r="N848" s="144"/>
      <c r="O848" s="144"/>
      <c r="P848" s="144"/>
    </row>
    <row r="849" spans="1:16" s="135" customFormat="1" ht="15.75" x14ac:dyDescent="0.25">
      <c r="A849" s="109"/>
      <c r="B849" s="109"/>
      <c r="C849" s="118" t="str">
        <f t="shared" si="24"/>
        <v/>
      </c>
      <c r="D849" s="118" t="str">
        <f t="shared" si="25"/>
        <v/>
      </c>
      <c r="E849" s="121"/>
      <c r="F849" s="121"/>
      <c r="G849" s="121"/>
      <c r="H849" s="121"/>
      <c r="I849" s="142"/>
      <c r="J849" s="121"/>
      <c r="K849" s="121"/>
      <c r="L849" s="144"/>
      <c r="M849" s="144"/>
      <c r="N849" s="144"/>
      <c r="O849" s="144"/>
      <c r="P849" s="144"/>
    </row>
    <row r="850" spans="1:16" s="135" customFormat="1" ht="15.75" x14ac:dyDescent="0.25">
      <c r="A850" s="109"/>
      <c r="B850" s="109"/>
      <c r="C850" s="118" t="str">
        <f t="shared" si="24"/>
        <v/>
      </c>
      <c r="D850" s="118" t="str">
        <f t="shared" si="25"/>
        <v/>
      </c>
      <c r="E850" s="121"/>
      <c r="F850" s="121"/>
      <c r="G850" s="121"/>
      <c r="H850" s="121"/>
      <c r="I850" s="142"/>
      <c r="J850" s="121"/>
      <c r="K850" s="121"/>
      <c r="L850" s="144"/>
      <c r="M850" s="144"/>
      <c r="N850" s="144"/>
      <c r="O850" s="144"/>
      <c r="P850" s="144"/>
    </row>
    <row r="851" spans="1:16" s="135" customFormat="1" ht="15.75" x14ac:dyDescent="0.25">
      <c r="A851" s="109"/>
      <c r="B851" s="109"/>
      <c r="C851" s="118" t="str">
        <f t="shared" si="24"/>
        <v/>
      </c>
      <c r="D851" s="118" t="str">
        <f t="shared" si="25"/>
        <v/>
      </c>
      <c r="E851" s="121"/>
      <c r="F851" s="121"/>
      <c r="G851" s="121"/>
      <c r="H851" s="121"/>
      <c r="I851" s="142"/>
      <c r="J851" s="121"/>
      <c r="K851" s="121"/>
      <c r="L851" s="144"/>
      <c r="M851" s="144"/>
      <c r="N851" s="144"/>
      <c r="O851" s="144"/>
      <c r="P851" s="144"/>
    </row>
    <row r="852" spans="1:16" s="135" customFormat="1" ht="15.75" x14ac:dyDescent="0.25">
      <c r="A852" s="109"/>
      <c r="B852" s="109"/>
      <c r="C852" s="118" t="str">
        <f t="shared" ref="C852:C915" si="26">IF(A852=0,"",VLOOKUP(B852,MatDB,2,FALSE))</f>
        <v/>
      </c>
      <c r="D852" s="118" t="str">
        <f t="shared" si="25"/>
        <v/>
      </c>
      <c r="E852" s="121"/>
      <c r="F852" s="121"/>
      <c r="G852" s="121"/>
      <c r="H852" s="121"/>
      <c r="I852" s="142"/>
      <c r="J852" s="121"/>
      <c r="K852" s="121"/>
      <c r="L852" s="144"/>
      <c r="M852" s="144"/>
      <c r="N852" s="144"/>
      <c r="O852" s="144"/>
      <c r="P852" s="144"/>
    </row>
    <row r="853" spans="1:16" s="135" customFormat="1" ht="15.75" x14ac:dyDescent="0.25">
      <c r="A853" s="109"/>
      <c r="B853" s="109"/>
      <c r="C853" s="118" t="str">
        <f t="shared" si="26"/>
        <v/>
      </c>
      <c r="D853" s="118" t="str">
        <f t="shared" ref="D853:D916" si="27">IF(A853=0,"","Steel02")</f>
        <v/>
      </c>
      <c r="E853" s="121"/>
      <c r="F853" s="121"/>
      <c r="G853" s="121"/>
      <c r="H853" s="121"/>
      <c r="I853" s="142"/>
      <c r="J853" s="121"/>
      <c r="K853" s="121"/>
      <c r="L853" s="144"/>
      <c r="M853" s="144"/>
      <c r="N853" s="144"/>
      <c r="O853" s="144"/>
      <c r="P853" s="144"/>
    </row>
    <row r="854" spans="1:16" s="135" customFormat="1" ht="15.75" x14ac:dyDescent="0.25">
      <c r="A854" s="109"/>
      <c r="B854" s="109"/>
      <c r="C854" s="118" t="str">
        <f t="shared" si="26"/>
        <v/>
      </c>
      <c r="D854" s="118" t="str">
        <f t="shared" si="27"/>
        <v/>
      </c>
      <c r="E854" s="121"/>
      <c r="F854" s="121"/>
      <c r="G854" s="121"/>
      <c r="H854" s="121"/>
      <c r="I854" s="142"/>
      <c r="J854" s="121"/>
      <c r="K854" s="121"/>
      <c r="L854" s="144"/>
      <c r="M854" s="144"/>
      <c r="N854" s="144"/>
      <c r="O854" s="144"/>
      <c r="P854" s="144"/>
    </row>
    <row r="855" spans="1:16" s="135" customFormat="1" ht="15.75" x14ac:dyDescent="0.25">
      <c r="A855" s="109"/>
      <c r="B855" s="109"/>
      <c r="C855" s="118" t="str">
        <f t="shared" si="26"/>
        <v/>
      </c>
      <c r="D855" s="118" t="str">
        <f t="shared" si="27"/>
        <v/>
      </c>
      <c r="E855" s="121"/>
      <c r="F855" s="121"/>
      <c r="G855" s="121"/>
      <c r="H855" s="121"/>
      <c r="I855" s="142"/>
      <c r="J855" s="121"/>
      <c r="K855" s="121"/>
      <c r="L855" s="144"/>
      <c r="M855" s="144"/>
      <c r="N855" s="144"/>
      <c r="O855" s="144"/>
      <c r="P855" s="144"/>
    </row>
    <row r="856" spans="1:16" s="135" customFormat="1" ht="15.75" x14ac:dyDescent="0.25">
      <c r="A856" s="109"/>
      <c r="B856" s="109"/>
      <c r="C856" s="118" t="str">
        <f t="shared" si="26"/>
        <v/>
      </c>
      <c r="D856" s="118" t="str">
        <f t="shared" si="27"/>
        <v/>
      </c>
      <c r="E856" s="121"/>
      <c r="F856" s="121"/>
      <c r="G856" s="121"/>
      <c r="H856" s="121"/>
      <c r="I856" s="142"/>
      <c r="J856" s="121"/>
      <c r="K856" s="121"/>
      <c r="L856" s="144"/>
      <c r="M856" s="144"/>
      <c r="N856" s="144"/>
      <c r="O856" s="144"/>
      <c r="P856" s="144"/>
    </row>
    <row r="857" spans="1:16" s="135" customFormat="1" ht="15.75" x14ac:dyDescent="0.25">
      <c r="A857" s="109"/>
      <c r="B857" s="109"/>
      <c r="C857" s="118" t="str">
        <f t="shared" si="26"/>
        <v/>
      </c>
      <c r="D857" s="118" t="str">
        <f t="shared" si="27"/>
        <v/>
      </c>
      <c r="E857" s="121"/>
      <c r="F857" s="121"/>
      <c r="G857" s="121"/>
      <c r="H857" s="121"/>
      <c r="I857" s="142"/>
      <c r="J857" s="121"/>
      <c r="K857" s="121"/>
      <c r="L857" s="144"/>
      <c r="M857" s="144"/>
      <c r="N857" s="144"/>
      <c r="O857" s="144"/>
      <c r="P857" s="144"/>
    </row>
    <row r="858" spans="1:16" s="135" customFormat="1" ht="15.75" x14ac:dyDescent="0.25">
      <c r="A858" s="109"/>
      <c r="B858" s="109"/>
      <c r="C858" s="118" t="str">
        <f t="shared" si="26"/>
        <v/>
      </c>
      <c r="D858" s="118" t="str">
        <f t="shared" si="27"/>
        <v/>
      </c>
      <c r="E858" s="121"/>
      <c r="F858" s="121"/>
      <c r="G858" s="121"/>
      <c r="H858" s="121"/>
      <c r="I858" s="142"/>
      <c r="J858" s="121"/>
      <c r="K858" s="121"/>
      <c r="L858" s="144"/>
      <c r="M858" s="144"/>
      <c r="N858" s="144"/>
      <c r="O858" s="144"/>
      <c r="P858" s="144"/>
    </row>
    <row r="859" spans="1:16" s="135" customFormat="1" ht="15.75" x14ac:dyDescent="0.25">
      <c r="A859" s="109"/>
      <c r="B859" s="109"/>
      <c r="C859" s="118" t="str">
        <f t="shared" si="26"/>
        <v/>
      </c>
      <c r="D859" s="118" t="str">
        <f t="shared" si="27"/>
        <v/>
      </c>
      <c r="E859" s="121"/>
      <c r="F859" s="121"/>
      <c r="G859" s="121"/>
      <c r="H859" s="121"/>
      <c r="I859" s="142"/>
      <c r="J859" s="121"/>
      <c r="K859" s="121"/>
      <c r="L859" s="144"/>
      <c r="M859" s="144"/>
      <c r="N859" s="144"/>
      <c r="O859" s="144"/>
      <c r="P859" s="144"/>
    </row>
    <row r="860" spans="1:16" s="135" customFormat="1" ht="15.75" x14ac:dyDescent="0.25">
      <c r="A860" s="109"/>
      <c r="B860" s="109"/>
      <c r="C860" s="118" t="str">
        <f t="shared" si="26"/>
        <v/>
      </c>
      <c r="D860" s="118" t="str">
        <f t="shared" si="27"/>
        <v/>
      </c>
      <c r="E860" s="121"/>
      <c r="F860" s="121"/>
      <c r="G860" s="121"/>
      <c r="H860" s="121"/>
      <c r="I860" s="142"/>
      <c r="J860" s="121"/>
      <c r="K860" s="121"/>
      <c r="L860" s="144"/>
      <c r="M860" s="144"/>
      <c r="N860" s="144"/>
      <c r="O860" s="144"/>
      <c r="P860" s="144"/>
    </row>
    <row r="861" spans="1:16" s="135" customFormat="1" ht="15.75" x14ac:dyDescent="0.25">
      <c r="A861" s="109"/>
      <c r="B861" s="109"/>
      <c r="C861" s="118" t="str">
        <f t="shared" si="26"/>
        <v/>
      </c>
      <c r="D861" s="118" t="str">
        <f t="shared" si="27"/>
        <v/>
      </c>
      <c r="E861" s="121"/>
      <c r="F861" s="121"/>
      <c r="G861" s="121"/>
      <c r="H861" s="121"/>
      <c r="I861" s="142"/>
      <c r="J861" s="121"/>
      <c r="K861" s="121"/>
      <c r="L861" s="144"/>
      <c r="M861" s="144"/>
      <c r="N861" s="144"/>
      <c r="O861" s="144"/>
      <c r="P861" s="144"/>
    </row>
    <row r="862" spans="1:16" s="135" customFormat="1" ht="15.75" x14ac:dyDescent="0.25">
      <c r="A862" s="109"/>
      <c r="B862" s="109"/>
      <c r="C862" s="118" t="str">
        <f t="shared" si="26"/>
        <v/>
      </c>
      <c r="D862" s="118" t="str">
        <f t="shared" si="27"/>
        <v/>
      </c>
      <c r="E862" s="121"/>
      <c r="F862" s="121"/>
      <c r="G862" s="121"/>
      <c r="H862" s="121"/>
      <c r="I862" s="142"/>
      <c r="J862" s="121"/>
      <c r="K862" s="121"/>
      <c r="L862" s="144"/>
      <c r="M862" s="144"/>
      <c r="N862" s="144"/>
      <c r="O862" s="144"/>
      <c r="P862" s="144"/>
    </row>
    <row r="863" spans="1:16" s="135" customFormat="1" ht="15.75" x14ac:dyDescent="0.25">
      <c r="A863" s="109"/>
      <c r="B863" s="109"/>
      <c r="C863" s="118" t="str">
        <f t="shared" si="26"/>
        <v/>
      </c>
      <c r="D863" s="118" t="str">
        <f t="shared" si="27"/>
        <v/>
      </c>
      <c r="E863" s="121"/>
      <c r="F863" s="121"/>
      <c r="G863" s="121"/>
      <c r="H863" s="121"/>
      <c r="I863" s="142"/>
      <c r="J863" s="121"/>
      <c r="K863" s="121"/>
      <c r="L863" s="144"/>
      <c r="M863" s="144"/>
      <c r="N863" s="144"/>
      <c r="O863" s="144"/>
      <c r="P863" s="144"/>
    </row>
    <row r="864" spans="1:16" s="135" customFormat="1" ht="15.75" x14ac:dyDescent="0.25">
      <c r="A864" s="109"/>
      <c r="B864" s="109"/>
      <c r="C864" s="118" t="str">
        <f t="shared" si="26"/>
        <v/>
      </c>
      <c r="D864" s="118" t="str">
        <f t="shared" si="27"/>
        <v/>
      </c>
      <c r="E864" s="121"/>
      <c r="F864" s="121"/>
      <c r="G864" s="121"/>
      <c r="H864" s="121"/>
      <c r="I864" s="142"/>
      <c r="J864" s="121"/>
      <c r="K864" s="121"/>
      <c r="L864" s="144"/>
      <c r="M864" s="144"/>
      <c r="N864" s="144"/>
      <c r="O864" s="144"/>
      <c r="P864" s="144"/>
    </row>
    <row r="865" spans="1:16" s="135" customFormat="1" ht="15.75" x14ac:dyDescent="0.25">
      <c r="A865" s="109"/>
      <c r="B865" s="109"/>
      <c r="C865" s="118" t="str">
        <f t="shared" si="26"/>
        <v/>
      </c>
      <c r="D865" s="118" t="str">
        <f t="shared" si="27"/>
        <v/>
      </c>
      <c r="E865" s="121"/>
      <c r="F865" s="121"/>
      <c r="G865" s="121"/>
      <c r="H865" s="121"/>
      <c r="I865" s="142"/>
      <c r="J865" s="121"/>
      <c r="K865" s="121"/>
      <c r="L865" s="144"/>
      <c r="M865" s="144"/>
      <c r="N865" s="144"/>
      <c r="O865" s="144"/>
      <c r="P865" s="144"/>
    </row>
    <row r="866" spans="1:16" s="135" customFormat="1" ht="15.75" x14ac:dyDescent="0.25">
      <c r="A866" s="109"/>
      <c r="B866" s="109"/>
      <c r="C866" s="118" t="str">
        <f t="shared" si="26"/>
        <v/>
      </c>
      <c r="D866" s="118" t="str">
        <f t="shared" si="27"/>
        <v/>
      </c>
      <c r="E866" s="121"/>
      <c r="F866" s="121"/>
      <c r="G866" s="121"/>
      <c r="H866" s="121"/>
      <c r="I866" s="142"/>
      <c r="J866" s="121"/>
      <c r="K866" s="121"/>
      <c r="L866" s="144"/>
      <c r="M866" s="144"/>
      <c r="N866" s="144"/>
      <c r="O866" s="144"/>
      <c r="P866" s="144"/>
    </row>
    <row r="867" spans="1:16" s="135" customFormat="1" ht="15.75" x14ac:dyDescent="0.25">
      <c r="A867" s="109"/>
      <c r="B867" s="109"/>
      <c r="C867" s="118" t="str">
        <f t="shared" si="26"/>
        <v/>
      </c>
      <c r="D867" s="118" t="str">
        <f t="shared" si="27"/>
        <v/>
      </c>
      <c r="E867" s="121"/>
      <c r="F867" s="121"/>
      <c r="G867" s="121"/>
      <c r="H867" s="121"/>
      <c r="I867" s="142"/>
      <c r="J867" s="121"/>
      <c r="K867" s="121"/>
      <c r="L867" s="144"/>
      <c r="M867" s="144"/>
      <c r="N867" s="144"/>
      <c r="O867" s="144"/>
      <c r="P867" s="144"/>
    </row>
    <row r="868" spans="1:16" s="135" customFormat="1" ht="15.75" x14ac:dyDescent="0.25">
      <c r="A868" s="109"/>
      <c r="B868" s="109"/>
      <c r="C868" s="118" t="str">
        <f t="shared" si="26"/>
        <v/>
      </c>
      <c r="D868" s="118" t="str">
        <f t="shared" si="27"/>
        <v/>
      </c>
      <c r="E868" s="121"/>
      <c r="F868" s="121"/>
      <c r="G868" s="121"/>
      <c r="H868" s="121"/>
      <c r="I868" s="142"/>
      <c r="J868" s="121"/>
      <c r="K868" s="121"/>
      <c r="L868" s="144"/>
      <c r="M868" s="144"/>
      <c r="N868" s="144"/>
      <c r="O868" s="144"/>
      <c r="P868" s="144"/>
    </row>
    <row r="869" spans="1:16" s="135" customFormat="1" ht="15.75" x14ac:dyDescent="0.25">
      <c r="A869" s="109"/>
      <c r="B869" s="109"/>
      <c r="C869" s="118" t="str">
        <f t="shared" si="26"/>
        <v/>
      </c>
      <c r="D869" s="118" t="str">
        <f t="shared" si="27"/>
        <v/>
      </c>
      <c r="E869" s="121"/>
      <c r="F869" s="121"/>
      <c r="G869" s="121"/>
      <c r="H869" s="121"/>
      <c r="I869" s="142"/>
      <c r="J869" s="121"/>
      <c r="K869" s="121"/>
      <c r="L869" s="144"/>
      <c r="M869" s="144"/>
      <c r="N869" s="144"/>
      <c r="O869" s="144"/>
      <c r="P869" s="144"/>
    </row>
    <row r="870" spans="1:16" s="135" customFormat="1" ht="15.75" x14ac:dyDescent="0.25">
      <c r="A870" s="109"/>
      <c r="B870" s="109"/>
      <c r="C870" s="118" t="str">
        <f t="shared" si="26"/>
        <v/>
      </c>
      <c r="D870" s="118" t="str">
        <f t="shared" si="27"/>
        <v/>
      </c>
      <c r="E870" s="121"/>
      <c r="F870" s="121"/>
      <c r="G870" s="121"/>
      <c r="H870" s="121"/>
      <c r="I870" s="142"/>
      <c r="J870" s="121"/>
      <c r="K870" s="121"/>
      <c r="L870" s="144"/>
      <c r="M870" s="144"/>
      <c r="N870" s="144"/>
      <c r="O870" s="144"/>
      <c r="P870" s="144"/>
    </row>
    <row r="871" spans="1:16" s="135" customFormat="1" ht="15.75" x14ac:dyDescent="0.25">
      <c r="A871" s="109"/>
      <c r="B871" s="109"/>
      <c r="C871" s="118" t="str">
        <f t="shared" si="26"/>
        <v/>
      </c>
      <c r="D871" s="118" t="str">
        <f t="shared" si="27"/>
        <v/>
      </c>
      <c r="E871" s="121"/>
      <c r="F871" s="121"/>
      <c r="G871" s="121"/>
      <c r="H871" s="121"/>
      <c r="I871" s="142"/>
      <c r="J871" s="121"/>
      <c r="K871" s="121"/>
      <c r="L871" s="144"/>
      <c r="M871" s="144"/>
      <c r="N871" s="144"/>
      <c r="O871" s="144"/>
      <c r="P871" s="144"/>
    </row>
    <row r="872" spans="1:16" s="135" customFormat="1" ht="15.75" x14ac:dyDescent="0.25">
      <c r="A872" s="109"/>
      <c r="B872" s="109"/>
      <c r="C872" s="118" t="str">
        <f t="shared" si="26"/>
        <v/>
      </c>
      <c r="D872" s="118" t="str">
        <f t="shared" si="27"/>
        <v/>
      </c>
      <c r="E872" s="121"/>
      <c r="F872" s="121"/>
      <c r="G872" s="121"/>
      <c r="H872" s="121"/>
      <c r="I872" s="142"/>
      <c r="J872" s="121"/>
      <c r="K872" s="121"/>
      <c r="L872" s="144"/>
      <c r="M872" s="144"/>
      <c r="N872" s="144"/>
      <c r="O872" s="144"/>
      <c r="P872" s="144"/>
    </row>
    <row r="873" spans="1:16" s="135" customFormat="1" ht="15.75" x14ac:dyDescent="0.25">
      <c r="A873" s="109"/>
      <c r="B873" s="109"/>
      <c r="C873" s="118" t="str">
        <f t="shared" si="26"/>
        <v/>
      </c>
      <c r="D873" s="118" t="str">
        <f t="shared" si="27"/>
        <v/>
      </c>
      <c r="E873" s="121"/>
      <c r="F873" s="121"/>
      <c r="G873" s="121"/>
      <c r="H873" s="121"/>
      <c r="I873" s="142"/>
      <c r="J873" s="121"/>
      <c r="K873" s="121"/>
      <c r="L873" s="144"/>
      <c r="M873" s="144"/>
      <c r="N873" s="144"/>
      <c r="O873" s="144"/>
      <c r="P873" s="144"/>
    </row>
    <row r="874" spans="1:16" s="135" customFormat="1" ht="15.75" x14ac:dyDescent="0.25">
      <c r="A874" s="109"/>
      <c r="B874" s="109"/>
      <c r="C874" s="118" t="str">
        <f t="shared" si="26"/>
        <v/>
      </c>
      <c r="D874" s="118" t="str">
        <f t="shared" si="27"/>
        <v/>
      </c>
      <c r="E874" s="121"/>
      <c r="F874" s="121"/>
      <c r="G874" s="121"/>
      <c r="H874" s="121"/>
      <c r="I874" s="142"/>
      <c r="J874" s="121"/>
      <c r="K874" s="121"/>
      <c r="L874" s="144"/>
      <c r="M874" s="144"/>
      <c r="N874" s="144"/>
      <c r="O874" s="144"/>
      <c r="P874" s="144"/>
    </row>
    <row r="875" spans="1:16" s="135" customFormat="1" ht="15.75" x14ac:dyDescent="0.25">
      <c r="A875" s="109"/>
      <c r="B875" s="109"/>
      <c r="C875" s="118" t="str">
        <f t="shared" si="26"/>
        <v/>
      </c>
      <c r="D875" s="118" t="str">
        <f t="shared" si="27"/>
        <v/>
      </c>
      <c r="E875" s="121"/>
      <c r="F875" s="121"/>
      <c r="G875" s="121"/>
      <c r="H875" s="121"/>
      <c r="I875" s="142"/>
      <c r="J875" s="121"/>
      <c r="K875" s="121"/>
      <c r="L875" s="144"/>
      <c r="M875" s="144"/>
      <c r="N875" s="144"/>
      <c r="O875" s="144"/>
      <c r="P875" s="144"/>
    </row>
    <row r="876" spans="1:16" s="135" customFormat="1" ht="15.75" x14ac:dyDescent="0.25">
      <c r="A876" s="109"/>
      <c r="B876" s="109"/>
      <c r="C876" s="118" t="str">
        <f t="shared" si="26"/>
        <v/>
      </c>
      <c r="D876" s="118" t="str">
        <f t="shared" si="27"/>
        <v/>
      </c>
      <c r="E876" s="121"/>
      <c r="F876" s="121"/>
      <c r="G876" s="121"/>
      <c r="H876" s="121"/>
      <c r="I876" s="142"/>
      <c r="J876" s="121"/>
      <c r="K876" s="121"/>
      <c r="L876" s="144"/>
      <c r="M876" s="144"/>
      <c r="N876" s="144"/>
      <c r="O876" s="144"/>
      <c r="P876" s="144"/>
    </row>
    <row r="877" spans="1:16" s="135" customFormat="1" ht="15.75" x14ac:dyDescent="0.25">
      <c r="A877" s="109"/>
      <c r="B877" s="109"/>
      <c r="C877" s="118" t="str">
        <f t="shared" si="26"/>
        <v/>
      </c>
      <c r="D877" s="118" t="str">
        <f t="shared" si="27"/>
        <v/>
      </c>
      <c r="E877" s="121"/>
      <c r="F877" s="121"/>
      <c r="G877" s="121"/>
      <c r="H877" s="121"/>
      <c r="I877" s="142"/>
      <c r="J877" s="121"/>
      <c r="K877" s="121"/>
      <c r="L877" s="144"/>
      <c r="M877" s="144"/>
      <c r="N877" s="144"/>
      <c r="O877" s="144"/>
      <c r="P877" s="144"/>
    </row>
    <row r="878" spans="1:16" s="135" customFormat="1" ht="15.75" x14ac:dyDescent="0.25">
      <c r="A878" s="109"/>
      <c r="B878" s="109"/>
      <c r="C878" s="118" t="str">
        <f t="shared" si="26"/>
        <v/>
      </c>
      <c r="D878" s="118" t="str">
        <f t="shared" si="27"/>
        <v/>
      </c>
      <c r="E878" s="121"/>
      <c r="F878" s="121"/>
      <c r="G878" s="121"/>
      <c r="H878" s="121"/>
      <c r="I878" s="142"/>
      <c r="J878" s="121"/>
      <c r="K878" s="121"/>
      <c r="L878" s="144"/>
      <c r="M878" s="144"/>
      <c r="N878" s="144"/>
      <c r="O878" s="144"/>
      <c r="P878" s="144"/>
    </row>
    <row r="879" spans="1:16" s="135" customFormat="1" ht="15.75" x14ac:dyDescent="0.25">
      <c r="A879" s="109"/>
      <c r="B879" s="109"/>
      <c r="C879" s="118" t="str">
        <f t="shared" si="26"/>
        <v/>
      </c>
      <c r="D879" s="118" t="str">
        <f t="shared" si="27"/>
        <v/>
      </c>
      <c r="E879" s="121"/>
      <c r="F879" s="121"/>
      <c r="G879" s="121"/>
      <c r="H879" s="121"/>
      <c r="I879" s="142"/>
      <c r="J879" s="121"/>
      <c r="K879" s="121"/>
      <c r="L879" s="144"/>
      <c r="M879" s="144"/>
      <c r="N879" s="144"/>
      <c r="O879" s="144"/>
      <c r="P879" s="144"/>
    </row>
    <row r="880" spans="1:16" s="135" customFormat="1" ht="15.75" x14ac:dyDescent="0.25">
      <c r="A880" s="109"/>
      <c r="B880" s="109"/>
      <c r="C880" s="118" t="str">
        <f t="shared" si="26"/>
        <v/>
      </c>
      <c r="D880" s="118" t="str">
        <f t="shared" si="27"/>
        <v/>
      </c>
      <c r="E880" s="121"/>
      <c r="F880" s="121"/>
      <c r="G880" s="121"/>
      <c r="H880" s="121"/>
      <c r="I880" s="142"/>
      <c r="J880" s="121"/>
      <c r="K880" s="121"/>
      <c r="L880" s="144"/>
      <c r="M880" s="144"/>
      <c r="N880" s="144"/>
      <c r="O880" s="144"/>
      <c r="P880" s="144"/>
    </row>
    <row r="881" spans="1:16" s="135" customFormat="1" ht="15.75" x14ac:dyDescent="0.25">
      <c r="A881" s="109"/>
      <c r="B881" s="109"/>
      <c r="C881" s="118" t="str">
        <f t="shared" si="26"/>
        <v/>
      </c>
      <c r="D881" s="118" t="str">
        <f t="shared" si="27"/>
        <v/>
      </c>
      <c r="E881" s="121"/>
      <c r="F881" s="121"/>
      <c r="G881" s="121"/>
      <c r="H881" s="121"/>
      <c r="I881" s="142"/>
      <c r="J881" s="121"/>
      <c r="K881" s="121"/>
      <c r="L881" s="144"/>
      <c r="M881" s="144"/>
      <c r="N881" s="144"/>
      <c r="O881" s="144"/>
      <c r="P881" s="144"/>
    </row>
    <row r="882" spans="1:16" s="135" customFormat="1" ht="15.75" x14ac:dyDescent="0.25">
      <c r="A882" s="109"/>
      <c r="B882" s="109"/>
      <c r="C882" s="118" t="str">
        <f t="shared" si="26"/>
        <v/>
      </c>
      <c r="D882" s="118" t="str">
        <f t="shared" si="27"/>
        <v/>
      </c>
      <c r="E882" s="121"/>
      <c r="F882" s="121"/>
      <c r="G882" s="121"/>
      <c r="H882" s="121"/>
      <c r="I882" s="142"/>
      <c r="J882" s="121"/>
      <c r="K882" s="121"/>
      <c r="L882" s="144"/>
      <c r="M882" s="144"/>
      <c r="N882" s="144"/>
      <c r="O882" s="144"/>
      <c r="P882" s="144"/>
    </row>
    <row r="883" spans="1:16" s="135" customFormat="1" ht="15.75" x14ac:dyDescent="0.25">
      <c r="A883" s="109"/>
      <c r="B883" s="109"/>
      <c r="C883" s="118" t="str">
        <f t="shared" si="26"/>
        <v/>
      </c>
      <c r="D883" s="118" t="str">
        <f t="shared" si="27"/>
        <v/>
      </c>
      <c r="E883" s="121"/>
      <c r="F883" s="121"/>
      <c r="G883" s="121"/>
      <c r="H883" s="121"/>
      <c r="I883" s="142"/>
      <c r="J883" s="121"/>
      <c r="K883" s="121"/>
      <c r="L883" s="144"/>
      <c r="M883" s="144"/>
      <c r="N883" s="144"/>
      <c r="O883" s="144"/>
      <c r="P883" s="144"/>
    </row>
    <row r="884" spans="1:16" s="135" customFormat="1" ht="15.75" x14ac:dyDescent="0.25">
      <c r="A884" s="109"/>
      <c r="B884" s="109"/>
      <c r="C884" s="118" t="str">
        <f t="shared" si="26"/>
        <v/>
      </c>
      <c r="D884" s="118" t="str">
        <f t="shared" si="27"/>
        <v/>
      </c>
      <c r="E884" s="121"/>
      <c r="F884" s="121"/>
      <c r="G884" s="121"/>
      <c r="H884" s="121"/>
      <c r="I884" s="142"/>
      <c r="J884" s="121"/>
      <c r="K884" s="121"/>
      <c r="L884" s="144"/>
      <c r="M884" s="144"/>
      <c r="N884" s="144"/>
      <c r="O884" s="144"/>
      <c r="P884" s="144"/>
    </row>
    <row r="885" spans="1:16" s="135" customFormat="1" ht="15.75" x14ac:dyDescent="0.25">
      <c r="A885" s="109"/>
      <c r="B885" s="109"/>
      <c r="C885" s="118" t="str">
        <f t="shared" si="26"/>
        <v/>
      </c>
      <c r="D885" s="118" t="str">
        <f t="shared" si="27"/>
        <v/>
      </c>
      <c r="E885" s="121"/>
      <c r="F885" s="121"/>
      <c r="G885" s="121"/>
      <c r="H885" s="121"/>
      <c r="I885" s="142"/>
      <c r="J885" s="121"/>
      <c r="K885" s="121"/>
      <c r="L885" s="144"/>
      <c r="M885" s="144"/>
      <c r="N885" s="144"/>
      <c r="O885" s="144"/>
      <c r="P885" s="144"/>
    </row>
    <row r="886" spans="1:16" s="135" customFormat="1" ht="15.75" x14ac:dyDescent="0.25">
      <c r="A886" s="109"/>
      <c r="B886" s="109"/>
      <c r="C886" s="118" t="str">
        <f t="shared" si="26"/>
        <v/>
      </c>
      <c r="D886" s="118" t="str">
        <f t="shared" si="27"/>
        <v/>
      </c>
      <c r="E886" s="121"/>
      <c r="F886" s="121"/>
      <c r="G886" s="121"/>
      <c r="H886" s="121"/>
      <c r="I886" s="142"/>
      <c r="J886" s="121"/>
      <c r="K886" s="121"/>
      <c r="L886" s="144"/>
      <c r="M886" s="144"/>
      <c r="N886" s="144"/>
      <c r="O886" s="144"/>
      <c r="P886" s="144"/>
    </row>
    <row r="887" spans="1:16" s="135" customFormat="1" ht="15.75" x14ac:dyDescent="0.25">
      <c r="A887" s="109"/>
      <c r="B887" s="109"/>
      <c r="C887" s="118" t="str">
        <f t="shared" si="26"/>
        <v/>
      </c>
      <c r="D887" s="118" t="str">
        <f t="shared" si="27"/>
        <v/>
      </c>
      <c r="E887" s="121"/>
      <c r="F887" s="121"/>
      <c r="G887" s="121"/>
      <c r="H887" s="121"/>
      <c r="I887" s="142"/>
      <c r="J887" s="121"/>
      <c r="K887" s="121"/>
      <c r="L887" s="144"/>
      <c r="M887" s="144"/>
      <c r="N887" s="144"/>
      <c r="O887" s="144"/>
      <c r="P887" s="144"/>
    </row>
    <row r="888" spans="1:16" s="135" customFormat="1" ht="15.75" x14ac:dyDescent="0.25">
      <c r="A888" s="109"/>
      <c r="B888" s="109"/>
      <c r="C888" s="118" t="str">
        <f t="shared" si="26"/>
        <v/>
      </c>
      <c r="D888" s="118" t="str">
        <f t="shared" si="27"/>
        <v/>
      </c>
      <c r="E888" s="121"/>
      <c r="F888" s="121"/>
      <c r="G888" s="121"/>
      <c r="H888" s="121"/>
      <c r="I888" s="142"/>
      <c r="J888" s="121"/>
      <c r="K888" s="121"/>
      <c r="L888" s="144"/>
      <c r="M888" s="144"/>
      <c r="N888" s="144"/>
      <c r="O888" s="144"/>
      <c r="P888" s="144"/>
    </row>
    <row r="889" spans="1:16" s="135" customFormat="1" ht="15.75" x14ac:dyDescent="0.25">
      <c r="A889" s="109"/>
      <c r="B889" s="109"/>
      <c r="C889" s="118" t="str">
        <f t="shared" si="26"/>
        <v/>
      </c>
      <c r="D889" s="118" t="str">
        <f t="shared" si="27"/>
        <v/>
      </c>
      <c r="E889" s="121"/>
      <c r="F889" s="121"/>
      <c r="G889" s="121"/>
      <c r="H889" s="121"/>
      <c r="I889" s="142"/>
      <c r="J889" s="121"/>
      <c r="K889" s="121"/>
      <c r="L889" s="144"/>
      <c r="M889" s="144"/>
      <c r="N889" s="144"/>
      <c r="O889" s="144"/>
      <c r="P889" s="144"/>
    </row>
    <row r="890" spans="1:16" s="135" customFormat="1" ht="15.75" x14ac:dyDescent="0.25">
      <c r="A890" s="109"/>
      <c r="B890" s="109"/>
      <c r="C890" s="118" t="str">
        <f t="shared" si="26"/>
        <v/>
      </c>
      <c r="D890" s="118" t="str">
        <f t="shared" si="27"/>
        <v/>
      </c>
      <c r="E890" s="121"/>
      <c r="F890" s="121"/>
      <c r="G890" s="121"/>
      <c r="H890" s="121"/>
      <c r="I890" s="142"/>
      <c r="J890" s="121"/>
      <c r="K890" s="121"/>
      <c r="L890" s="144"/>
      <c r="M890" s="144"/>
      <c r="N890" s="144"/>
      <c r="O890" s="144"/>
      <c r="P890" s="144"/>
    </row>
    <row r="891" spans="1:16" s="135" customFormat="1" ht="15.75" x14ac:dyDescent="0.25">
      <c r="A891" s="109"/>
      <c r="B891" s="109"/>
      <c r="C891" s="118" t="str">
        <f t="shared" si="26"/>
        <v/>
      </c>
      <c r="D891" s="118" t="str">
        <f t="shared" si="27"/>
        <v/>
      </c>
      <c r="E891" s="121"/>
      <c r="F891" s="121"/>
      <c r="G891" s="121"/>
      <c r="H891" s="121"/>
      <c r="I891" s="142"/>
      <c r="J891" s="121"/>
      <c r="K891" s="121"/>
      <c r="L891" s="144"/>
      <c r="M891" s="144"/>
      <c r="N891" s="144"/>
      <c r="O891" s="144"/>
      <c r="P891" s="144"/>
    </row>
    <row r="892" spans="1:16" s="135" customFormat="1" ht="15.75" x14ac:dyDescent="0.25">
      <c r="A892" s="109"/>
      <c r="B892" s="109"/>
      <c r="C892" s="118" t="str">
        <f t="shared" si="26"/>
        <v/>
      </c>
      <c r="D892" s="118" t="str">
        <f t="shared" si="27"/>
        <v/>
      </c>
      <c r="E892" s="121"/>
      <c r="F892" s="121"/>
      <c r="G892" s="121"/>
      <c r="H892" s="121"/>
      <c r="I892" s="142"/>
      <c r="J892" s="121"/>
      <c r="K892" s="121"/>
      <c r="L892" s="144"/>
      <c r="M892" s="144"/>
      <c r="N892" s="144"/>
      <c r="O892" s="144"/>
      <c r="P892" s="144"/>
    </row>
    <row r="893" spans="1:16" s="135" customFormat="1" ht="15.75" x14ac:dyDescent="0.25">
      <c r="A893" s="109"/>
      <c r="B893" s="109"/>
      <c r="C893" s="118" t="str">
        <f t="shared" si="26"/>
        <v/>
      </c>
      <c r="D893" s="118" t="str">
        <f t="shared" si="27"/>
        <v/>
      </c>
      <c r="E893" s="121"/>
      <c r="F893" s="121"/>
      <c r="G893" s="121"/>
      <c r="H893" s="121"/>
      <c r="I893" s="142"/>
      <c r="J893" s="121"/>
      <c r="K893" s="121"/>
      <c r="L893" s="144"/>
      <c r="M893" s="144"/>
      <c r="N893" s="144"/>
      <c r="O893" s="144"/>
      <c r="P893" s="144"/>
    </row>
    <row r="894" spans="1:16" s="135" customFormat="1" ht="15.75" x14ac:dyDescent="0.25">
      <c r="A894" s="109"/>
      <c r="B894" s="109"/>
      <c r="C894" s="118" t="str">
        <f t="shared" si="26"/>
        <v/>
      </c>
      <c r="D894" s="118" t="str">
        <f t="shared" si="27"/>
        <v/>
      </c>
      <c r="E894" s="121"/>
      <c r="F894" s="121"/>
      <c r="G894" s="121"/>
      <c r="H894" s="121"/>
      <c r="I894" s="142"/>
      <c r="J894" s="121"/>
      <c r="K894" s="121"/>
      <c r="L894" s="144"/>
      <c r="M894" s="144"/>
      <c r="N894" s="144"/>
      <c r="O894" s="144"/>
      <c r="P894" s="144"/>
    </row>
    <row r="895" spans="1:16" s="135" customFormat="1" ht="15.75" x14ac:dyDescent="0.25">
      <c r="A895" s="109"/>
      <c r="B895" s="109"/>
      <c r="C895" s="118" t="str">
        <f t="shared" si="26"/>
        <v/>
      </c>
      <c r="D895" s="118" t="str">
        <f t="shared" si="27"/>
        <v/>
      </c>
      <c r="E895" s="121"/>
      <c r="F895" s="121"/>
      <c r="G895" s="121"/>
      <c r="H895" s="121"/>
      <c r="I895" s="142"/>
      <c r="J895" s="121"/>
      <c r="K895" s="121"/>
      <c r="L895" s="144"/>
      <c r="M895" s="144"/>
      <c r="N895" s="144"/>
      <c r="O895" s="144"/>
      <c r="P895" s="144"/>
    </row>
    <row r="896" spans="1:16" s="135" customFormat="1" ht="15.75" x14ac:dyDescent="0.25">
      <c r="A896" s="109"/>
      <c r="B896" s="109"/>
      <c r="C896" s="118" t="str">
        <f t="shared" si="26"/>
        <v/>
      </c>
      <c r="D896" s="118" t="str">
        <f t="shared" si="27"/>
        <v/>
      </c>
      <c r="E896" s="121"/>
      <c r="F896" s="121"/>
      <c r="G896" s="121"/>
      <c r="H896" s="121"/>
      <c r="I896" s="142"/>
      <c r="J896" s="121"/>
      <c r="K896" s="121"/>
      <c r="L896" s="144"/>
      <c r="M896" s="144"/>
      <c r="N896" s="144"/>
      <c r="O896" s="144"/>
      <c r="P896" s="144"/>
    </row>
    <row r="897" spans="1:16" s="135" customFormat="1" ht="15.75" x14ac:dyDescent="0.25">
      <c r="A897" s="109"/>
      <c r="B897" s="109"/>
      <c r="C897" s="118" t="str">
        <f t="shared" si="26"/>
        <v/>
      </c>
      <c r="D897" s="118" t="str">
        <f t="shared" si="27"/>
        <v/>
      </c>
      <c r="E897" s="121"/>
      <c r="F897" s="121"/>
      <c r="G897" s="121"/>
      <c r="H897" s="121"/>
      <c r="I897" s="142"/>
      <c r="J897" s="121"/>
      <c r="K897" s="121"/>
      <c r="L897" s="144"/>
      <c r="M897" s="144"/>
      <c r="N897" s="144"/>
      <c r="O897" s="144"/>
      <c r="P897" s="144"/>
    </row>
    <row r="898" spans="1:16" s="135" customFormat="1" ht="15.75" x14ac:dyDescent="0.25">
      <c r="A898" s="109"/>
      <c r="B898" s="109"/>
      <c r="C898" s="118" t="str">
        <f t="shared" si="26"/>
        <v/>
      </c>
      <c r="D898" s="118" t="str">
        <f t="shared" si="27"/>
        <v/>
      </c>
      <c r="E898" s="121"/>
      <c r="F898" s="121"/>
      <c r="G898" s="121"/>
      <c r="H898" s="121"/>
      <c r="I898" s="142"/>
      <c r="J898" s="121"/>
      <c r="K898" s="121"/>
      <c r="L898" s="144"/>
      <c r="M898" s="144"/>
      <c r="N898" s="144"/>
      <c r="O898" s="144"/>
      <c r="P898" s="144"/>
    </row>
    <row r="899" spans="1:16" s="135" customFormat="1" ht="15.75" x14ac:dyDescent="0.25">
      <c r="A899" s="109"/>
      <c r="B899" s="109"/>
      <c r="C899" s="118" t="str">
        <f t="shared" si="26"/>
        <v/>
      </c>
      <c r="D899" s="118" t="str">
        <f t="shared" si="27"/>
        <v/>
      </c>
      <c r="E899" s="121"/>
      <c r="F899" s="121"/>
      <c r="G899" s="121"/>
      <c r="H899" s="121"/>
      <c r="I899" s="142"/>
      <c r="J899" s="121"/>
      <c r="K899" s="121"/>
      <c r="L899" s="144"/>
      <c r="M899" s="144"/>
      <c r="N899" s="144"/>
      <c r="O899" s="144"/>
      <c r="P899" s="144"/>
    </row>
    <row r="900" spans="1:16" s="135" customFormat="1" ht="15.75" x14ac:dyDescent="0.25">
      <c r="A900" s="109"/>
      <c r="B900" s="109"/>
      <c r="C900" s="118" t="str">
        <f t="shared" si="26"/>
        <v/>
      </c>
      <c r="D900" s="118" t="str">
        <f t="shared" si="27"/>
        <v/>
      </c>
      <c r="E900" s="121"/>
      <c r="F900" s="121"/>
      <c r="G900" s="121"/>
      <c r="H900" s="121"/>
      <c r="I900" s="142"/>
      <c r="J900" s="121"/>
      <c r="K900" s="121"/>
      <c r="L900" s="144"/>
      <c r="M900" s="144"/>
      <c r="N900" s="144"/>
      <c r="O900" s="144"/>
      <c r="P900" s="144"/>
    </row>
    <row r="901" spans="1:16" s="135" customFormat="1" ht="15.75" x14ac:dyDescent="0.25">
      <c r="A901" s="109"/>
      <c r="B901" s="109"/>
      <c r="C901" s="118" t="str">
        <f t="shared" si="26"/>
        <v/>
      </c>
      <c r="D901" s="118" t="str">
        <f t="shared" si="27"/>
        <v/>
      </c>
      <c r="E901" s="121"/>
      <c r="F901" s="121"/>
      <c r="G901" s="121"/>
      <c r="H901" s="121"/>
      <c r="I901" s="142"/>
      <c r="J901" s="121"/>
      <c r="K901" s="121"/>
      <c r="L901" s="144"/>
      <c r="M901" s="144"/>
      <c r="N901" s="144"/>
      <c r="O901" s="144"/>
      <c r="P901" s="144"/>
    </row>
    <row r="902" spans="1:16" s="135" customFormat="1" ht="15.75" x14ac:dyDescent="0.25">
      <c r="A902" s="109"/>
      <c r="B902" s="109"/>
      <c r="C902" s="118" t="str">
        <f t="shared" si="26"/>
        <v/>
      </c>
      <c r="D902" s="118" t="str">
        <f t="shared" si="27"/>
        <v/>
      </c>
      <c r="E902" s="121"/>
      <c r="F902" s="121"/>
      <c r="G902" s="121"/>
      <c r="H902" s="121"/>
      <c r="I902" s="142"/>
      <c r="J902" s="121"/>
      <c r="K902" s="121"/>
      <c r="L902" s="144"/>
      <c r="M902" s="144"/>
      <c r="N902" s="144"/>
      <c r="O902" s="144"/>
      <c r="P902" s="144"/>
    </row>
    <row r="903" spans="1:16" s="135" customFormat="1" ht="15.75" x14ac:dyDescent="0.25">
      <c r="A903" s="109"/>
      <c r="B903" s="109"/>
      <c r="C903" s="118" t="str">
        <f t="shared" si="26"/>
        <v/>
      </c>
      <c r="D903" s="118" t="str">
        <f t="shared" si="27"/>
        <v/>
      </c>
      <c r="E903" s="121"/>
      <c r="F903" s="121"/>
      <c r="G903" s="121"/>
      <c r="H903" s="121"/>
      <c r="I903" s="142"/>
      <c r="J903" s="121"/>
      <c r="K903" s="121"/>
      <c r="L903" s="144"/>
      <c r="M903" s="144"/>
      <c r="N903" s="144"/>
      <c r="O903" s="144"/>
      <c r="P903" s="144"/>
    </row>
    <row r="904" spans="1:16" s="135" customFormat="1" ht="15.75" x14ac:dyDescent="0.25">
      <c r="A904" s="109"/>
      <c r="B904" s="109"/>
      <c r="C904" s="118" t="str">
        <f t="shared" si="26"/>
        <v/>
      </c>
      <c r="D904" s="118" t="str">
        <f t="shared" si="27"/>
        <v/>
      </c>
      <c r="E904" s="121"/>
      <c r="F904" s="121"/>
      <c r="G904" s="121"/>
      <c r="H904" s="121"/>
      <c r="I904" s="142"/>
      <c r="J904" s="121"/>
      <c r="K904" s="121"/>
      <c r="L904" s="144"/>
      <c r="M904" s="144"/>
      <c r="N904" s="144"/>
      <c r="O904" s="144"/>
      <c r="P904" s="144"/>
    </row>
    <row r="905" spans="1:16" s="135" customFormat="1" ht="15.75" x14ac:dyDescent="0.25">
      <c r="A905" s="109"/>
      <c r="B905" s="109"/>
      <c r="C905" s="118" t="str">
        <f t="shared" si="26"/>
        <v/>
      </c>
      <c r="D905" s="118" t="str">
        <f t="shared" si="27"/>
        <v/>
      </c>
      <c r="E905" s="121"/>
      <c r="F905" s="121"/>
      <c r="G905" s="121"/>
      <c r="H905" s="121"/>
      <c r="I905" s="142"/>
      <c r="J905" s="121"/>
      <c r="K905" s="121"/>
      <c r="L905" s="144"/>
      <c r="M905" s="144"/>
      <c r="N905" s="144"/>
      <c r="O905" s="144"/>
      <c r="P905" s="144"/>
    </row>
    <row r="906" spans="1:16" s="135" customFormat="1" ht="15.75" x14ac:dyDescent="0.25">
      <c r="A906" s="109"/>
      <c r="B906" s="109"/>
      <c r="C906" s="118" t="str">
        <f t="shared" si="26"/>
        <v/>
      </c>
      <c r="D906" s="118" t="str">
        <f t="shared" si="27"/>
        <v/>
      </c>
      <c r="E906" s="121"/>
      <c r="F906" s="121"/>
      <c r="G906" s="121"/>
      <c r="H906" s="121"/>
      <c r="I906" s="142"/>
      <c r="J906" s="121"/>
      <c r="K906" s="121"/>
      <c r="L906" s="144"/>
      <c r="M906" s="144"/>
      <c r="N906" s="144"/>
      <c r="O906" s="144"/>
      <c r="P906" s="144"/>
    </row>
    <row r="907" spans="1:16" s="135" customFormat="1" ht="15.75" x14ac:dyDescent="0.25">
      <c r="A907" s="109"/>
      <c r="B907" s="109"/>
      <c r="C907" s="118" t="str">
        <f t="shared" si="26"/>
        <v/>
      </c>
      <c r="D907" s="118" t="str">
        <f t="shared" si="27"/>
        <v/>
      </c>
      <c r="E907" s="121"/>
      <c r="F907" s="121"/>
      <c r="G907" s="121"/>
      <c r="H907" s="121"/>
      <c r="I907" s="142"/>
      <c r="J907" s="121"/>
      <c r="K907" s="121"/>
      <c r="L907" s="144"/>
      <c r="M907" s="144"/>
      <c r="N907" s="144"/>
      <c r="O907" s="144"/>
      <c r="P907" s="144"/>
    </row>
    <row r="908" spans="1:16" s="135" customFormat="1" ht="15.75" x14ac:dyDescent="0.25">
      <c r="A908" s="109"/>
      <c r="B908" s="109"/>
      <c r="C908" s="118" t="str">
        <f t="shared" si="26"/>
        <v/>
      </c>
      <c r="D908" s="118" t="str">
        <f t="shared" si="27"/>
        <v/>
      </c>
      <c r="E908" s="121"/>
      <c r="F908" s="121"/>
      <c r="G908" s="121"/>
      <c r="H908" s="121"/>
      <c r="I908" s="142"/>
      <c r="J908" s="121"/>
      <c r="K908" s="121"/>
      <c r="L908" s="144"/>
      <c r="M908" s="144"/>
      <c r="N908" s="144"/>
      <c r="O908" s="144"/>
      <c r="P908" s="144"/>
    </row>
    <row r="909" spans="1:16" s="135" customFormat="1" ht="15.75" x14ac:dyDescent="0.25">
      <c r="A909" s="109"/>
      <c r="B909" s="109"/>
      <c r="C909" s="118" t="str">
        <f t="shared" si="26"/>
        <v/>
      </c>
      <c r="D909" s="118" t="str">
        <f t="shared" si="27"/>
        <v/>
      </c>
      <c r="E909" s="121"/>
      <c r="F909" s="121"/>
      <c r="G909" s="121"/>
      <c r="H909" s="121"/>
      <c r="I909" s="142"/>
      <c r="J909" s="121"/>
      <c r="K909" s="121"/>
      <c r="L909" s="144"/>
      <c r="M909" s="144"/>
      <c r="N909" s="144"/>
      <c r="O909" s="144"/>
      <c r="P909" s="144"/>
    </row>
    <row r="910" spans="1:16" s="135" customFormat="1" ht="15.75" x14ac:dyDescent="0.25">
      <c r="A910" s="109"/>
      <c r="B910" s="109"/>
      <c r="C910" s="118" t="str">
        <f t="shared" si="26"/>
        <v/>
      </c>
      <c r="D910" s="118" t="str">
        <f t="shared" si="27"/>
        <v/>
      </c>
      <c r="E910" s="121"/>
      <c r="F910" s="121"/>
      <c r="G910" s="121"/>
      <c r="H910" s="121"/>
      <c r="I910" s="142"/>
      <c r="J910" s="121"/>
      <c r="K910" s="121"/>
      <c r="L910" s="144"/>
      <c r="M910" s="144"/>
      <c r="N910" s="144"/>
      <c r="O910" s="144"/>
      <c r="P910" s="144"/>
    </row>
    <row r="911" spans="1:16" s="135" customFormat="1" ht="15.75" x14ac:dyDescent="0.25">
      <c r="A911" s="109"/>
      <c r="B911" s="109"/>
      <c r="C911" s="118" t="str">
        <f t="shared" si="26"/>
        <v/>
      </c>
      <c r="D911" s="118" t="str">
        <f t="shared" si="27"/>
        <v/>
      </c>
      <c r="E911" s="121"/>
      <c r="F911" s="121"/>
      <c r="G911" s="121"/>
      <c r="H911" s="121"/>
      <c r="I911" s="142"/>
      <c r="J911" s="121"/>
      <c r="K911" s="121"/>
      <c r="L911" s="144"/>
      <c r="M911" s="144"/>
      <c r="N911" s="144"/>
      <c r="O911" s="144"/>
      <c r="P911" s="144"/>
    </row>
    <row r="912" spans="1:16" s="135" customFormat="1" ht="15.75" x14ac:dyDescent="0.25">
      <c r="A912" s="109"/>
      <c r="B912" s="109"/>
      <c r="C912" s="118" t="str">
        <f t="shared" si="26"/>
        <v/>
      </c>
      <c r="D912" s="118" t="str">
        <f t="shared" si="27"/>
        <v/>
      </c>
      <c r="E912" s="121"/>
      <c r="F912" s="121"/>
      <c r="G912" s="121"/>
      <c r="H912" s="121"/>
      <c r="I912" s="142"/>
      <c r="J912" s="121"/>
      <c r="K912" s="121"/>
      <c r="L912" s="144"/>
      <c r="M912" s="144"/>
      <c r="N912" s="144"/>
      <c r="O912" s="144"/>
      <c r="P912" s="144"/>
    </row>
    <row r="913" spans="1:16" s="135" customFormat="1" ht="15.75" x14ac:dyDescent="0.25">
      <c r="A913" s="109"/>
      <c r="B913" s="109"/>
      <c r="C913" s="118" t="str">
        <f t="shared" si="26"/>
        <v/>
      </c>
      <c r="D913" s="118" t="str">
        <f t="shared" si="27"/>
        <v/>
      </c>
      <c r="E913" s="121"/>
      <c r="F913" s="121"/>
      <c r="G913" s="121"/>
      <c r="H913" s="121"/>
      <c r="I913" s="142"/>
      <c r="J913" s="121"/>
      <c r="K913" s="121"/>
      <c r="L913" s="144"/>
      <c r="M913" s="144"/>
      <c r="N913" s="144"/>
      <c r="O913" s="144"/>
      <c r="P913" s="144"/>
    </row>
    <row r="914" spans="1:16" s="135" customFormat="1" ht="15.75" x14ac:dyDescent="0.25">
      <c r="A914" s="109"/>
      <c r="B914" s="109"/>
      <c r="C914" s="118" t="str">
        <f t="shared" si="26"/>
        <v/>
      </c>
      <c r="D914" s="118" t="str">
        <f t="shared" si="27"/>
        <v/>
      </c>
      <c r="E914" s="121"/>
      <c r="F914" s="121"/>
      <c r="G914" s="121"/>
      <c r="H914" s="121"/>
      <c r="I914" s="142"/>
      <c r="J914" s="121"/>
      <c r="K914" s="121"/>
      <c r="L914" s="144"/>
      <c r="M914" s="144"/>
      <c r="N914" s="144"/>
      <c r="O914" s="144"/>
      <c r="P914" s="144"/>
    </row>
    <row r="915" spans="1:16" s="135" customFormat="1" ht="15.75" x14ac:dyDescent="0.25">
      <c r="A915" s="109"/>
      <c r="B915" s="109"/>
      <c r="C915" s="118" t="str">
        <f t="shared" si="26"/>
        <v/>
      </c>
      <c r="D915" s="118" t="str">
        <f t="shared" si="27"/>
        <v/>
      </c>
      <c r="E915" s="121"/>
      <c r="F915" s="121"/>
      <c r="G915" s="121"/>
      <c r="H915" s="121"/>
      <c r="I915" s="142"/>
      <c r="J915" s="121"/>
      <c r="K915" s="121"/>
      <c r="L915" s="144"/>
      <c r="M915" s="144"/>
      <c r="N915" s="144"/>
      <c r="O915" s="144"/>
      <c r="P915" s="144"/>
    </row>
    <row r="916" spans="1:16" s="135" customFormat="1" ht="15.75" x14ac:dyDescent="0.25">
      <c r="A916" s="109"/>
      <c r="B916" s="109"/>
      <c r="C916" s="118" t="str">
        <f t="shared" ref="C916:C979" si="28">IF(A916=0,"",VLOOKUP(B916,MatDB,2,FALSE))</f>
        <v/>
      </c>
      <c r="D916" s="118" t="str">
        <f t="shared" si="27"/>
        <v/>
      </c>
      <c r="E916" s="121"/>
      <c r="F916" s="121"/>
      <c r="G916" s="121"/>
      <c r="H916" s="121"/>
      <c r="I916" s="142"/>
      <c r="J916" s="121"/>
      <c r="K916" s="121"/>
      <c r="L916" s="144"/>
      <c r="M916" s="144"/>
      <c r="N916" s="144"/>
      <c r="O916" s="144"/>
      <c r="P916" s="144"/>
    </row>
    <row r="917" spans="1:16" s="135" customFormat="1" ht="15.75" x14ac:dyDescent="0.25">
      <c r="A917" s="109"/>
      <c r="B917" s="109"/>
      <c r="C917" s="118" t="str">
        <f t="shared" si="28"/>
        <v/>
      </c>
      <c r="D917" s="118" t="str">
        <f t="shared" ref="D917:D980" si="29">IF(A917=0,"","Steel02")</f>
        <v/>
      </c>
      <c r="E917" s="121"/>
      <c r="F917" s="121"/>
      <c r="G917" s="121"/>
      <c r="H917" s="121"/>
      <c r="I917" s="142"/>
      <c r="J917" s="121"/>
      <c r="K917" s="121"/>
      <c r="L917" s="144"/>
      <c r="M917" s="144"/>
      <c r="N917" s="144"/>
      <c r="O917" s="144"/>
      <c r="P917" s="144"/>
    </row>
    <row r="918" spans="1:16" s="135" customFormat="1" ht="15.75" x14ac:dyDescent="0.25">
      <c r="A918" s="109"/>
      <c r="B918" s="109"/>
      <c r="C918" s="118" t="str">
        <f t="shared" si="28"/>
        <v/>
      </c>
      <c r="D918" s="118" t="str">
        <f t="shared" si="29"/>
        <v/>
      </c>
      <c r="E918" s="121"/>
      <c r="F918" s="121"/>
      <c r="G918" s="121"/>
      <c r="H918" s="121"/>
      <c r="I918" s="142"/>
      <c r="J918" s="121"/>
      <c r="K918" s="121"/>
      <c r="L918" s="144"/>
      <c r="M918" s="144"/>
      <c r="N918" s="144"/>
      <c r="O918" s="144"/>
      <c r="P918" s="144"/>
    </row>
    <row r="919" spans="1:16" s="135" customFormat="1" ht="15.75" x14ac:dyDescent="0.25">
      <c r="A919" s="109"/>
      <c r="B919" s="109"/>
      <c r="C919" s="118" t="str">
        <f t="shared" si="28"/>
        <v/>
      </c>
      <c r="D919" s="118" t="str">
        <f t="shared" si="29"/>
        <v/>
      </c>
      <c r="E919" s="121"/>
      <c r="F919" s="121"/>
      <c r="G919" s="121"/>
      <c r="H919" s="121"/>
      <c r="I919" s="142"/>
      <c r="J919" s="121"/>
      <c r="K919" s="121"/>
      <c r="L919" s="144"/>
      <c r="M919" s="144"/>
      <c r="N919" s="144"/>
      <c r="O919" s="144"/>
      <c r="P919" s="144"/>
    </row>
    <row r="920" spans="1:16" s="135" customFormat="1" ht="15.75" x14ac:dyDescent="0.25">
      <c r="A920" s="109"/>
      <c r="B920" s="109"/>
      <c r="C920" s="118" t="str">
        <f t="shared" si="28"/>
        <v/>
      </c>
      <c r="D920" s="118" t="str">
        <f t="shared" si="29"/>
        <v/>
      </c>
      <c r="E920" s="121"/>
      <c r="F920" s="121"/>
      <c r="G920" s="121"/>
      <c r="H920" s="121"/>
      <c r="I920" s="142"/>
      <c r="J920" s="121"/>
      <c r="K920" s="121"/>
      <c r="L920" s="144"/>
      <c r="M920" s="144"/>
      <c r="N920" s="144"/>
      <c r="O920" s="144"/>
      <c r="P920" s="144"/>
    </row>
    <row r="921" spans="1:16" s="135" customFormat="1" ht="15.75" x14ac:dyDescent="0.25">
      <c r="A921" s="109"/>
      <c r="B921" s="109"/>
      <c r="C921" s="118" t="str">
        <f t="shared" si="28"/>
        <v/>
      </c>
      <c r="D921" s="118" t="str">
        <f t="shared" si="29"/>
        <v/>
      </c>
      <c r="E921" s="121"/>
      <c r="F921" s="121"/>
      <c r="G921" s="121"/>
      <c r="H921" s="121"/>
      <c r="I921" s="142"/>
      <c r="J921" s="121"/>
      <c r="K921" s="121"/>
      <c r="L921" s="144"/>
      <c r="M921" s="144"/>
      <c r="N921" s="144"/>
      <c r="O921" s="144"/>
      <c r="P921" s="144"/>
    </row>
    <row r="922" spans="1:16" s="135" customFormat="1" ht="15.75" x14ac:dyDescent="0.25">
      <c r="A922" s="109"/>
      <c r="B922" s="109"/>
      <c r="C922" s="118" t="str">
        <f t="shared" si="28"/>
        <v/>
      </c>
      <c r="D922" s="118" t="str">
        <f t="shared" si="29"/>
        <v/>
      </c>
      <c r="E922" s="121"/>
      <c r="F922" s="121"/>
      <c r="G922" s="121"/>
      <c r="H922" s="121"/>
      <c r="I922" s="142"/>
      <c r="J922" s="121"/>
      <c r="K922" s="121"/>
      <c r="L922" s="144"/>
      <c r="M922" s="144"/>
      <c r="N922" s="144"/>
      <c r="O922" s="144"/>
      <c r="P922" s="144"/>
    </row>
    <row r="923" spans="1:16" s="135" customFormat="1" ht="15.75" x14ac:dyDescent="0.25">
      <c r="A923" s="109"/>
      <c r="B923" s="109"/>
      <c r="C923" s="118" t="str">
        <f t="shared" si="28"/>
        <v/>
      </c>
      <c r="D923" s="118" t="str">
        <f t="shared" si="29"/>
        <v/>
      </c>
      <c r="E923" s="121"/>
      <c r="F923" s="121"/>
      <c r="G923" s="121"/>
      <c r="H923" s="121"/>
      <c r="I923" s="142"/>
      <c r="J923" s="121"/>
      <c r="K923" s="121"/>
      <c r="L923" s="144"/>
      <c r="M923" s="144"/>
      <c r="N923" s="144"/>
      <c r="O923" s="144"/>
      <c r="P923" s="144"/>
    </row>
    <row r="924" spans="1:16" s="135" customFormat="1" ht="15.75" x14ac:dyDescent="0.25">
      <c r="A924" s="109"/>
      <c r="B924" s="109"/>
      <c r="C924" s="118" t="str">
        <f t="shared" si="28"/>
        <v/>
      </c>
      <c r="D924" s="118" t="str">
        <f t="shared" si="29"/>
        <v/>
      </c>
      <c r="E924" s="121"/>
      <c r="F924" s="121"/>
      <c r="G924" s="121"/>
      <c r="H924" s="121"/>
      <c r="I924" s="142"/>
      <c r="J924" s="121"/>
      <c r="K924" s="121"/>
      <c r="L924" s="144"/>
      <c r="M924" s="144"/>
      <c r="N924" s="144"/>
      <c r="O924" s="144"/>
      <c r="P924" s="144"/>
    </row>
    <row r="925" spans="1:16" s="135" customFormat="1" ht="15.75" x14ac:dyDescent="0.25">
      <c r="A925" s="109"/>
      <c r="B925" s="109"/>
      <c r="C925" s="118" t="str">
        <f t="shared" si="28"/>
        <v/>
      </c>
      <c r="D925" s="118" t="str">
        <f t="shared" si="29"/>
        <v/>
      </c>
      <c r="E925" s="121"/>
      <c r="F925" s="121"/>
      <c r="G925" s="121"/>
      <c r="H925" s="121"/>
      <c r="I925" s="142"/>
      <c r="J925" s="121"/>
      <c r="K925" s="121"/>
      <c r="L925" s="144"/>
      <c r="M925" s="144"/>
      <c r="N925" s="144"/>
      <c r="O925" s="144"/>
      <c r="P925" s="144"/>
    </row>
    <row r="926" spans="1:16" s="135" customFormat="1" ht="15.75" x14ac:dyDescent="0.25">
      <c r="A926" s="109"/>
      <c r="B926" s="109"/>
      <c r="C926" s="118" t="str">
        <f t="shared" si="28"/>
        <v/>
      </c>
      <c r="D926" s="118" t="str">
        <f t="shared" si="29"/>
        <v/>
      </c>
      <c r="E926" s="121"/>
      <c r="F926" s="121"/>
      <c r="G926" s="121"/>
      <c r="H926" s="121"/>
      <c r="I926" s="142"/>
      <c r="J926" s="121"/>
      <c r="K926" s="121"/>
      <c r="L926" s="144"/>
      <c r="M926" s="144"/>
      <c r="N926" s="144"/>
      <c r="O926" s="144"/>
      <c r="P926" s="144"/>
    </row>
    <row r="927" spans="1:16" s="135" customFormat="1" ht="15.75" x14ac:dyDescent="0.25">
      <c r="A927" s="109"/>
      <c r="B927" s="109"/>
      <c r="C927" s="118" t="str">
        <f t="shared" si="28"/>
        <v/>
      </c>
      <c r="D927" s="118" t="str">
        <f t="shared" si="29"/>
        <v/>
      </c>
      <c r="E927" s="121"/>
      <c r="F927" s="121"/>
      <c r="G927" s="121"/>
      <c r="H927" s="121"/>
      <c r="I927" s="142"/>
      <c r="J927" s="121"/>
      <c r="K927" s="121"/>
      <c r="L927" s="144"/>
      <c r="M927" s="144"/>
      <c r="N927" s="144"/>
      <c r="O927" s="144"/>
      <c r="P927" s="144"/>
    </row>
    <row r="928" spans="1:16" s="135" customFormat="1" ht="15.75" x14ac:dyDescent="0.25">
      <c r="A928" s="109"/>
      <c r="B928" s="109"/>
      <c r="C928" s="118" t="str">
        <f t="shared" si="28"/>
        <v/>
      </c>
      <c r="D928" s="118" t="str">
        <f t="shared" si="29"/>
        <v/>
      </c>
      <c r="E928" s="121"/>
      <c r="F928" s="121"/>
      <c r="G928" s="121"/>
      <c r="H928" s="121"/>
      <c r="I928" s="142"/>
      <c r="J928" s="121"/>
      <c r="K928" s="121"/>
      <c r="L928" s="144"/>
      <c r="M928" s="144"/>
      <c r="N928" s="144"/>
      <c r="O928" s="144"/>
      <c r="P928" s="144"/>
    </row>
    <row r="929" spans="1:16" s="135" customFormat="1" ht="15.75" x14ac:dyDescent="0.25">
      <c r="A929" s="109"/>
      <c r="B929" s="109"/>
      <c r="C929" s="118" t="str">
        <f t="shared" si="28"/>
        <v/>
      </c>
      <c r="D929" s="118" t="str">
        <f t="shared" si="29"/>
        <v/>
      </c>
      <c r="E929" s="121"/>
      <c r="F929" s="121"/>
      <c r="G929" s="121"/>
      <c r="H929" s="121"/>
      <c r="I929" s="142"/>
      <c r="J929" s="121"/>
      <c r="K929" s="121"/>
      <c r="L929" s="144"/>
      <c r="M929" s="144"/>
      <c r="N929" s="144"/>
      <c r="O929" s="144"/>
      <c r="P929" s="144"/>
    </row>
    <row r="930" spans="1:16" s="135" customFormat="1" ht="15.75" x14ac:dyDescent="0.25">
      <c r="A930" s="109"/>
      <c r="B930" s="109"/>
      <c r="C930" s="118" t="str">
        <f t="shared" si="28"/>
        <v/>
      </c>
      <c r="D930" s="118" t="str">
        <f t="shared" si="29"/>
        <v/>
      </c>
      <c r="E930" s="121"/>
      <c r="F930" s="121"/>
      <c r="G930" s="121"/>
      <c r="H930" s="121"/>
      <c r="I930" s="142"/>
      <c r="J930" s="121"/>
      <c r="K930" s="121"/>
      <c r="L930" s="144"/>
      <c r="M930" s="144"/>
      <c r="N930" s="144"/>
      <c r="O930" s="144"/>
      <c r="P930" s="144"/>
    </row>
    <row r="931" spans="1:16" s="135" customFormat="1" ht="15.75" x14ac:dyDescent="0.25">
      <c r="A931" s="109"/>
      <c r="B931" s="109"/>
      <c r="C931" s="118" t="str">
        <f t="shared" si="28"/>
        <v/>
      </c>
      <c r="D931" s="118" t="str">
        <f t="shared" si="29"/>
        <v/>
      </c>
      <c r="E931" s="121"/>
      <c r="F931" s="121"/>
      <c r="G931" s="121"/>
      <c r="H931" s="121"/>
      <c r="I931" s="142"/>
      <c r="J931" s="121"/>
      <c r="K931" s="121"/>
      <c r="L931" s="144"/>
      <c r="M931" s="144"/>
      <c r="N931" s="144"/>
      <c r="O931" s="144"/>
      <c r="P931" s="144"/>
    </row>
    <row r="932" spans="1:16" s="135" customFormat="1" ht="15.75" x14ac:dyDescent="0.25">
      <c r="A932" s="109"/>
      <c r="B932" s="109"/>
      <c r="C932" s="118" t="str">
        <f t="shared" si="28"/>
        <v/>
      </c>
      <c r="D932" s="118" t="str">
        <f t="shared" si="29"/>
        <v/>
      </c>
      <c r="E932" s="121"/>
      <c r="F932" s="121"/>
      <c r="G932" s="121"/>
      <c r="H932" s="121"/>
      <c r="I932" s="142"/>
      <c r="J932" s="121"/>
      <c r="K932" s="121"/>
      <c r="L932" s="144"/>
      <c r="M932" s="144"/>
      <c r="N932" s="144"/>
      <c r="O932" s="144"/>
      <c r="P932" s="144"/>
    </row>
    <row r="933" spans="1:16" s="135" customFormat="1" ht="15.75" x14ac:dyDescent="0.25">
      <c r="A933" s="109"/>
      <c r="B933" s="109"/>
      <c r="C933" s="118" t="str">
        <f t="shared" si="28"/>
        <v/>
      </c>
      <c r="D933" s="118" t="str">
        <f t="shared" si="29"/>
        <v/>
      </c>
      <c r="E933" s="121"/>
      <c r="F933" s="121"/>
      <c r="G933" s="121"/>
      <c r="H933" s="121"/>
      <c r="I933" s="142"/>
      <c r="J933" s="121"/>
      <c r="K933" s="121"/>
      <c r="L933" s="144"/>
      <c r="M933" s="144"/>
      <c r="N933" s="144"/>
      <c r="O933" s="144"/>
      <c r="P933" s="144"/>
    </row>
    <row r="934" spans="1:16" s="135" customFormat="1" ht="15.75" x14ac:dyDescent="0.25">
      <c r="A934" s="109"/>
      <c r="B934" s="109"/>
      <c r="C934" s="118" t="str">
        <f t="shared" si="28"/>
        <v/>
      </c>
      <c r="D934" s="118" t="str">
        <f t="shared" si="29"/>
        <v/>
      </c>
      <c r="E934" s="121"/>
      <c r="F934" s="121"/>
      <c r="G934" s="121"/>
      <c r="H934" s="121"/>
      <c r="I934" s="142"/>
      <c r="J934" s="121"/>
      <c r="K934" s="121"/>
      <c r="L934" s="144"/>
      <c r="M934" s="144"/>
      <c r="N934" s="144"/>
      <c r="O934" s="144"/>
      <c r="P934" s="144"/>
    </row>
    <row r="935" spans="1:16" s="135" customFormat="1" ht="15.75" x14ac:dyDescent="0.25">
      <c r="A935" s="109"/>
      <c r="B935" s="109"/>
      <c r="C935" s="118" t="str">
        <f t="shared" si="28"/>
        <v/>
      </c>
      <c r="D935" s="118" t="str">
        <f t="shared" si="29"/>
        <v/>
      </c>
      <c r="E935" s="121"/>
      <c r="F935" s="121"/>
      <c r="G935" s="121"/>
      <c r="H935" s="121"/>
      <c r="I935" s="142"/>
      <c r="J935" s="121"/>
      <c r="K935" s="121"/>
      <c r="L935" s="144"/>
      <c r="M935" s="144"/>
      <c r="N935" s="144"/>
      <c r="O935" s="144"/>
      <c r="P935" s="144"/>
    </row>
    <row r="936" spans="1:16" s="135" customFormat="1" ht="15.75" x14ac:dyDescent="0.25">
      <c r="A936" s="109"/>
      <c r="B936" s="109"/>
      <c r="C936" s="118" t="str">
        <f t="shared" si="28"/>
        <v/>
      </c>
      <c r="D936" s="118" t="str">
        <f t="shared" si="29"/>
        <v/>
      </c>
      <c r="E936" s="121"/>
      <c r="F936" s="121"/>
      <c r="G936" s="121"/>
      <c r="H936" s="121"/>
      <c r="I936" s="142"/>
      <c r="J936" s="121"/>
      <c r="K936" s="121"/>
      <c r="L936" s="144"/>
      <c r="M936" s="144"/>
      <c r="N936" s="144"/>
      <c r="O936" s="144"/>
      <c r="P936" s="144"/>
    </row>
    <row r="937" spans="1:16" s="135" customFormat="1" ht="15.75" x14ac:dyDescent="0.25">
      <c r="A937" s="109"/>
      <c r="B937" s="109"/>
      <c r="C937" s="118" t="str">
        <f t="shared" si="28"/>
        <v/>
      </c>
      <c r="D937" s="118" t="str">
        <f t="shared" si="29"/>
        <v/>
      </c>
      <c r="E937" s="121"/>
      <c r="F937" s="121"/>
      <c r="G937" s="121"/>
      <c r="H937" s="121"/>
      <c r="I937" s="142"/>
      <c r="J937" s="121"/>
      <c r="K937" s="121"/>
      <c r="L937" s="144"/>
      <c r="M937" s="144"/>
      <c r="N937" s="144"/>
      <c r="O937" s="144"/>
      <c r="P937" s="144"/>
    </row>
    <row r="938" spans="1:16" s="135" customFormat="1" ht="15.75" x14ac:dyDescent="0.25">
      <c r="A938" s="109"/>
      <c r="B938" s="109"/>
      <c r="C938" s="118" t="str">
        <f t="shared" si="28"/>
        <v/>
      </c>
      <c r="D938" s="118" t="str">
        <f t="shared" si="29"/>
        <v/>
      </c>
      <c r="E938" s="121"/>
      <c r="F938" s="121"/>
      <c r="G938" s="121"/>
      <c r="H938" s="121"/>
      <c r="I938" s="142"/>
      <c r="J938" s="121"/>
      <c r="K938" s="121"/>
      <c r="L938" s="144"/>
      <c r="M938" s="144"/>
      <c r="N938" s="144"/>
      <c r="O938" s="144"/>
      <c r="P938" s="144"/>
    </row>
    <row r="939" spans="1:16" s="135" customFormat="1" ht="15.75" x14ac:dyDescent="0.25">
      <c r="A939" s="109"/>
      <c r="B939" s="109"/>
      <c r="C939" s="118" t="str">
        <f t="shared" si="28"/>
        <v/>
      </c>
      <c r="D939" s="118" t="str">
        <f t="shared" si="29"/>
        <v/>
      </c>
      <c r="E939" s="121"/>
      <c r="F939" s="121"/>
      <c r="G939" s="121"/>
      <c r="H939" s="121"/>
      <c r="I939" s="142"/>
      <c r="J939" s="121"/>
      <c r="K939" s="121"/>
      <c r="L939" s="144"/>
      <c r="M939" s="144"/>
      <c r="N939" s="144"/>
      <c r="O939" s="144"/>
      <c r="P939" s="144"/>
    </row>
    <row r="940" spans="1:16" s="135" customFormat="1" ht="15.75" x14ac:dyDescent="0.25">
      <c r="A940" s="109"/>
      <c r="B940" s="109"/>
      <c r="C940" s="118" t="str">
        <f t="shared" si="28"/>
        <v/>
      </c>
      <c r="D940" s="118" t="str">
        <f t="shared" si="29"/>
        <v/>
      </c>
      <c r="E940" s="121"/>
      <c r="F940" s="121"/>
      <c r="G940" s="121"/>
      <c r="H940" s="121"/>
      <c r="I940" s="142"/>
      <c r="J940" s="121"/>
      <c r="K940" s="121"/>
      <c r="L940" s="144"/>
      <c r="M940" s="144"/>
      <c r="N940" s="144"/>
      <c r="O940" s="144"/>
      <c r="P940" s="144"/>
    </row>
    <row r="941" spans="1:16" s="135" customFormat="1" ht="15.75" x14ac:dyDescent="0.25">
      <c r="A941" s="109"/>
      <c r="B941" s="109"/>
      <c r="C941" s="118" t="str">
        <f t="shared" si="28"/>
        <v/>
      </c>
      <c r="D941" s="118" t="str">
        <f t="shared" si="29"/>
        <v/>
      </c>
      <c r="E941" s="121"/>
      <c r="F941" s="121"/>
      <c r="G941" s="121"/>
      <c r="H941" s="121"/>
      <c r="I941" s="142"/>
      <c r="J941" s="121"/>
      <c r="K941" s="121"/>
      <c r="L941" s="144"/>
      <c r="M941" s="144"/>
      <c r="N941" s="144"/>
      <c r="O941" s="144"/>
      <c r="P941" s="144"/>
    </row>
    <row r="942" spans="1:16" s="135" customFormat="1" ht="15.75" x14ac:dyDescent="0.25">
      <c r="A942" s="109"/>
      <c r="B942" s="109"/>
      <c r="C942" s="118" t="str">
        <f t="shared" si="28"/>
        <v/>
      </c>
      <c r="D942" s="118" t="str">
        <f t="shared" si="29"/>
        <v/>
      </c>
      <c r="E942" s="121"/>
      <c r="F942" s="121"/>
      <c r="G942" s="121"/>
      <c r="H942" s="121"/>
      <c r="I942" s="142"/>
      <c r="J942" s="121"/>
      <c r="K942" s="121"/>
      <c r="L942" s="144"/>
      <c r="M942" s="144"/>
      <c r="N942" s="144"/>
      <c r="O942" s="144"/>
      <c r="P942" s="144"/>
    </row>
    <row r="943" spans="1:16" s="135" customFormat="1" ht="15.75" x14ac:dyDescent="0.25">
      <c r="A943" s="109"/>
      <c r="B943" s="109"/>
      <c r="C943" s="118" t="str">
        <f t="shared" si="28"/>
        <v/>
      </c>
      <c r="D943" s="118" t="str">
        <f t="shared" si="29"/>
        <v/>
      </c>
      <c r="E943" s="121"/>
      <c r="F943" s="121"/>
      <c r="G943" s="121"/>
      <c r="H943" s="121"/>
      <c r="I943" s="142"/>
      <c r="J943" s="121"/>
      <c r="K943" s="121"/>
      <c r="L943" s="144"/>
      <c r="M943" s="144"/>
      <c r="N943" s="144"/>
      <c r="O943" s="144"/>
      <c r="P943" s="144"/>
    </row>
    <row r="944" spans="1:16" s="135" customFormat="1" ht="15.75" x14ac:dyDescent="0.25">
      <c r="A944" s="109"/>
      <c r="B944" s="109"/>
      <c r="C944" s="118" t="str">
        <f t="shared" si="28"/>
        <v/>
      </c>
      <c r="D944" s="118" t="str">
        <f t="shared" si="29"/>
        <v/>
      </c>
      <c r="E944" s="121"/>
      <c r="F944" s="121"/>
      <c r="G944" s="121"/>
      <c r="H944" s="121"/>
      <c r="I944" s="142"/>
      <c r="J944" s="121"/>
      <c r="K944" s="121"/>
      <c r="L944" s="144"/>
      <c r="M944" s="144"/>
      <c r="N944" s="144"/>
      <c r="O944" s="144"/>
      <c r="P944" s="144"/>
    </row>
    <row r="945" spans="1:16" s="135" customFormat="1" ht="15.75" x14ac:dyDescent="0.25">
      <c r="A945" s="109"/>
      <c r="B945" s="109"/>
      <c r="C945" s="118" t="str">
        <f t="shared" si="28"/>
        <v/>
      </c>
      <c r="D945" s="118" t="str">
        <f t="shared" si="29"/>
        <v/>
      </c>
      <c r="E945" s="121"/>
      <c r="F945" s="121"/>
      <c r="G945" s="121"/>
      <c r="H945" s="121"/>
      <c r="I945" s="142"/>
      <c r="J945" s="121"/>
      <c r="K945" s="121"/>
      <c r="L945" s="144"/>
      <c r="M945" s="144"/>
      <c r="N945" s="144"/>
      <c r="O945" s="144"/>
      <c r="P945" s="144"/>
    </row>
    <row r="946" spans="1:16" s="135" customFormat="1" ht="15.75" x14ac:dyDescent="0.25">
      <c r="A946" s="109"/>
      <c r="B946" s="109"/>
      <c r="C946" s="118" t="str">
        <f t="shared" si="28"/>
        <v/>
      </c>
      <c r="D946" s="118" t="str">
        <f t="shared" si="29"/>
        <v/>
      </c>
      <c r="E946" s="121"/>
      <c r="F946" s="121"/>
      <c r="G946" s="121"/>
      <c r="H946" s="121"/>
      <c r="I946" s="142"/>
      <c r="J946" s="121"/>
      <c r="K946" s="121"/>
      <c r="L946" s="144"/>
      <c r="M946" s="144"/>
      <c r="N946" s="144"/>
      <c r="O946" s="144"/>
      <c r="P946" s="144"/>
    </row>
    <row r="947" spans="1:16" s="135" customFormat="1" ht="15.75" x14ac:dyDescent="0.25">
      <c r="A947" s="109"/>
      <c r="B947" s="109"/>
      <c r="C947" s="118" t="str">
        <f t="shared" si="28"/>
        <v/>
      </c>
      <c r="D947" s="118" t="str">
        <f t="shared" si="29"/>
        <v/>
      </c>
      <c r="E947" s="121"/>
      <c r="F947" s="121"/>
      <c r="G947" s="121"/>
      <c r="H947" s="121"/>
      <c r="I947" s="142"/>
      <c r="J947" s="121"/>
      <c r="K947" s="121"/>
      <c r="L947" s="144"/>
      <c r="M947" s="144"/>
      <c r="N947" s="144"/>
      <c r="O947" s="144"/>
      <c r="P947" s="144"/>
    </row>
    <row r="948" spans="1:16" s="135" customFormat="1" ht="15.75" x14ac:dyDescent="0.25">
      <c r="A948" s="109"/>
      <c r="B948" s="109"/>
      <c r="C948" s="118" t="str">
        <f t="shared" si="28"/>
        <v/>
      </c>
      <c r="D948" s="118" t="str">
        <f t="shared" si="29"/>
        <v/>
      </c>
      <c r="E948" s="121"/>
      <c r="F948" s="121"/>
      <c r="G948" s="121"/>
      <c r="H948" s="121"/>
      <c r="I948" s="142"/>
      <c r="J948" s="121"/>
      <c r="K948" s="121"/>
      <c r="L948" s="144"/>
      <c r="M948" s="144"/>
      <c r="N948" s="144"/>
      <c r="O948" s="144"/>
      <c r="P948" s="144"/>
    </row>
    <row r="949" spans="1:16" s="135" customFormat="1" ht="15.75" x14ac:dyDescent="0.25">
      <c r="A949" s="109"/>
      <c r="B949" s="109"/>
      <c r="C949" s="118" t="str">
        <f t="shared" si="28"/>
        <v/>
      </c>
      <c r="D949" s="118" t="str">
        <f t="shared" si="29"/>
        <v/>
      </c>
      <c r="E949" s="121"/>
      <c r="F949" s="121"/>
      <c r="G949" s="121"/>
      <c r="H949" s="121"/>
      <c r="I949" s="142"/>
      <c r="J949" s="121"/>
      <c r="K949" s="121"/>
      <c r="L949" s="144"/>
      <c r="M949" s="144"/>
      <c r="N949" s="144"/>
      <c r="O949" s="144"/>
      <c r="P949" s="144"/>
    </row>
    <row r="950" spans="1:16" s="135" customFormat="1" ht="15.75" x14ac:dyDescent="0.25">
      <c r="A950" s="109"/>
      <c r="B950" s="109"/>
      <c r="C950" s="118" t="str">
        <f t="shared" si="28"/>
        <v/>
      </c>
      <c r="D950" s="118" t="str">
        <f t="shared" si="29"/>
        <v/>
      </c>
      <c r="E950" s="121"/>
      <c r="F950" s="121"/>
      <c r="G950" s="121"/>
      <c r="H950" s="121"/>
      <c r="I950" s="142"/>
      <c r="J950" s="121"/>
      <c r="K950" s="121"/>
      <c r="L950" s="144"/>
      <c r="M950" s="144"/>
      <c r="N950" s="144"/>
      <c r="O950" s="144"/>
      <c r="P950" s="144"/>
    </row>
    <row r="951" spans="1:16" s="135" customFormat="1" ht="15.75" x14ac:dyDescent="0.25">
      <c r="A951" s="109"/>
      <c r="B951" s="109"/>
      <c r="C951" s="118" t="str">
        <f t="shared" si="28"/>
        <v/>
      </c>
      <c r="D951" s="118" t="str">
        <f t="shared" si="29"/>
        <v/>
      </c>
      <c r="E951" s="121"/>
      <c r="F951" s="121"/>
      <c r="G951" s="121"/>
      <c r="H951" s="121"/>
      <c r="I951" s="142"/>
      <c r="J951" s="121"/>
      <c r="K951" s="121"/>
      <c r="L951" s="144"/>
      <c r="M951" s="144"/>
      <c r="N951" s="144"/>
      <c r="O951" s="144"/>
      <c r="P951" s="144"/>
    </row>
    <row r="952" spans="1:16" s="135" customFormat="1" ht="15.75" x14ac:dyDescent="0.25">
      <c r="A952" s="109"/>
      <c r="B952" s="109"/>
      <c r="C952" s="118" t="str">
        <f t="shared" si="28"/>
        <v/>
      </c>
      <c r="D952" s="118" t="str">
        <f t="shared" si="29"/>
        <v/>
      </c>
      <c r="E952" s="121"/>
      <c r="F952" s="121"/>
      <c r="G952" s="121"/>
      <c r="H952" s="121"/>
      <c r="I952" s="142"/>
      <c r="J952" s="121"/>
      <c r="K952" s="121"/>
      <c r="L952" s="144"/>
      <c r="M952" s="144"/>
      <c r="N952" s="144"/>
      <c r="O952" s="144"/>
      <c r="P952" s="144"/>
    </row>
    <row r="953" spans="1:16" s="135" customFormat="1" ht="15.75" x14ac:dyDescent="0.25">
      <c r="A953" s="109"/>
      <c r="B953" s="109"/>
      <c r="C953" s="118" t="str">
        <f t="shared" si="28"/>
        <v/>
      </c>
      <c r="D953" s="118" t="str">
        <f t="shared" si="29"/>
        <v/>
      </c>
      <c r="E953" s="121"/>
      <c r="F953" s="121"/>
      <c r="G953" s="121"/>
      <c r="H953" s="121"/>
      <c r="I953" s="142"/>
      <c r="J953" s="121"/>
      <c r="K953" s="121"/>
      <c r="L953" s="144"/>
      <c r="M953" s="144"/>
      <c r="N953" s="144"/>
      <c r="O953" s="144"/>
      <c r="P953" s="144"/>
    </row>
    <row r="954" spans="1:16" s="135" customFormat="1" ht="15.75" x14ac:dyDescent="0.25">
      <c r="A954" s="109"/>
      <c r="B954" s="109"/>
      <c r="C954" s="118" t="str">
        <f t="shared" si="28"/>
        <v/>
      </c>
      <c r="D954" s="118" t="str">
        <f t="shared" si="29"/>
        <v/>
      </c>
      <c r="E954" s="121"/>
      <c r="F954" s="121"/>
      <c r="G954" s="121"/>
      <c r="H954" s="121"/>
      <c r="I954" s="142"/>
      <c r="J954" s="121"/>
      <c r="K954" s="121"/>
      <c r="L954" s="144"/>
      <c r="M954" s="144"/>
      <c r="N954" s="144"/>
      <c r="O954" s="144"/>
      <c r="P954" s="144"/>
    </row>
    <row r="955" spans="1:16" s="135" customFormat="1" ht="15.75" x14ac:dyDescent="0.25">
      <c r="A955" s="109"/>
      <c r="B955" s="109"/>
      <c r="C955" s="118" t="str">
        <f t="shared" si="28"/>
        <v/>
      </c>
      <c r="D955" s="118" t="str">
        <f t="shared" si="29"/>
        <v/>
      </c>
      <c r="E955" s="121"/>
      <c r="F955" s="121"/>
      <c r="G955" s="121"/>
      <c r="H955" s="121"/>
      <c r="I955" s="142"/>
      <c r="J955" s="121"/>
      <c r="K955" s="121"/>
      <c r="L955" s="144"/>
      <c r="M955" s="144"/>
      <c r="N955" s="144"/>
      <c r="O955" s="144"/>
      <c r="P955" s="144"/>
    </row>
    <row r="956" spans="1:16" s="135" customFormat="1" ht="15.75" x14ac:dyDescent="0.25">
      <c r="A956" s="109"/>
      <c r="B956" s="109"/>
      <c r="C956" s="118" t="str">
        <f t="shared" si="28"/>
        <v/>
      </c>
      <c r="D956" s="118" t="str">
        <f t="shared" si="29"/>
        <v/>
      </c>
      <c r="E956" s="121"/>
      <c r="F956" s="121"/>
      <c r="G956" s="121"/>
      <c r="H956" s="121"/>
      <c r="I956" s="142"/>
      <c r="J956" s="121"/>
      <c r="K956" s="121"/>
      <c r="L956" s="144"/>
      <c r="M956" s="144"/>
      <c r="N956" s="144"/>
      <c r="O956" s="144"/>
      <c r="P956" s="144"/>
    </row>
    <row r="957" spans="1:16" s="135" customFormat="1" ht="15.75" x14ac:dyDescent="0.25">
      <c r="A957" s="109"/>
      <c r="B957" s="109"/>
      <c r="C957" s="118" t="str">
        <f t="shared" si="28"/>
        <v/>
      </c>
      <c r="D957" s="118" t="str">
        <f t="shared" si="29"/>
        <v/>
      </c>
      <c r="E957" s="121"/>
      <c r="F957" s="121"/>
      <c r="G957" s="121"/>
      <c r="H957" s="121"/>
      <c r="I957" s="142"/>
      <c r="J957" s="121"/>
      <c r="K957" s="121"/>
      <c r="L957" s="144"/>
      <c r="M957" s="144"/>
      <c r="N957" s="144"/>
      <c r="O957" s="144"/>
      <c r="P957" s="144"/>
    </row>
    <row r="958" spans="1:16" s="135" customFormat="1" ht="15.75" x14ac:dyDescent="0.25">
      <c r="A958" s="109"/>
      <c r="B958" s="109"/>
      <c r="C958" s="118" t="str">
        <f t="shared" si="28"/>
        <v/>
      </c>
      <c r="D958" s="118" t="str">
        <f t="shared" si="29"/>
        <v/>
      </c>
      <c r="E958" s="121"/>
      <c r="F958" s="121"/>
      <c r="G958" s="121"/>
      <c r="H958" s="121"/>
      <c r="I958" s="142"/>
      <c r="J958" s="121"/>
      <c r="K958" s="121"/>
      <c r="L958" s="144"/>
      <c r="M958" s="144"/>
      <c r="N958" s="144"/>
      <c r="O958" s="144"/>
      <c r="P958" s="144"/>
    </row>
    <row r="959" spans="1:16" s="135" customFormat="1" ht="15.75" x14ac:dyDescent="0.25">
      <c r="A959" s="109"/>
      <c r="B959" s="109"/>
      <c r="C959" s="118" t="str">
        <f t="shared" si="28"/>
        <v/>
      </c>
      <c r="D959" s="118" t="str">
        <f t="shared" si="29"/>
        <v/>
      </c>
      <c r="E959" s="121"/>
      <c r="F959" s="121"/>
      <c r="G959" s="121"/>
      <c r="H959" s="121"/>
      <c r="I959" s="142"/>
      <c r="J959" s="121"/>
      <c r="K959" s="121"/>
      <c r="L959" s="144"/>
      <c r="M959" s="144"/>
      <c r="N959" s="144"/>
      <c r="O959" s="144"/>
      <c r="P959" s="144"/>
    </row>
    <row r="960" spans="1:16" s="135" customFormat="1" ht="15.75" x14ac:dyDescent="0.25">
      <c r="A960" s="109"/>
      <c r="B960" s="109"/>
      <c r="C960" s="118" t="str">
        <f t="shared" si="28"/>
        <v/>
      </c>
      <c r="D960" s="118" t="str">
        <f t="shared" si="29"/>
        <v/>
      </c>
      <c r="E960" s="121"/>
      <c r="F960" s="121"/>
      <c r="G960" s="121"/>
      <c r="H960" s="121"/>
      <c r="I960" s="142"/>
      <c r="J960" s="121"/>
      <c r="K960" s="121"/>
      <c r="L960" s="144"/>
      <c r="M960" s="144"/>
      <c r="N960" s="144"/>
      <c r="O960" s="144"/>
      <c r="P960" s="144"/>
    </row>
    <row r="961" spans="1:16" s="135" customFormat="1" ht="15.75" x14ac:dyDescent="0.25">
      <c r="A961" s="109"/>
      <c r="B961" s="109"/>
      <c r="C961" s="118" t="str">
        <f t="shared" si="28"/>
        <v/>
      </c>
      <c r="D961" s="118" t="str">
        <f t="shared" si="29"/>
        <v/>
      </c>
      <c r="E961" s="121"/>
      <c r="F961" s="121"/>
      <c r="G961" s="121"/>
      <c r="H961" s="121"/>
      <c r="I961" s="142"/>
      <c r="J961" s="121"/>
      <c r="K961" s="121"/>
      <c r="L961" s="144"/>
      <c r="M961" s="144"/>
      <c r="N961" s="144"/>
      <c r="O961" s="144"/>
      <c r="P961" s="144"/>
    </row>
    <row r="962" spans="1:16" s="135" customFormat="1" ht="15.75" x14ac:dyDescent="0.25">
      <c r="A962" s="109"/>
      <c r="B962" s="109"/>
      <c r="C962" s="118" t="str">
        <f t="shared" si="28"/>
        <v/>
      </c>
      <c r="D962" s="118" t="str">
        <f t="shared" si="29"/>
        <v/>
      </c>
      <c r="E962" s="121"/>
      <c r="F962" s="121"/>
      <c r="G962" s="121"/>
      <c r="H962" s="121"/>
      <c r="I962" s="142"/>
      <c r="J962" s="121"/>
      <c r="K962" s="121"/>
      <c r="L962" s="144"/>
      <c r="M962" s="144"/>
      <c r="N962" s="144"/>
      <c r="O962" s="144"/>
      <c r="P962" s="144"/>
    </row>
    <row r="963" spans="1:16" s="135" customFormat="1" ht="15.75" x14ac:dyDescent="0.25">
      <c r="A963" s="109"/>
      <c r="B963" s="109"/>
      <c r="C963" s="118" t="str">
        <f t="shared" si="28"/>
        <v/>
      </c>
      <c r="D963" s="118" t="str">
        <f t="shared" si="29"/>
        <v/>
      </c>
      <c r="E963" s="121"/>
      <c r="F963" s="121"/>
      <c r="G963" s="121"/>
      <c r="H963" s="121"/>
      <c r="I963" s="142"/>
      <c r="J963" s="121"/>
      <c r="K963" s="121"/>
      <c r="L963" s="144"/>
      <c r="M963" s="144"/>
      <c r="N963" s="144"/>
      <c r="O963" s="144"/>
      <c r="P963" s="144"/>
    </row>
    <row r="964" spans="1:16" s="135" customFormat="1" ht="15.75" x14ac:dyDescent="0.25">
      <c r="A964" s="109"/>
      <c r="B964" s="109"/>
      <c r="C964" s="118" t="str">
        <f t="shared" si="28"/>
        <v/>
      </c>
      <c r="D964" s="118" t="str">
        <f t="shared" si="29"/>
        <v/>
      </c>
      <c r="E964" s="121"/>
      <c r="F964" s="121"/>
      <c r="G964" s="121"/>
      <c r="H964" s="121"/>
      <c r="I964" s="142"/>
      <c r="J964" s="121"/>
      <c r="K964" s="121"/>
      <c r="L964" s="144"/>
      <c r="M964" s="144"/>
      <c r="N964" s="144"/>
      <c r="O964" s="144"/>
      <c r="P964" s="144"/>
    </row>
    <row r="965" spans="1:16" s="135" customFormat="1" ht="15.75" x14ac:dyDescent="0.25">
      <c r="A965" s="109"/>
      <c r="B965" s="109"/>
      <c r="C965" s="118" t="str">
        <f t="shared" si="28"/>
        <v/>
      </c>
      <c r="D965" s="118" t="str">
        <f t="shared" si="29"/>
        <v/>
      </c>
      <c r="E965" s="121"/>
      <c r="F965" s="121"/>
      <c r="G965" s="121"/>
      <c r="H965" s="121"/>
      <c r="I965" s="142"/>
      <c r="J965" s="121"/>
      <c r="K965" s="121"/>
      <c r="L965" s="144"/>
      <c r="M965" s="144"/>
      <c r="N965" s="144"/>
      <c r="O965" s="144"/>
      <c r="P965" s="144"/>
    </row>
    <row r="966" spans="1:16" s="135" customFormat="1" ht="15.75" x14ac:dyDescent="0.25">
      <c r="A966" s="109"/>
      <c r="B966" s="109"/>
      <c r="C966" s="118" t="str">
        <f t="shared" si="28"/>
        <v/>
      </c>
      <c r="D966" s="118" t="str">
        <f t="shared" si="29"/>
        <v/>
      </c>
      <c r="E966" s="121"/>
      <c r="F966" s="121"/>
      <c r="G966" s="121"/>
      <c r="H966" s="121"/>
      <c r="I966" s="142"/>
      <c r="J966" s="121"/>
      <c r="K966" s="121"/>
      <c r="L966" s="144"/>
      <c r="M966" s="144"/>
      <c r="N966" s="144"/>
      <c r="O966" s="144"/>
      <c r="P966" s="144"/>
    </row>
    <row r="967" spans="1:16" s="135" customFormat="1" ht="15.75" x14ac:dyDescent="0.25">
      <c r="A967" s="109"/>
      <c r="B967" s="109"/>
      <c r="C967" s="118" t="str">
        <f t="shared" si="28"/>
        <v/>
      </c>
      <c r="D967" s="118" t="str">
        <f t="shared" si="29"/>
        <v/>
      </c>
      <c r="E967" s="121"/>
      <c r="F967" s="121"/>
      <c r="G967" s="121"/>
      <c r="H967" s="121"/>
      <c r="I967" s="142"/>
      <c r="J967" s="121"/>
      <c r="K967" s="121"/>
      <c r="L967" s="144"/>
      <c r="M967" s="144"/>
      <c r="N967" s="144"/>
      <c r="O967" s="144"/>
      <c r="P967" s="144"/>
    </row>
    <row r="968" spans="1:16" s="135" customFormat="1" ht="15.75" x14ac:dyDescent="0.25">
      <c r="A968" s="109"/>
      <c r="B968" s="109"/>
      <c r="C968" s="118" t="str">
        <f t="shared" si="28"/>
        <v/>
      </c>
      <c r="D968" s="118" t="str">
        <f t="shared" si="29"/>
        <v/>
      </c>
      <c r="E968" s="121"/>
      <c r="F968" s="121"/>
      <c r="G968" s="121"/>
      <c r="H968" s="121"/>
      <c r="I968" s="142"/>
      <c r="J968" s="121"/>
      <c r="K968" s="121"/>
      <c r="L968" s="144"/>
      <c r="M968" s="144"/>
      <c r="N968" s="144"/>
      <c r="O968" s="144"/>
      <c r="P968" s="144"/>
    </row>
    <row r="969" spans="1:16" s="135" customFormat="1" ht="15.75" x14ac:dyDescent="0.25">
      <c r="A969" s="109"/>
      <c r="B969" s="109"/>
      <c r="C969" s="118" t="str">
        <f t="shared" si="28"/>
        <v/>
      </c>
      <c r="D969" s="118" t="str">
        <f t="shared" si="29"/>
        <v/>
      </c>
      <c r="E969" s="121"/>
      <c r="F969" s="121"/>
      <c r="G969" s="121"/>
      <c r="H969" s="121"/>
      <c r="I969" s="142"/>
      <c r="J969" s="121"/>
      <c r="K969" s="121"/>
      <c r="L969" s="144"/>
      <c r="M969" s="144"/>
      <c r="N969" s="144"/>
      <c r="O969" s="144"/>
      <c r="P969" s="144"/>
    </row>
    <row r="970" spans="1:16" s="135" customFormat="1" ht="15.75" x14ac:dyDescent="0.25">
      <c r="A970" s="109"/>
      <c r="B970" s="109"/>
      <c r="C970" s="118" t="str">
        <f t="shared" si="28"/>
        <v/>
      </c>
      <c r="D970" s="118" t="str">
        <f t="shared" si="29"/>
        <v/>
      </c>
      <c r="E970" s="121"/>
      <c r="F970" s="121"/>
      <c r="G970" s="121"/>
      <c r="H970" s="121"/>
      <c r="I970" s="142"/>
      <c r="J970" s="121"/>
      <c r="K970" s="121"/>
      <c r="L970" s="144"/>
      <c r="M970" s="144"/>
      <c r="N970" s="144"/>
      <c r="O970" s="144"/>
      <c r="P970" s="144"/>
    </row>
    <row r="971" spans="1:16" s="135" customFormat="1" ht="15.75" x14ac:dyDescent="0.25">
      <c r="A971" s="109"/>
      <c r="B971" s="109"/>
      <c r="C971" s="118" t="str">
        <f t="shared" si="28"/>
        <v/>
      </c>
      <c r="D971" s="118" t="str">
        <f t="shared" si="29"/>
        <v/>
      </c>
      <c r="E971" s="121"/>
      <c r="F971" s="121"/>
      <c r="G971" s="121"/>
      <c r="H971" s="121"/>
      <c r="I971" s="142"/>
      <c r="J971" s="121"/>
      <c r="K971" s="121"/>
      <c r="L971" s="144"/>
      <c r="M971" s="144"/>
      <c r="N971" s="144"/>
      <c r="O971" s="144"/>
      <c r="P971" s="144"/>
    </row>
    <row r="972" spans="1:16" s="135" customFormat="1" ht="15.75" x14ac:dyDescent="0.25">
      <c r="A972" s="109"/>
      <c r="B972" s="109"/>
      <c r="C972" s="118" t="str">
        <f t="shared" si="28"/>
        <v/>
      </c>
      <c r="D972" s="118" t="str">
        <f t="shared" si="29"/>
        <v/>
      </c>
      <c r="E972" s="121"/>
      <c r="F972" s="121"/>
      <c r="G972" s="121"/>
      <c r="H972" s="121"/>
      <c r="I972" s="142"/>
      <c r="J972" s="121"/>
      <c r="K972" s="121"/>
      <c r="L972" s="144"/>
      <c r="M972" s="144"/>
      <c r="N972" s="144"/>
      <c r="O972" s="144"/>
      <c r="P972" s="144"/>
    </row>
    <row r="973" spans="1:16" s="135" customFormat="1" ht="15.75" x14ac:dyDescent="0.25">
      <c r="A973" s="109"/>
      <c r="B973" s="109"/>
      <c r="C973" s="118" t="str">
        <f t="shared" si="28"/>
        <v/>
      </c>
      <c r="D973" s="118" t="str">
        <f t="shared" si="29"/>
        <v/>
      </c>
      <c r="E973" s="121"/>
      <c r="F973" s="121"/>
      <c r="G973" s="121"/>
      <c r="H973" s="121"/>
      <c r="I973" s="142"/>
      <c r="J973" s="121"/>
      <c r="K973" s="121"/>
      <c r="L973" s="144"/>
      <c r="M973" s="144"/>
      <c r="N973" s="144"/>
      <c r="O973" s="144"/>
      <c r="P973" s="144"/>
    </row>
    <row r="974" spans="1:16" s="135" customFormat="1" ht="15.75" x14ac:dyDescent="0.25">
      <c r="A974" s="109"/>
      <c r="B974" s="109"/>
      <c r="C974" s="118" t="str">
        <f t="shared" si="28"/>
        <v/>
      </c>
      <c r="D974" s="118" t="str">
        <f t="shared" si="29"/>
        <v/>
      </c>
      <c r="E974" s="121"/>
      <c r="F974" s="121"/>
      <c r="G974" s="121"/>
      <c r="H974" s="121"/>
      <c r="I974" s="142"/>
      <c r="J974" s="121"/>
      <c r="K974" s="121"/>
      <c r="L974" s="144"/>
      <c r="M974" s="144"/>
      <c r="N974" s="144"/>
      <c r="O974" s="144"/>
      <c r="P974" s="144"/>
    </row>
    <row r="975" spans="1:16" s="135" customFormat="1" ht="15.75" x14ac:dyDescent="0.25">
      <c r="A975" s="109"/>
      <c r="B975" s="109"/>
      <c r="C975" s="118" t="str">
        <f t="shared" si="28"/>
        <v/>
      </c>
      <c r="D975" s="118" t="str">
        <f t="shared" si="29"/>
        <v/>
      </c>
      <c r="E975" s="121"/>
      <c r="F975" s="121"/>
      <c r="G975" s="121"/>
      <c r="H975" s="121"/>
      <c r="I975" s="142"/>
      <c r="J975" s="121"/>
      <c r="K975" s="121"/>
      <c r="L975" s="144"/>
      <c r="M975" s="144"/>
      <c r="N975" s="144"/>
      <c r="O975" s="144"/>
      <c r="P975" s="144"/>
    </row>
    <row r="976" spans="1:16" s="135" customFormat="1" ht="15.75" x14ac:dyDescent="0.25">
      <c r="A976" s="109"/>
      <c r="B976" s="109"/>
      <c r="C976" s="118" t="str">
        <f t="shared" si="28"/>
        <v/>
      </c>
      <c r="D976" s="118" t="str">
        <f t="shared" si="29"/>
        <v/>
      </c>
      <c r="E976" s="121"/>
      <c r="F976" s="121"/>
      <c r="G976" s="121"/>
      <c r="H976" s="121"/>
      <c r="I976" s="142"/>
      <c r="J976" s="121"/>
      <c r="K976" s="121"/>
      <c r="L976" s="144"/>
      <c r="M976" s="144"/>
      <c r="N976" s="144"/>
      <c r="O976" s="144"/>
      <c r="P976" s="144"/>
    </row>
    <row r="977" spans="1:16" s="135" customFormat="1" ht="15.75" x14ac:dyDescent="0.25">
      <c r="A977" s="109"/>
      <c r="B977" s="109"/>
      <c r="C977" s="118" t="str">
        <f t="shared" si="28"/>
        <v/>
      </c>
      <c r="D977" s="118" t="str">
        <f t="shared" si="29"/>
        <v/>
      </c>
      <c r="E977" s="121"/>
      <c r="F977" s="121"/>
      <c r="G977" s="121"/>
      <c r="H977" s="121"/>
      <c r="I977" s="142"/>
      <c r="J977" s="121"/>
      <c r="K977" s="121"/>
      <c r="L977" s="144"/>
      <c r="M977" s="144"/>
      <c r="N977" s="144"/>
      <c r="O977" s="144"/>
      <c r="P977" s="144"/>
    </row>
    <row r="978" spans="1:16" s="135" customFormat="1" ht="15.75" x14ac:dyDescent="0.25">
      <c r="A978" s="109"/>
      <c r="B978" s="109"/>
      <c r="C978" s="118" t="str">
        <f t="shared" si="28"/>
        <v/>
      </c>
      <c r="D978" s="118" t="str">
        <f t="shared" si="29"/>
        <v/>
      </c>
      <c r="E978" s="121"/>
      <c r="F978" s="121"/>
      <c r="G978" s="121"/>
      <c r="H978" s="121"/>
      <c r="I978" s="142"/>
      <c r="J978" s="121"/>
      <c r="K978" s="121"/>
      <c r="L978" s="144"/>
      <c r="M978" s="144"/>
      <c r="N978" s="144"/>
      <c r="O978" s="144"/>
      <c r="P978" s="144"/>
    </row>
    <row r="979" spans="1:16" s="135" customFormat="1" ht="15.75" x14ac:dyDescent="0.25">
      <c r="A979" s="109"/>
      <c r="B979" s="109"/>
      <c r="C979" s="118" t="str">
        <f t="shared" si="28"/>
        <v/>
      </c>
      <c r="D979" s="118" t="str">
        <f t="shared" si="29"/>
        <v/>
      </c>
      <c r="E979" s="121"/>
      <c r="F979" s="121"/>
      <c r="G979" s="121"/>
      <c r="H979" s="121"/>
      <c r="I979" s="142"/>
      <c r="J979" s="121"/>
      <c r="K979" s="121"/>
      <c r="L979" s="144"/>
      <c r="M979" s="144"/>
      <c r="N979" s="144"/>
      <c r="O979" s="144"/>
      <c r="P979" s="144"/>
    </row>
    <row r="980" spans="1:16" s="135" customFormat="1" ht="15.75" x14ac:dyDescent="0.25">
      <c r="A980" s="109"/>
      <c r="B980" s="109"/>
      <c r="C980" s="118" t="str">
        <f t="shared" ref="C980:C1019" si="30">IF(A980=0,"",VLOOKUP(B980,MatDB,2,FALSE))</f>
        <v/>
      </c>
      <c r="D980" s="118" t="str">
        <f t="shared" si="29"/>
        <v/>
      </c>
      <c r="E980" s="121"/>
      <c r="F980" s="121"/>
      <c r="G980" s="121"/>
      <c r="H980" s="121"/>
      <c r="I980" s="142"/>
      <c r="J980" s="121"/>
      <c r="K980" s="121"/>
      <c r="L980" s="144"/>
      <c r="M980" s="144"/>
      <c r="N980" s="144"/>
      <c r="O980" s="144"/>
      <c r="P980" s="144"/>
    </row>
    <row r="981" spans="1:16" s="135" customFormat="1" ht="15.75" x14ac:dyDescent="0.25">
      <c r="A981" s="109"/>
      <c r="B981" s="109"/>
      <c r="C981" s="118" t="str">
        <f t="shared" si="30"/>
        <v/>
      </c>
      <c r="D981" s="118" t="str">
        <f t="shared" ref="D981:D1019" si="31">IF(A981=0,"","Steel02")</f>
        <v/>
      </c>
      <c r="E981" s="121"/>
      <c r="F981" s="121"/>
      <c r="G981" s="121"/>
      <c r="H981" s="121"/>
      <c r="I981" s="142"/>
      <c r="J981" s="121"/>
      <c r="K981" s="121"/>
      <c r="L981" s="144"/>
      <c r="M981" s="144"/>
      <c r="N981" s="144"/>
      <c r="O981" s="144"/>
      <c r="P981" s="144"/>
    </row>
    <row r="982" spans="1:16" s="135" customFormat="1" ht="15.75" x14ac:dyDescent="0.25">
      <c r="A982" s="109"/>
      <c r="B982" s="109"/>
      <c r="C982" s="118" t="str">
        <f t="shared" si="30"/>
        <v/>
      </c>
      <c r="D982" s="118" t="str">
        <f t="shared" si="31"/>
        <v/>
      </c>
      <c r="E982" s="121"/>
      <c r="F982" s="121"/>
      <c r="G982" s="121"/>
      <c r="H982" s="121"/>
      <c r="I982" s="142"/>
      <c r="J982" s="121"/>
      <c r="K982" s="121"/>
      <c r="L982" s="144"/>
      <c r="M982" s="144"/>
      <c r="N982" s="144"/>
      <c r="O982" s="144"/>
      <c r="P982" s="144"/>
    </row>
    <row r="983" spans="1:16" s="135" customFormat="1" ht="15.75" x14ac:dyDescent="0.25">
      <c r="A983" s="109"/>
      <c r="B983" s="109"/>
      <c r="C983" s="118" t="str">
        <f t="shared" si="30"/>
        <v/>
      </c>
      <c r="D983" s="118" t="str">
        <f t="shared" si="31"/>
        <v/>
      </c>
      <c r="E983" s="121"/>
      <c r="F983" s="121"/>
      <c r="G983" s="121"/>
      <c r="H983" s="121"/>
      <c r="I983" s="142"/>
      <c r="J983" s="121"/>
      <c r="K983" s="121"/>
      <c r="L983" s="144"/>
      <c r="M983" s="144"/>
      <c r="N983" s="144"/>
      <c r="O983" s="144"/>
      <c r="P983" s="144"/>
    </row>
    <row r="984" spans="1:16" s="135" customFormat="1" ht="15.75" x14ac:dyDescent="0.25">
      <c r="A984" s="109"/>
      <c r="B984" s="109"/>
      <c r="C984" s="118" t="str">
        <f t="shared" si="30"/>
        <v/>
      </c>
      <c r="D984" s="118" t="str">
        <f t="shared" si="31"/>
        <v/>
      </c>
      <c r="E984" s="121"/>
      <c r="F984" s="121"/>
      <c r="G984" s="121"/>
      <c r="H984" s="121"/>
      <c r="I984" s="142"/>
      <c r="J984" s="121"/>
      <c r="K984" s="121"/>
      <c r="L984" s="144"/>
      <c r="M984" s="144"/>
      <c r="N984" s="144"/>
      <c r="O984" s="144"/>
      <c r="P984" s="144"/>
    </row>
    <row r="985" spans="1:16" s="135" customFormat="1" ht="15.75" x14ac:dyDescent="0.25">
      <c r="A985" s="109"/>
      <c r="B985" s="109"/>
      <c r="C985" s="118" t="str">
        <f t="shared" si="30"/>
        <v/>
      </c>
      <c r="D985" s="118" t="str">
        <f t="shared" si="31"/>
        <v/>
      </c>
      <c r="E985" s="121"/>
      <c r="F985" s="121"/>
      <c r="G985" s="121"/>
      <c r="H985" s="121"/>
      <c r="I985" s="142"/>
      <c r="J985" s="121"/>
      <c r="K985" s="121"/>
      <c r="L985" s="144"/>
      <c r="M985" s="144"/>
      <c r="N985" s="144"/>
      <c r="O985" s="144"/>
      <c r="P985" s="144"/>
    </row>
    <row r="986" spans="1:16" s="135" customFormat="1" ht="15.75" x14ac:dyDescent="0.25">
      <c r="A986" s="109"/>
      <c r="B986" s="109"/>
      <c r="C986" s="118" t="str">
        <f t="shared" si="30"/>
        <v/>
      </c>
      <c r="D986" s="118" t="str">
        <f t="shared" si="31"/>
        <v/>
      </c>
      <c r="E986" s="121"/>
      <c r="F986" s="121"/>
      <c r="G986" s="121"/>
      <c r="H986" s="121"/>
      <c r="I986" s="142"/>
      <c r="J986" s="121"/>
      <c r="K986" s="121"/>
      <c r="L986" s="144"/>
      <c r="M986" s="144"/>
      <c r="N986" s="144"/>
      <c r="O986" s="144"/>
      <c r="P986" s="144"/>
    </row>
    <row r="987" spans="1:16" s="135" customFormat="1" ht="15.75" x14ac:dyDescent="0.25">
      <c r="A987" s="109"/>
      <c r="B987" s="109"/>
      <c r="C987" s="118" t="str">
        <f t="shared" si="30"/>
        <v/>
      </c>
      <c r="D987" s="118" t="str">
        <f t="shared" si="31"/>
        <v/>
      </c>
      <c r="E987" s="121"/>
      <c r="F987" s="121"/>
      <c r="G987" s="121"/>
      <c r="H987" s="121"/>
      <c r="I987" s="142"/>
      <c r="J987" s="121"/>
      <c r="K987" s="121"/>
      <c r="L987" s="144"/>
      <c r="M987" s="144"/>
      <c r="N987" s="144"/>
      <c r="O987" s="144"/>
      <c r="P987" s="144"/>
    </row>
    <row r="988" spans="1:16" s="135" customFormat="1" ht="15.75" x14ac:dyDescent="0.25">
      <c r="A988" s="109"/>
      <c r="B988" s="109"/>
      <c r="C988" s="118" t="str">
        <f t="shared" si="30"/>
        <v/>
      </c>
      <c r="D988" s="118" t="str">
        <f t="shared" si="31"/>
        <v/>
      </c>
      <c r="E988" s="121"/>
      <c r="F988" s="121"/>
      <c r="G988" s="121"/>
      <c r="H988" s="121"/>
      <c r="I988" s="142"/>
      <c r="J988" s="121"/>
      <c r="K988" s="121"/>
      <c r="L988" s="144"/>
      <c r="M988" s="144"/>
      <c r="N988" s="144"/>
      <c r="O988" s="144"/>
      <c r="P988" s="144"/>
    </row>
    <row r="989" spans="1:16" s="135" customFormat="1" ht="15.75" x14ac:dyDescent="0.25">
      <c r="A989" s="109"/>
      <c r="B989" s="109"/>
      <c r="C989" s="118" t="str">
        <f t="shared" si="30"/>
        <v/>
      </c>
      <c r="D989" s="118" t="str">
        <f t="shared" si="31"/>
        <v/>
      </c>
      <c r="E989" s="121"/>
      <c r="F989" s="121"/>
      <c r="G989" s="121"/>
      <c r="H989" s="121"/>
      <c r="I989" s="142"/>
      <c r="J989" s="121"/>
      <c r="K989" s="121"/>
      <c r="L989" s="144"/>
      <c r="M989" s="144"/>
      <c r="N989" s="144"/>
      <c r="O989" s="144"/>
      <c r="P989" s="144"/>
    </row>
    <row r="990" spans="1:16" s="135" customFormat="1" ht="15.75" x14ac:dyDescent="0.25">
      <c r="A990" s="109"/>
      <c r="B990" s="109"/>
      <c r="C990" s="118" t="str">
        <f t="shared" si="30"/>
        <v/>
      </c>
      <c r="D990" s="118" t="str">
        <f t="shared" si="31"/>
        <v/>
      </c>
      <c r="E990" s="121"/>
      <c r="F990" s="121"/>
      <c r="G990" s="121"/>
      <c r="H990" s="121"/>
      <c r="I990" s="142"/>
      <c r="J990" s="121"/>
      <c r="K990" s="121"/>
      <c r="L990" s="144"/>
      <c r="M990" s="144"/>
      <c r="N990" s="144"/>
      <c r="O990" s="144"/>
      <c r="P990" s="144"/>
    </row>
    <row r="991" spans="1:16" s="135" customFormat="1" ht="15.75" x14ac:dyDescent="0.25">
      <c r="A991" s="109"/>
      <c r="B991" s="109"/>
      <c r="C991" s="118" t="str">
        <f t="shared" si="30"/>
        <v/>
      </c>
      <c r="D991" s="118" t="str">
        <f t="shared" si="31"/>
        <v/>
      </c>
      <c r="E991" s="121"/>
      <c r="F991" s="121"/>
      <c r="G991" s="121"/>
      <c r="H991" s="121"/>
      <c r="I991" s="142"/>
      <c r="J991" s="121"/>
      <c r="K991" s="121"/>
      <c r="L991" s="144"/>
      <c r="M991" s="144"/>
      <c r="N991" s="144"/>
      <c r="O991" s="144"/>
      <c r="P991" s="144"/>
    </row>
    <row r="992" spans="1:16" s="135" customFormat="1" ht="15.75" x14ac:dyDescent="0.25">
      <c r="A992" s="109"/>
      <c r="B992" s="109"/>
      <c r="C992" s="118" t="str">
        <f t="shared" si="30"/>
        <v/>
      </c>
      <c r="D992" s="118" t="str">
        <f t="shared" si="31"/>
        <v/>
      </c>
      <c r="E992" s="121"/>
      <c r="F992" s="121"/>
      <c r="G992" s="121"/>
      <c r="H992" s="121"/>
      <c r="I992" s="142"/>
      <c r="J992" s="121"/>
      <c r="K992" s="121"/>
      <c r="L992" s="144"/>
      <c r="M992" s="144"/>
      <c r="N992" s="144"/>
      <c r="O992" s="144"/>
      <c r="P992" s="144"/>
    </row>
    <row r="993" spans="1:16" s="135" customFormat="1" ht="15.75" x14ac:dyDescent="0.25">
      <c r="A993" s="109"/>
      <c r="B993" s="109"/>
      <c r="C993" s="118" t="str">
        <f t="shared" si="30"/>
        <v/>
      </c>
      <c r="D993" s="118" t="str">
        <f t="shared" si="31"/>
        <v/>
      </c>
      <c r="E993" s="121"/>
      <c r="F993" s="121"/>
      <c r="G993" s="121"/>
      <c r="H993" s="121"/>
      <c r="I993" s="142"/>
      <c r="J993" s="121"/>
      <c r="K993" s="121"/>
      <c r="L993" s="144"/>
      <c r="M993" s="144"/>
      <c r="N993" s="144"/>
      <c r="O993" s="144"/>
      <c r="P993" s="144"/>
    </row>
    <row r="994" spans="1:16" s="135" customFormat="1" ht="15.75" x14ac:dyDescent="0.25">
      <c r="A994" s="109"/>
      <c r="B994" s="109"/>
      <c r="C994" s="118" t="str">
        <f t="shared" si="30"/>
        <v/>
      </c>
      <c r="D994" s="118" t="str">
        <f t="shared" si="31"/>
        <v/>
      </c>
      <c r="E994" s="121"/>
      <c r="F994" s="121"/>
      <c r="G994" s="121"/>
      <c r="H994" s="121"/>
      <c r="I994" s="142"/>
      <c r="J994" s="121"/>
      <c r="K994" s="121"/>
      <c r="L994" s="144"/>
      <c r="M994" s="144"/>
      <c r="N994" s="144"/>
      <c r="O994" s="144"/>
      <c r="P994" s="144"/>
    </row>
    <row r="995" spans="1:16" s="135" customFormat="1" ht="15.75" x14ac:dyDescent="0.25">
      <c r="A995" s="109"/>
      <c r="B995" s="109"/>
      <c r="C995" s="118" t="str">
        <f t="shared" si="30"/>
        <v/>
      </c>
      <c r="D995" s="118" t="str">
        <f t="shared" si="31"/>
        <v/>
      </c>
      <c r="E995" s="121"/>
      <c r="F995" s="121"/>
      <c r="G995" s="121"/>
      <c r="H995" s="121"/>
      <c r="I995" s="142"/>
      <c r="J995" s="121"/>
      <c r="K995" s="121"/>
      <c r="L995" s="144"/>
      <c r="M995" s="144"/>
      <c r="N995" s="144"/>
      <c r="O995" s="144"/>
      <c r="P995" s="144"/>
    </row>
    <row r="996" spans="1:16" s="135" customFormat="1" ht="15.75" x14ac:dyDescent="0.25">
      <c r="A996" s="109"/>
      <c r="B996" s="109"/>
      <c r="C996" s="118" t="str">
        <f t="shared" si="30"/>
        <v/>
      </c>
      <c r="D996" s="118" t="str">
        <f t="shared" si="31"/>
        <v/>
      </c>
      <c r="E996" s="121"/>
      <c r="F996" s="121"/>
      <c r="G996" s="121"/>
      <c r="H996" s="121"/>
      <c r="I996" s="142"/>
      <c r="J996" s="121"/>
      <c r="K996" s="121"/>
      <c r="L996" s="144"/>
      <c r="M996" s="144"/>
      <c r="N996" s="144"/>
      <c r="O996" s="144"/>
      <c r="P996" s="144"/>
    </row>
    <row r="997" spans="1:16" s="135" customFormat="1" ht="15.75" x14ac:dyDescent="0.25">
      <c r="A997" s="109"/>
      <c r="B997" s="109"/>
      <c r="C997" s="118" t="str">
        <f t="shared" si="30"/>
        <v/>
      </c>
      <c r="D997" s="118" t="str">
        <f t="shared" si="31"/>
        <v/>
      </c>
      <c r="E997" s="121"/>
      <c r="F997" s="121"/>
      <c r="G997" s="121"/>
      <c r="H997" s="121"/>
      <c r="I997" s="142"/>
      <c r="J997" s="121"/>
      <c r="K997" s="121"/>
      <c r="L997" s="144"/>
      <c r="M997" s="144"/>
      <c r="N997" s="144"/>
      <c r="O997" s="144"/>
      <c r="P997" s="144"/>
    </row>
    <row r="998" spans="1:16" s="135" customFormat="1" ht="15.75" x14ac:dyDescent="0.25">
      <c r="A998" s="109"/>
      <c r="B998" s="109"/>
      <c r="C998" s="118" t="str">
        <f t="shared" si="30"/>
        <v/>
      </c>
      <c r="D998" s="118" t="str">
        <f t="shared" si="31"/>
        <v/>
      </c>
      <c r="E998" s="121"/>
      <c r="F998" s="121"/>
      <c r="G998" s="121"/>
      <c r="H998" s="121"/>
      <c r="I998" s="142"/>
      <c r="J998" s="121"/>
      <c r="K998" s="121"/>
      <c r="L998" s="144"/>
      <c r="M998" s="144"/>
      <c r="N998" s="144"/>
      <c r="O998" s="144"/>
      <c r="P998" s="144"/>
    </row>
    <row r="999" spans="1:16" s="135" customFormat="1" ht="15.75" x14ac:dyDescent="0.25">
      <c r="A999" s="109"/>
      <c r="B999" s="109"/>
      <c r="C999" s="118" t="str">
        <f t="shared" si="30"/>
        <v/>
      </c>
      <c r="D999" s="118" t="str">
        <f t="shared" si="31"/>
        <v/>
      </c>
      <c r="E999" s="121"/>
      <c r="F999" s="121"/>
      <c r="G999" s="121"/>
      <c r="H999" s="121"/>
      <c r="I999" s="142"/>
      <c r="J999" s="121"/>
      <c r="K999" s="121"/>
      <c r="L999" s="144"/>
      <c r="M999" s="144"/>
      <c r="N999" s="144"/>
      <c r="O999" s="144"/>
      <c r="P999" s="144"/>
    </row>
    <row r="1000" spans="1:16" s="135" customFormat="1" ht="15.75" x14ac:dyDescent="0.25">
      <c r="A1000" s="109"/>
      <c r="B1000" s="109"/>
      <c r="C1000" s="118" t="str">
        <f t="shared" si="30"/>
        <v/>
      </c>
      <c r="D1000" s="118" t="str">
        <f t="shared" si="31"/>
        <v/>
      </c>
      <c r="E1000" s="121"/>
      <c r="F1000" s="121"/>
      <c r="G1000" s="121"/>
      <c r="H1000" s="121"/>
      <c r="I1000" s="142"/>
      <c r="J1000" s="121"/>
      <c r="K1000" s="121"/>
      <c r="L1000" s="144"/>
      <c r="M1000" s="144"/>
      <c r="N1000" s="144"/>
      <c r="O1000" s="144"/>
      <c r="P1000" s="144"/>
    </row>
    <row r="1001" spans="1:16" s="135" customFormat="1" ht="15.75" x14ac:dyDescent="0.25">
      <c r="A1001" s="109"/>
      <c r="B1001" s="109"/>
      <c r="C1001" s="118" t="str">
        <f t="shared" si="30"/>
        <v/>
      </c>
      <c r="D1001" s="118" t="str">
        <f t="shared" si="31"/>
        <v/>
      </c>
      <c r="E1001" s="121"/>
      <c r="F1001" s="121"/>
      <c r="G1001" s="121"/>
      <c r="H1001" s="121"/>
      <c r="I1001" s="142"/>
      <c r="J1001" s="121"/>
      <c r="K1001" s="121"/>
      <c r="L1001" s="144"/>
      <c r="M1001" s="144"/>
      <c r="N1001" s="144"/>
      <c r="O1001" s="144"/>
      <c r="P1001" s="144"/>
    </row>
    <row r="1002" spans="1:16" s="135" customFormat="1" ht="15.75" x14ac:dyDescent="0.25">
      <c r="A1002" s="109"/>
      <c r="B1002" s="109"/>
      <c r="C1002" s="118" t="str">
        <f t="shared" si="30"/>
        <v/>
      </c>
      <c r="D1002" s="118" t="str">
        <f t="shared" si="31"/>
        <v/>
      </c>
      <c r="E1002" s="121"/>
      <c r="F1002" s="121"/>
      <c r="G1002" s="121"/>
      <c r="H1002" s="121"/>
      <c r="I1002" s="142"/>
      <c r="J1002" s="121"/>
      <c r="K1002" s="121"/>
      <c r="L1002" s="144"/>
      <c r="M1002" s="144"/>
      <c r="N1002" s="144"/>
      <c r="O1002" s="144"/>
      <c r="P1002" s="144"/>
    </row>
    <row r="1003" spans="1:16" s="135" customFormat="1" ht="15.75" x14ac:dyDescent="0.25">
      <c r="A1003" s="109"/>
      <c r="B1003" s="109"/>
      <c r="C1003" s="118" t="str">
        <f t="shared" si="30"/>
        <v/>
      </c>
      <c r="D1003" s="118" t="str">
        <f t="shared" si="31"/>
        <v/>
      </c>
      <c r="E1003" s="121"/>
      <c r="F1003" s="121"/>
      <c r="G1003" s="121"/>
      <c r="H1003" s="121"/>
      <c r="I1003" s="142"/>
      <c r="J1003" s="121"/>
      <c r="K1003" s="121"/>
      <c r="L1003" s="144"/>
      <c r="M1003" s="144"/>
      <c r="N1003" s="144"/>
      <c r="O1003" s="144"/>
      <c r="P1003" s="144"/>
    </row>
    <row r="1004" spans="1:16" s="135" customFormat="1" ht="15.75" x14ac:dyDescent="0.25">
      <c r="A1004" s="109"/>
      <c r="B1004" s="109"/>
      <c r="C1004" s="118" t="str">
        <f t="shared" si="30"/>
        <v/>
      </c>
      <c r="D1004" s="118" t="str">
        <f t="shared" si="31"/>
        <v/>
      </c>
      <c r="E1004" s="121"/>
      <c r="F1004" s="121"/>
      <c r="G1004" s="121"/>
      <c r="H1004" s="121"/>
      <c r="I1004" s="142"/>
      <c r="J1004" s="121"/>
      <c r="K1004" s="121"/>
      <c r="L1004" s="144"/>
      <c r="M1004" s="144"/>
      <c r="N1004" s="144"/>
      <c r="O1004" s="144"/>
      <c r="P1004" s="144"/>
    </row>
    <row r="1005" spans="1:16" s="135" customFormat="1" ht="15.75" x14ac:dyDescent="0.25">
      <c r="A1005" s="109"/>
      <c r="B1005" s="109"/>
      <c r="C1005" s="118" t="str">
        <f t="shared" si="30"/>
        <v/>
      </c>
      <c r="D1005" s="118" t="str">
        <f t="shared" si="31"/>
        <v/>
      </c>
      <c r="E1005" s="121"/>
      <c r="F1005" s="121"/>
      <c r="G1005" s="121"/>
      <c r="H1005" s="121"/>
      <c r="I1005" s="142"/>
      <c r="J1005" s="121"/>
      <c r="K1005" s="121"/>
      <c r="L1005" s="144"/>
      <c r="M1005" s="144"/>
      <c r="N1005" s="144"/>
      <c r="O1005" s="144"/>
      <c r="P1005" s="144"/>
    </row>
    <row r="1006" spans="1:16" s="135" customFormat="1" ht="15.75" x14ac:dyDescent="0.25">
      <c r="A1006" s="109"/>
      <c r="B1006" s="109"/>
      <c r="C1006" s="118" t="str">
        <f t="shared" si="30"/>
        <v/>
      </c>
      <c r="D1006" s="118" t="str">
        <f t="shared" si="31"/>
        <v/>
      </c>
      <c r="E1006" s="121"/>
      <c r="F1006" s="121"/>
      <c r="G1006" s="121"/>
      <c r="H1006" s="121"/>
      <c r="I1006" s="142"/>
      <c r="J1006" s="121"/>
      <c r="K1006" s="121"/>
      <c r="L1006" s="144"/>
      <c r="M1006" s="144"/>
      <c r="N1006" s="144"/>
      <c r="O1006" s="144"/>
      <c r="P1006" s="144"/>
    </row>
    <row r="1007" spans="1:16" s="135" customFormat="1" ht="15.75" x14ac:dyDescent="0.25">
      <c r="A1007" s="109"/>
      <c r="B1007" s="109"/>
      <c r="C1007" s="118" t="str">
        <f t="shared" si="30"/>
        <v/>
      </c>
      <c r="D1007" s="118" t="str">
        <f t="shared" si="31"/>
        <v/>
      </c>
      <c r="E1007" s="121"/>
      <c r="F1007" s="121"/>
      <c r="G1007" s="121"/>
      <c r="H1007" s="121"/>
      <c r="I1007" s="142"/>
      <c r="J1007" s="121"/>
      <c r="K1007" s="121"/>
      <c r="L1007" s="144"/>
      <c r="M1007" s="144"/>
      <c r="N1007" s="144"/>
      <c r="O1007" s="144"/>
      <c r="P1007" s="144"/>
    </row>
    <row r="1008" spans="1:16" s="135" customFormat="1" ht="15.75" x14ac:dyDescent="0.25">
      <c r="A1008" s="109"/>
      <c r="B1008" s="109"/>
      <c r="C1008" s="118" t="str">
        <f t="shared" si="30"/>
        <v/>
      </c>
      <c r="D1008" s="118" t="str">
        <f t="shared" si="31"/>
        <v/>
      </c>
      <c r="E1008" s="121"/>
      <c r="F1008" s="121"/>
      <c r="G1008" s="121"/>
      <c r="H1008" s="121"/>
      <c r="I1008" s="142"/>
      <c r="J1008" s="121"/>
      <c r="K1008" s="121"/>
      <c r="L1008" s="144"/>
      <c r="M1008" s="144"/>
      <c r="N1008" s="144"/>
      <c r="O1008" s="144"/>
      <c r="P1008" s="144"/>
    </row>
    <row r="1009" spans="1:16" s="135" customFormat="1" ht="15.75" x14ac:dyDescent="0.25">
      <c r="A1009" s="109"/>
      <c r="B1009" s="109"/>
      <c r="C1009" s="118" t="str">
        <f t="shared" si="30"/>
        <v/>
      </c>
      <c r="D1009" s="118" t="str">
        <f t="shared" si="31"/>
        <v/>
      </c>
      <c r="E1009" s="121"/>
      <c r="F1009" s="121"/>
      <c r="G1009" s="121"/>
      <c r="H1009" s="121"/>
      <c r="I1009" s="142"/>
      <c r="J1009" s="121"/>
      <c r="K1009" s="121"/>
      <c r="L1009" s="144"/>
      <c r="M1009" s="144"/>
      <c r="N1009" s="144"/>
      <c r="O1009" s="144"/>
      <c r="P1009" s="144"/>
    </row>
    <row r="1010" spans="1:16" s="135" customFormat="1" ht="15.75" x14ac:dyDescent="0.25">
      <c r="A1010" s="109"/>
      <c r="B1010" s="109"/>
      <c r="C1010" s="118" t="str">
        <f t="shared" si="30"/>
        <v/>
      </c>
      <c r="D1010" s="118" t="str">
        <f t="shared" si="31"/>
        <v/>
      </c>
      <c r="E1010" s="121"/>
      <c r="F1010" s="121"/>
      <c r="G1010" s="121"/>
      <c r="H1010" s="121"/>
      <c r="I1010" s="142"/>
      <c r="J1010" s="121"/>
      <c r="K1010" s="121"/>
      <c r="L1010" s="144"/>
      <c r="M1010" s="144"/>
      <c r="N1010" s="144"/>
      <c r="O1010" s="144"/>
      <c r="P1010" s="144"/>
    </row>
    <row r="1011" spans="1:16" s="135" customFormat="1" ht="15.75" x14ac:dyDescent="0.25">
      <c r="A1011" s="109"/>
      <c r="B1011" s="109"/>
      <c r="C1011" s="118" t="str">
        <f t="shared" si="30"/>
        <v/>
      </c>
      <c r="D1011" s="118" t="str">
        <f t="shared" si="31"/>
        <v/>
      </c>
      <c r="E1011" s="121"/>
      <c r="F1011" s="121"/>
      <c r="G1011" s="121"/>
      <c r="H1011" s="121"/>
      <c r="I1011" s="142"/>
      <c r="J1011" s="121"/>
      <c r="K1011" s="121"/>
      <c r="L1011" s="144"/>
      <c r="M1011" s="144"/>
      <c r="N1011" s="144"/>
      <c r="O1011" s="144"/>
      <c r="P1011" s="144"/>
    </row>
    <row r="1012" spans="1:16" s="135" customFormat="1" ht="15.75" x14ac:dyDescent="0.25">
      <c r="A1012" s="109"/>
      <c r="B1012" s="109"/>
      <c r="C1012" s="118" t="str">
        <f t="shared" si="30"/>
        <v/>
      </c>
      <c r="D1012" s="118" t="str">
        <f t="shared" si="31"/>
        <v/>
      </c>
      <c r="E1012" s="121"/>
      <c r="F1012" s="121"/>
      <c r="G1012" s="121"/>
      <c r="H1012" s="121"/>
      <c r="I1012" s="142"/>
      <c r="J1012" s="121"/>
      <c r="K1012" s="121"/>
      <c r="L1012" s="144"/>
      <c r="M1012" s="144"/>
      <c r="N1012" s="144"/>
      <c r="O1012" s="144"/>
      <c r="P1012" s="144"/>
    </row>
    <row r="1013" spans="1:16" s="135" customFormat="1" ht="15.75" x14ac:dyDescent="0.25">
      <c r="A1013" s="109"/>
      <c r="B1013" s="109"/>
      <c r="C1013" s="118" t="str">
        <f t="shared" si="30"/>
        <v/>
      </c>
      <c r="D1013" s="118" t="str">
        <f t="shared" si="31"/>
        <v/>
      </c>
      <c r="E1013" s="121"/>
      <c r="F1013" s="121"/>
      <c r="G1013" s="121"/>
      <c r="H1013" s="121"/>
      <c r="I1013" s="142"/>
      <c r="J1013" s="121"/>
      <c r="K1013" s="121"/>
      <c r="L1013" s="144"/>
      <c r="M1013" s="144"/>
      <c r="N1013" s="144"/>
      <c r="O1013" s="144"/>
      <c r="P1013" s="144"/>
    </row>
    <row r="1014" spans="1:16" s="135" customFormat="1" ht="15.75" x14ac:dyDescent="0.25">
      <c r="A1014" s="109"/>
      <c r="B1014" s="109"/>
      <c r="C1014" s="118" t="str">
        <f t="shared" si="30"/>
        <v/>
      </c>
      <c r="D1014" s="118" t="str">
        <f t="shared" si="31"/>
        <v/>
      </c>
      <c r="E1014" s="121"/>
      <c r="F1014" s="121"/>
      <c r="G1014" s="121"/>
      <c r="H1014" s="121"/>
      <c r="I1014" s="142"/>
      <c r="J1014" s="121"/>
      <c r="K1014" s="121"/>
      <c r="L1014" s="144"/>
      <c r="M1014" s="144"/>
      <c r="N1014" s="144"/>
      <c r="O1014" s="144"/>
      <c r="P1014" s="144"/>
    </row>
    <row r="1015" spans="1:16" s="135" customFormat="1" ht="15.75" x14ac:dyDescent="0.25">
      <c r="A1015" s="109"/>
      <c r="B1015" s="109"/>
      <c r="C1015" s="118" t="str">
        <f t="shared" si="30"/>
        <v/>
      </c>
      <c r="D1015" s="118" t="str">
        <f t="shared" si="31"/>
        <v/>
      </c>
      <c r="E1015" s="121"/>
      <c r="F1015" s="121"/>
      <c r="G1015" s="121"/>
      <c r="H1015" s="121"/>
      <c r="I1015" s="142"/>
      <c r="J1015" s="121"/>
      <c r="K1015" s="121"/>
      <c r="L1015" s="144"/>
      <c r="M1015" s="144"/>
      <c r="N1015" s="144"/>
      <c r="O1015" s="144"/>
      <c r="P1015" s="144"/>
    </row>
    <row r="1016" spans="1:16" s="135" customFormat="1" ht="15.75" x14ac:dyDescent="0.25">
      <c r="A1016" s="109"/>
      <c r="B1016" s="109"/>
      <c r="C1016" s="118" t="str">
        <f t="shared" si="30"/>
        <v/>
      </c>
      <c r="D1016" s="118" t="str">
        <f t="shared" si="31"/>
        <v/>
      </c>
      <c r="E1016" s="121"/>
      <c r="F1016" s="121"/>
      <c r="G1016" s="121"/>
      <c r="H1016" s="121"/>
      <c r="I1016" s="142"/>
      <c r="J1016" s="121"/>
      <c r="K1016" s="121"/>
      <c r="L1016" s="144"/>
      <c r="M1016" s="144"/>
      <c r="N1016" s="144"/>
      <c r="O1016" s="144"/>
      <c r="P1016" s="144"/>
    </row>
    <row r="1017" spans="1:16" s="135" customFormat="1" ht="15.75" x14ac:dyDescent="0.25">
      <c r="A1017" s="109"/>
      <c r="B1017" s="109"/>
      <c r="C1017" s="118" t="str">
        <f t="shared" si="30"/>
        <v/>
      </c>
      <c r="D1017" s="118" t="str">
        <f t="shared" si="31"/>
        <v/>
      </c>
      <c r="E1017" s="121"/>
      <c r="F1017" s="121"/>
      <c r="G1017" s="121"/>
      <c r="H1017" s="121"/>
      <c r="I1017" s="142"/>
      <c r="J1017" s="121"/>
      <c r="K1017" s="121"/>
      <c r="L1017" s="144"/>
      <c r="M1017" s="144"/>
      <c r="N1017" s="144"/>
      <c r="O1017" s="144"/>
      <c r="P1017" s="144"/>
    </row>
    <row r="1018" spans="1:16" s="135" customFormat="1" ht="15.75" x14ac:dyDescent="0.25">
      <c r="A1018" s="109"/>
      <c r="B1018" s="109"/>
      <c r="C1018" s="118" t="str">
        <f t="shared" si="30"/>
        <v/>
      </c>
      <c r="D1018" s="118" t="str">
        <f t="shared" si="31"/>
        <v/>
      </c>
      <c r="E1018" s="121"/>
      <c r="F1018" s="121"/>
      <c r="G1018" s="121"/>
      <c r="H1018" s="121"/>
      <c r="I1018" s="142"/>
      <c r="J1018" s="121"/>
      <c r="K1018" s="121"/>
      <c r="L1018" s="144"/>
      <c r="M1018" s="144"/>
      <c r="N1018" s="144"/>
      <c r="O1018" s="144"/>
      <c r="P1018" s="144"/>
    </row>
    <row r="1019" spans="1:16" s="135" customFormat="1" ht="15.75" x14ac:dyDescent="0.25">
      <c r="A1019" s="109"/>
      <c r="B1019" s="109"/>
      <c r="C1019" s="118" t="str">
        <f t="shared" si="30"/>
        <v/>
      </c>
      <c r="D1019" s="118" t="str">
        <f t="shared" si="31"/>
        <v/>
      </c>
      <c r="E1019" s="121"/>
      <c r="F1019" s="121"/>
      <c r="G1019" s="121"/>
      <c r="H1019" s="121"/>
      <c r="I1019" s="142"/>
      <c r="J1019" s="121"/>
      <c r="K1019" s="121"/>
      <c r="L1019" s="144"/>
      <c r="M1019" s="144"/>
      <c r="N1019" s="144"/>
      <c r="O1019" s="144"/>
      <c r="P1019" s="144"/>
    </row>
  </sheetData>
  <dataValidations count="4">
    <dataValidation type="list" allowBlank="1" showInputMessage="1" showErrorMessage="1" errorTitle="Invalid Input" error="Choose from the list" sqref="B20:B1048576" xr:uid="{A57FCBED-8540-44B9-A9DF-AB89476B3982}">
      <formula1>Base_Mat_Steel</formula1>
    </dataValidation>
    <dataValidation type="custom" allowBlank="1" showInputMessage="1" showErrorMessage="1" errorTitle="Invalid Input" error="Please enter a text/string value only." sqref="A20:A1048576" xr:uid="{7626A076-48BB-4CD8-AC31-9EA7CD48F8EC}">
      <formula1>ISTEXT(16)</formula1>
    </dataValidation>
    <dataValidation type="whole" allowBlank="1" showInputMessage="1" showErrorMessage="1" errorTitle="Invalid Input" error="Please enter an integer value only." sqref="I20:I1048576" xr:uid="{E6847207-E523-424B-B17E-8D749220038A}">
      <formula1>0</formula1>
      <formula2>1000000000000</formula2>
    </dataValidation>
    <dataValidation type="decimal" allowBlank="1" showInputMessage="1" showErrorMessage="1" errorTitle="Invalid Input" error="Please enter a float value only." sqref="J20:P1048576 E20:H1048576" xr:uid="{6BC05163-50F8-4298-8AA3-74B3FD59CE78}">
      <formula1>0</formula1>
      <formula2>1000000000000</formula2>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F8939E-4051-4E2F-8E50-F15E11C927A1}">
  <sheetPr codeName="Sheet8"/>
  <dimension ref="A1:F1009"/>
  <sheetViews>
    <sheetView zoomScale="130" zoomScaleNormal="130" workbookViewId="0">
      <selection activeCell="G9" sqref="G9"/>
    </sheetView>
  </sheetViews>
  <sheetFormatPr defaultColWidth="8.85546875" defaultRowHeight="15" x14ac:dyDescent="0.25"/>
  <cols>
    <col min="1" max="2" width="20.7109375" style="145" customWidth="1"/>
    <col min="3" max="4" width="20.7109375" style="133" customWidth="1"/>
    <col min="5" max="6" width="10.7109375" style="158" customWidth="1"/>
    <col min="7" max="16384" width="8.85546875" style="135"/>
  </cols>
  <sheetData>
    <row r="1" spans="1:6" ht="15.75" x14ac:dyDescent="0.25">
      <c r="A1" s="69" t="s">
        <v>200</v>
      </c>
      <c r="B1" s="147"/>
      <c r="C1" s="147"/>
      <c r="D1" s="147"/>
      <c r="E1" s="148"/>
      <c r="F1" s="149"/>
    </row>
    <row r="2" spans="1:6" ht="15.75" x14ac:dyDescent="0.25">
      <c r="A2" s="100" t="s">
        <v>248</v>
      </c>
      <c r="B2" s="150"/>
      <c r="C2" s="150"/>
      <c r="D2" s="150"/>
      <c r="E2" s="151"/>
      <c r="F2" s="152"/>
    </row>
    <row r="3" spans="1:6" ht="15.75" x14ac:dyDescent="0.25">
      <c r="A3" s="100" t="s">
        <v>280</v>
      </c>
      <c r="B3" s="150"/>
      <c r="C3" s="150"/>
      <c r="D3" s="150"/>
      <c r="E3" s="151"/>
      <c r="F3" s="152"/>
    </row>
    <row r="4" spans="1:6" ht="15.75" x14ac:dyDescent="0.25">
      <c r="A4" s="100" t="s">
        <v>287</v>
      </c>
      <c r="B4" s="150"/>
      <c r="C4" s="150"/>
      <c r="D4" s="150"/>
      <c r="E4" s="151"/>
      <c r="F4" s="152"/>
    </row>
    <row r="5" spans="1:6" ht="15.75" x14ac:dyDescent="0.25">
      <c r="A5" s="100" t="s">
        <v>252</v>
      </c>
      <c r="B5" s="150"/>
      <c r="C5" s="150"/>
      <c r="D5" s="150"/>
      <c r="E5" s="151"/>
      <c r="F5" s="152"/>
    </row>
    <row r="6" spans="1:6" ht="15.75" x14ac:dyDescent="0.25">
      <c r="A6" s="100" t="s">
        <v>281</v>
      </c>
      <c r="B6" s="150"/>
      <c r="C6" s="150"/>
      <c r="D6" s="150"/>
      <c r="E6" s="151"/>
      <c r="F6" s="152"/>
    </row>
    <row r="7" spans="1:6" ht="15.75" x14ac:dyDescent="0.25">
      <c r="A7" s="127" t="s">
        <v>282</v>
      </c>
      <c r="B7" s="153"/>
      <c r="C7" s="153"/>
      <c r="D7" s="153"/>
      <c r="E7" s="154"/>
      <c r="F7" s="155"/>
    </row>
    <row r="8" spans="1:6" x14ac:dyDescent="0.25">
      <c r="A8" s="156"/>
      <c r="B8" s="138"/>
      <c r="C8" s="138"/>
      <c r="D8" s="138"/>
      <c r="E8" s="157"/>
      <c r="F8" s="157"/>
    </row>
    <row r="9" spans="1:6" ht="15.75" x14ac:dyDescent="0.25">
      <c r="A9" s="86" t="s">
        <v>10</v>
      </c>
      <c r="B9" s="86" t="s">
        <v>34</v>
      </c>
      <c r="C9" s="86" t="s">
        <v>8</v>
      </c>
      <c r="D9" s="86" t="s">
        <v>19</v>
      </c>
      <c r="E9" s="86" t="s">
        <v>283</v>
      </c>
      <c r="F9" s="86" t="s">
        <v>284</v>
      </c>
    </row>
    <row r="10" spans="1:6" ht="15.75" x14ac:dyDescent="0.25">
      <c r="A10" s="109" t="s">
        <v>35</v>
      </c>
      <c r="B10" s="109" t="s">
        <v>32</v>
      </c>
      <c r="C10" s="118" t="str" cm="1">
        <f t="array" ref="C10">IF(A10=0,"",VLOOKUP(B10,_xlfn.LET(_xlpm.data,_xlfn.VSTACK(Mat_Concrete04!A14:D1013,Mat_Steel02!A20:D1019),_xlfn._xlws.FILTER(_xlpm.data,_xlfn.BYROW(_xlpm.data,_xlfn.LAMBDA(_xlpm.r,SUM(LEN(TRIM(_xlpm.r)))&gt;0)))),3,FALSE))</f>
        <v>Rebar</v>
      </c>
      <c r="D10" s="118" t="str">
        <f>IF(A10=0,"","MinMax")</f>
        <v>MinMax</v>
      </c>
      <c r="E10" s="131">
        <v>0.08</v>
      </c>
      <c r="F10" s="131">
        <v>0.08</v>
      </c>
    </row>
    <row r="11" spans="1:6" ht="15.75" x14ac:dyDescent="0.25">
      <c r="A11" s="109"/>
      <c r="B11" s="109"/>
      <c r="C11" s="118"/>
      <c r="D11" s="118" t="str">
        <f t="shared" ref="D11:D74" si="0">IF(A11=0,"","MinMax")</f>
        <v/>
      </c>
      <c r="E11" s="131"/>
      <c r="F11" s="131"/>
    </row>
    <row r="12" spans="1:6" ht="15.75" x14ac:dyDescent="0.25">
      <c r="A12" s="109"/>
      <c r="B12" s="109"/>
      <c r="C12" s="118"/>
      <c r="D12" s="118" t="str">
        <f t="shared" si="0"/>
        <v/>
      </c>
      <c r="E12" s="131"/>
      <c r="F12" s="131"/>
    </row>
    <row r="13" spans="1:6" ht="15.75" x14ac:dyDescent="0.25">
      <c r="A13" s="109"/>
      <c r="B13" s="109"/>
      <c r="C13" s="118"/>
      <c r="D13" s="118" t="str">
        <f t="shared" si="0"/>
        <v/>
      </c>
      <c r="E13" s="131"/>
      <c r="F13" s="131"/>
    </row>
    <row r="14" spans="1:6" ht="15.75" x14ac:dyDescent="0.25">
      <c r="A14" s="109"/>
      <c r="B14" s="109"/>
      <c r="C14" s="118"/>
      <c r="D14" s="118" t="str">
        <f t="shared" si="0"/>
        <v/>
      </c>
      <c r="E14" s="131"/>
      <c r="F14" s="131"/>
    </row>
    <row r="15" spans="1:6" ht="15.75" x14ac:dyDescent="0.25">
      <c r="A15" s="109"/>
      <c r="B15" s="109"/>
      <c r="C15" s="118"/>
      <c r="D15" s="118" t="str">
        <f t="shared" si="0"/>
        <v/>
      </c>
      <c r="E15" s="131"/>
      <c r="F15" s="131"/>
    </row>
    <row r="16" spans="1:6" ht="15.75" x14ac:dyDescent="0.25">
      <c r="A16" s="109"/>
      <c r="B16" s="109"/>
      <c r="C16" s="118"/>
      <c r="D16" s="118" t="str">
        <f t="shared" si="0"/>
        <v/>
      </c>
      <c r="E16" s="131"/>
      <c r="F16" s="131"/>
    </row>
    <row r="17" spans="1:6" ht="15.75" x14ac:dyDescent="0.25">
      <c r="A17" s="109"/>
      <c r="B17" s="109"/>
      <c r="C17" s="118"/>
      <c r="D17" s="118" t="str">
        <f t="shared" si="0"/>
        <v/>
      </c>
      <c r="E17" s="131"/>
      <c r="F17" s="131"/>
    </row>
    <row r="18" spans="1:6" ht="15.75" x14ac:dyDescent="0.25">
      <c r="A18" s="109"/>
      <c r="B18" s="109"/>
      <c r="C18" s="118"/>
      <c r="D18" s="118" t="str">
        <f t="shared" si="0"/>
        <v/>
      </c>
      <c r="E18" s="131"/>
      <c r="F18" s="131"/>
    </row>
    <row r="19" spans="1:6" ht="15.75" x14ac:dyDescent="0.25">
      <c r="A19" s="109"/>
      <c r="B19" s="109"/>
      <c r="C19" s="118"/>
      <c r="D19" s="118" t="str">
        <f t="shared" si="0"/>
        <v/>
      </c>
      <c r="E19" s="131"/>
      <c r="F19" s="131"/>
    </row>
    <row r="20" spans="1:6" ht="15.75" x14ac:dyDescent="0.25">
      <c r="A20" s="109"/>
      <c r="B20" s="109"/>
      <c r="C20" s="118"/>
      <c r="D20" s="118" t="str">
        <f t="shared" si="0"/>
        <v/>
      </c>
      <c r="E20" s="131"/>
      <c r="F20" s="131"/>
    </row>
    <row r="21" spans="1:6" ht="15.75" x14ac:dyDescent="0.25">
      <c r="A21" s="109"/>
      <c r="B21" s="109"/>
      <c r="C21" s="118"/>
      <c r="D21" s="118" t="str">
        <f t="shared" si="0"/>
        <v/>
      </c>
      <c r="E21" s="131"/>
      <c r="F21" s="131"/>
    </row>
    <row r="22" spans="1:6" ht="15.75" x14ac:dyDescent="0.25">
      <c r="A22" s="109"/>
      <c r="B22" s="109"/>
      <c r="C22" s="118"/>
      <c r="D22" s="118" t="str">
        <f t="shared" si="0"/>
        <v/>
      </c>
      <c r="E22" s="131"/>
      <c r="F22" s="131"/>
    </row>
    <row r="23" spans="1:6" ht="15.75" x14ac:dyDescent="0.25">
      <c r="A23" s="109"/>
      <c r="B23" s="109"/>
      <c r="C23" s="118"/>
      <c r="D23" s="118" t="str">
        <f t="shared" si="0"/>
        <v/>
      </c>
      <c r="E23" s="131"/>
      <c r="F23" s="131"/>
    </row>
    <row r="24" spans="1:6" ht="15.75" x14ac:dyDescent="0.25">
      <c r="A24" s="109"/>
      <c r="B24" s="109"/>
      <c r="C24" s="118"/>
      <c r="D24" s="118" t="str">
        <f t="shared" si="0"/>
        <v/>
      </c>
      <c r="E24" s="131"/>
      <c r="F24" s="131"/>
    </row>
    <row r="25" spans="1:6" ht="15.75" x14ac:dyDescent="0.25">
      <c r="A25" s="109"/>
      <c r="B25" s="109"/>
      <c r="C25" s="118"/>
      <c r="D25" s="118" t="str">
        <f t="shared" si="0"/>
        <v/>
      </c>
      <c r="E25" s="131"/>
      <c r="F25" s="131"/>
    </row>
    <row r="26" spans="1:6" ht="15.75" x14ac:dyDescent="0.25">
      <c r="A26" s="109"/>
      <c r="B26" s="109"/>
      <c r="C26" s="118"/>
      <c r="D26" s="118" t="str">
        <f t="shared" si="0"/>
        <v/>
      </c>
      <c r="E26" s="131"/>
      <c r="F26" s="131"/>
    </row>
    <row r="27" spans="1:6" ht="15.75" x14ac:dyDescent="0.25">
      <c r="A27" s="109"/>
      <c r="B27" s="109"/>
      <c r="C27" s="118"/>
      <c r="D27" s="118" t="str">
        <f t="shared" si="0"/>
        <v/>
      </c>
      <c r="E27" s="131"/>
      <c r="F27" s="131"/>
    </row>
    <row r="28" spans="1:6" ht="15.75" x14ac:dyDescent="0.25">
      <c r="A28" s="109"/>
      <c r="B28" s="109"/>
      <c r="C28" s="118"/>
      <c r="D28" s="118" t="str">
        <f t="shared" si="0"/>
        <v/>
      </c>
      <c r="E28" s="131"/>
      <c r="F28" s="131"/>
    </row>
    <row r="29" spans="1:6" ht="15.75" x14ac:dyDescent="0.25">
      <c r="A29" s="109"/>
      <c r="B29" s="109"/>
      <c r="C29" s="118"/>
      <c r="D29" s="118" t="str">
        <f t="shared" si="0"/>
        <v/>
      </c>
      <c r="E29" s="131"/>
      <c r="F29" s="131"/>
    </row>
    <row r="30" spans="1:6" ht="15.75" x14ac:dyDescent="0.25">
      <c r="A30" s="109"/>
      <c r="B30" s="109"/>
      <c r="C30" s="118"/>
      <c r="D30" s="118" t="str">
        <f t="shared" si="0"/>
        <v/>
      </c>
      <c r="E30" s="131"/>
      <c r="F30" s="131"/>
    </row>
    <row r="31" spans="1:6" ht="15.75" x14ac:dyDescent="0.25">
      <c r="A31" s="109"/>
      <c r="B31" s="109"/>
      <c r="C31" s="118"/>
      <c r="D31" s="118" t="str">
        <f t="shared" si="0"/>
        <v/>
      </c>
      <c r="E31" s="131"/>
      <c r="F31" s="131"/>
    </row>
    <row r="32" spans="1:6" ht="15.75" x14ac:dyDescent="0.25">
      <c r="A32" s="109"/>
      <c r="B32" s="109"/>
      <c r="C32" s="118"/>
      <c r="D32" s="118" t="str">
        <f t="shared" si="0"/>
        <v/>
      </c>
      <c r="E32" s="131"/>
      <c r="F32" s="131"/>
    </row>
    <row r="33" spans="1:6" ht="15.75" x14ac:dyDescent="0.25">
      <c r="A33" s="109"/>
      <c r="B33" s="109"/>
      <c r="C33" s="118"/>
      <c r="D33" s="118" t="str">
        <f t="shared" si="0"/>
        <v/>
      </c>
      <c r="E33" s="131"/>
      <c r="F33" s="131"/>
    </row>
    <row r="34" spans="1:6" ht="15.75" x14ac:dyDescent="0.25">
      <c r="A34" s="109"/>
      <c r="B34" s="109"/>
      <c r="C34" s="118"/>
      <c r="D34" s="118" t="str">
        <f t="shared" si="0"/>
        <v/>
      </c>
      <c r="E34" s="131"/>
      <c r="F34" s="131"/>
    </row>
    <row r="35" spans="1:6" ht="15.75" x14ac:dyDescent="0.25">
      <c r="A35" s="109"/>
      <c r="B35" s="109"/>
      <c r="C35" s="118"/>
      <c r="D35" s="118" t="str">
        <f t="shared" si="0"/>
        <v/>
      </c>
      <c r="E35" s="131"/>
      <c r="F35" s="131"/>
    </row>
    <row r="36" spans="1:6" ht="15.75" x14ac:dyDescent="0.25">
      <c r="A36" s="109"/>
      <c r="B36" s="109"/>
      <c r="C36" s="118"/>
      <c r="D36" s="118" t="str">
        <f t="shared" si="0"/>
        <v/>
      </c>
      <c r="E36" s="131"/>
      <c r="F36" s="131"/>
    </row>
    <row r="37" spans="1:6" ht="15.75" x14ac:dyDescent="0.25">
      <c r="A37" s="109"/>
      <c r="B37" s="109"/>
      <c r="C37" s="118"/>
      <c r="D37" s="118" t="str">
        <f t="shared" si="0"/>
        <v/>
      </c>
      <c r="E37" s="131"/>
      <c r="F37" s="131"/>
    </row>
    <row r="38" spans="1:6" ht="15.75" x14ac:dyDescent="0.25">
      <c r="A38" s="109"/>
      <c r="B38" s="109"/>
      <c r="C38" s="118"/>
      <c r="D38" s="118" t="str">
        <f t="shared" si="0"/>
        <v/>
      </c>
      <c r="E38" s="131"/>
      <c r="F38" s="131"/>
    </row>
    <row r="39" spans="1:6" ht="15.75" x14ac:dyDescent="0.25">
      <c r="A39" s="109"/>
      <c r="B39" s="109"/>
      <c r="C39" s="118"/>
      <c r="D39" s="118" t="str">
        <f t="shared" si="0"/>
        <v/>
      </c>
      <c r="E39" s="131"/>
      <c r="F39" s="131"/>
    </row>
    <row r="40" spans="1:6" ht="15.75" x14ac:dyDescent="0.25">
      <c r="A40" s="109"/>
      <c r="B40" s="109"/>
      <c r="C40" s="118"/>
      <c r="D40" s="118" t="str">
        <f t="shared" si="0"/>
        <v/>
      </c>
      <c r="E40" s="131"/>
      <c r="F40" s="131"/>
    </row>
    <row r="41" spans="1:6" ht="15.75" x14ac:dyDescent="0.25">
      <c r="A41" s="109"/>
      <c r="B41" s="109"/>
      <c r="C41" s="118"/>
      <c r="D41" s="118" t="str">
        <f t="shared" si="0"/>
        <v/>
      </c>
      <c r="E41" s="131"/>
      <c r="F41" s="131"/>
    </row>
    <row r="42" spans="1:6" ht="15.75" x14ac:dyDescent="0.25">
      <c r="A42" s="109"/>
      <c r="B42" s="109"/>
      <c r="C42" s="118"/>
      <c r="D42" s="118" t="str">
        <f t="shared" si="0"/>
        <v/>
      </c>
      <c r="E42" s="131"/>
      <c r="F42" s="131"/>
    </row>
    <row r="43" spans="1:6" ht="15.75" x14ac:dyDescent="0.25">
      <c r="A43" s="109"/>
      <c r="B43" s="109"/>
      <c r="C43" s="118"/>
      <c r="D43" s="118" t="str">
        <f t="shared" si="0"/>
        <v/>
      </c>
      <c r="E43" s="131"/>
      <c r="F43" s="131"/>
    </row>
    <row r="44" spans="1:6" ht="15.75" x14ac:dyDescent="0.25">
      <c r="A44" s="109"/>
      <c r="B44" s="109"/>
      <c r="C44" s="118"/>
      <c r="D44" s="118" t="str">
        <f t="shared" si="0"/>
        <v/>
      </c>
      <c r="E44" s="131"/>
      <c r="F44" s="131"/>
    </row>
    <row r="45" spans="1:6" ht="15.75" x14ac:dyDescent="0.25">
      <c r="A45" s="109"/>
      <c r="B45" s="109"/>
      <c r="C45" s="118"/>
      <c r="D45" s="118" t="str">
        <f t="shared" si="0"/>
        <v/>
      </c>
      <c r="E45" s="131"/>
      <c r="F45" s="131"/>
    </row>
    <row r="46" spans="1:6" ht="15.75" x14ac:dyDescent="0.25">
      <c r="A46" s="109"/>
      <c r="B46" s="109"/>
      <c r="C46" s="118"/>
      <c r="D46" s="118" t="str">
        <f t="shared" si="0"/>
        <v/>
      </c>
      <c r="E46" s="131"/>
      <c r="F46" s="131"/>
    </row>
    <row r="47" spans="1:6" ht="15.75" x14ac:dyDescent="0.25">
      <c r="A47" s="109"/>
      <c r="B47" s="109"/>
      <c r="C47" s="118"/>
      <c r="D47" s="118" t="str">
        <f t="shared" si="0"/>
        <v/>
      </c>
      <c r="E47" s="131"/>
      <c r="F47" s="131"/>
    </row>
    <row r="48" spans="1:6" ht="15.75" x14ac:dyDescent="0.25">
      <c r="A48" s="109"/>
      <c r="B48" s="109"/>
      <c r="C48" s="118"/>
      <c r="D48" s="118" t="str">
        <f t="shared" si="0"/>
        <v/>
      </c>
      <c r="E48" s="131"/>
      <c r="F48" s="131"/>
    </row>
    <row r="49" spans="1:6" ht="15.75" x14ac:dyDescent="0.25">
      <c r="A49" s="109"/>
      <c r="B49" s="109"/>
      <c r="C49" s="118"/>
      <c r="D49" s="118" t="str">
        <f t="shared" si="0"/>
        <v/>
      </c>
      <c r="E49" s="131"/>
      <c r="F49" s="131"/>
    </row>
    <row r="50" spans="1:6" ht="15.75" x14ac:dyDescent="0.25">
      <c r="A50" s="109"/>
      <c r="B50" s="109"/>
      <c r="C50" s="118"/>
      <c r="D50" s="118" t="str">
        <f t="shared" si="0"/>
        <v/>
      </c>
      <c r="E50" s="131"/>
      <c r="F50" s="131"/>
    </row>
    <row r="51" spans="1:6" ht="15.75" x14ac:dyDescent="0.25">
      <c r="A51" s="109"/>
      <c r="B51" s="109"/>
      <c r="C51" s="118"/>
      <c r="D51" s="118" t="str">
        <f t="shared" si="0"/>
        <v/>
      </c>
      <c r="E51" s="131"/>
      <c r="F51" s="131"/>
    </row>
    <row r="52" spans="1:6" ht="15.75" x14ac:dyDescent="0.25">
      <c r="A52" s="109"/>
      <c r="B52" s="109"/>
      <c r="C52" s="118"/>
      <c r="D52" s="118" t="str">
        <f t="shared" si="0"/>
        <v/>
      </c>
      <c r="E52" s="131"/>
      <c r="F52" s="131"/>
    </row>
    <row r="53" spans="1:6" ht="15.75" x14ac:dyDescent="0.25">
      <c r="A53" s="109"/>
      <c r="B53" s="109"/>
      <c r="C53" s="118"/>
      <c r="D53" s="118" t="str">
        <f t="shared" si="0"/>
        <v/>
      </c>
      <c r="E53" s="131"/>
      <c r="F53" s="131"/>
    </row>
    <row r="54" spans="1:6" ht="15.75" x14ac:dyDescent="0.25">
      <c r="A54" s="109"/>
      <c r="B54" s="109"/>
      <c r="C54" s="118"/>
      <c r="D54" s="118" t="str">
        <f t="shared" si="0"/>
        <v/>
      </c>
      <c r="E54" s="131"/>
      <c r="F54" s="131"/>
    </row>
    <row r="55" spans="1:6" ht="15.75" x14ac:dyDescent="0.25">
      <c r="A55" s="109"/>
      <c r="B55" s="109"/>
      <c r="C55" s="118"/>
      <c r="D55" s="118" t="str">
        <f t="shared" si="0"/>
        <v/>
      </c>
      <c r="E55" s="131"/>
      <c r="F55" s="131"/>
    </row>
    <row r="56" spans="1:6" ht="15.75" x14ac:dyDescent="0.25">
      <c r="A56" s="109"/>
      <c r="B56" s="109"/>
      <c r="C56" s="118"/>
      <c r="D56" s="118" t="str">
        <f t="shared" si="0"/>
        <v/>
      </c>
      <c r="E56" s="131"/>
      <c r="F56" s="131"/>
    </row>
    <row r="57" spans="1:6" ht="15.75" x14ac:dyDescent="0.25">
      <c r="A57" s="109"/>
      <c r="B57" s="109"/>
      <c r="C57" s="118"/>
      <c r="D57" s="118" t="str">
        <f t="shared" si="0"/>
        <v/>
      </c>
      <c r="E57" s="131"/>
      <c r="F57" s="131"/>
    </row>
    <row r="58" spans="1:6" ht="15.75" x14ac:dyDescent="0.25">
      <c r="A58" s="109"/>
      <c r="B58" s="109"/>
      <c r="C58" s="118"/>
      <c r="D58" s="118" t="str">
        <f t="shared" si="0"/>
        <v/>
      </c>
      <c r="E58" s="131"/>
      <c r="F58" s="131"/>
    </row>
    <row r="59" spans="1:6" ht="15.75" x14ac:dyDescent="0.25">
      <c r="A59" s="109"/>
      <c r="B59" s="109"/>
      <c r="C59" s="118"/>
      <c r="D59" s="118" t="str">
        <f t="shared" si="0"/>
        <v/>
      </c>
      <c r="E59" s="131"/>
      <c r="F59" s="131"/>
    </row>
    <row r="60" spans="1:6" ht="15.75" x14ac:dyDescent="0.25">
      <c r="A60" s="109"/>
      <c r="B60" s="109"/>
      <c r="C60" s="118"/>
      <c r="D60" s="118" t="str">
        <f t="shared" si="0"/>
        <v/>
      </c>
      <c r="E60" s="131"/>
      <c r="F60" s="131"/>
    </row>
    <row r="61" spans="1:6" ht="15.75" x14ac:dyDescent="0.25">
      <c r="A61" s="109"/>
      <c r="B61" s="109"/>
      <c r="C61" s="118"/>
      <c r="D61" s="118" t="str">
        <f t="shared" si="0"/>
        <v/>
      </c>
      <c r="E61" s="131"/>
      <c r="F61" s="131"/>
    </row>
    <row r="62" spans="1:6" ht="15.75" x14ac:dyDescent="0.25">
      <c r="A62" s="109"/>
      <c r="B62" s="109"/>
      <c r="C62" s="118"/>
      <c r="D62" s="118" t="str">
        <f t="shared" si="0"/>
        <v/>
      </c>
      <c r="E62" s="131"/>
      <c r="F62" s="131"/>
    </row>
    <row r="63" spans="1:6" ht="15.75" x14ac:dyDescent="0.25">
      <c r="A63" s="109"/>
      <c r="B63" s="109"/>
      <c r="C63" s="118"/>
      <c r="D63" s="118" t="str">
        <f t="shared" si="0"/>
        <v/>
      </c>
      <c r="E63" s="131"/>
      <c r="F63" s="131"/>
    </row>
    <row r="64" spans="1:6" ht="15.75" x14ac:dyDescent="0.25">
      <c r="A64" s="109"/>
      <c r="B64" s="109"/>
      <c r="C64" s="118"/>
      <c r="D64" s="118" t="str">
        <f t="shared" si="0"/>
        <v/>
      </c>
      <c r="E64" s="131"/>
      <c r="F64" s="131"/>
    </row>
    <row r="65" spans="1:6" ht="15.75" x14ac:dyDescent="0.25">
      <c r="A65" s="109"/>
      <c r="B65" s="109"/>
      <c r="C65" s="118"/>
      <c r="D65" s="118" t="str">
        <f t="shared" si="0"/>
        <v/>
      </c>
      <c r="E65" s="131"/>
      <c r="F65" s="131"/>
    </row>
    <row r="66" spans="1:6" ht="15.75" x14ac:dyDescent="0.25">
      <c r="A66" s="109"/>
      <c r="B66" s="109"/>
      <c r="C66" s="118"/>
      <c r="D66" s="118" t="str">
        <f t="shared" si="0"/>
        <v/>
      </c>
      <c r="E66" s="131"/>
      <c r="F66" s="131"/>
    </row>
    <row r="67" spans="1:6" ht="15.75" x14ac:dyDescent="0.25">
      <c r="A67" s="109"/>
      <c r="B67" s="109"/>
      <c r="C67" s="118"/>
      <c r="D67" s="118" t="str">
        <f t="shared" si="0"/>
        <v/>
      </c>
      <c r="E67" s="131"/>
      <c r="F67" s="131"/>
    </row>
    <row r="68" spans="1:6" ht="15.75" x14ac:dyDescent="0.25">
      <c r="A68" s="109"/>
      <c r="B68" s="109"/>
      <c r="C68" s="118"/>
      <c r="D68" s="118" t="str">
        <f t="shared" si="0"/>
        <v/>
      </c>
      <c r="E68" s="131"/>
      <c r="F68" s="131"/>
    </row>
    <row r="69" spans="1:6" ht="15.75" x14ac:dyDescent="0.25">
      <c r="A69" s="109"/>
      <c r="B69" s="109"/>
      <c r="C69" s="118"/>
      <c r="D69" s="118" t="str">
        <f t="shared" si="0"/>
        <v/>
      </c>
      <c r="E69" s="131"/>
      <c r="F69" s="131"/>
    </row>
    <row r="70" spans="1:6" ht="15.75" x14ac:dyDescent="0.25">
      <c r="A70" s="109"/>
      <c r="B70" s="109"/>
      <c r="C70" s="118"/>
      <c r="D70" s="118" t="str">
        <f t="shared" si="0"/>
        <v/>
      </c>
      <c r="E70" s="131"/>
      <c r="F70" s="131"/>
    </row>
    <row r="71" spans="1:6" ht="15.75" x14ac:dyDescent="0.25">
      <c r="A71" s="109"/>
      <c r="B71" s="109"/>
      <c r="C71" s="118"/>
      <c r="D71" s="118" t="str">
        <f t="shared" si="0"/>
        <v/>
      </c>
      <c r="E71" s="131"/>
      <c r="F71" s="131"/>
    </row>
    <row r="72" spans="1:6" ht="15.75" x14ac:dyDescent="0.25">
      <c r="A72" s="109"/>
      <c r="B72" s="109"/>
      <c r="C72" s="118"/>
      <c r="D72" s="118" t="str">
        <f t="shared" si="0"/>
        <v/>
      </c>
      <c r="E72" s="131"/>
      <c r="F72" s="131"/>
    </row>
    <row r="73" spans="1:6" ht="15.75" x14ac:dyDescent="0.25">
      <c r="A73" s="109"/>
      <c r="B73" s="109"/>
      <c r="C73" s="118"/>
      <c r="D73" s="118" t="str">
        <f t="shared" si="0"/>
        <v/>
      </c>
      <c r="E73" s="131"/>
      <c r="F73" s="131"/>
    </row>
    <row r="74" spans="1:6" ht="15.75" x14ac:dyDescent="0.25">
      <c r="A74" s="109"/>
      <c r="B74" s="109"/>
      <c r="C74" s="118"/>
      <c r="D74" s="118" t="str">
        <f t="shared" si="0"/>
        <v/>
      </c>
      <c r="E74" s="131"/>
      <c r="F74" s="131"/>
    </row>
    <row r="75" spans="1:6" ht="15.75" x14ac:dyDescent="0.25">
      <c r="A75" s="109"/>
      <c r="B75" s="109"/>
      <c r="C75" s="118"/>
      <c r="D75" s="118" t="str">
        <f t="shared" ref="D75:D138" si="1">IF(A75=0,"","MinMax")</f>
        <v/>
      </c>
      <c r="E75" s="131"/>
      <c r="F75" s="131"/>
    </row>
    <row r="76" spans="1:6" ht="15.75" x14ac:dyDescent="0.25">
      <c r="A76" s="109"/>
      <c r="B76" s="109"/>
      <c r="C76" s="118"/>
      <c r="D76" s="118" t="str">
        <f t="shared" si="1"/>
        <v/>
      </c>
      <c r="E76" s="131"/>
      <c r="F76" s="131"/>
    </row>
    <row r="77" spans="1:6" ht="15.75" x14ac:dyDescent="0.25">
      <c r="A77" s="109"/>
      <c r="B77" s="109"/>
      <c r="C77" s="118"/>
      <c r="D77" s="118" t="str">
        <f t="shared" si="1"/>
        <v/>
      </c>
      <c r="E77" s="131"/>
      <c r="F77" s="131"/>
    </row>
    <row r="78" spans="1:6" ht="15.75" x14ac:dyDescent="0.25">
      <c r="A78" s="109"/>
      <c r="B78" s="109"/>
      <c r="C78" s="118"/>
      <c r="D78" s="118" t="str">
        <f t="shared" si="1"/>
        <v/>
      </c>
      <c r="E78" s="131"/>
      <c r="F78" s="131"/>
    </row>
    <row r="79" spans="1:6" ht="15.75" x14ac:dyDescent="0.25">
      <c r="A79" s="109"/>
      <c r="B79" s="109"/>
      <c r="C79" s="118"/>
      <c r="D79" s="118" t="str">
        <f t="shared" si="1"/>
        <v/>
      </c>
      <c r="E79" s="131"/>
      <c r="F79" s="131"/>
    </row>
    <row r="80" spans="1:6" ht="15.75" x14ac:dyDescent="0.25">
      <c r="A80" s="109"/>
      <c r="B80" s="109"/>
      <c r="C80" s="118"/>
      <c r="D80" s="118" t="str">
        <f t="shared" si="1"/>
        <v/>
      </c>
      <c r="E80" s="131"/>
      <c r="F80" s="131"/>
    </row>
    <row r="81" spans="1:6" ht="15.75" x14ac:dyDescent="0.25">
      <c r="A81" s="109"/>
      <c r="B81" s="109"/>
      <c r="C81" s="118"/>
      <c r="D81" s="118" t="str">
        <f t="shared" si="1"/>
        <v/>
      </c>
      <c r="E81" s="131"/>
      <c r="F81" s="131"/>
    </row>
    <row r="82" spans="1:6" ht="15.75" x14ac:dyDescent="0.25">
      <c r="A82" s="109"/>
      <c r="B82" s="109"/>
      <c r="C82" s="118"/>
      <c r="D82" s="118" t="str">
        <f t="shared" si="1"/>
        <v/>
      </c>
      <c r="E82" s="131"/>
      <c r="F82" s="131"/>
    </row>
    <row r="83" spans="1:6" ht="15.75" x14ac:dyDescent="0.25">
      <c r="A83" s="109"/>
      <c r="B83" s="109"/>
      <c r="C83" s="118"/>
      <c r="D83" s="118" t="str">
        <f t="shared" si="1"/>
        <v/>
      </c>
      <c r="E83" s="131"/>
      <c r="F83" s="131"/>
    </row>
    <row r="84" spans="1:6" ht="15.75" x14ac:dyDescent="0.25">
      <c r="A84" s="109"/>
      <c r="B84" s="109"/>
      <c r="C84" s="118"/>
      <c r="D84" s="118" t="str">
        <f t="shared" si="1"/>
        <v/>
      </c>
      <c r="E84" s="131"/>
      <c r="F84" s="131"/>
    </row>
    <row r="85" spans="1:6" ht="15.75" x14ac:dyDescent="0.25">
      <c r="A85" s="109"/>
      <c r="B85" s="109"/>
      <c r="C85" s="118"/>
      <c r="D85" s="118" t="str">
        <f t="shared" si="1"/>
        <v/>
      </c>
      <c r="E85" s="131"/>
      <c r="F85" s="131"/>
    </row>
    <row r="86" spans="1:6" ht="15.75" x14ac:dyDescent="0.25">
      <c r="A86" s="109"/>
      <c r="B86" s="109"/>
      <c r="C86" s="118"/>
      <c r="D86" s="118" t="str">
        <f t="shared" si="1"/>
        <v/>
      </c>
      <c r="E86" s="131"/>
      <c r="F86" s="131"/>
    </row>
    <row r="87" spans="1:6" ht="15.75" x14ac:dyDescent="0.25">
      <c r="A87" s="109"/>
      <c r="B87" s="109"/>
      <c r="C87" s="118"/>
      <c r="D87" s="118" t="str">
        <f t="shared" si="1"/>
        <v/>
      </c>
      <c r="E87" s="131"/>
      <c r="F87" s="131"/>
    </row>
    <row r="88" spans="1:6" ht="15.75" x14ac:dyDescent="0.25">
      <c r="A88" s="109"/>
      <c r="B88" s="109"/>
      <c r="C88" s="118"/>
      <c r="D88" s="118" t="str">
        <f t="shared" si="1"/>
        <v/>
      </c>
      <c r="E88" s="131"/>
      <c r="F88" s="131"/>
    </row>
    <row r="89" spans="1:6" ht="15.75" x14ac:dyDescent="0.25">
      <c r="A89" s="109"/>
      <c r="B89" s="109"/>
      <c r="C89" s="118"/>
      <c r="D89" s="118" t="str">
        <f t="shared" si="1"/>
        <v/>
      </c>
      <c r="E89" s="131"/>
      <c r="F89" s="131"/>
    </row>
    <row r="90" spans="1:6" ht="15.75" x14ac:dyDescent="0.25">
      <c r="A90" s="109"/>
      <c r="B90" s="109"/>
      <c r="C90" s="118"/>
      <c r="D90" s="118" t="str">
        <f t="shared" si="1"/>
        <v/>
      </c>
      <c r="E90" s="131"/>
      <c r="F90" s="131"/>
    </row>
    <row r="91" spans="1:6" ht="15.75" x14ac:dyDescent="0.25">
      <c r="A91" s="109"/>
      <c r="B91" s="109"/>
      <c r="C91" s="118"/>
      <c r="D91" s="118" t="str">
        <f t="shared" si="1"/>
        <v/>
      </c>
      <c r="E91" s="131"/>
      <c r="F91" s="131"/>
    </row>
    <row r="92" spans="1:6" ht="15.75" x14ac:dyDescent="0.25">
      <c r="A92" s="109"/>
      <c r="B92" s="109"/>
      <c r="C92" s="118"/>
      <c r="D92" s="118" t="str">
        <f t="shared" si="1"/>
        <v/>
      </c>
      <c r="E92" s="131"/>
      <c r="F92" s="131"/>
    </row>
    <row r="93" spans="1:6" ht="15.75" x14ac:dyDescent="0.25">
      <c r="A93" s="109"/>
      <c r="B93" s="109"/>
      <c r="C93" s="118"/>
      <c r="D93" s="118" t="str">
        <f t="shared" si="1"/>
        <v/>
      </c>
      <c r="E93" s="131"/>
      <c r="F93" s="131"/>
    </row>
    <row r="94" spans="1:6" ht="15.75" x14ac:dyDescent="0.25">
      <c r="A94" s="109"/>
      <c r="B94" s="109"/>
      <c r="C94" s="118"/>
      <c r="D94" s="118" t="str">
        <f t="shared" si="1"/>
        <v/>
      </c>
      <c r="E94" s="131"/>
      <c r="F94" s="131"/>
    </row>
    <row r="95" spans="1:6" ht="15.75" x14ac:dyDescent="0.25">
      <c r="A95" s="109"/>
      <c r="B95" s="109"/>
      <c r="C95" s="118"/>
      <c r="D95" s="118" t="str">
        <f t="shared" si="1"/>
        <v/>
      </c>
      <c r="E95" s="131"/>
      <c r="F95" s="131"/>
    </row>
    <row r="96" spans="1:6" ht="15.75" x14ac:dyDescent="0.25">
      <c r="A96" s="109"/>
      <c r="B96" s="109"/>
      <c r="C96" s="118"/>
      <c r="D96" s="118" t="str">
        <f t="shared" si="1"/>
        <v/>
      </c>
      <c r="E96" s="131"/>
      <c r="F96" s="131"/>
    </row>
    <row r="97" spans="1:6" ht="15.75" x14ac:dyDescent="0.25">
      <c r="A97" s="109"/>
      <c r="B97" s="109"/>
      <c r="C97" s="118"/>
      <c r="D97" s="118" t="str">
        <f t="shared" si="1"/>
        <v/>
      </c>
      <c r="E97" s="131"/>
      <c r="F97" s="131"/>
    </row>
    <row r="98" spans="1:6" ht="15.75" x14ac:dyDescent="0.25">
      <c r="A98" s="109"/>
      <c r="B98" s="109"/>
      <c r="C98" s="118"/>
      <c r="D98" s="118" t="str">
        <f t="shared" si="1"/>
        <v/>
      </c>
      <c r="E98" s="131"/>
      <c r="F98" s="131"/>
    </row>
    <row r="99" spans="1:6" ht="15.75" x14ac:dyDescent="0.25">
      <c r="A99" s="109"/>
      <c r="B99" s="109"/>
      <c r="C99" s="118"/>
      <c r="D99" s="118" t="str">
        <f t="shared" si="1"/>
        <v/>
      </c>
      <c r="E99" s="131"/>
      <c r="F99" s="131"/>
    </row>
    <row r="100" spans="1:6" ht="15.75" x14ac:dyDescent="0.25">
      <c r="A100" s="109"/>
      <c r="B100" s="109"/>
      <c r="C100" s="118"/>
      <c r="D100" s="118" t="str">
        <f t="shared" si="1"/>
        <v/>
      </c>
      <c r="E100" s="131"/>
      <c r="F100" s="131"/>
    </row>
    <row r="101" spans="1:6" ht="15.75" x14ac:dyDescent="0.25">
      <c r="A101" s="109"/>
      <c r="B101" s="109"/>
      <c r="C101" s="118"/>
      <c r="D101" s="118" t="str">
        <f t="shared" si="1"/>
        <v/>
      </c>
      <c r="E101" s="131"/>
      <c r="F101" s="131"/>
    </row>
    <row r="102" spans="1:6" ht="15.75" x14ac:dyDescent="0.25">
      <c r="A102" s="109"/>
      <c r="B102" s="109"/>
      <c r="C102" s="118"/>
      <c r="D102" s="118" t="str">
        <f t="shared" si="1"/>
        <v/>
      </c>
      <c r="E102" s="131"/>
      <c r="F102" s="131"/>
    </row>
    <row r="103" spans="1:6" ht="15.75" x14ac:dyDescent="0.25">
      <c r="A103" s="109"/>
      <c r="B103" s="109"/>
      <c r="C103" s="118"/>
      <c r="D103" s="118" t="str">
        <f t="shared" si="1"/>
        <v/>
      </c>
      <c r="E103" s="131"/>
      <c r="F103" s="131"/>
    </row>
    <row r="104" spans="1:6" ht="15.75" x14ac:dyDescent="0.25">
      <c r="A104" s="109"/>
      <c r="B104" s="109"/>
      <c r="C104" s="118"/>
      <c r="D104" s="118" t="str">
        <f t="shared" si="1"/>
        <v/>
      </c>
      <c r="E104" s="131"/>
      <c r="F104" s="131"/>
    </row>
    <row r="105" spans="1:6" ht="15.75" x14ac:dyDescent="0.25">
      <c r="A105" s="109"/>
      <c r="B105" s="109"/>
      <c r="C105" s="118"/>
      <c r="D105" s="118" t="str">
        <f t="shared" si="1"/>
        <v/>
      </c>
      <c r="E105" s="131"/>
      <c r="F105" s="131"/>
    </row>
    <row r="106" spans="1:6" ht="15.75" x14ac:dyDescent="0.25">
      <c r="A106" s="109"/>
      <c r="B106" s="109"/>
      <c r="C106" s="118"/>
      <c r="D106" s="118" t="str">
        <f t="shared" si="1"/>
        <v/>
      </c>
      <c r="E106" s="131"/>
      <c r="F106" s="131"/>
    </row>
    <row r="107" spans="1:6" ht="15.75" x14ac:dyDescent="0.25">
      <c r="A107" s="109"/>
      <c r="B107" s="109"/>
      <c r="C107" s="118"/>
      <c r="D107" s="118" t="str">
        <f t="shared" si="1"/>
        <v/>
      </c>
      <c r="E107" s="131"/>
      <c r="F107" s="131"/>
    </row>
    <row r="108" spans="1:6" ht="15.75" x14ac:dyDescent="0.25">
      <c r="A108" s="109"/>
      <c r="B108" s="109"/>
      <c r="C108" s="118"/>
      <c r="D108" s="118" t="str">
        <f t="shared" si="1"/>
        <v/>
      </c>
      <c r="E108" s="131"/>
      <c r="F108" s="131"/>
    </row>
    <row r="109" spans="1:6" ht="15.75" x14ac:dyDescent="0.25">
      <c r="A109" s="109"/>
      <c r="B109" s="109"/>
      <c r="C109" s="118"/>
      <c r="D109" s="118" t="str">
        <f t="shared" si="1"/>
        <v/>
      </c>
      <c r="E109" s="131"/>
      <c r="F109" s="131"/>
    </row>
    <row r="110" spans="1:6" ht="15.75" x14ac:dyDescent="0.25">
      <c r="A110" s="109"/>
      <c r="B110" s="109"/>
      <c r="C110" s="118"/>
      <c r="D110" s="118" t="str">
        <f t="shared" si="1"/>
        <v/>
      </c>
      <c r="E110" s="131"/>
      <c r="F110" s="131"/>
    </row>
    <row r="111" spans="1:6" ht="15.75" x14ac:dyDescent="0.25">
      <c r="A111" s="109"/>
      <c r="B111" s="109"/>
      <c r="C111" s="118"/>
      <c r="D111" s="118" t="str">
        <f t="shared" si="1"/>
        <v/>
      </c>
      <c r="E111" s="131"/>
      <c r="F111" s="131"/>
    </row>
    <row r="112" spans="1:6" ht="15.75" x14ac:dyDescent="0.25">
      <c r="A112" s="109"/>
      <c r="B112" s="109"/>
      <c r="C112" s="118"/>
      <c r="D112" s="118" t="str">
        <f t="shared" si="1"/>
        <v/>
      </c>
      <c r="E112" s="131"/>
      <c r="F112" s="131"/>
    </row>
    <row r="113" spans="1:6" ht="15.75" x14ac:dyDescent="0.25">
      <c r="A113" s="109"/>
      <c r="B113" s="109"/>
      <c r="C113" s="118"/>
      <c r="D113" s="118" t="str">
        <f t="shared" si="1"/>
        <v/>
      </c>
      <c r="E113" s="131"/>
      <c r="F113" s="131"/>
    </row>
    <row r="114" spans="1:6" ht="15.75" x14ac:dyDescent="0.25">
      <c r="A114" s="109"/>
      <c r="B114" s="109"/>
      <c r="C114" s="118"/>
      <c r="D114" s="118" t="str">
        <f t="shared" si="1"/>
        <v/>
      </c>
      <c r="E114" s="131"/>
      <c r="F114" s="131"/>
    </row>
    <row r="115" spans="1:6" ht="15.75" x14ac:dyDescent="0.25">
      <c r="A115" s="109"/>
      <c r="B115" s="109"/>
      <c r="C115" s="118"/>
      <c r="D115" s="118" t="str">
        <f t="shared" si="1"/>
        <v/>
      </c>
      <c r="E115" s="131"/>
      <c r="F115" s="131"/>
    </row>
    <row r="116" spans="1:6" ht="15.75" x14ac:dyDescent="0.25">
      <c r="A116" s="109"/>
      <c r="B116" s="109"/>
      <c r="C116" s="118"/>
      <c r="D116" s="118" t="str">
        <f t="shared" si="1"/>
        <v/>
      </c>
      <c r="E116" s="131"/>
      <c r="F116" s="131"/>
    </row>
    <row r="117" spans="1:6" ht="15.75" x14ac:dyDescent="0.25">
      <c r="A117" s="109"/>
      <c r="B117" s="109"/>
      <c r="C117" s="118"/>
      <c r="D117" s="118" t="str">
        <f t="shared" si="1"/>
        <v/>
      </c>
      <c r="E117" s="131"/>
      <c r="F117" s="131"/>
    </row>
    <row r="118" spans="1:6" ht="15.75" x14ac:dyDescent="0.25">
      <c r="A118" s="109"/>
      <c r="B118" s="109"/>
      <c r="C118" s="118"/>
      <c r="D118" s="118" t="str">
        <f t="shared" si="1"/>
        <v/>
      </c>
      <c r="E118" s="131"/>
      <c r="F118" s="131"/>
    </row>
    <row r="119" spans="1:6" ht="15.75" x14ac:dyDescent="0.25">
      <c r="A119" s="109"/>
      <c r="B119" s="109"/>
      <c r="C119" s="118"/>
      <c r="D119" s="118" t="str">
        <f t="shared" si="1"/>
        <v/>
      </c>
      <c r="E119" s="131"/>
      <c r="F119" s="131"/>
    </row>
    <row r="120" spans="1:6" ht="15.75" x14ac:dyDescent="0.25">
      <c r="A120" s="109"/>
      <c r="B120" s="109"/>
      <c r="C120" s="118"/>
      <c r="D120" s="118" t="str">
        <f t="shared" si="1"/>
        <v/>
      </c>
      <c r="E120" s="131"/>
      <c r="F120" s="131"/>
    </row>
    <row r="121" spans="1:6" ht="15.75" x14ac:dyDescent="0.25">
      <c r="A121" s="109"/>
      <c r="B121" s="109"/>
      <c r="C121" s="118"/>
      <c r="D121" s="118" t="str">
        <f t="shared" si="1"/>
        <v/>
      </c>
      <c r="E121" s="131"/>
      <c r="F121" s="131"/>
    </row>
    <row r="122" spans="1:6" ht="15.75" x14ac:dyDescent="0.25">
      <c r="A122" s="109"/>
      <c r="B122" s="109"/>
      <c r="C122" s="118"/>
      <c r="D122" s="118" t="str">
        <f t="shared" si="1"/>
        <v/>
      </c>
      <c r="E122" s="131"/>
      <c r="F122" s="131"/>
    </row>
    <row r="123" spans="1:6" ht="15.75" x14ac:dyDescent="0.25">
      <c r="A123" s="109"/>
      <c r="B123" s="109"/>
      <c r="C123" s="118"/>
      <c r="D123" s="118" t="str">
        <f t="shared" si="1"/>
        <v/>
      </c>
      <c r="E123" s="131"/>
      <c r="F123" s="131"/>
    </row>
    <row r="124" spans="1:6" ht="15.75" x14ac:dyDescent="0.25">
      <c r="A124" s="109"/>
      <c r="B124" s="109"/>
      <c r="C124" s="118"/>
      <c r="D124" s="118" t="str">
        <f t="shared" si="1"/>
        <v/>
      </c>
      <c r="E124" s="131"/>
      <c r="F124" s="131"/>
    </row>
    <row r="125" spans="1:6" ht="15.75" x14ac:dyDescent="0.25">
      <c r="A125" s="109"/>
      <c r="B125" s="109"/>
      <c r="C125" s="118"/>
      <c r="D125" s="118" t="str">
        <f t="shared" si="1"/>
        <v/>
      </c>
      <c r="E125" s="131"/>
      <c r="F125" s="131"/>
    </row>
    <row r="126" spans="1:6" ht="15.75" x14ac:dyDescent="0.25">
      <c r="A126" s="109"/>
      <c r="B126" s="109"/>
      <c r="C126" s="118"/>
      <c r="D126" s="118" t="str">
        <f t="shared" si="1"/>
        <v/>
      </c>
      <c r="E126" s="131"/>
      <c r="F126" s="131"/>
    </row>
    <row r="127" spans="1:6" ht="15.75" x14ac:dyDescent="0.25">
      <c r="A127" s="109"/>
      <c r="B127" s="109"/>
      <c r="C127" s="118"/>
      <c r="D127" s="118" t="str">
        <f t="shared" si="1"/>
        <v/>
      </c>
      <c r="E127" s="131"/>
      <c r="F127" s="131"/>
    </row>
    <row r="128" spans="1:6" ht="15.75" x14ac:dyDescent="0.25">
      <c r="A128" s="109"/>
      <c r="B128" s="109"/>
      <c r="C128" s="118"/>
      <c r="D128" s="118" t="str">
        <f t="shared" si="1"/>
        <v/>
      </c>
      <c r="E128" s="131"/>
      <c r="F128" s="131"/>
    </row>
    <row r="129" spans="1:6" ht="15.75" x14ac:dyDescent="0.25">
      <c r="A129" s="109"/>
      <c r="B129" s="109"/>
      <c r="C129" s="118"/>
      <c r="D129" s="118" t="str">
        <f t="shared" si="1"/>
        <v/>
      </c>
      <c r="E129" s="131"/>
      <c r="F129" s="131"/>
    </row>
    <row r="130" spans="1:6" ht="15.75" x14ac:dyDescent="0.25">
      <c r="A130" s="109"/>
      <c r="B130" s="109"/>
      <c r="C130" s="118"/>
      <c r="D130" s="118" t="str">
        <f t="shared" si="1"/>
        <v/>
      </c>
      <c r="E130" s="131"/>
      <c r="F130" s="131"/>
    </row>
    <row r="131" spans="1:6" ht="15.75" x14ac:dyDescent="0.25">
      <c r="A131" s="109"/>
      <c r="B131" s="109"/>
      <c r="C131" s="118"/>
      <c r="D131" s="118" t="str">
        <f t="shared" si="1"/>
        <v/>
      </c>
      <c r="E131" s="131"/>
      <c r="F131" s="131"/>
    </row>
    <row r="132" spans="1:6" ht="15.75" x14ac:dyDescent="0.25">
      <c r="A132" s="109"/>
      <c r="B132" s="109"/>
      <c r="C132" s="118"/>
      <c r="D132" s="118" t="str">
        <f t="shared" si="1"/>
        <v/>
      </c>
      <c r="E132" s="131"/>
      <c r="F132" s="131"/>
    </row>
    <row r="133" spans="1:6" ht="15.75" x14ac:dyDescent="0.25">
      <c r="A133" s="109"/>
      <c r="B133" s="109"/>
      <c r="C133" s="118"/>
      <c r="D133" s="118" t="str">
        <f t="shared" si="1"/>
        <v/>
      </c>
      <c r="E133" s="131"/>
      <c r="F133" s="131"/>
    </row>
    <row r="134" spans="1:6" ht="15.75" x14ac:dyDescent="0.25">
      <c r="A134" s="109"/>
      <c r="B134" s="109"/>
      <c r="C134" s="118"/>
      <c r="D134" s="118" t="str">
        <f t="shared" si="1"/>
        <v/>
      </c>
      <c r="E134" s="131"/>
      <c r="F134" s="131"/>
    </row>
    <row r="135" spans="1:6" ht="15.75" x14ac:dyDescent="0.25">
      <c r="A135" s="109"/>
      <c r="B135" s="109"/>
      <c r="C135" s="118"/>
      <c r="D135" s="118" t="str">
        <f t="shared" si="1"/>
        <v/>
      </c>
      <c r="E135" s="131"/>
      <c r="F135" s="131"/>
    </row>
    <row r="136" spans="1:6" ht="15.75" x14ac:dyDescent="0.25">
      <c r="A136" s="109"/>
      <c r="B136" s="109"/>
      <c r="C136" s="118"/>
      <c r="D136" s="118" t="str">
        <f t="shared" si="1"/>
        <v/>
      </c>
      <c r="E136" s="131"/>
      <c r="F136" s="131"/>
    </row>
    <row r="137" spans="1:6" ht="15.75" x14ac:dyDescent="0.25">
      <c r="A137" s="109"/>
      <c r="B137" s="109"/>
      <c r="C137" s="118"/>
      <c r="D137" s="118" t="str">
        <f t="shared" si="1"/>
        <v/>
      </c>
      <c r="E137" s="131"/>
      <c r="F137" s="131"/>
    </row>
    <row r="138" spans="1:6" ht="15.75" x14ac:dyDescent="0.25">
      <c r="A138" s="109"/>
      <c r="B138" s="109"/>
      <c r="C138" s="118"/>
      <c r="D138" s="118" t="str">
        <f t="shared" si="1"/>
        <v/>
      </c>
      <c r="E138" s="131"/>
      <c r="F138" s="131"/>
    </row>
    <row r="139" spans="1:6" ht="15.75" x14ac:dyDescent="0.25">
      <c r="A139" s="109"/>
      <c r="B139" s="109"/>
      <c r="C139" s="118"/>
      <c r="D139" s="118" t="str">
        <f t="shared" ref="D139:D202" si="2">IF(A139=0,"","MinMax")</f>
        <v/>
      </c>
      <c r="E139" s="131"/>
      <c r="F139" s="131"/>
    </row>
    <row r="140" spans="1:6" ht="15.75" x14ac:dyDescent="0.25">
      <c r="A140" s="109"/>
      <c r="B140" s="109"/>
      <c r="C140" s="118"/>
      <c r="D140" s="118" t="str">
        <f t="shared" si="2"/>
        <v/>
      </c>
      <c r="E140" s="131"/>
      <c r="F140" s="131"/>
    </row>
    <row r="141" spans="1:6" ht="15.75" x14ac:dyDescent="0.25">
      <c r="A141" s="109"/>
      <c r="B141" s="109"/>
      <c r="C141" s="118"/>
      <c r="D141" s="118" t="str">
        <f t="shared" si="2"/>
        <v/>
      </c>
      <c r="E141" s="131"/>
      <c r="F141" s="131"/>
    </row>
    <row r="142" spans="1:6" ht="15.75" x14ac:dyDescent="0.25">
      <c r="A142" s="109"/>
      <c r="B142" s="109"/>
      <c r="C142" s="118"/>
      <c r="D142" s="118" t="str">
        <f t="shared" si="2"/>
        <v/>
      </c>
      <c r="E142" s="131"/>
      <c r="F142" s="131"/>
    </row>
    <row r="143" spans="1:6" ht="15.75" x14ac:dyDescent="0.25">
      <c r="A143" s="109"/>
      <c r="B143" s="109"/>
      <c r="C143" s="118"/>
      <c r="D143" s="118" t="str">
        <f t="shared" si="2"/>
        <v/>
      </c>
      <c r="E143" s="131"/>
      <c r="F143" s="131"/>
    </row>
    <row r="144" spans="1:6" ht="15.75" x14ac:dyDescent="0.25">
      <c r="A144" s="109"/>
      <c r="B144" s="109"/>
      <c r="C144" s="118"/>
      <c r="D144" s="118" t="str">
        <f t="shared" si="2"/>
        <v/>
      </c>
      <c r="E144" s="131"/>
      <c r="F144" s="131"/>
    </row>
    <row r="145" spans="1:6" ht="15.75" x14ac:dyDescent="0.25">
      <c r="A145" s="109"/>
      <c r="B145" s="109"/>
      <c r="C145" s="118"/>
      <c r="D145" s="118" t="str">
        <f t="shared" si="2"/>
        <v/>
      </c>
      <c r="E145" s="131"/>
      <c r="F145" s="131"/>
    </row>
    <row r="146" spans="1:6" ht="15.75" x14ac:dyDescent="0.25">
      <c r="A146" s="109"/>
      <c r="B146" s="109"/>
      <c r="C146" s="118"/>
      <c r="D146" s="118" t="str">
        <f t="shared" si="2"/>
        <v/>
      </c>
      <c r="E146" s="131"/>
      <c r="F146" s="131"/>
    </row>
    <row r="147" spans="1:6" ht="15.75" x14ac:dyDescent="0.25">
      <c r="A147" s="109"/>
      <c r="B147" s="109"/>
      <c r="C147" s="118"/>
      <c r="D147" s="118" t="str">
        <f t="shared" si="2"/>
        <v/>
      </c>
      <c r="E147" s="131"/>
      <c r="F147" s="131"/>
    </row>
    <row r="148" spans="1:6" ht="15.75" x14ac:dyDescent="0.25">
      <c r="A148" s="109"/>
      <c r="B148" s="109"/>
      <c r="C148" s="118"/>
      <c r="D148" s="118" t="str">
        <f t="shared" si="2"/>
        <v/>
      </c>
      <c r="E148" s="131"/>
      <c r="F148" s="131"/>
    </row>
    <row r="149" spans="1:6" ht="15.75" x14ac:dyDescent="0.25">
      <c r="A149" s="109"/>
      <c r="B149" s="109"/>
      <c r="C149" s="118"/>
      <c r="D149" s="118" t="str">
        <f t="shared" si="2"/>
        <v/>
      </c>
      <c r="E149" s="131"/>
      <c r="F149" s="131"/>
    </row>
    <row r="150" spans="1:6" ht="15.75" x14ac:dyDescent="0.25">
      <c r="A150" s="109"/>
      <c r="B150" s="109"/>
      <c r="C150" s="118"/>
      <c r="D150" s="118" t="str">
        <f t="shared" si="2"/>
        <v/>
      </c>
      <c r="E150" s="131"/>
      <c r="F150" s="131"/>
    </row>
    <row r="151" spans="1:6" ht="15.75" x14ac:dyDescent="0.25">
      <c r="A151" s="109"/>
      <c r="B151" s="109"/>
      <c r="C151" s="118"/>
      <c r="D151" s="118" t="str">
        <f t="shared" si="2"/>
        <v/>
      </c>
      <c r="E151" s="131"/>
      <c r="F151" s="131"/>
    </row>
    <row r="152" spans="1:6" ht="15.75" x14ac:dyDescent="0.25">
      <c r="A152" s="109"/>
      <c r="B152" s="109"/>
      <c r="C152" s="118"/>
      <c r="D152" s="118" t="str">
        <f t="shared" si="2"/>
        <v/>
      </c>
      <c r="E152" s="131"/>
      <c r="F152" s="131"/>
    </row>
    <row r="153" spans="1:6" ht="15.75" x14ac:dyDescent="0.25">
      <c r="A153" s="109"/>
      <c r="B153" s="109"/>
      <c r="C153" s="118"/>
      <c r="D153" s="118" t="str">
        <f t="shared" si="2"/>
        <v/>
      </c>
      <c r="E153" s="131"/>
      <c r="F153" s="131"/>
    </row>
    <row r="154" spans="1:6" ht="15.75" x14ac:dyDescent="0.25">
      <c r="A154" s="109"/>
      <c r="B154" s="109"/>
      <c r="C154" s="118"/>
      <c r="D154" s="118" t="str">
        <f t="shared" si="2"/>
        <v/>
      </c>
      <c r="E154" s="131"/>
      <c r="F154" s="131"/>
    </row>
    <row r="155" spans="1:6" ht="15.75" x14ac:dyDescent="0.25">
      <c r="A155" s="109"/>
      <c r="B155" s="109"/>
      <c r="C155" s="118"/>
      <c r="D155" s="118" t="str">
        <f t="shared" si="2"/>
        <v/>
      </c>
      <c r="E155" s="131"/>
      <c r="F155" s="131"/>
    </row>
    <row r="156" spans="1:6" ht="15.75" x14ac:dyDescent="0.25">
      <c r="A156" s="109"/>
      <c r="B156" s="109"/>
      <c r="C156" s="118"/>
      <c r="D156" s="118" t="str">
        <f t="shared" si="2"/>
        <v/>
      </c>
      <c r="E156" s="131"/>
      <c r="F156" s="131"/>
    </row>
    <row r="157" spans="1:6" ht="15.75" x14ac:dyDescent="0.25">
      <c r="A157" s="109"/>
      <c r="B157" s="109"/>
      <c r="C157" s="118"/>
      <c r="D157" s="118" t="str">
        <f t="shared" si="2"/>
        <v/>
      </c>
      <c r="E157" s="131"/>
      <c r="F157" s="131"/>
    </row>
    <row r="158" spans="1:6" ht="15.75" x14ac:dyDescent="0.25">
      <c r="A158" s="109"/>
      <c r="B158" s="109"/>
      <c r="C158" s="118"/>
      <c r="D158" s="118" t="str">
        <f t="shared" si="2"/>
        <v/>
      </c>
      <c r="E158" s="131"/>
      <c r="F158" s="131"/>
    </row>
    <row r="159" spans="1:6" ht="15.75" x14ac:dyDescent="0.25">
      <c r="A159" s="109"/>
      <c r="B159" s="109"/>
      <c r="C159" s="118"/>
      <c r="D159" s="118" t="str">
        <f t="shared" si="2"/>
        <v/>
      </c>
      <c r="E159" s="131"/>
      <c r="F159" s="131"/>
    </row>
    <row r="160" spans="1:6" ht="15.75" x14ac:dyDescent="0.25">
      <c r="A160" s="109"/>
      <c r="B160" s="109"/>
      <c r="C160" s="118"/>
      <c r="D160" s="118" t="str">
        <f t="shared" si="2"/>
        <v/>
      </c>
      <c r="E160" s="131"/>
      <c r="F160" s="131"/>
    </row>
    <row r="161" spans="1:6" ht="15.75" x14ac:dyDescent="0.25">
      <c r="A161" s="109"/>
      <c r="B161" s="109"/>
      <c r="C161" s="118"/>
      <c r="D161" s="118" t="str">
        <f t="shared" si="2"/>
        <v/>
      </c>
      <c r="E161" s="131"/>
      <c r="F161" s="131"/>
    </row>
    <row r="162" spans="1:6" ht="15.75" x14ac:dyDescent="0.25">
      <c r="A162" s="109"/>
      <c r="B162" s="109"/>
      <c r="C162" s="118"/>
      <c r="D162" s="118" t="str">
        <f t="shared" si="2"/>
        <v/>
      </c>
      <c r="E162" s="131"/>
      <c r="F162" s="131"/>
    </row>
    <row r="163" spans="1:6" ht="15.75" x14ac:dyDescent="0.25">
      <c r="A163" s="109"/>
      <c r="B163" s="109"/>
      <c r="C163" s="118"/>
      <c r="D163" s="118" t="str">
        <f t="shared" si="2"/>
        <v/>
      </c>
      <c r="E163" s="131"/>
      <c r="F163" s="131"/>
    </row>
    <row r="164" spans="1:6" ht="15.75" x14ac:dyDescent="0.25">
      <c r="A164" s="109"/>
      <c r="B164" s="109"/>
      <c r="C164" s="118"/>
      <c r="D164" s="118" t="str">
        <f t="shared" si="2"/>
        <v/>
      </c>
      <c r="E164" s="131"/>
      <c r="F164" s="131"/>
    </row>
    <row r="165" spans="1:6" ht="15.75" x14ac:dyDescent="0.25">
      <c r="A165" s="109"/>
      <c r="B165" s="109"/>
      <c r="C165" s="118"/>
      <c r="D165" s="118" t="str">
        <f t="shared" si="2"/>
        <v/>
      </c>
      <c r="E165" s="131"/>
      <c r="F165" s="131"/>
    </row>
    <row r="166" spans="1:6" ht="15.75" x14ac:dyDescent="0.25">
      <c r="A166" s="109"/>
      <c r="B166" s="109"/>
      <c r="C166" s="118"/>
      <c r="D166" s="118" t="str">
        <f t="shared" si="2"/>
        <v/>
      </c>
      <c r="E166" s="131"/>
      <c r="F166" s="131"/>
    </row>
    <row r="167" spans="1:6" ht="15.75" x14ac:dyDescent="0.25">
      <c r="A167" s="109"/>
      <c r="B167" s="109"/>
      <c r="C167" s="118"/>
      <c r="D167" s="118" t="str">
        <f t="shared" si="2"/>
        <v/>
      </c>
      <c r="E167" s="131"/>
      <c r="F167" s="131"/>
    </row>
    <row r="168" spans="1:6" ht="15.75" x14ac:dyDescent="0.25">
      <c r="A168" s="109"/>
      <c r="B168" s="109"/>
      <c r="C168" s="118"/>
      <c r="D168" s="118" t="str">
        <f t="shared" si="2"/>
        <v/>
      </c>
      <c r="E168" s="131"/>
      <c r="F168" s="131"/>
    </row>
    <row r="169" spans="1:6" ht="15.75" x14ac:dyDescent="0.25">
      <c r="A169" s="109"/>
      <c r="B169" s="109"/>
      <c r="C169" s="118"/>
      <c r="D169" s="118" t="str">
        <f t="shared" si="2"/>
        <v/>
      </c>
      <c r="E169" s="131"/>
      <c r="F169" s="131"/>
    </row>
    <row r="170" spans="1:6" ht="15.75" x14ac:dyDescent="0.25">
      <c r="A170" s="109"/>
      <c r="B170" s="109"/>
      <c r="C170" s="118"/>
      <c r="D170" s="118" t="str">
        <f t="shared" si="2"/>
        <v/>
      </c>
      <c r="E170" s="131"/>
      <c r="F170" s="131"/>
    </row>
    <row r="171" spans="1:6" ht="15.75" x14ac:dyDescent="0.25">
      <c r="A171" s="109"/>
      <c r="B171" s="109"/>
      <c r="C171" s="118"/>
      <c r="D171" s="118" t="str">
        <f t="shared" si="2"/>
        <v/>
      </c>
      <c r="E171" s="131"/>
      <c r="F171" s="131"/>
    </row>
    <row r="172" spans="1:6" ht="15.75" x14ac:dyDescent="0.25">
      <c r="A172" s="109"/>
      <c r="B172" s="109"/>
      <c r="C172" s="118"/>
      <c r="D172" s="118" t="str">
        <f t="shared" si="2"/>
        <v/>
      </c>
      <c r="E172" s="131"/>
      <c r="F172" s="131"/>
    </row>
    <row r="173" spans="1:6" ht="15.75" x14ac:dyDescent="0.25">
      <c r="A173" s="109"/>
      <c r="B173" s="109"/>
      <c r="C173" s="118"/>
      <c r="D173" s="118" t="str">
        <f t="shared" si="2"/>
        <v/>
      </c>
      <c r="E173" s="131"/>
      <c r="F173" s="131"/>
    </row>
    <row r="174" spans="1:6" ht="15.75" x14ac:dyDescent="0.25">
      <c r="A174" s="109"/>
      <c r="B174" s="109"/>
      <c r="C174" s="118"/>
      <c r="D174" s="118" t="str">
        <f t="shared" si="2"/>
        <v/>
      </c>
      <c r="E174" s="131"/>
      <c r="F174" s="131"/>
    </row>
    <row r="175" spans="1:6" ht="15.75" x14ac:dyDescent="0.25">
      <c r="A175" s="109"/>
      <c r="B175" s="109"/>
      <c r="C175" s="118"/>
      <c r="D175" s="118" t="str">
        <f t="shared" si="2"/>
        <v/>
      </c>
      <c r="E175" s="131"/>
      <c r="F175" s="131"/>
    </row>
    <row r="176" spans="1:6" ht="15.75" x14ac:dyDescent="0.25">
      <c r="A176" s="109"/>
      <c r="B176" s="109"/>
      <c r="C176" s="118"/>
      <c r="D176" s="118" t="str">
        <f t="shared" si="2"/>
        <v/>
      </c>
      <c r="E176" s="131"/>
      <c r="F176" s="131"/>
    </row>
    <row r="177" spans="1:6" ht="15.75" x14ac:dyDescent="0.25">
      <c r="A177" s="109"/>
      <c r="B177" s="109"/>
      <c r="C177" s="118"/>
      <c r="D177" s="118" t="str">
        <f t="shared" si="2"/>
        <v/>
      </c>
      <c r="E177" s="131"/>
      <c r="F177" s="131"/>
    </row>
    <row r="178" spans="1:6" ht="15.75" x14ac:dyDescent="0.25">
      <c r="A178" s="109"/>
      <c r="B178" s="109"/>
      <c r="C178" s="118"/>
      <c r="D178" s="118" t="str">
        <f t="shared" si="2"/>
        <v/>
      </c>
      <c r="E178" s="131"/>
      <c r="F178" s="131"/>
    </row>
    <row r="179" spans="1:6" ht="15.75" x14ac:dyDescent="0.25">
      <c r="A179" s="109"/>
      <c r="B179" s="109"/>
      <c r="C179" s="118"/>
      <c r="D179" s="118" t="str">
        <f t="shared" si="2"/>
        <v/>
      </c>
      <c r="E179" s="131"/>
      <c r="F179" s="131"/>
    </row>
    <row r="180" spans="1:6" ht="15.75" x14ac:dyDescent="0.25">
      <c r="A180" s="109"/>
      <c r="B180" s="109"/>
      <c r="C180" s="118"/>
      <c r="D180" s="118" t="str">
        <f t="shared" si="2"/>
        <v/>
      </c>
      <c r="E180" s="131"/>
      <c r="F180" s="131"/>
    </row>
    <row r="181" spans="1:6" ht="15.75" x14ac:dyDescent="0.25">
      <c r="A181" s="109"/>
      <c r="B181" s="109"/>
      <c r="C181" s="118"/>
      <c r="D181" s="118" t="str">
        <f t="shared" si="2"/>
        <v/>
      </c>
      <c r="E181" s="131"/>
      <c r="F181" s="131"/>
    </row>
    <row r="182" spans="1:6" ht="15.75" x14ac:dyDescent="0.25">
      <c r="A182" s="109"/>
      <c r="B182" s="109"/>
      <c r="C182" s="118"/>
      <c r="D182" s="118" t="str">
        <f t="shared" si="2"/>
        <v/>
      </c>
      <c r="E182" s="131"/>
      <c r="F182" s="131"/>
    </row>
    <row r="183" spans="1:6" ht="15.75" x14ac:dyDescent="0.25">
      <c r="A183" s="109"/>
      <c r="B183" s="109"/>
      <c r="C183" s="118"/>
      <c r="D183" s="118" t="str">
        <f t="shared" si="2"/>
        <v/>
      </c>
      <c r="E183" s="131"/>
      <c r="F183" s="131"/>
    </row>
    <row r="184" spans="1:6" ht="15.75" x14ac:dyDescent="0.25">
      <c r="A184" s="109"/>
      <c r="B184" s="109"/>
      <c r="C184" s="118"/>
      <c r="D184" s="118" t="str">
        <f t="shared" si="2"/>
        <v/>
      </c>
      <c r="E184" s="131"/>
      <c r="F184" s="131"/>
    </row>
    <row r="185" spans="1:6" ht="15.75" x14ac:dyDescent="0.25">
      <c r="A185" s="109"/>
      <c r="B185" s="109"/>
      <c r="C185" s="118"/>
      <c r="D185" s="118" t="str">
        <f t="shared" si="2"/>
        <v/>
      </c>
      <c r="E185" s="131"/>
      <c r="F185" s="131"/>
    </row>
    <row r="186" spans="1:6" ht="15.75" x14ac:dyDescent="0.25">
      <c r="A186" s="109"/>
      <c r="B186" s="109"/>
      <c r="C186" s="118"/>
      <c r="D186" s="118" t="str">
        <f t="shared" si="2"/>
        <v/>
      </c>
      <c r="E186" s="131"/>
      <c r="F186" s="131"/>
    </row>
    <row r="187" spans="1:6" ht="15.75" x14ac:dyDescent="0.25">
      <c r="A187" s="109"/>
      <c r="B187" s="109"/>
      <c r="C187" s="118"/>
      <c r="D187" s="118" t="str">
        <f t="shared" si="2"/>
        <v/>
      </c>
      <c r="E187" s="131"/>
      <c r="F187" s="131"/>
    </row>
    <row r="188" spans="1:6" ht="15.75" x14ac:dyDescent="0.25">
      <c r="A188" s="109"/>
      <c r="B188" s="109"/>
      <c r="C188" s="118"/>
      <c r="D188" s="118" t="str">
        <f t="shared" si="2"/>
        <v/>
      </c>
      <c r="E188" s="131"/>
      <c r="F188" s="131"/>
    </row>
    <row r="189" spans="1:6" ht="15.75" x14ac:dyDescent="0.25">
      <c r="A189" s="109"/>
      <c r="B189" s="109"/>
      <c r="C189" s="118"/>
      <c r="D189" s="118" t="str">
        <f t="shared" si="2"/>
        <v/>
      </c>
      <c r="E189" s="131"/>
      <c r="F189" s="131"/>
    </row>
    <row r="190" spans="1:6" ht="15.75" x14ac:dyDescent="0.25">
      <c r="A190" s="109"/>
      <c r="B190" s="109"/>
      <c r="C190" s="118"/>
      <c r="D190" s="118" t="str">
        <f t="shared" si="2"/>
        <v/>
      </c>
      <c r="E190" s="131"/>
      <c r="F190" s="131"/>
    </row>
    <row r="191" spans="1:6" ht="15.75" x14ac:dyDescent="0.25">
      <c r="A191" s="109"/>
      <c r="B191" s="109"/>
      <c r="C191" s="118"/>
      <c r="D191" s="118" t="str">
        <f t="shared" si="2"/>
        <v/>
      </c>
      <c r="E191" s="131"/>
      <c r="F191" s="131"/>
    </row>
    <row r="192" spans="1:6" ht="15.75" x14ac:dyDescent="0.25">
      <c r="A192" s="109"/>
      <c r="B192" s="109"/>
      <c r="C192" s="118"/>
      <c r="D192" s="118" t="str">
        <f t="shared" si="2"/>
        <v/>
      </c>
      <c r="E192" s="131"/>
      <c r="F192" s="131"/>
    </row>
    <row r="193" spans="1:6" ht="15.75" x14ac:dyDescent="0.25">
      <c r="A193" s="109"/>
      <c r="B193" s="109"/>
      <c r="C193" s="118"/>
      <c r="D193" s="118" t="str">
        <f t="shared" si="2"/>
        <v/>
      </c>
      <c r="E193" s="131"/>
      <c r="F193" s="131"/>
    </row>
    <row r="194" spans="1:6" ht="15.75" x14ac:dyDescent="0.25">
      <c r="A194" s="109"/>
      <c r="B194" s="109"/>
      <c r="C194" s="118"/>
      <c r="D194" s="118" t="str">
        <f t="shared" si="2"/>
        <v/>
      </c>
      <c r="E194" s="131"/>
      <c r="F194" s="131"/>
    </row>
    <row r="195" spans="1:6" ht="15.75" x14ac:dyDescent="0.25">
      <c r="A195" s="109"/>
      <c r="B195" s="109"/>
      <c r="C195" s="118"/>
      <c r="D195" s="118" t="str">
        <f t="shared" si="2"/>
        <v/>
      </c>
      <c r="E195" s="131"/>
      <c r="F195" s="131"/>
    </row>
    <row r="196" spans="1:6" ht="15.75" x14ac:dyDescent="0.25">
      <c r="A196" s="109"/>
      <c r="B196" s="109"/>
      <c r="C196" s="118"/>
      <c r="D196" s="118" t="str">
        <f t="shared" si="2"/>
        <v/>
      </c>
      <c r="E196" s="131"/>
      <c r="F196" s="131"/>
    </row>
    <row r="197" spans="1:6" ht="15.75" x14ac:dyDescent="0.25">
      <c r="A197" s="109"/>
      <c r="B197" s="109"/>
      <c r="C197" s="118"/>
      <c r="D197" s="118" t="str">
        <f t="shared" si="2"/>
        <v/>
      </c>
      <c r="E197" s="131"/>
      <c r="F197" s="131"/>
    </row>
    <row r="198" spans="1:6" ht="15.75" x14ac:dyDescent="0.25">
      <c r="A198" s="109"/>
      <c r="B198" s="109"/>
      <c r="C198" s="118"/>
      <c r="D198" s="118" t="str">
        <f t="shared" si="2"/>
        <v/>
      </c>
      <c r="E198" s="131"/>
      <c r="F198" s="131"/>
    </row>
    <row r="199" spans="1:6" ht="15.75" x14ac:dyDescent="0.25">
      <c r="A199" s="109"/>
      <c r="B199" s="109"/>
      <c r="C199" s="118"/>
      <c r="D199" s="118" t="str">
        <f t="shared" si="2"/>
        <v/>
      </c>
      <c r="E199" s="131"/>
      <c r="F199" s="131"/>
    </row>
    <row r="200" spans="1:6" ht="15.75" x14ac:dyDescent="0.25">
      <c r="A200" s="109"/>
      <c r="B200" s="109"/>
      <c r="C200" s="118"/>
      <c r="D200" s="118" t="str">
        <f t="shared" si="2"/>
        <v/>
      </c>
      <c r="E200" s="131"/>
      <c r="F200" s="131"/>
    </row>
    <row r="201" spans="1:6" ht="15.75" x14ac:dyDescent="0.25">
      <c r="A201" s="109"/>
      <c r="B201" s="109"/>
      <c r="C201" s="118"/>
      <c r="D201" s="118" t="str">
        <f t="shared" si="2"/>
        <v/>
      </c>
      <c r="E201" s="131"/>
      <c r="F201" s="131"/>
    </row>
    <row r="202" spans="1:6" ht="15.75" x14ac:dyDescent="0.25">
      <c r="A202" s="109"/>
      <c r="B202" s="109"/>
      <c r="C202" s="118"/>
      <c r="D202" s="118" t="str">
        <f t="shared" si="2"/>
        <v/>
      </c>
      <c r="E202" s="131"/>
      <c r="F202" s="131"/>
    </row>
    <row r="203" spans="1:6" ht="15.75" x14ac:dyDescent="0.25">
      <c r="A203" s="109"/>
      <c r="B203" s="109"/>
      <c r="C203" s="118"/>
      <c r="D203" s="118" t="str">
        <f t="shared" ref="D203:D266" si="3">IF(A203=0,"","MinMax")</f>
        <v/>
      </c>
      <c r="E203" s="131"/>
      <c r="F203" s="131"/>
    </row>
    <row r="204" spans="1:6" ht="15.75" x14ac:dyDescent="0.25">
      <c r="A204" s="109"/>
      <c r="B204" s="109"/>
      <c r="C204" s="118"/>
      <c r="D204" s="118" t="str">
        <f t="shared" si="3"/>
        <v/>
      </c>
      <c r="E204" s="131"/>
      <c r="F204" s="131"/>
    </row>
    <row r="205" spans="1:6" ht="15.75" x14ac:dyDescent="0.25">
      <c r="A205" s="109"/>
      <c r="B205" s="109"/>
      <c r="C205" s="118"/>
      <c r="D205" s="118" t="str">
        <f t="shared" si="3"/>
        <v/>
      </c>
      <c r="E205" s="131"/>
      <c r="F205" s="131"/>
    </row>
    <row r="206" spans="1:6" ht="15.75" x14ac:dyDescent="0.25">
      <c r="A206" s="109"/>
      <c r="B206" s="109"/>
      <c r="C206" s="118"/>
      <c r="D206" s="118" t="str">
        <f t="shared" si="3"/>
        <v/>
      </c>
      <c r="E206" s="131"/>
      <c r="F206" s="131"/>
    </row>
    <row r="207" spans="1:6" ht="15.75" x14ac:dyDescent="0.25">
      <c r="A207" s="109"/>
      <c r="B207" s="109"/>
      <c r="C207" s="118"/>
      <c r="D207" s="118" t="str">
        <f t="shared" si="3"/>
        <v/>
      </c>
      <c r="E207" s="131"/>
      <c r="F207" s="131"/>
    </row>
    <row r="208" spans="1:6" ht="15.75" x14ac:dyDescent="0.25">
      <c r="A208" s="109"/>
      <c r="B208" s="109"/>
      <c r="C208" s="118"/>
      <c r="D208" s="118" t="str">
        <f t="shared" si="3"/>
        <v/>
      </c>
      <c r="E208" s="131"/>
      <c r="F208" s="131"/>
    </row>
    <row r="209" spans="1:6" ht="15.75" x14ac:dyDescent="0.25">
      <c r="A209" s="109"/>
      <c r="B209" s="109"/>
      <c r="C209" s="118"/>
      <c r="D209" s="118" t="str">
        <f t="shared" si="3"/>
        <v/>
      </c>
      <c r="E209" s="131"/>
      <c r="F209" s="131"/>
    </row>
    <row r="210" spans="1:6" ht="15.75" x14ac:dyDescent="0.25">
      <c r="A210" s="109"/>
      <c r="B210" s="109"/>
      <c r="C210" s="118"/>
      <c r="D210" s="118" t="str">
        <f t="shared" si="3"/>
        <v/>
      </c>
      <c r="E210" s="131"/>
      <c r="F210" s="131"/>
    </row>
    <row r="211" spans="1:6" ht="15.75" x14ac:dyDescent="0.25">
      <c r="A211" s="109"/>
      <c r="B211" s="109"/>
      <c r="C211" s="118"/>
      <c r="D211" s="118" t="str">
        <f t="shared" si="3"/>
        <v/>
      </c>
      <c r="E211" s="131"/>
      <c r="F211" s="131"/>
    </row>
    <row r="212" spans="1:6" ht="15.75" x14ac:dyDescent="0.25">
      <c r="A212" s="109"/>
      <c r="B212" s="109"/>
      <c r="C212" s="118"/>
      <c r="D212" s="118" t="str">
        <f t="shared" si="3"/>
        <v/>
      </c>
      <c r="E212" s="131"/>
      <c r="F212" s="131"/>
    </row>
    <row r="213" spans="1:6" ht="15.75" x14ac:dyDescent="0.25">
      <c r="A213" s="109"/>
      <c r="B213" s="109"/>
      <c r="C213" s="118"/>
      <c r="D213" s="118" t="str">
        <f t="shared" si="3"/>
        <v/>
      </c>
      <c r="E213" s="131"/>
      <c r="F213" s="131"/>
    </row>
    <row r="214" spans="1:6" ht="15.75" x14ac:dyDescent="0.25">
      <c r="A214" s="109"/>
      <c r="B214" s="109"/>
      <c r="C214" s="118"/>
      <c r="D214" s="118" t="str">
        <f t="shared" si="3"/>
        <v/>
      </c>
      <c r="E214" s="131"/>
      <c r="F214" s="131"/>
    </row>
    <row r="215" spans="1:6" ht="15.75" x14ac:dyDescent="0.25">
      <c r="A215" s="109"/>
      <c r="B215" s="109"/>
      <c r="C215" s="118"/>
      <c r="D215" s="118" t="str">
        <f t="shared" si="3"/>
        <v/>
      </c>
      <c r="E215" s="131"/>
      <c r="F215" s="131"/>
    </row>
    <row r="216" spans="1:6" ht="15.75" x14ac:dyDescent="0.25">
      <c r="A216" s="109"/>
      <c r="B216" s="109"/>
      <c r="C216" s="118"/>
      <c r="D216" s="118" t="str">
        <f t="shared" si="3"/>
        <v/>
      </c>
      <c r="E216" s="131"/>
      <c r="F216" s="131"/>
    </row>
    <row r="217" spans="1:6" ht="15.75" x14ac:dyDescent="0.25">
      <c r="A217" s="109"/>
      <c r="B217" s="109"/>
      <c r="C217" s="118"/>
      <c r="D217" s="118" t="str">
        <f t="shared" si="3"/>
        <v/>
      </c>
      <c r="E217" s="131"/>
      <c r="F217" s="131"/>
    </row>
    <row r="218" spans="1:6" ht="15.75" x14ac:dyDescent="0.25">
      <c r="A218" s="109"/>
      <c r="B218" s="109"/>
      <c r="C218" s="118"/>
      <c r="D218" s="118" t="str">
        <f t="shared" si="3"/>
        <v/>
      </c>
      <c r="E218" s="131"/>
      <c r="F218" s="131"/>
    </row>
    <row r="219" spans="1:6" ht="15.75" x14ac:dyDescent="0.25">
      <c r="A219" s="109"/>
      <c r="B219" s="109"/>
      <c r="C219" s="118"/>
      <c r="D219" s="118" t="str">
        <f t="shared" si="3"/>
        <v/>
      </c>
      <c r="E219" s="131"/>
      <c r="F219" s="131"/>
    </row>
    <row r="220" spans="1:6" ht="15.75" x14ac:dyDescent="0.25">
      <c r="A220" s="109"/>
      <c r="B220" s="109"/>
      <c r="C220" s="118"/>
      <c r="D220" s="118" t="str">
        <f t="shared" si="3"/>
        <v/>
      </c>
      <c r="E220" s="131"/>
      <c r="F220" s="131"/>
    </row>
    <row r="221" spans="1:6" ht="15.75" x14ac:dyDescent="0.25">
      <c r="A221" s="109"/>
      <c r="B221" s="109"/>
      <c r="C221" s="118"/>
      <c r="D221" s="118" t="str">
        <f t="shared" si="3"/>
        <v/>
      </c>
      <c r="E221" s="131"/>
      <c r="F221" s="131"/>
    </row>
    <row r="222" spans="1:6" ht="15.75" x14ac:dyDescent="0.25">
      <c r="A222" s="109"/>
      <c r="B222" s="109"/>
      <c r="C222" s="118"/>
      <c r="D222" s="118" t="str">
        <f t="shared" si="3"/>
        <v/>
      </c>
      <c r="E222" s="131"/>
      <c r="F222" s="131"/>
    </row>
    <row r="223" spans="1:6" ht="15.75" x14ac:dyDescent="0.25">
      <c r="A223" s="109"/>
      <c r="B223" s="109"/>
      <c r="C223" s="118"/>
      <c r="D223" s="118" t="str">
        <f t="shared" si="3"/>
        <v/>
      </c>
      <c r="E223" s="131"/>
      <c r="F223" s="131"/>
    </row>
    <row r="224" spans="1:6" ht="15.75" x14ac:dyDescent="0.25">
      <c r="A224" s="109"/>
      <c r="B224" s="109"/>
      <c r="C224" s="118"/>
      <c r="D224" s="118" t="str">
        <f t="shared" si="3"/>
        <v/>
      </c>
      <c r="E224" s="131"/>
      <c r="F224" s="131"/>
    </row>
    <row r="225" spans="1:6" ht="15.75" x14ac:dyDescent="0.25">
      <c r="A225" s="109"/>
      <c r="B225" s="109"/>
      <c r="C225" s="118"/>
      <c r="D225" s="118" t="str">
        <f t="shared" si="3"/>
        <v/>
      </c>
      <c r="E225" s="131"/>
      <c r="F225" s="131"/>
    </row>
    <row r="226" spans="1:6" ht="15.75" x14ac:dyDescent="0.25">
      <c r="A226" s="109"/>
      <c r="B226" s="109"/>
      <c r="C226" s="118"/>
      <c r="D226" s="118" t="str">
        <f t="shared" si="3"/>
        <v/>
      </c>
      <c r="E226" s="131"/>
      <c r="F226" s="131"/>
    </row>
    <row r="227" spans="1:6" ht="15.75" x14ac:dyDescent="0.25">
      <c r="A227" s="109"/>
      <c r="B227" s="109"/>
      <c r="C227" s="118"/>
      <c r="D227" s="118" t="str">
        <f t="shared" si="3"/>
        <v/>
      </c>
      <c r="E227" s="131"/>
      <c r="F227" s="131"/>
    </row>
    <row r="228" spans="1:6" ht="15.75" x14ac:dyDescent="0.25">
      <c r="A228" s="109"/>
      <c r="B228" s="109"/>
      <c r="C228" s="118"/>
      <c r="D228" s="118" t="str">
        <f t="shared" si="3"/>
        <v/>
      </c>
      <c r="E228" s="131"/>
      <c r="F228" s="131"/>
    </row>
    <row r="229" spans="1:6" ht="15.75" x14ac:dyDescent="0.25">
      <c r="A229" s="109"/>
      <c r="B229" s="109"/>
      <c r="C229" s="118"/>
      <c r="D229" s="118" t="str">
        <f t="shared" si="3"/>
        <v/>
      </c>
      <c r="E229" s="131"/>
      <c r="F229" s="131"/>
    </row>
    <row r="230" spans="1:6" ht="15.75" x14ac:dyDescent="0.25">
      <c r="A230" s="109"/>
      <c r="B230" s="109"/>
      <c r="C230" s="118"/>
      <c r="D230" s="118" t="str">
        <f t="shared" si="3"/>
        <v/>
      </c>
      <c r="E230" s="131"/>
      <c r="F230" s="131"/>
    </row>
    <row r="231" spans="1:6" ht="15.75" x14ac:dyDescent="0.25">
      <c r="A231" s="109"/>
      <c r="B231" s="109"/>
      <c r="C231" s="118"/>
      <c r="D231" s="118" t="str">
        <f t="shared" si="3"/>
        <v/>
      </c>
      <c r="E231" s="131"/>
      <c r="F231" s="131"/>
    </row>
    <row r="232" spans="1:6" ht="15.75" x14ac:dyDescent="0.25">
      <c r="A232" s="109"/>
      <c r="B232" s="109"/>
      <c r="C232" s="118"/>
      <c r="D232" s="118" t="str">
        <f t="shared" si="3"/>
        <v/>
      </c>
      <c r="E232" s="131"/>
      <c r="F232" s="131"/>
    </row>
    <row r="233" spans="1:6" ht="15.75" x14ac:dyDescent="0.25">
      <c r="A233" s="109"/>
      <c r="B233" s="109"/>
      <c r="C233" s="118"/>
      <c r="D233" s="118" t="str">
        <f t="shared" si="3"/>
        <v/>
      </c>
      <c r="E233" s="131"/>
      <c r="F233" s="131"/>
    </row>
    <row r="234" spans="1:6" ht="15.75" x14ac:dyDescent="0.25">
      <c r="A234" s="109"/>
      <c r="B234" s="109"/>
      <c r="C234" s="118"/>
      <c r="D234" s="118" t="str">
        <f t="shared" si="3"/>
        <v/>
      </c>
      <c r="E234" s="131"/>
      <c r="F234" s="131"/>
    </row>
    <row r="235" spans="1:6" ht="15.75" x14ac:dyDescent="0.25">
      <c r="A235" s="109"/>
      <c r="B235" s="109"/>
      <c r="C235" s="118"/>
      <c r="D235" s="118" t="str">
        <f t="shared" si="3"/>
        <v/>
      </c>
      <c r="E235" s="131"/>
      <c r="F235" s="131"/>
    </row>
    <row r="236" spans="1:6" ht="15.75" x14ac:dyDescent="0.25">
      <c r="A236" s="109"/>
      <c r="B236" s="109"/>
      <c r="C236" s="118"/>
      <c r="D236" s="118" t="str">
        <f t="shared" si="3"/>
        <v/>
      </c>
      <c r="E236" s="131"/>
      <c r="F236" s="131"/>
    </row>
    <row r="237" spans="1:6" ht="15.75" x14ac:dyDescent="0.25">
      <c r="A237" s="109"/>
      <c r="B237" s="109"/>
      <c r="C237" s="118"/>
      <c r="D237" s="118" t="str">
        <f t="shared" si="3"/>
        <v/>
      </c>
      <c r="E237" s="131"/>
      <c r="F237" s="131"/>
    </row>
    <row r="238" spans="1:6" ht="15.75" x14ac:dyDescent="0.25">
      <c r="A238" s="109"/>
      <c r="B238" s="109"/>
      <c r="C238" s="118"/>
      <c r="D238" s="118" t="str">
        <f t="shared" si="3"/>
        <v/>
      </c>
      <c r="E238" s="131"/>
      <c r="F238" s="131"/>
    </row>
    <row r="239" spans="1:6" ht="15.75" x14ac:dyDescent="0.25">
      <c r="A239" s="109"/>
      <c r="B239" s="109"/>
      <c r="C239" s="118"/>
      <c r="D239" s="118" t="str">
        <f t="shared" si="3"/>
        <v/>
      </c>
      <c r="E239" s="131"/>
      <c r="F239" s="131"/>
    </row>
    <row r="240" spans="1:6" ht="15.75" x14ac:dyDescent="0.25">
      <c r="A240" s="109"/>
      <c r="B240" s="109"/>
      <c r="C240" s="118"/>
      <c r="D240" s="118" t="str">
        <f t="shared" si="3"/>
        <v/>
      </c>
      <c r="E240" s="131"/>
      <c r="F240" s="131"/>
    </row>
    <row r="241" spans="1:6" ht="15.75" x14ac:dyDescent="0.25">
      <c r="A241" s="109"/>
      <c r="B241" s="109"/>
      <c r="C241" s="118"/>
      <c r="D241" s="118" t="str">
        <f t="shared" si="3"/>
        <v/>
      </c>
      <c r="E241" s="131"/>
      <c r="F241" s="131"/>
    </row>
    <row r="242" spans="1:6" ht="15.75" x14ac:dyDescent="0.25">
      <c r="A242" s="109"/>
      <c r="B242" s="109"/>
      <c r="C242" s="118"/>
      <c r="D242" s="118" t="str">
        <f t="shared" si="3"/>
        <v/>
      </c>
      <c r="E242" s="131"/>
      <c r="F242" s="131"/>
    </row>
    <row r="243" spans="1:6" ht="15.75" x14ac:dyDescent="0.25">
      <c r="A243" s="109"/>
      <c r="B243" s="109"/>
      <c r="C243" s="118"/>
      <c r="D243" s="118" t="str">
        <f t="shared" si="3"/>
        <v/>
      </c>
      <c r="E243" s="131"/>
      <c r="F243" s="131"/>
    </row>
    <row r="244" spans="1:6" ht="15.75" x14ac:dyDescent="0.25">
      <c r="A244" s="109"/>
      <c r="B244" s="109"/>
      <c r="C244" s="118"/>
      <c r="D244" s="118" t="str">
        <f t="shared" si="3"/>
        <v/>
      </c>
      <c r="E244" s="131"/>
      <c r="F244" s="131"/>
    </row>
    <row r="245" spans="1:6" ht="15.75" x14ac:dyDescent="0.25">
      <c r="A245" s="109"/>
      <c r="B245" s="109"/>
      <c r="C245" s="118"/>
      <c r="D245" s="118" t="str">
        <f t="shared" si="3"/>
        <v/>
      </c>
      <c r="E245" s="131"/>
      <c r="F245" s="131"/>
    </row>
    <row r="246" spans="1:6" ht="15.75" x14ac:dyDescent="0.25">
      <c r="A246" s="109"/>
      <c r="B246" s="109"/>
      <c r="C246" s="118"/>
      <c r="D246" s="118" t="str">
        <f t="shared" si="3"/>
        <v/>
      </c>
      <c r="E246" s="131"/>
      <c r="F246" s="131"/>
    </row>
    <row r="247" spans="1:6" ht="15.75" x14ac:dyDescent="0.25">
      <c r="A247" s="109"/>
      <c r="B247" s="109"/>
      <c r="C247" s="118"/>
      <c r="D247" s="118" t="str">
        <f t="shared" si="3"/>
        <v/>
      </c>
      <c r="E247" s="131"/>
      <c r="F247" s="131"/>
    </row>
    <row r="248" spans="1:6" ht="15.75" x14ac:dyDescent="0.25">
      <c r="A248" s="109"/>
      <c r="B248" s="109"/>
      <c r="C248" s="118"/>
      <c r="D248" s="118" t="str">
        <f t="shared" si="3"/>
        <v/>
      </c>
      <c r="E248" s="131"/>
      <c r="F248" s="131"/>
    </row>
    <row r="249" spans="1:6" ht="15.75" x14ac:dyDescent="0.25">
      <c r="A249" s="109"/>
      <c r="B249" s="109"/>
      <c r="C249" s="118"/>
      <c r="D249" s="118" t="str">
        <f t="shared" si="3"/>
        <v/>
      </c>
      <c r="E249" s="131"/>
      <c r="F249" s="131"/>
    </row>
    <row r="250" spans="1:6" ht="15.75" x14ac:dyDescent="0.25">
      <c r="A250" s="109"/>
      <c r="B250" s="109"/>
      <c r="C250" s="118"/>
      <c r="D250" s="118" t="str">
        <f t="shared" si="3"/>
        <v/>
      </c>
      <c r="E250" s="131"/>
      <c r="F250" s="131"/>
    </row>
    <row r="251" spans="1:6" ht="15.75" x14ac:dyDescent="0.25">
      <c r="A251" s="109"/>
      <c r="B251" s="109"/>
      <c r="C251" s="118"/>
      <c r="D251" s="118" t="str">
        <f t="shared" si="3"/>
        <v/>
      </c>
      <c r="E251" s="131"/>
      <c r="F251" s="131"/>
    </row>
    <row r="252" spans="1:6" ht="15.75" x14ac:dyDescent="0.25">
      <c r="A252" s="109"/>
      <c r="B252" s="109"/>
      <c r="C252" s="118"/>
      <c r="D252" s="118" t="str">
        <f t="shared" si="3"/>
        <v/>
      </c>
      <c r="E252" s="131"/>
      <c r="F252" s="131"/>
    </row>
    <row r="253" spans="1:6" ht="15.75" x14ac:dyDescent="0.25">
      <c r="A253" s="109"/>
      <c r="B253" s="109"/>
      <c r="C253" s="118"/>
      <c r="D253" s="118" t="str">
        <f t="shared" si="3"/>
        <v/>
      </c>
      <c r="E253" s="131"/>
      <c r="F253" s="131"/>
    </row>
    <row r="254" spans="1:6" ht="15.75" x14ac:dyDescent="0.25">
      <c r="A254" s="109"/>
      <c r="B254" s="109"/>
      <c r="C254" s="118"/>
      <c r="D254" s="118" t="str">
        <f t="shared" si="3"/>
        <v/>
      </c>
      <c r="E254" s="131"/>
      <c r="F254" s="131"/>
    </row>
    <row r="255" spans="1:6" ht="15.75" x14ac:dyDescent="0.25">
      <c r="A255" s="109"/>
      <c r="B255" s="109"/>
      <c r="C255" s="118"/>
      <c r="D255" s="118" t="str">
        <f t="shared" si="3"/>
        <v/>
      </c>
      <c r="E255" s="131"/>
      <c r="F255" s="131"/>
    </row>
    <row r="256" spans="1:6" ht="15.75" x14ac:dyDescent="0.25">
      <c r="A256" s="109"/>
      <c r="B256" s="109"/>
      <c r="C256" s="118"/>
      <c r="D256" s="118" t="str">
        <f t="shared" si="3"/>
        <v/>
      </c>
      <c r="E256" s="131"/>
      <c r="F256" s="131"/>
    </row>
    <row r="257" spans="1:6" ht="15.75" x14ac:dyDescent="0.25">
      <c r="A257" s="109"/>
      <c r="B257" s="109"/>
      <c r="C257" s="118"/>
      <c r="D257" s="118" t="str">
        <f t="shared" si="3"/>
        <v/>
      </c>
      <c r="E257" s="131"/>
      <c r="F257" s="131"/>
    </row>
    <row r="258" spans="1:6" ht="15.75" x14ac:dyDescent="0.25">
      <c r="A258" s="109"/>
      <c r="B258" s="109"/>
      <c r="C258" s="118"/>
      <c r="D258" s="118" t="str">
        <f t="shared" si="3"/>
        <v/>
      </c>
      <c r="E258" s="131"/>
      <c r="F258" s="131"/>
    </row>
    <row r="259" spans="1:6" ht="15.75" x14ac:dyDescent="0.25">
      <c r="A259" s="109"/>
      <c r="B259" s="109"/>
      <c r="C259" s="118"/>
      <c r="D259" s="118" t="str">
        <f t="shared" si="3"/>
        <v/>
      </c>
      <c r="E259" s="131"/>
      <c r="F259" s="131"/>
    </row>
    <row r="260" spans="1:6" ht="15.75" x14ac:dyDescent="0.25">
      <c r="A260" s="109"/>
      <c r="B260" s="109"/>
      <c r="C260" s="118"/>
      <c r="D260" s="118" t="str">
        <f t="shared" si="3"/>
        <v/>
      </c>
      <c r="E260" s="131"/>
      <c r="F260" s="131"/>
    </row>
    <row r="261" spans="1:6" ht="15.75" x14ac:dyDescent="0.25">
      <c r="A261" s="109"/>
      <c r="B261" s="109"/>
      <c r="C261" s="118"/>
      <c r="D261" s="118" t="str">
        <f t="shared" si="3"/>
        <v/>
      </c>
      <c r="E261" s="131"/>
      <c r="F261" s="131"/>
    </row>
    <row r="262" spans="1:6" ht="15.75" x14ac:dyDescent="0.25">
      <c r="A262" s="109"/>
      <c r="B262" s="109"/>
      <c r="C262" s="118"/>
      <c r="D262" s="118" t="str">
        <f t="shared" si="3"/>
        <v/>
      </c>
      <c r="E262" s="131"/>
      <c r="F262" s="131"/>
    </row>
    <row r="263" spans="1:6" ht="15.75" x14ac:dyDescent="0.25">
      <c r="A263" s="109"/>
      <c r="B263" s="109"/>
      <c r="C263" s="118"/>
      <c r="D263" s="118" t="str">
        <f t="shared" si="3"/>
        <v/>
      </c>
      <c r="E263" s="131"/>
      <c r="F263" s="131"/>
    </row>
    <row r="264" spans="1:6" ht="15.75" x14ac:dyDescent="0.25">
      <c r="A264" s="109"/>
      <c r="B264" s="109"/>
      <c r="C264" s="118"/>
      <c r="D264" s="118" t="str">
        <f t="shared" si="3"/>
        <v/>
      </c>
      <c r="E264" s="131"/>
      <c r="F264" s="131"/>
    </row>
    <row r="265" spans="1:6" ht="15.75" x14ac:dyDescent="0.25">
      <c r="A265" s="109"/>
      <c r="B265" s="109"/>
      <c r="C265" s="118"/>
      <c r="D265" s="118" t="str">
        <f t="shared" si="3"/>
        <v/>
      </c>
      <c r="E265" s="131"/>
      <c r="F265" s="131"/>
    </row>
    <row r="266" spans="1:6" ht="15.75" x14ac:dyDescent="0.25">
      <c r="A266" s="109"/>
      <c r="B266" s="109"/>
      <c r="C266" s="118"/>
      <c r="D266" s="118" t="str">
        <f t="shared" si="3"/>
        <v/>
      </c>
      <c r="E266" s="131"/>
      <c r="F266" s="131"/>
    </row>
    <row r="267" spans="1:6" ht="15.75" x14ac:dyDescent="0.25">
      <c r="A267" s="109"/>
      <c r="B267" s="109"/>
      <c r="C267" s="118"/>
      <c r="D267" s="118" t="str">
        <f t="shared" ref="D267:D330" si="4">IF(A267=0,"","MinMax")</f>
        <v/>
      </c>
      <c r="E267" s="131"/>
      <c r="F267" s="131"/>
    </row>
    <row r="268" spans="1:6" ht="15.75" x14ac:dyDescent="0.25">
      <c r="A268" s="109"/>
      <c r="B268" s="109"/>
      <c r="C268" s="118"/>
      <c r="D268" s="118" t="str">
        <f t="shared" si="4"/>
        <v/>
      </c>
      <c r="E268" s="131"/>
      <c r="F268" s="131"/>
    </row>
    <row r="269" spans="1:6" ht="15.75" x14ac:dyDescent="0.25">
      <c r="A269" s="109"/>
      <c r="B269" s="109"/>
      <c r="C269" s="118"/>
      <c r="D269" s="118" t="str">
        <f t="shared" si="4"/>
        <v/>
      </c>
      <c r="E269" s="131"/>
      <c r="F269" s="131"/>
    </row>
    <row r="270" spans="1:6" ht="15.75" x14ac:dyDescent="0.25">
      <c r="A270" s="109"/>
      <c r="B270" s="109"/>
      <c r="C270" s="118"/>
      <c r="D270" s="118" t="str">
        <f t="shared" si="4"/>
        <v/>
      </c>
      <c r="E270" s="131"/>
      <c r="F270" s="131"/>
    </row>
    <row r="271" spans="1:6" ht="15.75" x14ac:dyDescent="0.25">
      <c r="A271" s="109"/>
      <c r="B271" s="109"/>
      <c r="C271" s="118"/>
      <c r="D271" s="118" t="str">
        <f t="shared" si="4"/>
        <v/>
      </c>
      <c r="E271" s="131"/>
      <c r="F271" s="131"/>
    </row>
    <row r="272" spans="1:6" ht="15.75" x14ac:dyDescent="0.25">
      <c r="A272" s="109"/>
      <c r="B272" s="109"/>
      <c r="C272" s="118"/>
      <c r="D272" s="118" t="str">
        <f t="shared" si="4"/>
        <v/>
      </c>
      <c r="E272" s="131"/>
      <c r="F272" s="131"/>
    </row>
    <row r="273" spans="1:6" ht="15.75" x14ac:dyDescent="0.25">
      <c r="A273" s="109"/>
      <c r="B273" s="109"/>
      <c r="C273" s="118"/>
      <c r="D273" s="118" t="str">
        <f t="shared" si="4"/>
        <v/>
      </c>
      <c r="E273" s="131"/>
      <c r="F273" s="131"/>
    </row>
    <row r="274" spans="1:6" ht="15.75" x14ac:dyDescent="0.25">
      <c r="A274" s="109"/>
      <c r="B274" s="109"/>
      <c r="C274" s="118"/>
      <c r="D274" s="118" t="str">
        <f t="shared" si="4"/>
        <v/>
      </c>
      <c r="E274" s="131"/>
      <c r="F274" s="131"/>
    </row>
    <row r="275" spans="1:6" ht="15.75" x14ac:dyDescent="0.25">
      <c r="A275" s="109"/>
      <c r="B275" s="109"/>
      <c r="C275" s="118"/>
      <c r="D275" s="118" t="str">
        <f t="shared" si="4"/>
        <v/>
      </c>
      <c r="E275" s="131"/>
      <c r="F275" s="131"/>
    </row>
    <row r="276" spans="1:6" ht="15.75" x14ac:dyDescent="0.25">
      <c r="A276" s="109"/>
      <c r="B276" s="109"/>
      <c r="C276" s="118"/>
      <c r="D276" s="118" t="str">
        <f t="shared" si="4"/>
        <v/>
      </c>
      <c r="E276" s="131"/>
      <c r="F276" s="131"/>
    </row>
    <row r="277" spans="1:6" ht="15.75" x14ac:dyDescent="0.25">
      <c r="A277" s="109"/>
      <c r="B277" s="109"/>
      <c r="C277" s="118"/>
      <c r="D277" s="118" t="str">
        <f t="shared" si="4"/>
        <v/>
      </c>
      <c r="E277" s="131"/>
      <c r="F277" s="131"/>
    </row>
    <row r="278" spans="1:6" ht="15.75" x14ac:dyDescent="0.25">
      <c r="A278" s="109"/>
      <c r="B278" s="109"/>
      <c r="C278" s="118"/>
      <c r="D278" s="118" t="str">
        <f t="shared" si="4"/>
        <v/>
      </c>
      <c r="E278" s="131"/>
      <c r="F278" s="131"/>
    </row>
    <row r="279" spans="1:6" ht="15.75" x14ac:dyDescent="0.25">
      <c r="A279" s="109"/>
      <c r="B279" s="109"/>
      <c r="C279" s="118"/>
      <c r="D279" s="118" t="str">
        <f t="shared" si="4"/>
        <v/>
      </c>
      <c r="E279" s="131"/>
      <c r="F279" s="131"/>
    </row>
    <row r="280" spans="1:6" ht="15.75" x14ac:dyDescent="0.25">
      <c r="A280" s="109"/>
      <c r="B280" s="109"/>
      <c r="C280" s="118"/>
      <c r="D280" s="118" t="str">
        <f t="shared" si="4"/>
        <v/>
      </c>
      <c r="E280" s="131"/>
      <c r="F280" s="131"/>
    </row>
    <row r="281" spans="1:6" ht="15.75" x14ac:dyDescent="0.25">
      <c r="A281" s="109"/>
      <c r="B281" s="109"/>
      <c r="C281" s="118"/>
      <c r="D281" s="118" t="str">
        <f t="shared" si="4"/>
        <v/>
      </c>
      <c r="E281" s="131"/>
      <c r="F281" s="131"/>
    </row>
    <row r="282" spans="1:6" ht="15.75" x14ac:dyDescent="0.25">
      <c r="A282" s="109"/>
      <c r="B282" s="109"/>
      <c r="C282" s="118"/>
      <c r="D282" s="118" t="str">
        <f t="shared" si="4"/>
        <v/>
      </c>
      <c r="E282" s="131"/>
      <c r="F282" s="131"/>
    </row>
    <row r="283" spans="1:6" ht="15.75" x14ac:dyDescent="0.25">
      <c r="A283" s="109"/>
      <c r="B283" s="109"/>
      <c r="C283" s="118"/>
      <c r="D283" s="118" t="str">
        <f t="shared" si="4"/>
        <v/>
      </c>
      <c r="E283" s="131"/>
      <c r="F283" s="131"/>
    </row>
    <row r="284" spans="1:6" ht="15.75" x14ac:dyDescent="0.25">
      <c r="A284" s="109"/>
      <c r="B284" s="109"/>
      <c r="C284" s="118"/>
      <c r="D284" s="118" t="str">
        <f t="shared" si="4"/>
        <v/>
      </c>
      <c r="E284" s="131"/>
      <c r="F284" s="131"/>
    </row>
    <row r="285" spans="1:6" ht="15.75" x14ac:dyDescent="0.25">
      <c r="A285" s="109"/>
      <c r="B285" s="109"/>
      <c r="C285" s="118"/>
      <c r="D285" s="118" t="str">
        <f t="shared" si="4"/>
        <v/>
      </c>
      <c r="E285" s="131"/>
      <c r="F285" s="131"/>
    </row>
    <row r="286" spans="1:6" ht="15.75" x14ac:dyDescent="0.25">
      <c r="A286" s="109"/>
      <c r="B286" s="109"/>
      <c r="C286" s="118"/>
      <c r="D286" s="118" t="str">
        <f t="shared" si="4"/>
        <v/>
      </c>
      <c r="E286" s="131"/>
      <c r="F286" s="131"/>
    </row>
    <row r="287" spans="1:6" ht="15.75" x14ac:dyDescent="0.25">
      <c r="A287" s="109"/>
      <c r="B287" s="109"/>
      <c r="C287" s="118"/>
      <c r="D287" s="118" t="str">
        <f t="shared" si="4"/>
        <v/>
      </c>
      <c r="E287" s="131"/>
      <c r="F287" s="131"/>
    </row>
    <row r="288" spans="1:6" ht="15.75" x14ac:dyDescent="0.25">
      <c r="A288" s="109"/>
      <c r="B288" s="109"/>
      <c r="C288" s="118"/>
      <c r="D288" s="118" t="str">
        <f t="shared" si="4"/>
        <v/>
      </c>
      <c r="E288" s="131"/>
      <c r="F288" s="131"/>
    </row>
    <row r="289" spans="1:6" ht="15.75" x14ac:dyDescent="0.25">
      <c r="A289" s="109"/>
      <c r="B289" s="109"/>
      <c r="C289" s="118"/>
      <c r="D289" s="118" t="str">
        <f t="shared" si="4"/>
        <v/>
      </c>
      <c r="E289" s="131"/>
      <c r="F289" s="131"/>
    </row>
    <row r="290" spans="1:6" ht="15.75" x14ac:dyDescent="0.25">
      <c r="A290" s="109"/>
      <c r="B290" s="109"/>
      <c r="C290" s="118"/>
      <c r="D290" s="118" t="str">
        <f t="shared" si="4"/>
        <v/>
      </c>
      <c r="E290" s="131"/>
      <c r="F290" s="131"/>
    </row>
    <row r="291" spans="1:6" ht="15.75" x14ac:dyDescent="0.25">
      <c r="A291" s="109"/>
      <c r="B291" s="109"/>
      <c r="C291" s="118"/>
      <c r="D291" s="118" t="str">
        <f t="shared" si="4"/>
        <v/>
      </c>
      <c r="E291" s="131"/>
      <c r="F291" s="131"/>
    </row>
    <row r="292" spans="1:6" ht="15.75" x14ac:dyDescent="0.25">
      <c r="A292" s="109"/>
      <c r="B292" s="109"/>
      <c r="C292" s="118"/>
      <c r="D292" s="118" t="str">
        <f t="shared" si="4"/>
        <v/>
      </c>
      <c r="E292" s="131"/>
      <c r="F292" s="131"/>
    </row>
    <row r="293" spans="1:6" ht="15.75" x14ac:dyDescent="0.25">
      <c r="A293" s="109"/>
      <c r="B293" s="109"/>
      <c r="C293" s="118"/>
      <c r="D293" s="118" t="str">
        <f t="shared" si="4"/>
        <v/>
      </c>
      <c r="E293" s="131"/>
      <c r="F293" s="131"/>
    </row>
    <row r="294" spans="1:6" ht="15.75" x14ac:dyDescent="0.25">
      <c r="A294" s="109"/>
      <c r="B294" s="109"/>
      <c r="C294" s="118"/>
      <c r="D294" s="118" t="str">
        <f t="shared" si="4"/>
        <v/>
      </c>
      <c r="E294" s="131"/>
      <c r="F294" s="131"/>
    </row>
    <row r="295" spans="1:6" ht="15.75" x14ac:dyDescent="0.25">
      <c r="A295" s="109"/>
      <c r="B295" s="109"/>
      <c r="C295" s="118"/>
      <c r="D295" s="118" t="str">
        <f t="shared" si="4"/>
        <v/>
      </c>
      <c r="E295" s="131"/>
      <c r="F295" s="131"/>
    </row>
    <row r="296" spans="1:6" ht="15.75" x14ac:dyDescent="0.25">
      <c r="A296" s="109"/>
      <c r="B296" s="109"/>
      <c r="C296" s="118"/>
      <c r="D296" s="118" t="str">
        <f t="shared" si="4"/>
        <v/>
      </c>
      <c r="E296" s="131"/>
      <c r="F296" s="131"/>
    </row>
    <row r="297" spans="1:6" ht="15.75" x14ac:dyDescent="0.25">
      <c r="A297" s="109"/>
      <c r="B297" s="109"/>
      <c r="C297" s="118"/>
      <c r="D297" s="118" t="str">
        <f t="shared" si="4"/>
        <v/>
      </c>
      <c r="E297" s="131"/>
      <c r="F297" s="131"/>
    </row>
    <row r="298" spans="1:6" ht="15.75" x14ac:dyDescent="0.25">
      <c r="A298" s="109"/>
      <c r="B298" s="109"/>
      <c r="C298" s="118"/>
      <c r="D298" s="118" t="str">
        <f t="shared" si="4"/>
        <v/>
      </c>
      <c r="E298" s="131"/>
      <c r="F298" s="131"/>
    </row>
    <row r="299" spans="1:6" ht="15.75" x14ac:dyDescent="0.25">
      <c r="A299" s="109"/>
      <c r="B299" s="109"/>
      <c r="C299" s="118"/>
      <c r="D299" s="118" t="str">
        <f t="shared" si="4"/>
        <v/>
      </c>
      <c r="E299" s="131"/>
      <c r="F299" s="131"/>
    </row>
    <row r="300" spans="1:6" ht="15.75" x14ac:dyDescent="0.25">
      <c r="A300" s="109"/>
      <c r="B300" s="109"/>
      <c r="C300" s="118"/>
      <c r="D300" s="118" t="str">
        <f t="shared" si="4"/>
        <v/>
      </c>
      <c r="E300" s="131"/>
      <c r="F300" s="131"/>
    </row>
    <row r="301" spans="1:6" ht="15.75" x14ac:dyDescent="0.25">
      <c r="A301" s="109"/>
      <c r="B301" s="109"/>
      <c r="C301" s="118"/>
      <c r="D301" s="118" t="str">
        <f t="shared" si="4"/>
        <v/>
      </c>
      <c r="E301" s="131"/>
      <c r="F301" s="131"/>
    </row>
    <row r="302" spans="1:6" ht="15.75" x14ac:dyDescent="0.25">
      <c r="A302" s="109"/>
      <c r="B302" s="109"/>
      <c r="C302" s="118"/>
      <c r="D302" s="118" t="str">
        <f t="shared" si="4"/>
        <v/>
      </c>
      <c r="E302" s="131"/>
      <c r="F302" s="131"/>
    </row>
    <row r="303" spans="1:6" ht="15.75" x14ac:dyDescent="0.25">
      <c r="A303" s="109"/>
      <c r="B303" s="109"/>
      <c r="C303" s="118"/>
      <c r="D303" s="118" t="str">
        <f t="shared" si="4"/>
        <v/>
      </c>
      <c r="E303" s="131"/>
      <c r="F303" s="131"/>
    </row>
    <row r="304" spans="1:6" ht="15.75" x14ac:dyDescent="0.25">
      <c r="A304" s="109"/>
      <c r="B304" s="109"/>
      <c r="C304" s="118"/>
      <c r="D304" s="118" t="str">
        <f t="shared" si="4"/>
        <v/>
      </c>
      <c r="E304" s="131"/>
      <c r="F304" s="131"/>
    </row>
    <row r="305" spans="1:6" ht="15.75" x14ac:dyDescent="0.25">
      <c r="A305" s="109"/>
      <c r="B305" s="109"/>
      <c r="C305" s="118"/>
      <c r="D305" s="118" t="str">
        <f t="shared" si="4"/>
        <v/>
      </c>
      <c r="E305" s="131"/>
      <c r="F305" s="131"/>
    </row>
    <row r="306" spans="1:6" ht="15.75" x14ac:dyDescent="0.25">
      <c r="A306" s="109"/>
      <c r="B306" s="109"/>
      <c r="C306" s="118"/>
      <c r="D306" s="118" t="str">
        <f t="shared" si="4"/>
        <v/>
      </c>
      <c r="E306" s="131"/>
      <c r="F306" s="131"/>
    </row>
    <row r="307" spans="1:6" ht="15.75" x14ac:dyDescent="0.25">
      <c r="A307" s="109"/>
      <c r="B307" s="109"/>
      <c r="C307" s="118"/>
      <c r="D307" s="118" t="str">
        <f t="shared" si="4"/>
        <v/>
      </c>
      <c r="E307" s="131"/>
      <c r="F307" s="131"/>
    </row>
    <row r="308" spans="1:6" ht="15.75" x14ac:dyDescent="0.25">
      <c r="A308" s="109"/>
      <c r="B308" s="109"/>
      <c r="C308" s="118"/>
      <c r="D308" s="118" t="str">
        <f t="shared" si="4"/>
        <v/>
      </c>
      <c r="E308" s="131"/>
      <c r="F308" s="131"/>
    </row>
    <row r="309" spans="1:6" ht="15.75" x14ac:dyDescent="0.25">
      <c r="A309" s="109"/>
      <c r="B309" s="109"/>
      <c r="C309" s="118"/>
      <c r="D309" s="118" t="str">
        <f t="shared" si="4"/>
        <v/>
      </c>
      <c r="E309" s="131"/>
      <c r="F309" s="131"/>
    </row>
    <row r="310" spans="1:6" ht="15.75" x14ac:dyDescent="0.25">
      <c r="A310" s="109"/>
      <c r="B310" s="109"/>
      <c r="C310" s="118"/>
      <c r="D310" s="118" t="str">
        <f t="shared" si="4"/>
        <v/>
      </c>
      <c r="E310" s="131"/>
      <c r="F310" s="131"/>
    </row>
    <row r="311" spans="1:6" ht="15.75" x14ac:dyDescent="0.25">
      <c r="A311" s="109"/>
      <c r="B311" s="109"/>
      <c r="C311" s="118"/>
      <c r="D311" s="118" t="str">
        <f t="shared" si="4"/>
        <v/>
      </c>
      <c r="E311" s="131"/>
      <c r="F311" s="131"/>
    </row>
    <row r="312" spans="1:6" ht="15.75" x14ac:dyDescent="0.25">
      <c r="A312" s="109"/>
      <c r="B312" s="109"/>
      <c r="C312" s="118"/>
      <c r="D312" s="118" t="str">
        <f t="shared" si="4"/>
        <v/>
      </c>
      <c r="E312" s="131"/>
      <c r="F312" s="131"/>
    </row>
    <row r="313" spans="1:6" ht="15.75" x14ac:dyDescent="0.25">
      <c r="A313" s="109"/>
      <c r="B313" s="109"/>
      <c r="C313" s="118"/>
      <c r="D313" s="118" t="str">
        <f t="shared" si="4"/>
        <v/>
      </c>
      <c r="E313" s="131"/>
      <c r="F313" s="131"/>
    </row>
    <row r="314" spans="1:6" ht="15.75" x14ac:dyDescent="0.25">
      <c r="A314" s="109"/>
      <c r="B314" s="109"/>
      <c r="C314" s="118"/>
      <c r="D314" s="118" t="str">
        <f t="shared" si="4"/>
        <v/>
      </c>
      <c r="E314" s="131"/>
      <c r="F314" s="131"/>
    </row>
    <row r="315" spans="1:6" ht="15.75" x14ac:dyDescent="0.25">
      <c r="A315" s="109"/>
      <c r="B315" s="109"/>
      <c r="C315" s="118"/>
      <c r="D315" s="118" t="str">
        <f t="shared" si="4"/>
        <v/>
      </c>
      <c r="E315" s="131"/>
      <c r="F315" s="131"/>
    </row>
    <row r="316" spans="1:6" ht="15.75" x14ac:dyDescent="0.25">
      <c r="A316" s="109"/>
      <c r="B316" s="109"/>
      <c r="C316" s="118"/>
      <c r="D316" s="118" t="str">
        <f t="shared" si="4"/>
        <v/>
      </c>
      <c r="E316" s="131"/>
      <c r="F316" s="131"/>
    </row>
    <row r="317" spans="1:6" ht="15.75" x14ac:dyDescent="0.25">
      <c r="A317" s="109"/>
      <c r="B317" s="109"/>
      <c r="C317" s="118"/>
      <c r="D317" s="118" t="str">
        <f t="shared" si="4"/>
        <v/>
      </c>
      <c r="E317" s="131"/>
      <c r="F317" s="131"/>
    </row>
    <row r="318" spans="1:6" ht="15.75" x14ac:dyDescent="0.25">
      <c r="A318" s="109"/>
      <c r="B318" s="109"/>
      <c r="C318" s="118"/>
      <c r="D318" s="118" t="str">
        <f t="shared" si="4"/>
        <v/>
      </c>
      <c r="E318" s="131"/>
      <c r="F318" s="131"/>
    </row>
    <row r="319" spans="1:6" ht="15.75" x14ac:dyDescent="0.25">
      <c r="A319" s="109"/>
      <c r="B319" s="109"/>
      <c r="C319" s="118"/>
      <c r="D319" s="118" t="str">
        <f t="shared" si="4"/>
        <v/>
      </c>
      <c r="E319" s="131"/>
      <c r="F319" s="131"/>
    </row>
    <row r="320" spans="1:6" ht="15.75" x14ac:dyDescent="0.25">
      <c r="A320" s="109"/>
      <c r="B320" s="109"/>
      <c r="C320" s="118"/>
      <c r="D320" s="118" t="str">
        <f t="shared" si="4"/>
        <v/>
      </c>
      <c r="E320" s="131"/>
      <c r="F320" s="131"/>
    </row>
    <row r="321" spans="1:6" ht="15.75" x14ac:dyDescent="0.25">
      <c r="A321" s="109"/>
      <c r="B321" s="109"/>
      <c r="C321" s="118"/>
      <c r="D321" s="118" t="str">
        <f t="shared" si="4"/>
        <v/>
      </c>
      <c r="E321" s="131"/>
      <c r="F321" s="131"/>
    </row>
    <row r="322" spans="1:6" ht="15.75" x14ac:dyDescent="0.25">
      <c r="A322" s="109"/>
      <c r="B322" s="109"/>
      <c r="C322" s="118"/>
      <c r="D322" s="118" t="str">
        <f t="shared" si="4"/>
        <v/>
      </c>
      <c r="E322" s="131"/>
      <c r="F322" s="131"/>
    </row>
    <row r="323" spans="1:6" ht="15.75" x14ac:dyDescent="0.25">
      <c r="A323" s="109"/>
      <c r="B323" s="109"/>
      <c r="C323" s="118"/>
      <c r="D323" s="118" t="str">
        <f t="shared" si="4"/>
        <v/>
      </c>
      <c r="E323" s="131"/>
      <c r="F323" s="131"/>
    </row>
    <row r="324" spans="1:6" ht="15.75" x14ac:dyDescent="0.25">
      <c r="A324" s="109"/>
      <c r="B324" s="109"/>
      <c r="C324" s="118"/>
      <c r="D324" s="118" t="str">
        <f t="shared" si="4"/>
        <v/>
      </c>
      <c r="E324" s="131"/>
      <c r="F324" s="131"/>
    </row>
    <row r="325" spans="1:6" ht="15.75" x14ac:dyDescent="0.25">
      <c r="A325" s="109"/>
      <c r="B325" s="109"/>
      <c r="C325" s="118"/>
      <c r="D325" s="118" t="str">
        <f t="shared" si="4"/>
        <v/>
      </c>
      <c r="E325" s="131"/>
      <c r="F325" s="131"/>
    </row>
    <row r="326" spans="1:6" ht="15.75" x14ac:dyDescent="0.25">
      <c r="A326" s="109"/>
      <c r="B326" s="109"/>
      <c r="C326" s="118"/>
      <c r="D326" s="118" t="str">
        <f t="shared" si="4"/>
        <v/>
      </c>
      <c r="E326" s="131"/>
      <c r="F326" s="131"/>
    </row>
    <row r="327" spans="1:6" ht="15.75" x14ac:dyDescent="0.25">
      <c r="A327" s="109"/>
      <c r="B327" s="109"/>
      <c r="C327" s="118"/>
      <c r="D327" s="118" t="str">
        <f t="shared" si="4"/>
        <v/>
      </c>
      <c r="E327" s="131"/>
      <c r="F327" s="131"/>
    </row>
    <row r="328" spans="1:6" ht="15.75" x14ac:dyDescent="0.25">
      <c r="A328" s="109"/>
      <c r="B328" s="109"/>
      <c r="C328" s="118"/>
      <c r="D328" s="118" t="str">
        <f t="shared" si="4"/>
        <v/>
      </c>
      <c r="E328" s="131"/>
      <c r="F328" s="131"/>
    </row>
    <row r="329" spans="1:6" ht="15.75" x14ac:dyDescent="0.25">
      <c r="A329" s="109"/>
      <c r="B329" s="109"/>
      <c r="C329" s="118"/>
      <c r="D329" s="118" t="str">
        <f t="shared" si="4"/>
        <v/>
      </c>
      <c r="E329" s="131"/>
      <c r="F329" s="131"/>
    </row>
    <row r="330" spans="1:6" ht="15.75" x14ac:dyDescent="0.25">
      <c r="A330" s="109"/>
      <c r="B330" s="109"/>
      <c r="C330" s="118"/>
      <c r="D330" s="118" t="str">
        <f t="shared" si="4"/>
        <v/>
      </c>
      <c r="E330" s="131"/>
      <c r="F330" s="131"/>
    </row>
    <row r="331" spans="1:6" ht="15.75" x14ac:dyDescent="0.25">
      <c r="A331" s="109"/>
      <c r="B331" s="109"/>
      <c r="C331" s="118"/>
      <c r="D331" s="118" t="str">
        <f t="shared" ref="D331:D394" si="5">IF(A331=0,"","MinMax")</f>
        <v/>
      </c>
      <c r="E331" s="131"/>
      <c r="F331" s="131"/>
    </row>
    <row r="332" spans="1:6" ht="15.75" x14ac:dyDescent="0.25">
      <c r="A332" s="109"/>
      <c r="B332" s="109"/>
      <c r="C332" s="118"/>
      <c r="D332" s="118" t="str">
        <f t="shared" si="5"/>
        <v/>
      </c>
      <c r="E332" s="131"/>
      <c r="F332" s="131"/>
    </row>
    <row r="333" spans="1:6" ht="15.75" x14ac:dyDescent="0.25">
      <c r="A333" s="109"/>
      <c r="B333" s="109"/>
      <c r="C333" s="118"/>
      <c r="D333" s="118" t="str">
        <f t="shared" si="5"/>
        <v/>
      </c>
      <c r="E333" s="131"/>
      <c r="F333" s="131"/>
    </row>
    <row r="334" spans="1:6" ht="15.75" x14ac:dyDescent="0.25">
      <c r="A334" s="109"/>
      <c r="B334" s="109"/>
      <c r="C334" s="118"/>
      <c r="D334" s="118" t="str">
        <f t="shared" si="5"/>
        <v/>
      </c>
      <c r="E334" s="131"/>
      <c r="F334" s="131"/>
    </row>
    <row r="335" spans="1:6" ht="15.75" x14ac:dyDescent="0.25">
      <c r="A335" s="109"/>
      <c r="B335" s="109"/>
      <c r="C335" s="118"/>
      <c r="D335" s="118" t="str">
        <f t="shared" si="5"/>
        <v/>
      </c>
      <c r="E335" s="131"/>
      <c r="F335" s="131"/>
    </row>
    <row r="336" spans="1:6" ht="15.75" x14ac:dyDescent="0.25">
      <c r="A336" s="109"/>
      <c r="B336" s="109"/>
      <c r="C336" s="118"/>
      <c r="D336" s="118" t="str">
        <f t="shared" si="5"/>
        <v/>
      </c>
      <c r="E336" s="131"/>
      <c r="F336" s="131"/>
    </row>
    <row r="337" spans="1:6" ht="15.75" x14ac:dyDescent="0.25">
      <c r="A337" s="109"/>
      <c r="B337" s="109"/>
      <c r="C337" s="118"/>
      <c r="D337" s="118" t="str">
        <f t="shared" si="5"/>
        <v/>
      </c>
      <c r="E337" s="131"/>
      <c r="F337" s="131"/>
    </row>
    <row r="338" spans="1:6" ht="15.75" x14ac:dyDescent="0.25">
      <c r="A338" s="109"/>
      <c r="B338" s="109"/>
      <c r="C338" s="118"/>
      <c r="D338" s="118" t="str">
        <f t="shared" si="5"/>
        <v/>
      </c>
      <c r="E338" s="131"/>
      <c r="F338" s="131"/>
    </row>
    <row r="339" spans="1:6" ht="15.75" x14ac:dyDescent="0.25">
      <c r="A339" s="109"/>
      <c r="B339" s="109"/>
      <c r="C339" s="118"/>
      <c r="D339" s="118" t="str">
        <f t="shared" si="5"/>
        <v/>
      </c>
      <c r="E339" s="131"/>
      <c r="F339" s="131"/>
    </row>
    <row r="340" spans="1:6" ht="15.75" x14ac:dyDescent="0.25">
      <c r="A340" s="109"/>
      <c r="B340" s="109"/>
      <c r="C340" s="118"/>
      <c r="D340" s="118" t="str">
        <f t="shared" si="5"/>
        <v/>
      </c>
      <c r="E340" s="131"/>
      <c r="F340" s="131"/>
    </row>
    <row r="341" spans="1:6" ht="15.75" x14ac:dyDescent="0.25">
      <c r="A341" s="109"/>
      <c r="B341" s="109"/>
      <c r="C341" s="118"/>
      <c r="D341" s="118" t="str">
        <f t="shared" si="5"/>
        <v/>
      </c>
      <c r="E341" s="131"/>
      <c r="F341" s="131"/>
    </row>
    <row r="342" spans="1:6" ht="15.75" x14ac:dyDescent="0.25">
      <c r="A342" s="109"/>
      <c r="B342" s="109"/>
      <c r="C342" s="118"/>
      <c r="D342" s="118" t="str">
        <f t="shared" si="5"/>
        <v/>
      </c>
      <c r="E342" s="131"/>
      <c r="F342" s="131"/>
    </row>
    <row r="343" spans="1:6" ht="15.75" x14ac:dyDescent="0.25">
      <c r="A343" s="109"/>
      <c r="B343" s="109"/>
      <c r="C343" s="118"/>
      <c r="D343" s="118" t="str">
        <f t="shared" si="5"/>
        <v/>
      </c>
      <c r="E343" s="131"/>
      <c r="F343" s="131"/>
    </row>
    <row r="344" spans="1:6" ht="15.75" x14ac:dyDescent="0.25">
      <c r="A344" s="109"/>
      <c r="B344" s="109"/>
      <c r="C344" s="118"/>
      <c r="D344" s="118" t="str">
        <f t="shared" si="5"/>
        <v/>
      </c>
      <c r="E344" s="131"/>
      <c r="F344" s="131"/>
    </row>
    <row r="345" spans="1:6" ht="15.75" x14ac:dyDescent="0.25">
      <c r="A345" s="109"/>
      <c r="B345" s="109"/>
      <c r="C345" s="118"/>
      <c r="D345" s="118" t="str">
        <f t="shared" si="5"/>
        <v/>
      </c>
      <c r="E345" s="131"/>
      <c r="F345" s="131"/>
    </row>
    <row r="346" spans="1:6" ht="15.75" x14ac:dyDescent="0.25">
      <c r="A346" s="109"/>
      <c r="B346" s="109"/>
      <c r="C346" s="118"/>
      <c r="D346" s="118" t="str">
        <f t="shared" si="5"/>
        <v/>
      </c>
      <c r="E346" s="131"/>
      <c r="F346" s="131"/>
    </row>
    <row r="347" spans="1:6" ht="15.75" x14ac:dyDescent="0.25">
      <c r="A347" s="109"/>
      <c r="B347" s="109"/>
      <c r="C347" s="118"/>
      <c r="D347" s="118" t="str">
        <f t="shared" si="5"/>
        <v/>
      </c>
      <c r="E347" s="131"/>
      <c r="F347" s="131"/>
    </row>
    <row r="348" spans="1:6" ht="15.75" x14ac:dyDescent="0.25">
      <c r="A348" s="109"/>
      <c r="B348" s="109"/>
      <c r="C348" s="118"/>
      <c r="D348" s="118" t="str">
        <f t="shared" si="5"/>
        <v/>
      </c>
      <c r="E348" s="131"/>
      <c r="F348" s="131"/>
    </row>
    <row r="349" spans="1:6" ht="15.75" x14ac:dyDescent="0.25">
      <c r="A349" s="109"/>
      <c r="B349" s="109"/>
      <c r="C349" s="118"/>
      <c r="D349" s="118" t="str">
        <f t="shared" si="5"/>
        <v/>
      </c>
      <c r="E349" s="131"/>
      <c r="F349" s="131"/>
    </row>
    <row r="350" spans="1:6" ht="15.75" x14ac:dyDescent="0.25">
      <c r="A350" s="109"/>
      <c r="B350" s="109"/>
      <c r="C350" s="118"/>
      <c r="D350" s="118" t="str">
        <f t="shared" si="5"/>
        <v/>
      </c>
      <c r="E350" s="131"/>
      <c r="F350" s="131"/>
    </row>
    <row r="351" spans="1:6" ht="15.75" x14ac:dyDescent="0.25">
      <c r="A351" s="109"/>
      <c r="B351" s="109"/>
      <c r="C351" s="118"/>
      <c r="D351" s="118" t="str">
        <f t="shared" si="5"/>
        <v/>
      </c>
      <c r="E351" s="131"/>
      <c r="F351" s="131"/>
    </row>
    <row r="352" spans="1:6" ht="15.75" x14ac:dyDescent="0.25">
      <c r="A352" s="109"/>
      <c r="B352" s="109"/>
      <c r="C352" s="118"/>
      <c r="D352" s="118" t="str">
        <f t="shared" si="5"/>
        <v/>
      </c>
      <c r="E352" s="131"/>
      <c r="F352" s="131"/>
    </row>
    <row r="353" spans="1:6" ht="15.75" x14ac:dyDescent="0.25">
      <c r="A353" s="109"/>
      <c r="B353" s="109"/>
      <c r="C353" s="118"/>
      <c r="D353" s="118" t="str">
        <f t="shared" si="5"/>
        <v/>
      </c>
      <c r="E353" s="131"/>
      <c r="F353" s="131"/>
    </row>
    <row r="354" spans="1:6" ht="15.75" x14ac:dyDescent="0.25">
      <c r="A354" s="109"/>
      <c r="B354" s="109"/>
      <c r="C354" s="118"/>
      <c r="D354" s="118" t="str">
        <f t="shared" si="5"/>
        <v/>
      </c>
      <c r="E354" s="131"/>
      <c r="F354" s="131"/>
    </row>
    <row r="355" spans="1:6" ht="15.75" x14ac:dyDescent="0.25">
      <c r="A355" s="109"/>
      <c r="B355" s="109"/>
      <c r="C355" s="118"/>
      <c r="D355" s="118" t="str">
        <f t="shared" si="5"/>
        <v/>
      </c>
      <c r="E355" s="131"/>
      <c r="F355" s="131"/>
    </row>
    <row r="356" spans="1:6" ht="15.75" x14ac:dyDescent="0.25">
      <c r="A356" s="109"/>
      <c r="B356" s="109"/>
      <c r="C356" s="118"/>
      <c r="D356" s="118" t="str">
        <f t="shared" si="5"/>
        <v/>
      </c>
      <c r="E356" s="131"/>
      <c r="F356" s="131"/>
    </row>
    <row r="357" spans="1:6" ht="15.75" x14ac:dyDescent="0.25">
      <c r="A357" s="109"/>
      <c r="B357" s="109"/>
      <c r="C357" s="118"/>
      <c r="D357" s="118" t="str">
        <f t="shared" si="5"/>
        <v/>
      </c>
      <c r="E357" s="131"/>
      <c r="F357" s="131"/>
    </row>
    <row r="358" spans="1:6" ht="15.75" x14ac:dyDescent="0.25">
      <c r="A358" s="109"/>
      <c r="B358" s="109"/>
      <c r="C358" s="118"/>
      <c r="D358" s="118" t="str">
        <f t="shared" si="5"/>
        <v/>
      </c>
      <c r="E358" s="131"/>
      <c r="F358" s="131"/>
    </row>
    <row r="359" spans="1:6" ht="15.75" x14ac:dyDescent="0.25">
      <c r="A359" s="109"/>
      <c r="B359" s="109"/>
      <c r="C359" s="118"/>
      <c r="D359" s="118" t="str">
        <f t="shared" si="5"/>
        <v/>
      </c>
      <c r="E359" s="131"/>
      <c r="F359" s="131"/>
    </row>
    <row r="360" spans="1:6" ht="15.75" x14ac:dyDescent="0.25">
      <c r="A360" s="109"/>
      <c r="B360" s="109"/>
      <c r="C360" s="118"/>
      <c r="D360" s="118" t="str">
        <f t="shared" si="5"/>
        <v/>
      </c>
      <c r="E360" s="131"/>
      <c r="F360" s="131"/>
    </row>
    <row r="361" spans="1:6" ht="15.75" x14ac:dyDescent="0.25">
      <c r="A361" s="109"/>
      <c r="B361" s="109"/>
      <c r="C361" s="118"/>
      <c r="D361" s="118" t="str">
        <f t="shared" si="5"/>
        <v/>
      </c>
      <c r="E361" s="131"/>
      <c r="F361" s="131"/>
    </row>
    <row r="362" spans="1:6" ht="15.75" x14ac:dyDescent="0.25">
      <c r="A362" s="109"/>
      <c r="B362" s="109"/>
      <c r="C362" s="118"/>
      <c r="D362" s="118" t="str">
        <f t="shared" si="5"/>
        <v/>
      </c>
      <c r="E362" s="131"/>
      <c r="F362" s="131"/>
    </row>
    <row r="363" spans="1:6" ht="15.75" x14ac:dyDescent="0.25">
      <c r="A363" s="109"/>
      <c r="B363" s="109"/>
      <c r="C363" s="118"/>
      <c r="D363" s="118" t="str">
        <f t="shared" si="5"/>
        <v/>
      </c>
      <c r="E363" s="131"/>
      <c r="F363" s="131"/>
    </row>
    <row r="364" spans="1:6" ht="15.75" x14ac:dyDescent="0.25">
      <c r="A364" s="109"/>
      <c r="B364" s="109"/>
      <c r="C364" s="118"/>
      <c r="D364" s="118" t="str">
        <f t="shared" si="5"/>
        <v/>
      </c>
      <c r="E364" s="131"/>
      <c r="F364" s="131"/>
    </row>
    <row r="365" spans="1:6" ht="15.75" x14ac:dyDescent="0.25">
      <c r="A365" s="109"/>
      <c r="B365" s="109"/>
      <c r="C365" s="118"/>
      <c r="D365" s="118" t="str">
        <f t="shared" si="5"/>
        <v/>
      </c>
      <c r="E365" s="131"/>
      <c r="F365" s="131"/>
    </row>
    <row r="366" spans="1:6" ht="15.75" x14ac:dyDescent="0.25">
      <c r="A366" s="109"/>
      <c r="B366" s="109"/>
      <c r="C366" s="118"/>
      <c r="D366" s="118" t="str">
        <f t="shared" si="5"/>
        <v/>
      </c>
      <c r="E366" s="131"/>
      <c r="F366" s="131"/>
    </row>
    <row r="367" spans="1:6" ht="15.75" x14ac:dyDescent="0.25">
      <c r="A367" s="109"/>
      <c r="B367" s="109"/>
      <c r="C367" s="118"/>
      <c r="D367" s="118" t="str">
        <f t="shared" si="5"/>
        <v/>
      </c>
      <c r="E367" s="131"/>
      <c r="F367" s="131"/>
    </row>
    <row r="368" spans="1:6" ht="15.75" x14ac:dyDescent="0.25">
      <c r="A368" s="109"/>
      <c r="B368" s="109"/>
      <c r="C368" s="118"/>
      <c r="D368" s="118" t="str">
        <f t="shared" si="5"/>
        <v/>
      </c>
      <c r="E368" s="131"/>
      <c r="F368" s="131"/>
    </row>
    <row r="369" spans="1:6" ht="15.75" x14ac:dyDescent="0.25">
      <c r="A369" s="109"/>
      <c r="B369" s="109"/>
      <c r="C369" s="118"/>
      <c r="D369" s="118" t="str">
        <f t="shared" si="5"/>
        <v/>
      </c>
      <c r="E369" s="131"/>
      <c r="F369" s="131"/>
    </row>
    <row r="370" spans="1:6" ht="15.75" x14ac:dyDescent="0.25">
      <c r="A370" s="109"/>
      <c r="B370" s="109"/>
      <c r="C370" s="118"/>
      <c r="D370" s="118" t="str">
        <f t="shared" si="5"/>
        <v/>
      </c>
      <c r="E370" s="131"/>
      <c r="F370" s="131"/>
    </row>
    <row r="371" spans="1:6" ht="15.75" x14ac:dyDescent="0.25">
      <c r="A371" s="109"/>
      <c r="B371" s="109"/>
      <c r="C371" s="118"/>
      <c r="D371" s="118" t="str">
        <f t="shared" si="5"/>
        <v/>
      </c>
      <c r="E371" s="131"/>
      <c r="F371" s="131"/>
    </row>
    <row r="372" spans="1:6" ht="15.75" x14ac:dyDescent="0.25">
      <c r="A372" s="109"/>
      <c r="B372" s="109"/>
      <c r="C372" s="118"/>
      <c r="D372" s="118" t="str">
        <f t="shared" si="5"/>
        <v/>
      </c>
      <c r="E372" s="131"/>
      <c r="F372" s="131"/>
    </row>
    <row r="373" spans="1:6" ht="15.75" x14ac:dyDescent="0.25">
      <c r="A373" s="109"/>
      <c r="B373" s="109"/>
      <c r="C373" s="118"/>
      <c r="D373" s="118" t="str">
        <f t="shared" si="5"/>
        <v/>
      </c>
      <c r="E373" s="131"/>
      <c r="F373" s="131"/>
    </row>
    <row r="374" spans="1:6" ht="15.75" x14ac:dyDescent="0.25">
      <c r="A374" s="109"/>
      <c r="B374" s="109"/>
      <c r="C374" s="118"/>
      <c r="D374" s="118" t="str">
        <f t="shared" si="5"/>
        <v/>
      </c>
      <c r="E374" s="131"/>
      <c r="F374" s="131"/>
    </row>
    <row r="375" spans="1:6" ht="15.75" x14ac:dyDescent="0.25">
      <c r="A375" s="109"/>
      <c r="B375" s="109"/>
      <c r="C375" s="118"/>
      <c r="D375" s="118" t="str">
        <f t="shared" si="5"/>
        <v/>
      </c>
      <c r="E375" s="131"/>
      <c r="F375" s="131"/>
    </row>
    <row r="376" spans="1:6" ht="15.75" x14ac:dyDescent="0.25">
      <c r="A376" s="109"/>
      <c r="B376" s="109"/>
      <c r="C376" s="118"/>
      <c r="D376" s="118" t="str">
        <f t="shared" si="5"/>
        <v/>
      </c>
      <c r="E376" s="131"/>
      <c r="F376" s="131"/>
    </row>
    <row r="377" spans="1:6" ht="15.75" x14ac:dyDescent="0.25">
      <c r="A377" s="109"/>
      <c r="B377" s="109"/>
      <c r="C377" s="118"/>
      <c r="D377" s="118" t="str">
        <f t="shared" si="5"/>
        <v/>
      </c>
      <c r="E377" s="131"/>
      <c r="F377" s="131"/>
    </row>
    <row r="378" spans="1:6" ht="15.75" x14ac:dyDescent="0.25">
      <c r="A378" s="109"/>
      <c r="B378" s="109"/>
      <c r="C378" s="118"/>
      <c r="D378" s="118" t="str">
        <f t="shared" si="5"/>
        <v/>
      </c>
      <c r="E378" s="131"/>
      <c r="F378" s="131"/>
    </row>
    <row r="379" spans="1:6" ht="15.75" x14ac:dyDescent="0.25">
      <c r="A379" s="109"/>
      <c r="B379" s="109"/>
      <c r="C379" s="118"/>
      <c r="D379" s="118" t="str">
        <f t="shared" si="5"/>
        <v/>
      </c>
      <c r="E379" s="131"/>
      <c r="F379" s="131"/>
    </row>
    <row r="380" spans="1:6" ht="15.75" x14ac:dyDescent="0.25">
      <c r="A380" s="109"/>
      <c r="B380" s="109"/>
      <c r="C380" s="118"/>
      <c r="D380" s="118" t="str">
        <f t="shared" si="5"/>
        <v/>
      </c>
      <c r="E380" s="131"/>
      <c r="F380" s="131"/>
    </row>
    <row r="381" spans="1:6" ht="15.75" x14ac:dyDescent="0.25">
      <c r="A381" s="109"/>
      <c r="B381" s="109"/>
      <c r="C381" s="118"/>
      <c r="D381" s="118" t="str">
        <f t="shared" si="5"/>
        <v/>
      </c>
      <c r="E381" s="131"/>
      <c r="F381" s="131"/>
    </row>
    <row r="382" spans="1:6" ht="15.75" x14ac:dyDescent="0.25">
      <c r="A382" s="109"/>
      <c r="B382" s="109"/>
      <c r="C382" s="118"/>
      <c r="D382" s="118" t="str">
        <f t="shared" si="5"/>
        <v/>
      </c>
      <c r="E382" s="131"/>
      <c r="F382" s="131"/>
    </row>
    <row r="383" spans="1:6" ht="15.75" x14ac:dyDescent="0.25">
      <c r="A383" s="109"/>
      <c r="B383" s="109"/>
      <c r="C383" s="118"/>
      <c r="D383" s="118" t="str">
        <f t="shared" si="5"/>
        <v/>
      </c>
      <c r="E383" s="131"/>
      <c r="F383" s="131"/>
    </row>
    <row r="384" spans="1:6" ht="15.75" x14ac:dyDescent="0.25">
      <c r="A384" s="109"/>
      <c r="B384" s="109"/>
      <c r="C384" s="118"/>
      <c r="D384" s="118" t="str">
        <f t="shared" si="5"/>
        <v/>
      </c>
      <c r="E384" s="131"/>
      <c r="F384" s="131"/>
    </row>
    <row r="385" spans="1:6" ht="15.75" x14ac:dyDescent="0.25">
      <c r="A385" s="109"/>
      <c r="B385" s="109"/>
      <c r="C385" s="118"/>
      <c r="D385" s="118" t="str">
        <f t="shared" si="5"/>
        <v/>
      </c>
      <c r="E385" s="131"/>
      <c r="F385" s="131"/>
    </row>
    <row r="386" spans="1:6" ht="15.75" x14ac:dyDescent="0.25">
      <c r="A386" s="109"/>
      <c r="B386" s="109"/>
      <c r="C386" s="118"/>
      <c r="D386" s="118" t="str">
        <f t="shared" si="5"/>
        <v/>
      </c>
      <c r="E386" s="131"/>
      <c r="F386" s="131"/>
    </row>
    <row r="387" spans="1:6" ht="15.75" x14ac:dyDescent="0.25">
      <c r="A387" s="109"/>
      <c r="B387" s="109"/>
      <c r="C387" s="118"/>
      <c r="D387" s="118" t="str">
        <f t="shared" si="5"/>
        <v/>
      </c>
      <c r="E387" s="131"/>
      <c r="F387" s="131"/>
    </row>
    <row r="388" spans="1:6" ht="15.75" x14ac:dyDescent="0.25">
      <c r="A388" s="109"/>
      <c r="B388" s="109"/>
      <c r="C388" s="118"/>
      <c r="D388" s="118" t="str">
        <f t="shared" si="5"/>
        <v/>
      </c>
      <c r="E388" s="131"/>
      <c r="F388" s="131"/>
    </row>
    <row r="389" spans="1:6" ht="15.75" x14ac:dyDescent="0.25">
      <c r="A389" s="109"/>
      <c r="B389" s="109"/>
      <c r="C389" s="118"/>
      <c r="D389" s="118" t="str">
        <f t="shared" si="5"/>
        <v/>
      </c>
      <c r="E389" s="131"/>
      <c r="F389" s="131"/>
    </row>
    <row r="390" spans="1:6" ht="15.75" x14ac:dyDescent="0.25">
      <c r="A390" s="109"/>
      <c r="B390" s="109"/>
      <c r="C390" s="118"/>
      <c r="D390" s="118" t="str">
        <f t="shared" si="5"/>
        <v/>
      </c>
      <c r="E390" s="131"/>
      <c r="F390" s="131"/>
    </row>
    <row r="391" spans="1:6" ht="15.75" x14ac:dyDescent="0.25">
      <c r="A391" s="109"/>
      <c r="B391" s="109"/>
      <c r="C391" s="118"/>
      <c r="D391" s="118" t="str">
        <f t="shared" si="5"/>
        <v/>
      </c>
      <c r="E391" s="131"/>
      <c r="F391" s="131"/>
    </row>
    <row r="392" spans="1:6" ht="15.75" x14ac:dyDescent="0.25">
      <c r="A392" s="109"/>
      <c r="B392" s="109"/>
      <c r="C392" s="118"/>
      <c r="D392" s="118" t="str">
        <f t="shared" si="5"/>
        <v/>
      </c>
      <c r="E392" s="131"/>
      <c r="F392" s="131"/>
    </row>
    <row r="393" spans="1:6" ht="15.75" x14ac:dyDescent="0.25">
      <c r="A393" s="109"/>
      <c r="B393" s="109"/>
      <c r="C393" s="118"/>
      <c r="D393" s="118" t="str">
        <f t="shared" si="5"/>
        <v/>
      </c>
      <c r="E393" s="131"/>
      <c r="F393" s="131"/>
    </row>
    <row r="394" spans="1:6" ht="15.75" x14ac:dyDescent="0.25">
      <c r="A394" s="109"/>
      <c r="B394" s="109"/>
      <c r="C394" s="118"/>
      <c r="D394" s="118" t="str">
        <f t="shared" si="5"/>
        <v/>
      </c>
      <c r="E394" s="131"/>
      <c r="F394" s="131"/>
    </row>
    <row r="395" spans="1:6" ht="15.75" x14ac:dyDescent="0.25">
      <c r="A395" s="109"/>
      <c r="B395" s="109"/>
      <c r="C395" s="118"/>
      <c r="D395" s="118" t="str">
        <f t="shared" ref="D395:D458" si="6">IF(A395=0,"","MinMax")</f>
        <v/>
      </c>
      <c r="E395" s="131"/>
      <c r="F395" s="131"/>
    </row>
    <row r="396" spans="1:6" ht="15.75" x14ac:dyDescent="0.25">
      <c r="A396" s="109"/>
      <c r="B396" s="109"/>
      <c r="C396" s="118"/>
      <c r="D396" s="118" t="str">
        <f t="shared" si="6"/>
        <v/>
      </c>
      <c r="E396" s="131"/>
      <c r="F396" s="131"/>
    </row>
    <row r="397" spans="1:6" ht="15.75" x14ac:dyDescent="0.25">
      <c r="A397" s="109"/>
      <c r="B397" s="109"/>
      <c r="C397" s="118"/>
      <c r="D397" s="118" t="str">
        <f t="shared" si="6"/>
        <v/>
      </c>
      <c r="E397" s="131"/>
      <c r="F397" s="131"/>
    </row>
    <row r="398" spans="1:6" ht="15.75" x14ac:dyDescent="0.25">
      <c r="A398" s="109"/>
      <c r="B398" s="109"/>
      <c r="C398" s="118"/>
      <c r="D398" s="118" t="str">
        <f t="shared" si="6"/>
        <v/>
      </c>
      <c r="E398" s="131"/>
      <c r="F398" s="131"/>
    </row>
    <row r="399" spans="1:6" ht="15.75" x14ac:dyDescent="0.25">
      <c r="A399" s="109"/>
      <c r="B399" s="109"/>
      <c r="C399" s="118"/>
      <c r="D399" s="118" t="str">
        <f t="shared" si="6"/>
        <v/>
      </c>
      <c r="E399" s="131"/>
      <c r="F399" s="131"/>
    </row>
    <row r="400" spans="1:6" ht="15.75" x14ac:dyDescent="0.25">
      <c r="A400" s="109"/>
      <c r="B400" s="109"/>
      <c r="C400" s="118"/>
      <c r="D400" s="118" t="str">
        <f t="shared" si="6"/>
        <v/>
      </c>
      <c r="E400" s="131"/>
      <c r="F400" s="131"/>
    </row>
    <row r="401" spans="1:6" ht="15.75" x14ac:dyDescent="0.25">
      <c r="A401" s="109"/>
      <c r="B401" s="109"/>
      <c r="C401" s="118"/>
      <c r="D401" s="118" t="str">
        <f t="shared" si="6"/>
        <v/>
      </c>
      <c r="E401" s="131"/>
      <c r="F401" s="131"/>
    </row>
    <row r="402" spans="1:6" ht="15.75" x14ac:dyDescent="0.25">
      <c r="A402" s="109"/>
      <c r="B402" s="109"/>
      <c r="C402" s="118"/>
      <c r="D402" s="118" t="str">
        <f t="shared" si="6"/>
        <v/>
      </c>
      <c r="E402" s="131"/>
      <c r="F402" s="131"/>
    </row>
    <row r="403" spans="1:6" ht="15.75" x14ac:dyDescent="0.25">
      <c r="A403" s="109"/>
      <c r="B403" s="109"/>
      <c r="C403" s="118"/>
      <c r="D403" s="118" t="str">
        <f t="shared" si="6"/>
        <v/>
      </c>
      <c r="E403" s="131"/>
      <c r="F403" s="131"/>
    </row>
    <row r="404" spans="1:6" ht="15.75" x14ac:dyDescent="0.25">
      <c r="A404" s="109"/>
      <c r="B404" s="109"/>
      <c r="C404" s="118"/>
      <c r="D404" s="118" t="str">
        <f t="shared" si="6"/>
        <v/>
      </c>
      <c r="E404" s="131"/>
      <c r="F404" s="131"/>
    </row>
    <row r="405" spans="1:6" ht="15.75" x14ac:dyDescent="0.25">
      <c r="A405" s="109"/>
      <c r="B405" s="109"/>
      <c r="C405" s="118"/>
      <c r="D405" s="118" t="str">
        <f t="shared" si="6"/>
        <v/>
      </c>
      <c r="E405" s="131"/>
      <c r="F405" s="131"/>
    </row>
    <row r="406" spans="1:6" ht="15.75" x14ac:dyDescent="0.25">
      <c r="A406" s="109"/>
      <c r="B406" s="109"/>
      <c r="C406" s="118"/>
      <c r="D406" s="118" t="str">
        <f t="shared" si="6"/>
        <v/>
      </c>
      <c r="E406" s="131"/>
      <c r="F406" s="131"/>
    </row>
    <row r="407" spans="1:6" ht="15.75" x14ac:dyDescent="0.25">
      <c r="A407" s="109"/>
      <c r="B407" s="109"/>
      <c r="C407" s="118"/>
      <c r="D407" s="118" t="str">
        <f t="shared" si="6"/>
        <v/>
      </c>
      <c r="E407" s="131"/>
      <c r="F407" s="131"/>
    </row>
    <row r="408" spans="1:6" ht="15.75" x14ac:dyDescent="0.25">
      <c r="A408" s="109"/>
      <c r="B408" s="109"/>
      <c r="C408" s="118"/>
      <c r="D408" s="118" t="str">
        <f t="shared" si="6"/>
        <v/>
      </c>
      <c r="E408" s="131"/>
      <c r="F408" s="131"/>
    </row>
    <row r="409" spans="1:6" ht="15.75" x14ac:dyDescent="0.25">
      <c r="A409" s="109"/>
      <c r="B409" s="109"/>
      <c r="C409" s="118"/>
      <c r="D409" s="118" t="str">
        <f t="shared" si="6"/>
        <v/>
      </c>
      <c r="E409" s="131"/>
      <c r="F409" s="131"/>
    </row>
    <row r="410" spans="1:6" ht="15.75" x14ac:dyDescent="0.25">
      <c r="A410" s="109"/>
      <c r="B410" s="109"/>
      <c r="C410" s="118"/>
      <c r="D410" s="118" t="str">
        <f t="shared" si="6"/>
        <v/>
      </c>
      <c r="E410" s="131"/>
      <c r="F410" s="131"/>
    </row>
    <row r="411" spans="1:6" ht="15.75" x14ac:dyDescent="0.25">
      <c r="A411" s="109"/>
      <c r="B411" s="109"/>
      <c r="C411" s="118"/>
      <c r="D411" s="118" t="str">
        <f t="shared" si="6"/>
        <v/>
      </c>
      <c r="E411" s="131"/>
      <c r="F411" s="131"/>
    </row>
    <row r="412" spans="1:6" ht="15.75" x14ac:dyDescent="0.25">
      <c r="A412" s="109"/>
      <c r="B412" s="109"/>
      <c r="C412" s="118"/>
      <c r="D412" s="118" t="str">
        <f t="shared" si="6"/>
        <v/>
      </c>
      <c r="E412" s="131"/>
      <c r="F412" s="131"/>
    </row>
    <row r="413" spans="1:6" ht="15.75" x14ac:dyDescent="0.25">
      <c r="A413" s="109"/>
      <c r="B413" s="109"/>
      <c r="C413" s="118"/>
      <c r="D413" s="118" t="str">
        <f t="shared" si="6"/>
        <v/>
      </c>
      <c r="E413" s="131"/>
      <c r="F413" s="131"/>
    </row>
    <row r="414" spans="1:6" ht="15.75" x14ac:dyDescent="0.25">
      <c r="A414" s="109"/>
      <c r="B414" s="109"/>
      <c r="C414" s="118"/>
      <c r="D414" s="118" t="str">
        <f t="shared" si="6"/>
        <v/>
      </c>
      <c r="E414" s="131"/>
      <c r="F414" s="131"/>
    </row>
    <row r="415" spans="1:6" ht="15.75" x14ac:dyDescent="0.25">
      <c r="A415" s="109"/>
      <c r="B415" s="109"/>
      <c r="C415" s="118"/>
      <c r="D415" s="118" t="str">
        <f t="shared" si="6"/>
        <v/>
      </c>
      <c r="E415" s="131"/>
      <c r="F415" s="131"/>
    </row>
    <row r="416" spans="1:6" ht="15.75" x14ac:dyDescent="0.25">
      <c r="A416" s="109"/>
      <c r="B416" s="109"/>
      <c r="C416" s="118"/>
      <c r="D416" s="118" t="str">
        <f t="shared" si="6"/>
        <v/>
      </c>
      <c r="E416" s="131"/>
      <c r="F416" s="131"/>
    </row>
    <row r="417" spans="1:6" ht="15.75" x14ac:dyDescent="0.25">
      <c r="A417" s="109"/>
      <c r="B417" s="109"/>
      <c r="C417" s="118"/>
      <c r="D417" s="118" t="str">
        <f t="shared" si="6"/>
        <v/>
      </c>
      <c r="E417" s="131"/>
      <c r="F417" s="131"/>
    </row>
    <row r="418" spans="1:6" ht="15.75" x14ac:dyDescent="0.25">
      <c r="A418" s="109"/>
      <c r="B418" s="109"/>
      <c r="C418" s="118"/>
      <c r="D418" s="118" t="str">
        <f t="shared" si="6"/>
        <v/>
      </c>
      <c r="E418" s="131"/>
      <c r="F418" s="131"/>
    </row>
    <row r="419" spans="1:6" ht="15.75" x14ac:dyDescent="0.25">
      <c r="A419" s="109"/>
      <c r="B419" s="109"/>
      <c r="C419" s="118"/>
      <c r="D419" s="118" t="str">
        <f t="shared" si="6"/>
        <v/>
      </c>
      <c r="E419" s="131"/>
      <c r="F419" s="131"/>
    </row>
    <row r="420" spans="1:6" ht="15.75" x14ac:dyDescent="0.25">
      <c r="A420" s="109"/>
      <c r="B420" s="109"/>
      <c r="C420" s="118"/>
      <c r="D420" s="118" t="str">
        <f t="shared" si="6"/>
        <v/>
      </c>
      <c r="E420" s="131"/>
      <c r="F420" s="131"/>
    </row>
    <row r="421" spans="1:6" ht="15.75" x14ac:dyDescent="0.25">
      <c r="A421" s="109"/>
      <c r="B421" s="109"/>
      <c r="C421" s="118"/>
      <c r="D421" s="118" t="str">
        <f t="shared" si="6"/>
        <v/>
      </c>
      <c r="E421" s="131"/>
      <c r="F421" s="131"/>
    </row>
    <row r="422" spans="1:6" ht="15.75" x14ac:dyDescent="0.25">
      <c r="A422" s="109"/>
      <c r="B422" s="109"/>
      <c r="C422" s="118"/>
      <c r="D422" s="118" t="str">
        <f t="shared" si="6"/>
        <v/>
      </c>
      <c r="E422" s="131"/>
      <c r="F422" s="131"/>
    </row>
    <row r="423" spans="1:6" ht="15.75" x14ac:dyDescent="0.25">
      <c r="A423" s="109"/>
      <c r="B423" s="109"/>
      <c r="C423" s="118"/>
      <c r="D423" s="118" t="str">
        <f t="shared" si="6"/>
        <v/>
      </c>
      <c r="E423" s="131"/>
      <c r="F423" s="131"/>
    </row>
    <row r="424" spans="1:6" ht="15.75" x14ac:dyDescent="0.25">
      <c r="A424" s="109"/>
      <c r="B424" s="109"/>
      <c r="C424" s="118"/>
      <c r="D424" s="118" t="str">
        <f t="shared" si="6"/>
        <v/>
      </c>
      <c r="E424" s="131"/>
      <c r="F424" s="131"/>
    </row>
    <row r="425" spans="1:6" ht="15.75" x14ac:dyDescent="0.25">
      <c r="A425" s="109"/>
      <c r="B425" s="109"/>
      <c r="C425" s="118"/>
      <c r="D425" s="118" t="str">
        <f t="shared" si="6"/>
        <v/>
      </c>
      <c r="E425" s="131"/>
      <c r="F425" s="131"/>
    </row>
    <row r="426" spans="1:6" ht="15.75" x14ac:dyDescent="0.25">
      <c r="A426" s="109"/>
      <c r="B426" s="109"/>
      <c r="C426" s="118"/>
      <c r="D426" s="118" t="str">
        <f t="shared" si="6"/>
        <v/>
      </c>
      <c r="E426" s="131"/>
      <c r="F426" s="131"/>
    </row>
    <row r="427" spans="1:6" ht="15.75" x14ac:dyDescent="0.25">
      <c r="A427" s="109"/>
      <c r="B427" s="109"/>
      <c r="C427" s="118"/>
      <c r="D427" s="118" t="str">
        <f t="shared" si="6"/>
        <v/>
      </c>
      <c r="E427" s="131"/>
      <c r="F427" s="131"/>
    </row>
    <row r="428" spans="1:6" ht="15.75" x14ac:dyDescent="0.25">
      <c r="A428" s="109"/>
      <c r="B428" s="109"/>
      <c r="C428" s="118"/>
      <c r="D428" s="118" t="str">
        <f t="shared" si="6"/>
        <v/>
      </c>
      <c r="E428" s="131"/>
      <c r="F428" s="131"/>
    </row>
    <row r="429" spans="1:6" ht="15.75" x14ac:dyDescent="0.25">
      <c r="A429" s="109"/>
      <c r="B429" s="109"/>
      <c r="C429" s="118"/>
      <c r="D429" s="118" t="str">
        <f t="shared" si="6"/>
        <v/>
      </c>
      <c r="E429" s="131"/>
      <c r="F429" s="131"/>
    </row>
    <row r="430" spans="1:6" ht="15.75" x14ac:dyDescent="0.25">
      <c r="A430" s="109"/>
      <c r="B430" s="109"/>
      <c r="C430" s="118"/>
      <c r="D430" s="118" t="str">
        <f t="shared" si="6"/>
        <v/>
      </c>
      <c r="E430" s="131"/>
      <c r="F430" s="131"/>
    </row>
    <row r="431" spans="1:6" ht="15.75" x14ac:dyDescent="0.25">
      <c r="A431" s="109"/>
      <c r="B431" s="109"/>
      <c r="C431" s="118"/>
      <c r="D431" s="118" t="str">
        <f t="shared" si="6"/>
        <v/>
      </c>
      <c r="E431" s="131"/>
      <c r="F431" s="131"/>
    </row>
    <row r="432" spans="1:6" ht="15.75" x14ac:dyDescent="0.25">
      <c r="A432" s="109"/>
      <c r="B432" s="109"/>
      <c r="C432" s="118"/>
      <c r="D432" s="118" t="str">
        <f t="shared" si="6"/>
        <v/>
      </c>
      <c r="E432" s="131"/>
      <c r="F432" s="131"/>
    </row>
    <row r="433" spans="1:6" ht="15.75" x14ac:dyDescent="0.25">
      <c r="A433" s="109"/>
      <c r="B433" s="109"/>
      <c r="C433" s="118"/>
      <c r="D433" s="118" t="str">
        <f t="shared" si="6"/>
        <v/>
      </c>
      <c r="E433" s="131"/>
      <c r="F433" s="131"/>
    </row>
    <row r="434" spans="1:6" ht="15.75" x14ac:dyDescent="0.25">
      <c r="A434" s="109"/>
      <c r="B434" s="109"/>
      <c r="C434" s="118"/>
      <c r="D434" s="118" t="str">
        <f t="shared" si="6"/>
        <v/>
      </c>
      <c r="E434" s="131"/>
      <c r="F434" s="131"/>
    </row>
    <row r="435" spans="1:6" ht="15.75" x14ac:dyDescent="0.25">
      <c r="A435" s="109"/>
      <c r="B435" s="109"/>
      <c r="C435" s="118"/>
      <c r="D435" s="118" t="str">
        <f t="shared" si="6"/>
        <v/>
      </c>
      <c r="E435" s="131"/>
      <c r="F435" s="131"/>
    </row>
    <row r="436" spans="1:6" ht="15.75" x14ac:dyDescent="0.25">
      <c r="A436" s="109"/>
      <c r="B436" s="109"/>
      <c r="C436" s="118"/>
      <c r="D436" s="118" t="str">
        <f t="shared" si="6"/>
        <v/>
      </c>
      <c r="E436" s="131"/>
      <c r="F436" s="131"/>
    </row>
    <row r="437" spans="1:6" ht="15.75" x14ac:dyDescent="0.25">
      <c r="A437" s="109"/>
      <c r="B437" s="109"/>
      <c r="C437" s="118"/>
      <c r="D437" s="118" t="str">
        <f t="shared" si="6"/>
        <v/>
      </c>
      <c r="E437" s="131"/>
      <c r="F437" s="131"/>
    </row>
    <row r="438" spans="1:6" ht="15.75" x14ac:dyDescent="0.25">
      <c r="A438" s="109"/>
      <c r="B438" s="109"/>
      <c r="C438" s="118"/>
      <c r="D438" s="118" t="str">
        <f t="shared" si="6"/>
        <v/>
      </c>
      <c r="E438" s="131"/>
      <c r="F438" s="131"/>
    </row>
    <row r="439" spans="1:6" ht="15.75" x14ac:dyDescent="0.25">
      <c r="A439" s="109"/>
      <c r="B439" s="109"/>
      <c r="C439" s="118"/>
      <c r="D439" s="118" t="str">
        <f t="shared" si="6"/>
        <v/>
      </c>
      <c r="E439" s="131"/>
      <c r="F439" s="131"/>
    </row>
    <row r="440" spans="1:6" ht="15.75" x14ac:dyDescent="0.25">
      <c r="A440" s="109"/>
      <c r="B440" s="109"/>
      <c r="C440" s="118"/>
      <c r="D440" s="118" t="str">
        <f t="shared" si="6"/>
        <v/>
      </c>
      <c r="E440" s="131"/>
      <c r="F440" s="131"/>
    </row>
    <row r="441" spans="1:6" ht="15.75" x14ac:dyDescent="0.25">
      <c r="A441" s="109"/>
      <c r="B441" s="109"/>
      <c r="C441" s="118"/>
      <c r="D441" s="118" t="str">
        <f t="shared" si="6"/>
        <v/>
      </c>
      <c r="E441" s="131"/>
      <c r="F441" s="131"/>
    </row>
    <row r="442" spans="1:6" ht="15.75" x14ac:dyDescent="0.25">
      <c r="A442" s="109"/>
      <c r="B442" s="109"/>
      <c r="C442" s="118"/>
      <c r="D442" s="118" t="str">
        <f t="shared" si="6"/>
        <v/>
      </c>
      <c r="E442" s="131"/>
      <c r="F442" s="131"/>
    </row>
    <row r="443" spans="1:6" ht="15.75" x14ac:dyDescent="0.25">
      <c r="A443" s="109"/>
      <c r="B443" s="109"/>
      <c r="C443" s="118"/>
      <c r="D443" s="118" t="str">
        <f t="shared" si="6"/>
        <v/>
      </c>
      <c r="E443" s="131"/>
      <c r="F443" s="131"/>
    </row>
    <row r="444" spans="1:6" ht="15.75" x14ac:dyDescent="0.25">
      <c r="A444" s="109"/>
      <c r="B444" s="109"/>
      <c r="C444" s="118"/>
      <c r="D444" s="118" t="str">
        <f t="shared" si="6"/>
        <v/>
      </c>
      <c r="E444" s="131"/>
      <c r="F444" s="131"/>
    </row>
    <row r="445" spans="1:6" ht="15.75" x14ac:dyDescent="0.25">
      <c r="A445" s="109"/>
      <c r="B445" s="109"/>
      <c r="C445" s="118"/>
      <c r="D445" s="118" t="str">
        <f t="shared" si="6"/>
        <v/>
      </c>
      <c r="E445" s="131"/>
      <c r="F445" s="131"/>
    </row>
    <row r="446" spans="1:6" ht="15.75" x14ac:dyDescent="0.25">
      <c r="A446" s="109"/>
      <c r="B446" s="109"/>
      <c r="C446" s="118"/>
      <c r="D446" s="118" t="str">
        <f t="shared" si="6"/>
        <v/>
      </c>
      <c r="E446" s="131"/>
      <c r="F446" s="131"/>
    </row>
    <row r="447" spans="1:6" ht="15.75" x14ac:dyDescent="0.25">
      <c r="A447" s="109"/>
      <c r="B447" s="109"/>
      <c r="C447" s="118"/>
      <c r="D447" s="118" t="str">
        <f t="shared" si="6"/>
        <v/>
      </c>
      <c r="E447" s="131"/>
      <c r="F447" s="131"/>
    </row>
    <row r="448" spans="1:6" ht="15.75" x14ac:dyDescent="0.25">
      <c r="A448" s="109"/>
      <c r="B448" s="109"/>
      <c r="C448" s="118"/>
      <c r="D448" s="118" t="str">
        <f t="shared" si="6"/>
        <v/>
      </c>
      <c r="E448" s="131"/>
      <c r="F448" s="131"/>
    </row>
    <row r="449" spans="1:6" ht="15.75" x14ac:dyDescent="0.25">
      <c r="A449" s="109"/>
      <c r="B449" s="109"/>
      <c r="C449" s="118"/>
      <c r="D449" s="118" t="str">
        <f t="shared" si="6"/>
        <v/>
      </c>
      <c r="E449" s="131"/>
      <c r="F449" s="131"/>
    </row>
    <row r="450" spans="1:6" ht="15.75" x14ac:dyDescent="0.25">
      <c r="A450" s="109"/>
      <c r="B450" s="109"/>
      <c r="C450" s="118"/>
      <c r="D450" s="118" t="str">
        <f t="shared" si="6"/>
        <v/>
      </c>
      <c r="E450" s="131"/>
      <c r="F450" s="131"/>
    </row>
    <row r="451" spans="1:6" ht="15.75" x14ac:dyDescent="0.25">
      <c r="A451" s="109"/>
      <c r="B451" s="109"/>
      <c r="C451" s="118"/>
      <c r="D451" s="118" t="str">
        <f t="shared" si="6"/>
        <v/>
      </c>
      <c r="E451" s="131"/>
      <c r="F451" s="131"/>
    </row>
    <row r="452" spans="1:6" ht="15.75" x14ac:dyDescent="0.25">
      <c r="A452" s="109"/>
      <c r="B452" s="109"/>
      <c r="C452" s="118"/>
      <c r="D452" s="118" t="str">
        <f t="shared" si="6"/>
        <v/>
      </c>
      <c r="E452" s="131"/>
      <c r="F452" s="131"/>
    </row>
    <row r="453" spans="1:6" ht="15.75" x14ac:dyDescent="0.25">
      <c r="A453" s="109"/>
      <c r="B453" s="109"/>
      <c r="C453" s="118"/>
      <c r="D453" s="118" t="str">
        <f t="shared" si="6"/>
        <v/>
      </c>
      <c r="E453" s="131"/>
      <c r="F453" s="131"/>
    </row>
    <row r="454" spans="1:6" ht="15.75" x14ac:dyDescent="0.25">
      <c r="A454" s="109"/>
      <c r="B454" s="109"/>
      <c r="C454" s="118"/>
      <c r="D454" s="118" t="str">
        <f t="shared" si="6"/>
        <v/>
      </c>
      <c r="E454" s="131"/>
      <c r="F454" s="131"/>
    </row>
    <row r="455" spans="1:6" ht="15.75" x14ac:dyDescent="0.25">
      <c r="A455" s="109"/>
      <c r="B455" s="109"/>
      <c r="C455" s="118"/>
      <c r="D455" s="118" t="str">
        <f t="shared" si="6"/>
        <v/>
      </c>
      <c r="E455" s="131"/>
      <c r="F455" s="131"/>
    </row>
    <row r="456" spans="1:6" ht="15.75" x14ac:dyDescent="0.25">
      <c r="A456" s="109"/>
      <c r="B456" s="109"/>
      <c r="C456" s="118"/>
      <c r="D456" s="118" t="str">
        <f t="shared" si="6"/>
        <v/>
      </c>
      <c r="E456" s="131"/>
      <c r="F456" s="131"/>
    </row>
    <row r="457" spans="1:6" ht="15.75" x14ac:dyDescent="0.25">
      <c r="A457" s="109"/>
      <c r="B457" s="109"/>
      <c r="C457" s="118"/>
      <c r="D457" s="118" t="str">
        <f t="shared" si="6"/>
        <v/>
      </c>
      <c r="E457" s="131"/>
      <c r="F457" s="131"/>
    </row>
    <row r="458" spans="1:6" ht="15.75" x14ac:dyDescent="0.25">
      <c r="A458" s="109"/>
      <c r="B458" s="109"/>
      <c r="C458" s="118"/>
      <c r="D458" s="118" t="str">
        <f t="shared" si="6"/>
        <v/>
      </c>
      <c r="E458" s="131"/>
      <c r="F458" s="131"/>
    </row>
    <row r="459" spans="1:6" ht="15.75" x14ac:dyDescent="0.25">
      <c r="A459" s="109"/>
      <c r="B459" s="109"/>
      <c r="C459" s="118"/>
      <c r="D459" s="118" t="str">
        <f t="shared" ref="D459:D522" si="7">IF(A459=0,"","MinMax")</f>
        <v/>
      </c>
      <c r="E459" s="131"/>
      <c r="F459" s="131"/>
    </row>
    <row r="460" spans="1:6" ht="15.75" x14ac:dyDescent="0.25">
      <c r="A460" s="109"/>
      <c r="B460" s="109"/>
      <c r="C460" s="118"/>
      <c r="D460" s="118" t="str">
        <f t="shared" si="7"/>
        <v/>
      </c>
      <c r="E460" s="131"/>
      <c r="F460" s="131"/>
    </row>
    <row r="461" spans="1:6" ht="15.75" x14ac:dyDescent="0.25">
      <c r="A461" s="109"/>
      <c r="B461" s="109"/>
      <c r="C461" s="118"/>
      <c r="D461" s="118" t="str">
        <f t="shared" si="7"/>
        <v/>
      </c>
      <c r="E461" s="131"/>
      <c r="F461" s="131"/>
    </row>
    <row r="462" spans="1:6" ht="15.75" x14ac:dyDescent="0.25">
      <c r="A462" s="109"/>
      <c r="B462" s="109"/>
      <c r="C462" s="118"/>
      <c r="D462" s="118" t="str">
        <f t="shared" si="7"/>
        <v/>
      </c>
      <c r="E462" s="131"/>
      <c r="F462" s="131"/>
    </row>
    <row r="463" spans="1:6" ht="15.75" x14ac:dyDescent="0.25">
      <c r="A463" s="109"/>
      <c r="B463" s="109"/>
      <c r="C463" s="118"/>
      <c r="D463" s="118" t="str">
        <f t="shared" si="7"/>
        <v/>
      </c>
      <c r="E463" s="131"/>
      <c r="F463" s="131"/>
    </row>
    <row r="464" spans="1:6" ht="15.75" x14ac:dyDescent="0.25">
      <c r="A464" s="109"/>
      <c r="B464" s="109"/>
      <c r="C464" s="118"/>
      <c r="D464" s="118" t="str">
        <f t="shared" si="7"/>
        <v/>
      </c>
      <c r="E464" s="131"/>
      <c r="F464" s="131"/>
    </row>
    <row r="465" spans="1:6" ht="15.75" x14ac:dyDescent="0.25">
      <c r="A465" s="109"/>
      <c r="B465" s="109"/>
      <c r="C465" s="118"/>
      <c r="D465" s="118" t="str">
        <f t="shared" si="7"/>
        <v/>
      </c>
      <c r="E465" s="131"/>
      <c r="F465" s="131"/>
    </row>
    <row r="466" spans="1:6" ht="15.75" x14ac:dyDescent="0.25">
      <c r="A466" s="109"/>
      <c r="B466" s="109"/>
      <c r="C466" s="118"/>
      <c r="D466" s="118" t="str">
        <f t="shared" si="7"/>
        <v/>
      </c>
      <c r="E466" s="131"/>
      <c r="F466" s="131"/>
    </row>
    <row r="467" spans="1:6" ht="15.75" x14ac:dyDescent="0.25">
      <c r="A467" s="109"/>
      <c r="B467" s="109"/>
      <c r="C467" s="118"/>
      <c r="D467" s="118" t="str">
        <f t="shared" si="7"/>
        <v/>
      </c>
      <c r="E467" s="131"/>
      <c r="F467" s="131"/>
    </row>
    <row r="468" spans="1:6" ht="15.75" x14ac:dyDescent="0.25">
      <c r="A468" s="109"/>
      <c r="B468" s="109"/>
      <c r="C468" s="118"/>
      <c r="D468" s="118" t="str">
        <f t="shared" si="7"/>
        <v/>
      </c>
      <c r="E468" s="131"/>
      <c r="F468" s="131"/>
    </row>
    <row r="469" spans="1:6" ht="15.75" x14ac:dyDescent="0.25">
      <c r="A469" s="109"/>
      <c r="B469" s="109"/>
      <c r="C469" s="118"/>
      <c r="D469" s="118" t="str">
        <f t="shared" si="7"/>
        <v/>
      </c>
      <c r="E469" s="131"/>
      <c r="F469" s="131"/>
    </row>
    <row r="470" spans="1:6" ht="15.75" x14ac:dyDescent="0.25">
      <c r="A470" s="109"/>
      <c r="B470" s="109"/>
      <c r="C470" s="118"/>
      <c r="D470" s="118" t="str">
        <f t="shared" si="7"/>
        <v/>
      </c>
      <c r="E470" s="131"/>
      <c r="F470" s="131"/>
    </row>
    <row r="471" spans="1:6" ht="15.75" x14ac:dyDescent="0.25">
      <c r="A471" s="109"/>
      <c r="B471" s="109"/>
      <c r="C471" s="118"/>
      <c r="D471" s="118" t="str">
        <f t="shared" si="7"/>
        <v/>
      </c>
      <c r="E471" s="131"/>
      <c r="F471" s="131"/>
    </row>
    <row r="472" spans="1:6" ht="15.75" x14ac:dyDescent="0.25">
      <c r="A472" s="109"/>
      <c r="B472" s="109"/>
      <c r="C472" s="118"/>
      <c r="D472" s="118" t="str">
        <f t="shared" si="7"/>
        <v/>
      </c>
      <c r="E472" s="131"/>
      <c r="F472" s="131"/>
    </row>
    <row r="473" spans="1:6" ht="15.75" x14ac:dyDescent="0.25">
      <c r="A473" s="109"/>
      <c r="B473" s="109"/>
      <c r="C473" s="118"/>
      <c r="D473" s="118" t="str">
        <f t="shared" si="7"/>
        <v/>
      </c>
      <c r="E473" s="131"/>
      <c r="F473" s="131"/>
    </row>
    <row r="474" spans="1:6" ht="15.75" x14ac:dyDescent="0.25">
      <c r="A474" s="109"/>
      <c r="B474" s="109"/>
      <c r="C474" s="118"/>
      <c r="D474" s="118" t="str">
        <f t="shared" si="7"/>
        <v/>
      </c>
      <c r="E474" s="131"/>
      <c r="F474" s="131"/>
    </row>
    <row r="475" spans="1:6" ht="15.75" x14ac:dyDescent="0.25">
      <c r="A475" s="109"/>
      <c r="B475" s="109"/>
      <c r="C475" s="118"/>
      <c r="D475" s="118" t="str">
        <f t="shared" si="7"/>
        <v/>
      </c>
      <c r="E475" s="131"/>
      <c r="F475" s="131"/>
    </row>
    <row r="476" spans="1:6" ht="15.75" x14ac:dyDescent="0.25">
      <c r="A476" s="109"/>
      <c r="B476" s="109"/>
      <c r="C476" s="118"/>
      <c r="D476" s="118" t="str">
        <f t="shared" si="7"/>
        <v/>
      </c>
      <c r="E476" s="131"/>
      <c r="F476" s="131"/>
    </row>
    <row r="477" spans="1:6" ht="15.75" x14ac:dyDescent="0.25">
      <c r="A477" s="109"/>
      <c r="B477" s="109"/>
      <c r="C477" s="118"/>
      <c r="D477" s="118" t="str">
        <f t="shared" si="7"/>
        <v/>
      </c>
      <c r="E477" s="131"/>
      <c r="F477" s="131"/>
    </row>
    <row r="478" spans="1:6" ht="15.75" x14ac:dyDescent="0.25">
      <c r="A478" s="109"/>
      <c r="B478" s="109"/>
      <c r="C478" s="118"/>
      <c r="D478" s="118" t="str">
        <f t="shared" si="7"/>
        <v/>
      </c>
      <c r="E478" s="131"/>
      <c r="F478" s="131"/>
    </row>
    <row r="479" spans="1:6" ht="15.75" x14ac:dyDescent="0.25">
      <c r="A479" s="109"/>
      <c r="B479" s="109"/>
      <c r="C479" s="118"/>
      <c r="D479" s="118" t="str">
        <f t="shared" si="7"/>
        <v/>
      </c>
      <c r="E479" s="131"/>
      <c r="F479" s="131"/>
    </row>
    <row r="480" spans="1:6" ht="15.75" x14ac:dyDescent="0.25">
      <c r="A480" s="109"/>
      <c r="B480" s="109"/>
      <c r="C480" s="118"/>
      <c r="D480" s="118" t="str">
        <f t="shared" si="7"/>
        <v/>
      </c>
      <c r="E480" s="131"/>
      <c r="F480" s="131"/>
    </row>
    <row r="481" spans="1:6" ht="15.75" x14ac:dyDescent="0.25">
      <c r="A481" s="109"/>
      <c r="B481" s="109"/>
      <c r="C481" s="118"/>
      <c r="D481" s="118" t="str">
        <f t="shared" si="7"/>
        <v/>
      </c>
      <c r="E481" s="131"/>
      <c r="F481" s="131"/>
    </row>
    <row r="482" spans="1:6" ht="15.75" x14ac:dyDescent="0.25">
      <c r="A482" s="109"/>
      <c r="B482" s="109"/>
      <c r="C482" s="118"/>
      <c r="D482" s="118" t="str">
        <f t="shared" si="7"/>
        <v/>
      </c>
      <c r="E482" s="131"/>
      <c r="F482" s="131"/>
    </row>
    <row r="483" spans="1:6" ht="15.75" x14ac:dyDescent="0.25">
      <c r="A483" s="109"/>
      <c r="B483" s="109"/>
      <c r="C483" s="118"/>
      <c r="D483" s="118" t="str">
        <f t="shared" si="7"/>
        <v/>
      </c>
      <c r="E483" s="131"/>
      <c r="F483" s="131"/>
    </row>
    <row r="484" spans="1:6" ht="15.75" x14ac:dyDescent="0.25">
      <c r="A484" s="109"/>
      <c r="B484" s="109"/>
      <c r="C484" s="118"/>
      <c r="D484" s="118" t="str">
        <f t="shared" si="7"/>
        <v/>
      </c>
      <c r="E484" s="131"/>
      <c r="F484" s="131"/>
    </row>
    <row r="485" spans="1:6" ht="15.75" x14ac:dyDescent="0.25">
      <c r="A485" s="109"/>
      <c r="B485" s="109"/>
      <c r="C485" s="118"/>
      <c r="D485" s="118" t="str">
        <f t="shared" si="7"/>
        <v/>
      </c>
      <c r="E485" s="131"/>
      <c r="F485" s="131"/>
    </row>
    <row r="486" spans="1:6" ht="15.75" x14ac:dyDescent="0.25">
      <c r="A486" s="109"/>
      <c r="B486" s="109"/>
      <c r="C486" s="118"/>
      <c r="D486" s="118" t="str">
        <f t="shared" si="7"/>
        <v/>
      </c>
      <c r="E486" s="131"/>
      <c r="F486" s="131"/>
    </row>
    <row r="487" spans="1:6" ht="15.75" x14ac:dyDescent="0.25">
      <c r="A487" s="109"/>
      <c r="B487" s="109"/>
      <c r="C487" s="118"/>
      <c r="D487" s="118" t="str">
        <f t="shared" si="7"/>
        <v/>
      </c>
      <c r="E487" s="131"/>
      <c r="F487" s="131"/>
    </row>
    <row r="488" spans="1:6" ht="15.75" x14ac:dyDescent="0.25">
      <c r="A488" s="109"/>
      <c r="B488" s="109"/>
      <c r="C488" s="118"/>
      <c r="D488" s="118" t="str">
        <f t="shared" si="7"/>
        <v/>
      </c>
      <c r="E488" s="131"/>
      <c r="F488" s="131"/>
    </row>
    <row r="489" spans="1:6" ht="15.75" x14ac:dyDescent="0.25">
      <c r="A489" s="109"/>
      <c r="B489" s="109"/>
      <c r="C489" s="118"/>
      <c r="D489" s="118" t="str">
        <f t="shared" si="7"/>
        <v/>
      </c>
      <c r="E489" s="131"/>
      <c r="F489" s="131"/>
    </row>
    <row r="490" spans="1:6" ht="15.75" x14ac:dyDescent="0.25">
      <c r="A490" s="109"/>
      <c r="B490" s="109"/>
      <c r="C490" s="118"/>
      <c r="D490" s="118" t="str">
        <f t="shared" si="7"/>
        <v/>
      </c>
      <c r="E490" s="131"/>
      <c r="F490" s="131"/>
    </row>
    <row r="491" spans="1:6" ht="15.75" x14ac:dyDescent="0.25">
      <c r="A491" s="109"/>
      <c r="B491" s="109"/>
      <c r="C491" s="118"/>
      <c r="D491" s="118" t="str">
        <f t="shared" si="7"/>
        <v/>
      </c>
      <c r="E491" s="131"/>
      <c r="F491" s="131"/>
    </row>
    <row r="492" spans="1:6" ht="15.75" x14ac:dyDescent="0.25">
      <c r="A492" s="109"/>
      <c r="B492" s="109"/>
      <c r="C492" s="118"/>
      <c r="D492" s="118" t="str">
        <f t="shared" si="7"/>
        <v/>
      </c>
      <c r="E492" s="131"/>
      <c r="F492" s="131"/>
    </row>
    <row r="493" spans="1:6" ht="15.75" x14ac:dyDescent="0.25">
      <c r="A493" s="109"/>
      <c r="B493" s="109"/>
      <c r="C493" s="118"/>
      <c r="D493" s="118" t="str">
        <f t="shared" si="7"/>
        <v/>
      </c>
      <c r="E493" s="131"/>
      <c r="F493" s="131"/>
    </row>
    <row r="494" spans="1:6" ht="15.75" x14ac:dyDescent="0.25">
      <c r="A494" s="109"/>
      <c r="B494" s="109"/>
      <c r="C494" s="118"/>
      <c r="D494" s="118" t="str">
        <f t="shared" si="7"/>
        <v/>
      </c>
      <c r="E494" s="131"/>
      <c r="F494" s="131"/>
    </row>
    <row r="495" spans="1:6" ht="15.75" x14ac:dyDescent="0.25">
      <c r="A495" s="109"/>
      <c r="B495" s="109"/>
      <c r="C495" s="118"/>
      <c r="D495" s="118" t="str">
        <f t="shared" si="7"/>
        <v/>
      </c>
      <c r="E495" s="131"/>
      <c r="F495" s="131"/>
    </row>
    <row r="496" spans="1:6" ht="15.75" x14ac:dyDescent="0.25">
      <c r="A496" s="109"/>
      <c r="B496" s="109"/>
      <c r="C496" s="118"/>
      <c r="D496" s="118" t="str">
        <f t="shared" si="7"/>
        <v/>
      </c>
      <c r="E496" s="131"/>
      <c r="F496" s="131"/>
    </row>
    <row r="497" spans="1:6" ht="15.75" x14ac:dyDescent="0.25">
      <c r="A497" s="109"/>
      <c r="B497" s="109"/>
      <c r="C497" s="118"/>
      <c r="D497" s="118" t="str">
        <f t="shared" si="7"/>
        <v/>
      </c>
      <c r="E497" s="131"/>
      <c r="F497" s="131"/>
    </row>
    <row r="498" spans="1:6" ht="15.75" x14ac:dyDescent="0.25">
      <c r="A498" s="109"/>
      <c r="B498" s="109"/>
      <c r="C498" s="118"/>
      <c r="D498" s="118" t="str">
        <f t="shared" si="7"/>
        <v/>
      </c>
      <c r="E498" s="131"/>
      <c r="F498" s="131"/>
    </row>
    <row r="499" spans="1:6" ht="15.75" x14ac:dyDescent="0.25">
      <c r="A499" s="109"/>
      <c r="B499" s="109"/>
      <c r="C499" s="118"/>
      <c r="D499" s="118" t="str">
        <f t="shared" si="7"/>
        <v/>
      </c>
      <c r="E499" s="131"/>
      <c r="F499" s="131"/>
    </row>
    <row r="500" spans="1:6" ht="15.75" x14ac:dyDescent="0.25">
      <c r="A500" s="109"/>
      <c r="B500" s="109"/>
      <c r="C500" s="118"/>
      <c r="D500" s="118" t="str">
        <f t="shared" si="7"/>
        <v/>
      </c>
      <c r="E500" s="131"/>
      <c r="F500" s="131"/>
    </row>
    <row r="501" spans="1:6" ht="15.75" x14ac:dyDescent="0.25">
      <c r="A501" s="109"/>
      <c r="B501" s="109"/>
      <c r="C501" s="118"/>
      <c r="D501" s="118" t="str">
        <f t="shared" si="7"/>
        <v/>
      </c>
      <c r="E501" s="131"/>
      <c r="F501" s="131"/>
    </row>
    <row r="502" spans="1:6" ht="15.75" x14ac:dyDescent="0.25">
      <c r="A502" s="109"/>
      <c r="B502" s="109"/>
      <c r="C502" s="118"/>
      <c r="D502" s="118" t="str">
        <f t="shared" si="7"/>
        <v/>
      </c>
      <c r="E502" s="131"/>
      <c r="F502" s="131"/>
    </row>
    <row r="503" spans="1:6" ht="15.75" x14ac:dyDescent="0.25">
      <c r="A503" s="109"/>
      <c r="B503" s="109"/>
      <c r="C503" s="118"/>
      <c r="D503" s="118" t="str">
        <f t="shared" si="7"/>
        <v/>
      </c>
      <c r="E503" s="131"/>
      <c r="F503" s="131"/>
    </row>
    <row r="504" spans="1:6" ht="15.75" x14ac:dyDescent="0.25">
      <c r="A504" s="109"/>
      <c r="B504" s="109"/>
      <c r="C504" s="118"/>
      <c r="D504" s="118" t="str">
        <f t="shared" si="7"/>
        <v/>
      </c>
      <c r="E504" s="131"/>
      <c r="F504" s="131"/>
    </row>
    <row r="505" spans="1:6" ht="15.75" x14ac:dyDescent="0.25">
      <c r="A505" s="109"/>
      <c r="B505" s="109"/>
      <c r="C505" s="118"/>
      <c r="D505" s="118" t="str">
        <f t="shared" si="7"/>
        <v/>
      </c>
      <c r="E505" s="131"/>
      <c r="F505" s="131"/>
    </row>
    <row r="506" spans="1:6" ht="15.75" x14ac:dyDescent="0.25">
      <c r="A506" s="109"/>
      <c r="B506" s="109"/>
      <c r="C506" s="118"/>
      <c r="D506" s="118" t="str">
        <f t="shared" si="7"/>
        <v/>
      </c>
      <c r="E506" s="131"/>
      <c r="F506" s="131"/>
    </row>
    <row r="507" spans="1:6" ht="15.75" x14ac:dyDescent="0.25">
      <c r="A507" s="109"/>
      <c r="B507" s="109"/>
      <c r="C507" s="118"/>
      <c r="D507" s="118" t="str">
        <f t="shared" si="7"/>
        <v/>
      </c>
      <c r="E507" s="131"/>
      <c r="F507" s="131"/>
    </row>
    <row r="508" spans="1:6" ht="15.75" x14ac:dyDescent="0.25">
      <c r="A508" s="109"/>
      <c r="B508" s="109"/>
      <c r="C508" s="118"/>
      <c r="D508" s="118" t="str">
        <f t="shared" si="7"/>
        <v/>
      </c>
      <c r="E508" s="131"/>
      <c r="F508" s="131"/>
    </row>
    <row r="509" spans="1:6" ht="15.75" x14ac:dyDescent="0.25">
      <c r="A509" s="109"/>
      <c r="B509" s="109"/>
      <c r="C509" s="118"/>
      <c r="D509" s="118" t="str">
        <f t="shared" si="7"/>
        <v/>
      </c>
      <c r="E509" s="131"/>
      <c r="F509" s="131"/>
    </row>
    <row r="510" spans="1:6" ht="15.75" x14ac:dyDescent="0.25">
      <c r="A510" s="109"/>
      <c r="B510" s="109"/>
      <c r="C510" s="118"/>
      <c r="D510" s="118" t="str">
        <f t="shared" si="7"/>
        <v/>
      </c>
      <c r="E510" s="131"/>
      <c r="F510" s="131"/>
    </row>
    <row r="511" spans="1:6" ht="15.75" x14ac:dyDescent="0.25">
      <c r="A511" s="109"/>
      <c r="B511" s="109"/>
      <c r="C511" s="118"/>
      <c r="D511" s="118" t="str">
        <f t="shared" si="7"/>
        <v/>
      </c>
      <c r="E511" s="131"/>
      <c r="F511" s="131"/>
    </row>
    <row r="512" spans="1:6" ht="15.75" x14ac:dyDescent="0.25">
      <c r="A512" s="109"/>
      <c r="B512" s="109"/>
      <c r="C512" s="118"/>
      <c r="D512" s="118" t="str">
        <f t="shared" si="7"/>
        <v/>
      </c>
      <c r="E512" s="131"/>
      <c r="F512" s="131"/>
    </row>
    <row r="513" spans="1:6" ht="15.75" x14ac:dyDescent="0.25">
      <c r="A513" s="109"/>
      <c r="B513" s="109"/>
      <c r="C513" s="118"/>
      <c r="D513" s="118" t="str">
        <f t="shared" si="7"/>
        <v/>
      </c>
      <c r="E513" s="131"/>
      <c r="F513" s="131"/>
    </row>
    <row r="514" spans="1:6" ht="15.75" x14ac:dyDescent="0.25">
      <c r="A514" s="109"/>
      <c r="B514" s="109"/>
      <c r="C514" s="118"/>
      <c r="D514" s="118" t="str">
        <f t="shared" si="7"/>
        <v/>
      </c>
      <c r="E514" s="131"/>
      <c r="F514" s="131"/>
    </row>
    <row r="515" spans="1:6" ht="15.75" x14ac:dyDescent="0.25">
      <c r="A515" s="109"/>
      <c r="B515" s="109"/>
      <c r="C515" s="118"/>
      <c r="D515" s="118" t="str">
        <f t="shared" si="7"/>
        <v/>
      </c>
      <c r="E515" s="131"/>
      <c r="F515" s="131"/>
    </row>
    <row r="516" spans="1:6" ht="15.75" x14ac:dyDescent="0.25">
      <c r="A516" s="109"/>
      <c r="B516" s="109"/>
      <c r="C516" s="118"/>
      <c r="D516" s="118" t="str">
        <f t="shared" si="7"/>
        <v/>
      </c>
      <c r="E516" s="131"/>
      <c r="F516" s="131"/>
    </row>
    <row r="517" spans="1:6" ht="15.75" x14ac:dyDescent="0.25">
      <c r="A517" s="109"/>
      <c r="B517" s="109"/>
      <c r="C517" s="118"/>
      <c r="D517" s="118" t="str">
        <f t="shared" si="7"/>
        <v/>
      </c>
      <c r="E517" s="131"/>
      <c r="F517" s="131"/>
    </row>
    <row r="518" spans="1:6" ht="15.75" x14ac:dyDescent="0.25">
      <c r="A518" s="109"/>
      <c r="B518" s="109"/>
      <c r="C518" s="118"/>
      <c r="D518" s="118" t="str">
        <f t="shared" si="7"/>
        <v/>
      </c>
      <c r="E518" s="131"/>
      <c r="F518" s="131"/>
    </row>
    <row r="519" spans="1:6" ht="15.75" x14ac:dyDescent="0.25">
      <c r="A519" s="109"/>
      <c r="B519" s="109"/>
      <c r="C519" s="118"/>
      <c r="D519" s="118" t="str">
        <f t="shared" si="7"/>
        <v/>
      </c>
      <c r="E519" s="131"/>
      <c r="F519" s="131"/>
    </row>
    <row r="520" spans="1:6" ht="15.75" x14ac:dyDescent="0.25">
      <c r="A520" s="109"/>
      <c r="B520" s="109"/>
      <c r="C520" s="118"/>
      <c r="D520" s="118" t="str">
        <f t="shared" si="7"/>
        <v/>
      </c>
      <c r="E520" s="131"/>
      <c r="F520" s="131"/>
    </row>
    <row r="521" spans="1:6" ht="15.75" x14ac:dyDescent="0.25">
      <c r="A521" s="109"/>
      <c r="B521" s="109"/>
      <c r="C521" s="118"/>
      <c r="D521" s="118" t="str">
        <f t="shared" si="7"/>
        <v/>
      </c>
      <c r="E521" s="131"/>
      <c r="F521" s="131"/>
    </row>
    <row r="522" spans="1:6" ht="15.75" x14ac:dyDescent="0.25">
      <c r="A522" s="109"/>
      <c r="B522" s="109"/>
      <c r="C522" s="118"/>
      <c r="D522" s="118" t="str">
        <f t="shared" si="7"/>
        <v/>
      </c>
      <c r="E522" s="131"/>
      <c r="F522" s="131"/>
    </row>
    <row r="523" spans="1:6" ht="15.75" x14ac:dyDescent="0.25">
      <c r="A523" s="109"/>
      <c r="B523" s="109"/>
      <c r="C523" s="118"/>
      <c r="D523" s="118" t="str">
        <f t="shared" ref="D523:D586" si="8">IF(A523=0,"","MinMax")</f>
        <v/>
      </c>
      <c r="E523" s="131"/>
      <c r="F523" s="131"/>
    </row>
    <row r="524" spans="1:6" ht="15.75" x14ac:dyDescent="0.25">
      <c r="A524" s="109"/>
      <c r="B524" s="109"/>
      <c r="C524" s="118"/>
      <c r="D524" s="118" t="str">
        <f t="shared" si="8"/>
        <v/>
      </c>
      <c r="E524" s="131"/>
      <c r="F524" s="131"/>
    </row>
    <row r="525" spans="1:6" ht="15.75" x14ac:dyDescent="0.25">
      <c r="A525" s="109"/>
      <c r="B525" s="109"/>
      <c r="C525" s="118"/>
      <c r="D525" s="118" t="str">
        <f t="shared" si="8"/>
        <v/>
      </c>
      <c r="E525" s="131"/>
      <c r="F525" s="131"/>
    </row>
    <row r="526" spans="1:6" ht="15.75" x14ac:dyDescent="0.25">
      <c r="A526" s="109"/>
      <c r="B526" s="109"/>
      <c r="C526" s="118"/>
      <c r="D526" s="118" t="str">
        <f t="shared" si="8"/>
        <v/>
      </c>
      <c r="E526" s="131"/>
      <c r="F526" s="131"/>
    </row>
    <row r="527" spans="1:6" ht="15.75" x14ac:dyDescent="0.25">
      <c r="A527" s="109"/>
      <c r="B527" s="109"/>
      <c r="C527" s="118"/>
      <c r="D527" s="118" t="str">
        <f t="shared" si="8"/>
        <v/>
      </c>
      <c r="E527" s="131"/>
      <c r="F527" s="131"/>
    </row>
    <row r="528" spans="1:6" ht="15.75" x14ac:dyDescent="0.25">
      <c r="A528" s="109"/>
      <c r="B528" s="109"/>
      <c r="C528" s="118"/>
      <c r="D528" s="118" t="str">
        <f t="shared" si="8"/>
        <v/>
      </c>
      <c r="E528" s="131"/>
      <c r="F528" s="131"/>
    </row>
    <row r="529" spans="1:6" ht="15.75" x14ac:dyDescent="0.25">
      <c r="A529" s="109"/>
      <c r="B529" s="109"/>
      <c r="C529" s="118"/>
      <c r="D529" s="118" t="str">
        <f t="shared" si="8"/>
        <v/>
      </c>
      <c r="E529" s="131"/>
      <c r="F529" s="131"/>
    </row>
    <row r="530" spans="1:6" ht="15.75" x14ac:dyDescent="0.25">
      <c r="A530" s="109"/>
      <c r="B530" s="109"/>
      <c r="C530" s="118"/>
      <c r="D530" s="118" t="str">
        <f t="shared" si="8"/>
        <v/>
      </c>
      <c r="E530" s="131"/>
      <c r="F530" s="131"/>
    </row>
    <row r="531" spans="1:6" ht="15.75" x14ac:dyDescent="0.25">
      <c r="A531" s="109"/>
      <c r="B531" s="109"/>
      <c r="C531" s="118"/>
      <c r="D531" s="118" t="str">
        <f t="shared" si="8"/>
        <v/>
      </c>
      <c r="E531" s="131"/>
      <c r="F531" s="131"/>
    </row>
    <row r="532" spans="1:6" ht="15.75" x14ac:dyDescent="0.25">
      <c r="A532" s="109"/>
      <c r="B532" s="109"/>
      <c r="C532" s="118"/>
      <c r="D532" s="118" t="str">
        <f t="shared" si="8"/>
        <v/>
      </c>
      <c r="E532" s="131"/>
      <c r="F532" s="131"/>
    </row>
    <row r="533" spans="1:6" ht="15.75" x14ac:dyDescent="0.25">
      <c r="A533" s="109"/>
      <c r="B533" s="109"/>
      <c r="C533" s="118"/>
      <c r="D533" s="118" t="str">
        <f t="shared" si="8"/>
        <v/>
      </c>
      <c r="E533" s="131"/>
      <c r="F533" s="131"/>
    </row>
    <row r="534" spans="1:6" ht="15.75" x14ac:dyDescent="0.25">
      <c r="A534" s="109"/>
      <c r="B534" s="109"/>
      <c r="C534" s="118"/>
      <c r="D534" s="118" t="str">
        <f t="shared" si="8"/>
        <v/>
      </c>
      <c r="E534" s="131"/>
      <c r="F534" s="131"/>
    </row>
    <row r="535" spans="1:6" ht="15.75" x14ac:dyDescent="0.25">
      <c r="A535" s="109"/>
      <c r="B535" s="109"/>
      <c r="C535" s="118"/>
      <c r="D535" s="118" t="str">
        <f t="shared" si="8"/>
        <v/>
      </c>
      <c r="E535" s="131"/>
      <c r="F535" s="131"/>
    </row>
    <row r="536" spans="1:6" ht="15.75" x14ac:dyDescent="0.25">
      <c r="A536" s="109"/>
      <c r="B536" s="109"/>
      <c r="C536" s="118"/>
      <c r="D536" s="118" t="str">
        <f t="shared" si="8"/>
        <v/>
      </c>
      <c r="E536" s="131"/>
      <c r="F536" s="131"/>
    </row>
    <row r="537" spans="1:6" ht="15.75" x14ac:dyDescent="0.25">
      <c r="A537" s="109"/>
      <c r="B537" s="109"/>
      <c r="C537" s="118"/>
      <c r="D537" s="118" t="str">
        <f t="shared" si="8"/>
        <v/>
      </c>
      <c r="E537" s="131"/>
      <c r="F537" s="131"/>
    </row>
    <row r="538" spans="1:6" ht="15.75" x14ac:dyDescent="0.25">
      <c r="A538" s="109"/>
      <c r="B538" s="109"/>
      <c r="C538" s="118"/>
      <c r="D538" s="118" t="str">
        <f t="shared" si="8"/>
        <v/>
      </c>
      <c r="E538" s="131"/>
      <c r="F538" s="131"/>
    </row>
    <row r="539" spans="1:6" ht="15.75" x14ac:dyDescent="0.25">
      <c r="A539" s="109"/>
      <c r="B539" s="109"/>
      <c r="C539" s="118"/>
      <c r="D539" s="118" t="str">
        <f t="shared" si="8"/>
        <v/>
      </c>
      <c r="E539" s="131"/>
      <c r="F539" s="131"/>
    </row>
    <row r="540" spans="1:6" ht="15.75" x14ac:dyDescent="0.25">
      <c r="A540" s="109"/>
      <c r="B540" s="109"/>
      <c r="C540" s="118"/>
      <c r="D540" s="118" t="str">
        <f t="shared" si="8"/>
        <v/>
      </c>
      <c r="E540" s="131"/>
      <c r="F540" s="131"/>
    </row>
    <row r="541" spans="1:6" ht="15.75" x14ac:dyDescent="0.25">
      <c r="A541" s="109"/>
      <c r="B541" s="109"/>
      <c r="C541" s="118"/>
      <c r="D541" s="118" t="str">
        <f t="shared" si="8"/>
        <v/>
      </c>
      <c r="E541" s="131"/>
      <c r="F541" s="131"/>
    </row>
    <row r="542" spans="1:6" ht="15.75" x14ac:dyDescent="0.25">
      <c r="A542" s="109"/>
      <c r="B542" s="109"/>
      <c r="C542" s="118"/>
      <c r="D542" s="118" t="str">
        <f t="shared" si="8"/>
        <v/>
      </c>
      <c r="E542" s="131"/>
      <c r="F542" s="131"/>
    </row>
    <row r="543" spans="1:6" ht="15.75" x14ac:dyDescent="0.25">
      <c r="A543" s="109"/>
      <c r="B543" s="109"/>
      <c r="C543" s="118"/>
      <c r="D543" s="118" t="str">
        <f t="shared" si="8"/>
        <v/>
      </c>
      <c r="E543" s="131"/>
      <c r="F543" s="131"/>
    </row>
    <row r="544" spans="1:6" ht="15.75" x14ac:dyDescent="0.25">
      <c r="A544" s="109"/>
      <c r="B544" s="109"/>
      <c r="C544" s="118"/>
      <c r="D544" s="118" t="str">
        <f t="shared" si="8"/>
        <v/>
      </c>
      <c r="E544" s="131"/>
      <c r="F544" s="131"/>
    </row>
    <row r="545" spans="1:6" ht="15.75" x14ac:dyDescent="0.25">
      <c r="A545" s="109"/>
      <c r="B545" s="109"/>
      <c r="C545" s="118"/>
      <c r="D545" s="118" t="str">
        <f t="shared" si="8"/>
        <v/>
      </c>
      <c r="E545" s="131"/>
      <c r="F545" s="131"/>
    </row>
    <row r="546" spans="1:6" ht="15.75" x14ac:dyDescent="0.25">
      <c r="A546" s="109"/>
      <c r="B546" s="109"/>
      <c r="C546" s="118"/>
      <c r="D546" s="118" t="str">
        <f t="shared" si="8"/>
        <v/>
      </c>
      <c r="E546" s="131"/>
      <c r="F546" s="131"/>
    </row>
    <row r="547" spans="1:6" ht="15.75" x14ac:dyDescent="0.25">
      <c r="A547" s="109"/>
      <c r="B547" s="109"/>
      <c r="C547" s="118"/>
      <c r="D547" s="118" t="str">
        <f t="shared" si="8"/>
        <v/>
      </c>
      <c r="E547" s="131"/>
      <c r="F547" s="131"/>
    </row>
    <row r="548" spans="1:6" ht="15.75" x14ac:dyDescent="0.25">
      <c r="A548" s="109"/>
      <c r="B548" s="109"/>
      <c r="C548" s="118"/>
      <c r="D548" s="118" t="str">
        <f t="shared" si="8"/>
        <v/>
      </c>
      <c r="E548" s="131"/>
      <c r="F548" s="131"/>
    </row>
    <row r="549" spans="1:6" ht="15.75" x14ac:dyDescent="0.25">
      <c r="A549" s="109"/>
      <c r="B549" s="109"/>
      <c r="C549" s="118"/>
      <c r="D549" s="118" t="str">
        <f t="shared" si="8"/>
        <v/>
      </c>
      <c r="E549" s="131"/>
      <c r="F549" s="131"/>
    </row>
    <row r="550" spans="1:6" ht="15.75" x14ac:dyDescent="0.25">
      <c r="A550" s="109"/>
      <c r="B550" s="109"/>
      <c r="C550" s="118"/>
      <c r="D550" s="118" t="str">
        <f t="shared" si="8"/>
        <v/>
      </c>
      <c r="E550" s="131"/>
      <c r="F550" s="131"/>
    </row>
    <row r="551" spans="1:6" ht="15.75" x14ac:dyDescent="0.25">
      <c r="A551" s="109"/>
      <c r="B551" s="109"/>
      <c r="C551" s="118"/>
      <c r="D551" s="118" t="str">
        <f t="shared" si="8"/>
        <v/>
      </c>
      <c r="E551" s="131"/>
      <c r="F551" s="131"/>
    </row>
    <row r="552" spans="1:6" ht="15.75" x14ac:dyDescent="0.25">
      <c r="A552" s="109"/>
      <c r="B552" s="109"/>
      <c r="C552" s="118"/>
      <c r="D552" s="118" t="str">
        <f t="shared" si="8"/>
        <v/>
      </c>
      <c r="E552" s="131"/>
      <c r="F552" s="131"/>
    </row>
    <row r="553" spans="1:6" ht="15.75" x14ac:dyDescent="0.25">
      <c r="A553" s="109"/>
      <c r="B553" s="109"/>
      <c r="C553" s="118"/>
      <c r="D553" s="118" t="str">
        <f t="shared" si="8"/>
        <v/>
      </c>
      <c r="E553" s="131"/>
      <c r="F553" s="131"/>
    </row>
    <row r="554" spans="1:6" ht="15.75" x14ac:dyDescent="0.25">
      <c r="A554" s="109"/>
      <c r="B554" s="109"/>
      <c r="C554" s="118"/>
      <c r="D554" s="118" t="str">
        <f t="shared" si="8"/>
        <v/>
      </c>
      <c r="E554" s="131"/>
      <c r="F554" s="131"/>
    </row>
    <row r="555" spans="1:6" ht="15.75" x14ac:dyDescent="0.25">
      <c r="A555" s="109"/>
      <c r="B555" s="109"/>
      <c r="C555" s="118"/>
      <c r="D555" s="118" t="str">
        <f t="shared" si="8"/>
        <v/>
      </c>
      <c r="E555" s="131"/>
      <c r="F555" s="131"/>
    </row>
    <row r="556" spans="1:6" ht="15.75" x14ac:dyDescent="0.25">
      <c r="A556" s="109"/>
      <c r="B556" s="109"/>
      <c r="C556" s="118"/>
      <c r="D556" s="118" t="str">
        <f t="shared" si="8"/>
        <v/>
      </c>
      <c r="E556" s="131"/>
      <c r="F556" s="131"/>
    </row>
    <row r="557" spans="1:6" ht="15.75" x14ac:dyDescent="0.25">
      <c r="A557" s="109"/>
      <c r="B557" s="109"/>
      <c r="C557" s="118"/>
      <c r="D557" s="118" t="str">
        <f t="shared" si="8"/>
        <v/>
      </c>
      <c r="E557" s="131"/>
      <c r="F557" s="131"/>
    </row>
    <row r="558" spans="1:6" ht="15.75" x14ac:dyDescent="0.25">
      <c r="A558" s="109"/>
      <c r="B558" s="109"/>
      <c r="C558" s="118"/>
      <c r="D558" s="118" t="str">
        <f t="shared" si="8"/>
        <v/>
      </c>
      <c r="E558" s="131"/>
      <c r="F558" s="131"/>
    </row>
    <row r="559" spans="1:6" ht="15.75" x14ac:dyDescent="0.25">
      <c r="A559" s="109"/>
      <c r="B559" s="109"/>
      <c r="C559" s="118"/>
      <c r="D559" s="118" t="str">
        <f t="shared" si="8"/>
        <v/>
      </c>
      <c r="E559" s="131"/>
      <c r="F559" s="131"/>
    </row>
    <row r="560" spans="1:6" ht="15.75" x14ac:dyDescent="0.25">
      <c r="A560" s="109"/>
      <c r="B560" s="109"/>
      <c r="C560" s="118"/>
      <c r="D560" s="118" t="str">
        <f t="shared" si="8"/>
        <v/>
      </c>
      <c r="E560" s="131"/>
      <c r="F560" s="131"/>
    </row>
    <row r="561" spans="1:6" ht="15.75" x14ac:dyDescent="0.25">
      <c r="A561" s="109"/>
      <c r="B561" s="109"/>
      <c r="C561" s="118"/>
      <c r="D561" s="118" t="str">
        <f t="shared" si="8"/>
        <v/>
      </c>
      <c r="E561" s="131"/>
      <c r="F561" s="131"/>
    </row>
    <row r="562" spans="1:6" ht="15.75" x14ac:dyDescent="0.25">
      <c r="A562" s="109"/>
      <c r="B562" s="109"/>
      <c r="C562" s="118"/>
      <c r="D562" s="118" t="str">
        <f t="shared" si="8"/>
        <v/>
      </c>
      <c r="E562" s="131"/>
      <c r="F562" s="131"/>
    </row>
    <row r="563" spans="1:6" ht="15.75" x14ac:dyDescent="0.25">
      <c r="A563" s="109"/>
      <c r="B563" s="109"/>
      <c r="C563" s="118"/>
      <c r="D563" s="118" t="str">
        <f t="shared" si="8"/>
        <v/>
      </c>
      <c r="E563" s="131"/>
      <c r="F563" s="131"/>
    </row>
    <row r="564" spans="1:6" ht="15.75" x14ac:dyDescent="0.25">
      <c r="A564" s="109"/>
      <c r="B564" s="109"/>
      <c r="C564" s="118"/>
      <c r="D564" s="118" t="str">
        <f t="shared" si="8"/>
        <v/>
      </c>
      <c r="E564" s="131"/>
      <c r="F564" s="131"/>
    </row>
    <row r="565" spans="1:6" ht="15.75" x14ac:dyDescent="0.25">
      <c r="A565" s="109"/>
      <c r="B565" s="109"/>
      <c r="C565" s="118"/>
      <c r="D565" s="118" t="str">
        <f t="shared" si="8"/>
        <v/>
      </c>
      <c r="E565" s="131"/>
      <c r="F565" s="131"/>
    </row>
    <row r="566" spans="1:6" ht="15.75" x14ac:dyDescent="0.25">
      <c r="A566" s="109"/>
      <c r="B566" s="109"/>
      <c r="C566" s="118"/>
      <c r="D566" s="118" t="str">
        <f t="shared" si="8"/>
        <v/>
      </c>
      <c r="E566" s="131"/>
      <c r="F566" s="131"/>
    </row>
    <row r="567" spans="1:6" ht="15.75" x14ac:dyDescent="0.25">
      <c r="A567" s="109"/>
      <c r="B567" s="109"/>
      <c r="C567" s="118"/>
      <c r="D567" s="118" t="str">
        <f t="shared" si="8"/>
        <v/>
      </c>
      <c r="E567" s="131"/>
      <c r="F567" s="131"/>
    </row>
    <row r="568" spans="1:6" ht="15.75" x14ac:dyDescent="0.25">
      <c r="A568" s="109"/>
      <c r="B568" s="109"/>
      <c r="C568" s="118"/>
      <c r="D568" s="118" t="str">
        <f t="shared" si="8"/>
        <v/>
      </c>
      <c r="E568" s="131"/>
      <c r="F568" s="131"/>
    </row>
    <row r="569" spans="1:6" ht="15.75" x14ac:dyDescent="0.25">
      <c r="A569" s="109"/>
      <c r="B569" s="109"/>
      <c r="C569" s="118"/>
      <c r="D569" s="118" t="str">
        <f t="shared" si="8"/>
        <v/>
      </c>
      <c r="E569" s="131"/>
      <c r="F569" s="131"/>
    </row>
    <row r="570" spans="1:6" ht="15.75" x14ac:dyDescent="0.25">
      <c r="A570" s="109"/>
      <c r="B570" s="109"/>
      <c r="C570" s="118"/>
      <c r="D570" s="118" t="str">
        <f t="shared" si="8"/>
        <v/>
      </c>
      <c r="E570" s="131"/>
      <c r="F570" s="131"/>
    </row>
    <row r="571" spans="1:6" ht="15.75" x14ac:dyDescent="0.25">
      <c r="A571" s="109"/>
      <c r="B571" s="109"/>
      <c r="C571" s="118"/>
      <c r="D571" s="118" t="str">
        <f t="shared" si="8"/>
        <v/>
      </c>
      <c r="E571" s="131"/>
      <c r="F571" s="131"/>
    </row>
    <row r="572" spans="1:6" ht="15.75" x14ac:dyDescent="0.25">
      <c r="A572" s="109"/>
      <c r="B572" s="109"/>
      <c r="C572" s="118"/>
      <c r="D572" s="118" t="str">
        <f t="shared" si="8"/>
        <v/>
      </c>
      <c r="E572" s="131"/>
      <c r="F572" s="131"/>
    </row>
    <row r="573" spans="1:6" ht="15.75" x14ac:dyDescent="0.25">
      <c r="A573" s="109"/>
      <c r="B573" s="109"/>
      <c r="C573" s="118"/>
      <c r="D573" s="118" t="str">
        <f t="shared" si="8"/>
        <v/>
      </c>
      <c r="E573" s="131"/>
      <c r="F573" s="131"/>
    </row>
    <row r="574" spans="1:6" ht="15.75" x14ac:dyDescent="0.25">
      <c r="A574" s="109"/>
      <c r="B574" s="109"/>
      <c r="C574" s="118"/>
      <c r="D574" s="118" t="str">
        <f t="shared" si="8"/>
        <v/>
      </c>
      <c r="E574" s="131"/>
      <c r="F574" s="131"/>
    </row>
    <row r="575" spans="1:6" ht="15.75" x14ac:dyDescent="0.25">
      <c r="A575" s="109"/>
      <c r="B575" s="109"/>
      <c r="C575" s="118"/>
      <c r="D575" s="118" t="str">
        <f t="shared" si="8"/>
        <v/>
      </c>
      <c r="E575" s="131"/>
      <c r="F575" s="131"/>
    </row>
    <row r="576" spans="1:6" ht="15.75" x14ac:dyDescent="0.25">
      <c r="A576" s="109"/>
      <c r="B576" s="109"/>
      <c r="C576" s="118"/>
      <c r="D576" s="118" t="str">
        <f t="shared" si="8"/>
        <v/>
      </c>
      <c r="E576" s="131"/>
      <c r="F576" s="131"/>
    </row>
    <row r="577" spans="1:6" ht="15.75" x14ac:dyDescent="0.25">
      <c r="A577" s="109"/>
      <c r="B577" s="109"/>
      <c r="C577" s="118"/>
      <c r="D577" s="118" t="str">
        <f t="shared" si="8"/>
        <v/>
      </c>
      <c r="E577" s="131"/>
      <c r="F577" s="131"/>
    </row>
    <row r="578" spans="1:6" ht="15.75" x14ac:dyDescent="0.25">
      <c r="A578" s="109"/>
      <c r="B578" s="109"/>
      <c r="C578" s="118"/>
      <c r="D578" s="118" t="str">
        <f t="shared" si="8"/>
        <v/>
      </c>
      <c r="E578" s="131"/>
      <c r="F578" s="131"/>
    </row>
    <row r="579" spans="1:6" ht="15.75" x14ac:dyDescent="0.25">
      <c r="A579" s="109"/>
      <c r="B579" s="109"/>
      <c r="C579" s="118"/>
      <c r="D579" s="118" t="str">
        <f t="shared" si="8"/>
        <v/>
      </c>
      <c r="E579" s="131"/>
      <c r="F579" s="131"/>
    </row>
    <row r="580" spans="1:6" ht="15.75" x14ac:dyDescent="0.25">
      <c r="A580" s="109"/>
      <c r="B580" s="109"/>
      <c r="C580" s="118"/>
      <c r="D580" s="118" t="str">
        <f t="shared" si="8"/>
        <v/>
      </c>
      <c r="E580" s="131"/>
      <c r="F580" s="131"/>
    </row>
    <row r="581" spans="1:6" ht="15.75" x14ac:dyDescent="0.25">
      <c r="A581" s="109"/>
      <c r="B581" s="109"/>
      <c r="C581" s="118"/>
      <c r="D581" s="118" t="str">
        <f t="shared" si="8"/>
        <v/>
      </c>
      <c r="E581" s="131"/>
      <c r="F581" s="131"/>
    </row>
    <row r="582" spans="1:6" ht="15.75" x14ac:dyDescent="0.25">
      <c r="A582" s="109"/>
      <c r="B582" s="109"/>
      <c r="C582" s="118"/>
      <c r="D582" s="118" t="str">
        <f t="shared" si="8"/>
        <v/>
      </c>
      <c r="E582" s="131"/>
      <c r="F582" s="131"/>
    </row>
    <row r="583" spans="1:6" ht="15.75" x14ac:dyDescent="0.25">
      <c r="A583" s="109"/>
      <c r="B583" s="109"/>
      <c r="C583" s="118"/>
      <c r="D583" s="118" t="str">
        <f t="shared" si="8"/>
        <v/>
      </c>
      <c r="E583" s="131"/>
      <c r="F583" s="131"/>
    </row>
    <row r="584" spans="1:6" ht="15.75" x14ac:dyDescent="0.25">
      <c r="A584" s="109"/>
      <c r="B584" s="109"/>
      <c r="C584" s="118"/>
      <c r="D584" s="118" t="str">
        <f t="shared" si="8"/>
        <v/>
      </c>
      <c r="E584" s="131"/>
      <c r="F584" s="131"/>
    </row>
    <row r="585" spans="1:6" ht="15.75" x14ac:dyDescent="0.25">
      <c r="A585" s="109"/>
      <c r="B585" s="109"/>
      <c r="C585" s="118"/>
      <c r="D585" s="118" t="str">
        <f t="shared" si="8"/>
        <v/>
      </c>
      <c r="E585" s="131"/>
      <c r="F585" s="131"/>
    </row>
    <row r="586" spans="1:6" ht="15.75" x14ac:dyDescent="0.25">
      <c r="A586" s="109"/>
      <c r="B586" s="109"/>
      <c r="C586" s="118"/>
      <c r="D586" s="118" t="str">
        <f t="shared" si="8"/>
        <v/>
      </c>
      <c r="E586" s="131"/>
      <c r="F586" s="131"/>
    </row>
    <row r="587" spans="1:6" ht="15.75" x14ac:dyDescent="0.25">
      <c r="A587" s="109"/>
      <c r="B587" s="109"/>
      <c r="C587" s="118"/>
      <c r="D587" s="118" t="str">
        <f t="shared" ref="D587:D650" si="9">IF(A587=0,"","MinMax")</f>
        <v/>
      </c>
      <c r="E587" s="131"/>
      <c r="F587" s="131"/>
    </row>
    <row r="588" spans="1:6" ht="15.75" x14ac:dyDescent="0.25">
      <c r="A588" s="109"/>
      <c r="B588" s="109"/>
      <c r="C588" s="118"/>
      <c r="D588" s="118" t="str">
        <f t="shared" si="9"/>
        <v/>
      </c>
      <c r="E588" s="131"/>
      <c r="F588" s="131"/>
    </row>
    <row r="589" spans="1:6" ht="15.75" x14ac:dyDescent="0.25">
      <c r="A589" s="109"/>
      <c r="B589" s="109"/>
      <c r="C589" s="118"/>
      <c r="D589" s="118" t="str">
        <f t="shared" si="9"/>
        <v/>
      </c>
      <c r="E589" s="131"/>
      <c r="F589" s="131"/>
    </row>
    <row r="590" spans="1:6" ht="15.75" x14ac:dyDescent="0.25">
      <c r="A590" s="109"/>
      <c r="B590" s="109"/>
      <c r="C590" s="118"/>
      <c r="D590" s="118" t="str">
        <f t="shared" si="9"/>
        <v/>
      </c>
      <c r="E590" s="131"/>
      <c r="F590" s="131"/>
    </row>
    <row r="591" spans="1:6" ht="15.75" x14ac:dyDescent="0.25">
      <c r="A591" s="109"/>
      <c r="B591" s="109"/>
      <c r="C591" s="118"/>
      <c r="D591" s="118" t="str">
        <f t="shared" si="9"/>
        <v/>
      </c>
      <c r="E591" s="131"/>
      <c r="F591" s="131"/>
    </row>
    <row r="592" spans="1:6" ht="15.75" x14ac:dyDescent="0.25">
      <c r="A592" s="109"/>
      <c r="B592" s="109"/>
      <c r="C592" s="118"/>
      <c r="D592" s="118" t="str">
        <f t="shared" si="9"/>
        <v/>
      </c>
      <c r="E592" s="131"/>
      <c r="F592" s="131"/>
    </row>
    <row r="593" spans="1:6" ht="15.75" x14ac:dyDescent="0.25">
      <c r="A593" s="109"/>
      <c r="B593" s="109"/>
      <c r="C593" s="118"/>
      <c r="D593" s="118" t="str">
        <f t="shared" si="9"/>
        <v/>
      </c>
      <c r="E593" s="131"/>
      <c r="F593" s="131"/>
    </row>
    <row r="594" spans="1:6" ht="15.75" x14ac:dyDescent="0.25">
      <c r="A594" s="109"/>
      <c r="B594" s="109"/>
      <c r="C594" s="118"/>
      <c r="D594" s="118" t="str">
        <f t="shared" si="9"/>
        <v/>
      </c>
      <c r="E594" s="131"/>
      <c r="F594" s="131"/>
    </row>
    <row r="595" spans="1:6" ht="15.75" x14ac:dyDescent="0.25">
      <c r="A595" s="109"/>
      <c r="B595" s="109"/>
      <c r="C595" s="118"/>
      <c r="D595" s="118" t="str">
        <f t="shared" si="9"/>
        <v/>
      </c>
      <c r="E595" s="131"/>
      <c r="F595" s="131"/>
    </row>
    <row r="596" spans="1:6" ht="15.75" x14ac:dyDescent="0.25">
      <c r="A596" s="109"/>
      <c r="B596" s="109"/>
      <c r="C596" s="118"/>
      <c r="D596" s="118" t="str">
        <f t="shared" si="9"/>
        <v/>
      </c>
      <c r="E596" s="131"/>
      <c r="F596" s="131"/>
    </row>
    <row r="597" spans="1:6" ht="15.75" x14ac:dyDescent="0.25">
      <c r="A597" s="109"/>
      <c r="B597" s="109"/>
      <c r="C597" s="118"/>
      <c r="D597" s="118" t="str">
        <f t="shared" si="9"/>
        <v/>
      </c>
      <c r="E597" s="131"/>
      <c r="F597" s="131"/>
    </row>
    <row r="598" spans="1:6" ht="15.75" x14ac:dyDescent="0.25">
      <c r="A598" s="109"/>
      <c r="B598" s="109"/>
      <c r="C598" s="118"/>
      <c r="D598" s="118" t="str">
        <f t="shared" si="9"/>
        <v/>
      </c>
      <c r="E598" s="131"/>
      <c r="F598" s="131"/>
    </row>
    <row r="599" spans="1:6" ht="15.75" x14ac:dyDescent="0.25">
      <c r="A599" s="109"/>
      <c r="B599" s="109"/>
      <c r="C599" s="118"/>
      <c r="D599" s="118" t="str">
        <f t="shared" si="9"/>
        <v/>
      </c>
      <c r="E599" s="131"/>
      <c r="F599" s="131"/>
    </row>
    <row r="600" spans="1:6" ht="15.75" x14ac:dyDescent="0.25">
      <c r="A600" s="109"/>
      <c r="B600" s="109"/>
      <c r="C600" s="118"/>
      <c r="D600" s="118" t="str">
        <f t="shared" si="9"/>
        <v/>
      </c>
      <c r="E600" s="131"/>
      <c r="F600" s="131"/>
    </row>
    <row r="601" spans="1:6" ht="15.75" x14ac:dyDescent="0.25">
      <c r="A601" s="109"/>
      <c r="B601" s="109"/>
      <c r="C601" s="118"/>
      <c r="D601" s="118" t="str">
        <f t="shared" si="9"/>
        <v/>
      </c>
      <c r="E601" s="131"/>
      <c r="F601" s="131"/>
    </row>
    <row r="602" spans="1:6" ht="15.75" x14ac:dyDescent="0.25">
      <c r="A602" s="109"/>
      <c r="B602" s="109"/>
      <c r="C602" s="118"/>
      <c r="D602" s="118" t="str">
        <f t="shared" si="9"/>
        <v/>
      </c>
      <c r="E602" s="131"/>
      <c r="F602" s="131"/>
    </row>
    <row r="603" spans="1:6" ht="15.75" x14ac:dyDescent="0.25">
      <c r="A603" s="109"/>
      <c r="B603" s="109"/>
      <c r="C603" s="118"/>
      <c r="D603" s="118" t="str">
        <f t="shared" si="9"/>
        <v/>
      </c>
      <c r="E603" s="131"/>
      <c r="F603" s="131"/>
    </row>
    <row r="604" spans="1:6" ht="15.75" x14ac:dyDescent="0.25">
      <c r="A604" s="109"/>
      <c r="B604" s="109"/>
      <c r="C604" s="118"/>
      <c r="D604" s="118" t="str">
        <f t="shared" si="9"/>
        <v/>
      </c>
      <c r="E604" s="131"/>
      <c r="F604" s="131"/>
    </row>
    <row r="605" spans="1:6" ht="15.75" x14ac:dyDescent="0.25">
      <c r="A605" s="109"/>
      <c r="B605" s="109"/>
      <c r="C605" s="118"/>
      <c r="D605" s="118" t="str">
        <f t="shared" si="9"/>
        <v/>
      </c>
      <c r="E605" s="131"/>
      <c r="F605" s="131"/>
    </row>
    <row r="606" spans="1:6" ht="15.75" x14ac:dyDescent="0.25">
      <c r="A606" s="109"/>
      <c r="B606" s="109"/>
      <c r="C606" s="118"/>
      <c r="D606" s="118" t="str">
        <f t="shared" si="9"/>
        <v/>
      </c>
      <c r="E606" s="131"/>
      <c r="F606" s="131"/>
    </row>
    <row r="607" spans="1:6" ht="15.75" x14ac:dyDescent="0.25">
      <c r="A607" s="109"/>
      <c r="B607" s="109"/>
      <c r="C607" s="118"/>
      <c r="D607" s="118" t="str">
        <f t="shared" si="9"/>
        <v/>
      </c>
      <c r="E607" s="131"/>
      <c r="F607" s="131"/>
    </row>
    <row r="608" spans="1:6" ht="15.75" x14ac:dyDescent="0.25">
      <c r="A608" s="109"/>
      <c r="B608" s="109"/>
      <c r="C608" s="118"/>
      <c r="D608" s="118" t="str">
        <f t="shared" si="9"/>
        <v/>
      </c>
      <c r="E608" s="131"/>
      <c r="F608" s="131"/>
    </row>
    <row r="609" spans="1:6" ht="15.75" x14ac:dyDescent="0.25">
      <c r="A609" s="109"/>
      <c r="B609" s="109"/>
      <c r="C609" s="118"/>
      <c r="D609" s="118" t="str">
        <f t="shared" si="9"/>
        <v/>
      </c>
      <c r="E609" s="131"/>
      <c r="F609" s="131"/>
    </row>
    <row r="610" spans="1:6" ht="15.75" x14ac:dyDescent="0.25">
      <c r="A610" s="109"/>
      <c r="B610" s="109"/>
      <c r="C610" s="118"/>
      <c r="D610" s="118" t="str">
        <f t="shared" si="9"/>
        <v/>
      </c>
      <c r="E610" s="131"/>
      <c r="F610" s="131"/>
    </row>
    <row r="611" spans="1:6" ht="15.75" x14ac:dyDescent="0.25">
      <c r="A611" s="109"/>
      <c r="B611" s="109"/>
      <c r="C611" s="118"/>
      <c r="D611" s="118" t="str">
        <f t="shared" si="9"/>
        <v/>
      </c>
      <c r="E611" s="131"/>
      <c r="F611" s="131"/>
    </row>
    <row r="612" spans="1:6" ht="15.75" x14ac:dyDescent="0.25">
      <c r="A612" s="109"/>
      <c r="B612" s="109"/>
      <c r="C612" s="118"/>
      <c r="D612" s="118" t="str">
        <f t="shared" si="9"/>
        <v/>
      </c>
      <c r="E612" s="131"/>
      <c r="F612" s="131"/>
    </row>
    <row r="613" spans="1:6" ht="15.75" x14ac:dyDescent="0.25">
      <c r="A613" s="109"/>
      <c r="B613" s="109"/>
      <c r="C613" s="118"/>
      <c r="D613" s="118" t="str">
        <f t="shared" si="9"/>
        <v/>
      </c>
      <c r="E613" s="131"/>
      <c r="F613" s="131"/>
    </row>
    <row r="614" spans="1:6" ht="15.75" x14ac:dyDescent="0.25">
      <c r="A614" s="109"/>
      <c r="B614" s="109"/>
      <c r="C614" s="118"/>
      <c r="D614" s="118" t="str">
        <f t="shared" si="9"/>
        <v/>
      </c>
      <c r="E614" s="131"/>
      <c r="F614" s="131"/>
    </row>
    <row r="615" spans="1:6" ht="15.75" x14ac:dyDescent="0.25">
      <c r="A615" s="109"/>
      <c r="B615" s="109"/>
      <c r="C615" s="118"/>
      <c r="D615" s="118" t="str">
        <f t="shared" si="9"/>
        <v/>
      </c>
      <c r="E615" s="131"/>
      <c r="F615" s="131"/>
    </row>
    <row r="616" spans="1:6" ht="15.75" x14ac:dyDescent="0.25">
      <c r="A616" s="109"/>
      <c r="B616" s="109"/>
      <c r="C616" s="118"/>
      <c r="D616" s="118" t="str">
        <f t="shared" si="9"/>
        <v/>
      </c>
      <c r="E616" s="131"/>
      <c r="F616" s="131"/>
    </row>
    <row r="617" spans="1:6" ht="15.75" x14ac:dyDescent="0.25">
      <c r="A617" s="109"/>
      <c r="B617" s="109"/>
      <c r="C617" s="118"/>
      <c r="D617" s="118" t="str">
        <f t="shared" si="9"/>
        <v/>
      </c>
      <c r="E617" s="131"/>
      <c r="F617" s="131"/>
    </row>
    <row r="618" spans="1:6" ht="15.75" x14ac:dyDescent="0.25">
      <c r="A618" s="109"/>
      <c r="B618" s="109"/>
      <c r="C618" s="118"/>
      <c r="D618" s="118" t="str">
        <f t="shared" si="9"/>
        <v/>
      </c>
      <c r="E618" s="131"/>
      <c r="F618" s="131"/>
    </row>
    <row r="619" spans="1:6" ht="15.75" x14ac:dyDescent="0.25">
      <c r="A619" s="109"/>
      <c r="B619" s="109"/>
      <c r="C619" s="118"/>
      <c r="D619" s="118" t="str">
        <f t="shared" si="9"/>
        <v/>
      </c>
      <c r="E619" s="131"/>
      <c r="F619" s="131"/>
    </row>
    <row r="620" spans="1:6" ht="15.75" x14ac:dyDescent="0.25">
      <c r="A620" s="109"/>
      <c r="B620" s="109"/>
      <c r="C620" s="118"/>
      <c r="D620" s="118" t="str">
        <f t="shared" si="9"/>
        <v/>
      </c>
      <c r="E620" s="131"/>
      <c r="F620" s="131"/>
    </row>
    <row r="621" spans="1:6" ht="15.75" x14ac:dyDescent="0.25">
      <c r="A621" s="109"/>
      <c r="B621" s="109"/>
      <c r="C621" s="118"/>
      <c r="D621" s="118" t="str">
        <f t="shared" si="9"/>
        <v/>
      </c>
      <c r="E621" s="131"/>
      <c r="F621" s="131"/>
    </row>
    <row r="622" spans="1:6" ht="15.75" x14ac:dyDescent="0.25">
      <c r="A622" s="109"/>
      <c r="B622" s="109"/>
      <c r="C622" s="118"/>
      <c r="D622" s="118" t="str">
        <f t="shared" si="9"/>
        <v/>
      </c>
      <c r="E622" s="131"/>
      <c r="F622" s="131"/>
    </row>
    <row r="623" spans="1:6" ht="15.75" x14ac:dyDescent="0.25">
      <c r="A623" s="109"/>
      <c r="B623" s="109"/>
      <c r="C623" s="118"/>
      <c r="D623" s="118" t="str">
        <f t="shared" si="9"/>
        <v/>
      </c>
      <c r="E623" s="131"/>
      <c r="F623" s="131"/>
    </row>
    <row r="624" spans="1:6" ht="15.75" x14ac:dyDescent="0.25">
      <c r="A624" s="109"/>
      <c r="B624" s="109"/>
      <c r="C624" s="118"/>
      <c r="D624" s="118" t="str">
        <f t="shared" si="9"/>
        <v/>
      </c>
      <c r="E624" s="131"/>
      <c r="F624" s="131"/>
    </row>
    <row r="625" spans="1:6" ht="15.75" x14ac:dyDescent="0.25">
      <c r="A625" s="109"/>
      <c r="B625" s="109"/>
      <c r="C625" s="118"/>
      <c r="D625" s="118" t="str">
        <f t="shared" si="9"/>
        <v/>
      </c>
      <c r="E625" s="131"/>
      <c r="F625" s="131"/>
    </row>
    <row r="626" spans="1:6" ht="15.75" x14ac:dyDescent="0.25">
      <c r="A626" s="109"/>
      <c r="B626" s="109"/>
      <c r="C626" s="118"/>
      <c r="D626" s="118" t="str">
        <f t="shared" si="9"/>
        <v/>
      </c>
      <c r="E626" s="131"/>
      <c r="F626" s="131"/>
    </row>
    <row r="627" spans="1:6" ht="15.75" x14ac:dyDescent="0.25">
      <c r="A627" s="109"/>
      <c r="B627" s="109"/>
      <c r="C627" s="118"/>
      <c r="D627" s="118" t="str">
        <f t="shared" si="9"/>
        <v/>
      </c>
      <c r="E627" s="131"/>
      <c r="F627" s="131"/>
    </row>
    <row r="628" spans="1:6" ht="15.75" x14ac:dyDescent="0.25">
      <c r="A628" s="109"/>
      <c r="B628" s="109"/>
      <c r="C628" s="118"/>
      <c r="D628" s="118" t="str">
        <f t="shared" si="9"/>
        <v/>
      </c>
      <c r="E628" s="131"/>
      <c r="F628" s="131"/>
    </row>
    <row r="629" spans="1:6" ht="15.75" x14ac:dyDescent="0.25">
      <c r="A629" s="109"/>
      <c r="B629" s="109"/>
      <c r="C629" s="118"/>
      <c r="D629" s="118" t="str">
        <f t="shared" si="9"/>
        <v/>
      </c>
      <c r="E629" s="131"/>
      <c r="F629" s="131"/>
    </row>
    <row r="630" spans="1:6" ht="15.75" x14ac:dyDescent="0.25">
      <c r="A630" s="109"/>
      <c r="B630" s="109"/>
      <c r="C630" s="118"/>
      <c r="D630" s="118" t="str">
        <f t="shared" si="9"/>
        <v/>
      </c>
      <c r="E630" s="131"/>
      <c r="F630" s="131"/>
    </row>
    <row r="631" spans="1:6" ht="15.75" x14ac:dyDescent="0.25">
      <c r="A631" s="109"/>
      <c r="B631" s="109"/>
      <c r="C631" s="118"/>
      <c r="D631" s="118" t="str">
        <f t="shared" si="9"/>
        <v/>
      </c>
      <c r="E631" s="131"/>
      <c r="F631" s="131"/>
    </row>
    <row r="632" spans="1:6" ht="15.75" x14ac:dyDescent="0.25">
      <c r="A632" s="109"/>
      <c r="B632" s="109"/>
      <c r="C632" s="118"/>
      <c r="D632" s="118" t="str">
        <f t="shared" si="9"/>
        <v/>
      </c>
      <c r="E632" s="131"/>
      <c r="F632" s="131"/>
    </row>
    <row r="633" spans="1:6" ht="15.75" x14ac:dyDescent="0.25">
      <c r="A633" s="109"/>
      <c r="B633" s="109"/>
      <c r="C633" s="118"/>
      <c r="D633" s="118" t="str">
        <f t="shared" si="9"/>
        <v/>
      </c>
      <c r="E633" s="131"/>
      <c r="F633" s="131"/>
    </row>
    <row r="634" spans="1:6" ht="15.75" x14ac:dyDescent="0.25">
      <c r="A634" s="109"/>
      <c r="B634" s="109"/>
      <c r="C634" s="118"/>
      <c r="D634" s="118" t="str">
        <f t="shared" si="9"/>
        <v/>
      </c>
      <c r="E634" s="131"/>
      <c r="F634" s="131"/>
    </row>
    <row r="635" spans="1:6" ht="15.75" x14ac:dyDescent="0.25">
      <c r="A635" s="109"/>
      <c r="B635" s="109"/>
      <c r="C635" s="118"/>
      <c r="D635" s="118" t="str">
        <f t="shared" si="9"/>
        <v/>
      </c>
      <c r="E635" s="131"/>
      <c r="F635" s="131"/>
    </row>
    <row r="636" spans="1:6" ht="15.75" x14ac:dyDescent="0.25">
      <c r="A636" s="109"/>
      <c r="B636" s="109"/>
      <c r="C636" s="118"/>
      <c r="D636" s="118" t="str">
        <f t="shared" si="9"/>
        <v/>
      </c>
      <c r="E636" s="131"/>
      <c r="F636" s="131"/>
    </row>
    <row r="637" spans="1:6" ht="15.75" x14ac:dyDescent="0.25">
      <c r="A637" s="109"/>
      <c r="B637" s="109"/>
      <c r="C637" s="118"/>
      <c r="D637" s="118" t="str">
        <f t="shared" si="9"/>
        <v/>
      </c>
      <c r="E637" s="131"/>
      <c r="F637" s="131"/>
    </row>
    <row r="638" spans="1:6" ht="15.75" x14ac:dyDescent="0.25">
      <c r="A638" s="109"/>
      <c r="B638" s="109"/>
      <c r="C638" s="118"/>
      <c r="D638" s="118" t="str">
        <f t="shared" si="9"/>
        <v/>
      </c>
      <c r="E638" s="131"/>
      <c r="F638" s="131"/>
    </row>
    <row r="639" spans="1:6" ht="15.75" x14ac:dyDescent="0.25">
      <c r="A639" s="109"/>
      <c r="B639" s="109"/>
      <c r="C639" s="118"/>
      <c r="D639" s="118" t="str">
        <f t="shared" si="9"/>
        <v/>
      </c>
      <c r="E639" s="131"/>
      <c r="F639" s="131"/>
    </row>
    <row r="640" spans="1:6" ht="15.75" x14ac:dyDescent="0.25">
      <c r="A640" s="109"/>
      <c r="B640" s="109"/>
      <c r="C640" s="118"/>
      <c r="D640" s="118" t="str">
        <f t="shared" si="9"/>
        <v/>
      </c>
      <c r="E640" s="131"/>
      <c r="F640" s="131"/>
    </row>
    <row r="641" spans="1:6" ht="15.75" x14ac:dyDescent="0.25">
      <c r="A641" s="109"/>
      <c r="B641" s="109"/>
      <c r="C641" s="118"/>
      <c r="D641" s="118" t="str">
        <f t="shared" si="9"/>
        <v/>
      </c>
      <c r="E641" s="131"/>
      <c r="F641" s="131"/>
    </row>
    <row r="642" spans="1:6" ht="15.75" x14ac:dyDescent="0.25">
      <c r="A642" s="109"/>
      <c r="B642" s="109"/>
      <c r="C642" s="118"/>
      <c r="D642" s="118" t="str">
        <f t="shared" si="9"/>
        <v/>
      </c>
      <c r="E642" s="131"/>
      <c r="F642" s="131"/>
    </row>
    <row r="643" spans="1:6" ht="15.75" x14ac:dyDescent="0.25">
      <c r="A643" s="109"/>
      <c r="B643" s="109"/>
      <c r="C643" s="118"/>
      <c r="D643" s="118" t="str">
        <f t="shared" si="9"/>
        <v/>
      </c>
      <c r="E643" s="131"/>
      <c r="F643" s="131"/>
    </row>
    <row r="644" spans="1:6" ht="15.75" x14ac:dyDescent="0.25">
      <c r="A644" s="109"/>
      <c r="B644" s="109"/>
      <c r="C644" s="118"/>
      <c r="D644" s="118" t="str">
        <f t="shared" si="9"/>
        <v/>
      </c>
      <c r="E644" s="131"/>
      <c r="F644" s="131"/>
    </row>
    <row r="645" spans="1:6" ht="15.75" x14ac:dyDescent="0.25">
      <c r="A645" s="109"/>
      <c r="B645" s="109"/>
      <c r="C645" s="118"/>
      <c r="D645" s="118" t="str">
        <f t="shared" si="9"/>
        <v/>
      </c>
      <c r="E645" s="131"/>
      <c r="F645" s="131"/>
    </row>
    <row r="646" spans="1:6" ht="15.75" x14ac:dyDescent="0.25">
      <c r="A646" s="109"/>
      <c r="B646" s="109"/>
      <c r="C646" s="118"/>
      <c r="D646" s="118" t="str">
        <f t="shared" si="9"/>
        <v/>
      </c>
      <c r="E646" s="131"/>
      <c r="F646" s="131"/>
    </row>
    <row r="647" spans="1:6" ht="15.75" x14ac:dyDescent="0.25">
      <c r="A647" s="109"/>
      <c r="B647" s="109"/>
      <c r="C647" s="118"/>
      <c r="D647" s="118" t="str">
        <f t="shared" si="9"/>
        <v/>
      </c>
      <c r="E647" s="131"/>
      <c r="F647" s="131"/>
    </row>
    <row r="648" spans="1:6" ht="15.75" x14ac:dyDescent="0.25">
      <c r="A648" s="109"/>
      <c r="B648" s="109"/>
      <c r="C648" s="118"/>
      <c r="D648" s="118" t="str">
        <f t="shared" si="9"/>
        <v/>
      </c>
      <c r="E648" s="131"/>
      <c r="F648" s="131"/>
    </row>
    <row r="649" spans="1:6" ht="15.75" x14ac:dyDescent="0.25">
      <c r="A649" s="109"/>
      <c r="B649" s="109"/>
      <c r="C649" s="118"/>
      <c r="D649" s="118" t="str">
        <f t="shared" si="9"/>
        <v/>
      </c>
      <c r="E649" s="131"/>
      <c r="F649" s="131"/>
    </row>
    <row r="650" spans="1:6" ht="15.75" x14ac:dyDescent="0.25">
      <c r="A650" s="109"/>
      <c r="B650" s="109"/>
      <c r="C650" s="118"/>
      <c r="D650" s="118" t="str">
        <f t="shared" si="9"/>
        <v/>
      </c>
      <c r="E650" s="131"/>
      <c r="F650" s="131"/>
    </row>
    <row r="651" spans="1:6" ht="15.75" x14ac:dyDescent="0.25">
      <c r="A651" s="109"/>
      <c r="B651" s="109"/>
      <c r="C651" s="118"/>
      <c r="D651" s="118" t="str">
        <f t="shared" ref="D651:D714" si="10">IF(A651=0,"","MinMax")</f>
        <v/>
      </c>
      <c r="E651" s="131"/>
      <c r="F651" s="131"/>
    </row>
    <row r="652" spans="1:6" ht="15.75" x14ac:dyDescent="0.25">
      <c r="A652" s="109"/>
      <c r="B652" s="109"/>
      <c r="C652" s="118"/>
      <c r="D652" s="118" t="str">
        <f t="shared" si="10"/>
        <v/>
      </c>
      <c r="E652" s="131"/>
      <c r="F652" s="131"/>
    </row>
    <row r="653" spans="1:6" ht="15.75" x14ac:dyDescent="0.25">
      <c r="A653" s="109"/>
      <c r="B653" s="109"/>
      <c r="C653" s="118"/>
      <c r="D653" s="118" t="str">
        <f t="shared" si="10"/>
        <v/>
      </c>
      <c r="E653" s="131"/>
      <c r="F653" s="131"/>
    </row>
    <row r="654" spans="1:6" ht="15.75" x14ac:dyDescent="0.25">
      <c r="A654" s="109"/>
      <c r="B654" s="109"/>
      <c r="C654" s="118"/>
      <c r="D654" s="118" t="str">
        <f t="shared" si="10"/>
        <v/>
      </c>
      <c r="E654" s="131"/>
      <c r="F654" s="131"/>
    </row>
    <row r="655" spans="1:6" ht="15.75" x14ac:dyDescent="0.25">
      <c r="A655" s="109"/>
      <c r="B655" s="109"/>
      <c r="C655" s="118"/>
      <c r="D655" s="118" t="str">
        <f t="shared" si="10"/>
        <v/>
      </c>
      <c r="E655" s="131"/>
      <c r="F655" s="131"/>
    </row>
    <row r="656" spans="1:6" ht="15.75" x14ac:dyDescent="0.25">
      <c r="A656" s="109"/>
      <c r="B656" s="109"/>
      <c r="C656" s="118"/>
      <c r="D656" s="118" t="str">
        <f t="shared" si="10"/>
        <v/>
      </c>
      <c r="E656" s="131"/>
      <c r="F656" s="131"/>
    </row>
    <row r="657" spans="1:6" ht="15.75" x14ac:dyDescent="0.25">
      <c r="A657" s="109"/>
      <c r="B657" s="109"/>
      <c r="C657" s="118"/>
      <c r="D657" s="118" t="str">
        <f t="shared" si="10"/>
        <v/>
      </c>
      <c r="E657" s="131"/>
      <c r="F657" s="131"/>
    </row>
    <row r="658" spans="1:6" ht="15.75" x14ac:dyDescent="0.25">
      <c r="A658" s="109"/>
      <c r="B658" s="109"/>
      <c r="C658" s="118"/>
      <c r="D658" s="118" t="str">
        <f t="shared" si="10"/>
        <v/>
      </c>
      <c r="E658" s="131"/>
      <c r="F658" s="131"/>
    </row>
    <row r="659" spans="1:6" ht="15.75" x14ac:dyDescent="0.25">
      <c r="A659" s="109"/>
      <c r="B659" s="109"/>
      <c r="C659" s="118"/>
      <c r="D659" s="118" t="str">
        <f t="shared" si="10"/>
        <v/>
      </c>
      <c r="E659" s="131"/>
      <c r="F659" s="131"/>
    </row>
    <row r="660" spans="1:6" ht="15.75" x14ac:dyDescent="0.25">
      <c r="A660" s="109"/>
      <c r="B660" s="109"/>
      <c r="C660" s="118"/>
      <c r="D660" s="118" t="str">
        <f t="shared" si="10"/>
        <v/>
      </c>
      <c r="E660" s="131"/>
      <c r="F660" s="131"/>
    </row>
    <row r="661" spans="1:6" ht="15.75" x14ac:dyDescent="0.25">
      <c r="A661" s="109"/>
      <c r="B661" s="109"/>
      <c r="C661" s="118"/>
      <c r="D661" s="118" t="str">
        <f t="shared" si="10"/>
        <v/>
      </c>
      <c r="E661" s="131"/>
      <c r="F661" s="131"/>
    </row>
    <row r="662" spans="1:6" ht="15.75" x14ac:dyDescent="0.25">
      <c r="A662" s="109"/>
      <c r="B662" s="109"/>
      <c r="C662" s="118"/>
      <c r="D662" s="118" t="str">
        <f t="shared" si="10"/>
        <v/>
      </c>
      <c r="E662" s="131"/>
      <c r="F662" s="131"/>
    </row>
    <row r="663" spans="1:6" ht="15.75" x14ac:dyDescent="0.25">
      <c r="A663" s="109"/>
      <c r="B663" s="109"/>
      <c r="C663" s="118"/>
      <c r="D663" s="118" t="str">
        <f t="shared" si="10"/>
        <v/>
      </c>
      <c r="E663" s="131"/>
      <c r="F663" s="131"/>
    </row>
    <row r="664" spans="1:6" ht="15.75" x14ac:dyDescent="0.25">
      <c r="A664" s="109"/>
      <c r="B664" s="109"/>
      <c r="C664" s="118"/>
      <c r="D664" s="118" t="str">
        <f t="shared" si="10"/>
        <v/>
      </c>
      <c r="E664" s="131"/>
      <c r="F664" s="131"/>
    </row>
    <row r="665" spans="1:6" ht="15.75" x14ac:dyDescent="0.25">
      <c r="A665" s="109"/>
      <c r="B665" s="109"/>
      <c r="C665" s="118"/>
      <c r="D665" s="118" t="str">
        <f t="shared" si="10"/>
        <v/>
      </c>
      <c r="E665" s="131"/>
      <c r="F665" s="131"/>
    </row>
    <row r="666" spans="1:6" ht="15.75" x14ac:dyDescent="0.25">
      <c r="A666" s="109"/>
      <c r="B666" s="109"/>
      <c r="C666" s="118"/>
      <c r="D666" s="118" t="str">
        <f t="shared" si="10"/>
        <v/>
      </c>
      <c r="E666" s="131"/>
      <c r="F666" s="131"/>
    </row>
    <row r="667" spans="1:6" ht="15.75" x14ac:dyDescent="0.25">
      <c r="A667" s="109"/>
      <c r="B667" s="109"/>
      <c r="C667" s="118"/>
      <c r="D667" s="118" t="str">
        <f t="shared" si="10"/>
        <v/>
      </c>
      <c r="E667" s="131"/>
      <c r="F667" s="131"/>
    </row>
    <row r="668" spans="1:6" ht="15.75" x14ac:dyDescent="0.25">
      <c r="A668" s="109"/>
      <c r="B668" s="109"/>
      <c r="C668" s="118"/>
      <c r="D668" s="118" t="str">
        <f t="shared" si="10"/>
        <v/>
      </c>
      <c r="E668" s="131"/>
      <c r="F668" s="131"/>
    </row>
    <row r="669" spans="1:6" ht="15.75" x14ac:dyDescent="0.25">
      <c r="A669" s="109"/>
      <c r="B669" s="109"/>
      <c r="C669" s="118"/>
      <c r="D669" s="118" t="str">
        <f t="shared" si="10"/>
        <v/>
      </c>
      <c r="E669" s="131"/>
      <c r="F669" s="131"/>
    </row>
    <row r="670" spans="1:6" ht="15.75" x14ac:dyDescent="0.25">
      <c r="A670" s="109"/>
      <c r="B670" s="109"/>
      <c r="C670" s="118"/>
      <c r="D670" s="118" t="str">
        <f t="shared" si="10"/>
        <v/>
      </c>
      <c r="E670" s="131"/>
      <c r="F670" s="131"/>
    </row>
    <row r="671" spans="1:6" ht="15.75" x14ac:dyDescent="0.25">
      <c r="A671" s="109"/>
      <c r="B671" s="109"/>
      <c r="C671" s="118"/>
      <c r="D671" s="118" t="str">
        <f t="shared" si="10"/>
        <v/>
      </c>
      <c r="E671" s="131"/>
      <c r="F671" s="131"/>
    </row>
    <row r="672" spans="1:6" ht="15.75" x14ac:dyDescent="0.25">
      <c r="A672" s="109"/>
      <c r="B672" s="109"/>
      <c r="C672" s="118"/>
      <c r="D672" s="118" t="str">
        <f t="shared" si="10"/>
        <v/>
      </c>
      <c r="E672" s="131"/>
      <c r="F672" s="131"/>
    </row>
    <row r="673" spans="1:6" ht="15.75" x14ac:dyDescent="0.25">
      <c r="A673" s="109"/>
      <c r="B673" s="109"/>
      <c r="C673" s="118"/>
      <c r="D673" s="118" t="str">
        <f t="shared" si="10"/>
        <v/>
      </c>
      <c r="E673" s="131"/>
      <c r="F673" s="131"/>
    </row>
    <row r="674" spans="1:6" ht="15.75" x14ac:dyDescent="0.25">
      <c r="A674" s="109"/>
      <c r="B674" s="109"/>
      <c r="C674" s="118"/>
      <c r="D674" s="118" t="str">
        <f t="shared" si="10"/>
        <v/>
      </c>
      <c r="E674" s="131"/>
      <c r="F674" s="131"/>
    </row>
    <row r="675" spans="1:6" ht="15.75" x14ac:dyDescent="0.25">
      <c r="A675" s="109"/>
      <c r="B675" s="109"/>
      <c r="C675" s="118"/>
      <c r="D675" s="118" t="str">
        <f t="shared" si="10"/>
        <v/>
      </c>
      <c r="E675" s="131"/>
      <c r="F675" s="131"/>
    </row>
    <row r="676" spans="1:6" ht="15.75" x14ac:dyDescent="0.25">
      <c r="A676" s="109"/>
      <c r="B676" s="109"/>
      <c r="C676" s="118"/>
      <c r="D676" s="118" t="str">
        <f t="shared" si="10"/>
        <v/>
      </c>
      <c r="E676" s="131"/>
      <c r="F676" s="131"/>
    </row>
    <row r="677" spans="1:6" ht="15.75" x14ac:dyDescent="0.25">
      <c r="A677" s="109"/>
      <c r="B677" s="109"/>
      <c r="C677" s="118"/>
      <c r="D677" s="118" t="str">
        <f t="shared" si="10"/>
        <v/>
      </c>
      <c r="E677" s="131"/>
      <c r="F677" s="131"/>
    </row>
    <row r="678" spans="1:6" ht="15.75" x14ac:dyDescent="0.25">
      <c r="A678" s="109"/>
      <c r="B678" s="109"/>
      <c r="C678" s="118"/>
      <c r="D678" s="118" t="str">
        <f t="shared" si="10"/>
        <v/>
      </c>
      <c r="E678" s="131"/>
      <c r="F678" s="131"/>
    </row>
    <row r="679" spans="1:6" ht="15.75" x14ac:dyDescent="0.25">
      <c r="A679" s="109"/>
      <c r="B679" s="109"/>
      <c r="C679" s="118"/>
      <c r="D679" s="118" t="str">
        <f t="shared" si="10"/>
        <v/>
      </c>
      <c r="E679" s="131"/>
      <c r="F679" s="131"/>
    </row>
    <row r="680" spans="1:6" ht="15.75" x14ac:dyDescent="0.25">
      <c r="A680" s="109"/>
      <c r="B680" s="109"/>
      <c r="C680" s="118"/>
      <c r="D680" s="118" t="str">
        <f t="shared" si="10"/>
        <v/>
      </c>
      <c r="E680" s="131"/>
      <c r="F680" s="131"/>
    </row>
    <row r="681" spans="1:6" ht="15.75" x14ac:dyDescent="0.25">
      <c r="A681" s="109"/>
      <c r="B681" s="109"/>
      <c r="C681" s="118"/>
      <c r="D681" s="118" t="str">
        <f t="shared" si="10"/>
        <v/>
      </c>
      <c r="E681" s="131"/>
      <c r="F681" s="131"/>
    </row>
    <row r="682" spans="1:6" ht="15.75" x14ac:dyDescent="0.25">
      <c r="A682" s="109"/>
      <c r="B682" s="109"/>
      <c r="C682" s="118"/>
      <c r="D682" s="118" t="str">
        <f t="shared" si="10"/>
        <v/>
      </c>
      <c r="E682" s="131"/>
      <c r="F682" s="131"/>
    </row>
    <row r="683" spans="1:6" ht="15.75" x14ac:dyDescent="0.25">
      <c r="A683" s="109"/>
      <c r="B683" s="109"/>
      <c r="C683" s="118"/>
      <c r="D683" s="118" t="str">
        <f t="shared" si="10"/>
        <v/>
      </c>
      <c r="E683" s="131"/>
      <c r="F683" s="131"/>
    </row>
    <row r="684" spans="1:6" ht="15.75" x14ac:dyDescent="0.25">
      <c r="A684" s="109"/>
      <c r="B684" s="109"/>
      <c r="C684" s="118"/>
      <c r="D684" s="118" t="str">
        <f t="shared" si="10"/>
        <v/>
      </c>
      <c r="E684" s="131"/>
      <c r="F684" s="131"/>
    </row>
    <row r="685" spans="1:6" ht="15.75" x14ac:dyDescent="0.25">
      <c r="A685" s="109"/>
      <c r="B685" s="109"/>
      <c r="C685" s="118"/>
      <c r="D685" s="118" t="str">
        <f t="shared" si="10"/>
        <v/>
      </c>
      <c r="E685" s="131"/>
      <c r="F685" s="131"/>
    </row>
    <row r="686" spans="1:6" ht="15.75" x14ac:dyDescent="0.25">
      <c r="A686" s="109"/>
      <c r="B686" s="109"/>
      <c r="C686" s="118"/>
      <c r="D686" s="118" t="str">
        <f t="shared" si="10"/>
        <v/>
      </c>
      <c r="E686" s="131"/>
      <c r="F686" s="131"/>
    </row>
    <row r="687" spans="1:6" ht="15.75" x14ac:dyDescent="0.25">
      <c r="A687" s="109"/>
      <c r="B687" s="109"/>
      <c r="C687" s="118"/>
      <c r="D687" s="118" t="str">
        <f t="shared" si="10"/>
        <v/>
      </c>
      <c r="E687" s="131"/>
      <c r="F687" s="131"/>
    </row>
    <row r="688" spans="1:6" ht="15.75" x14ac:dyDescent="0.25">
      <c r="A688" s="109"/>
      <c r="B688" s="109"/>
      <c r="C688" s="118"/>
      <c r="D688" s="118" t="str">
        <f t="shared" si="10"/>
        <v/>
      </c>
      <c r="E688" s="131"/>
      <c r="F688" s="131"/>
    </row>
    <row r="689" spans="1:6" ht="15.75" x14ac:dyDescent="0.25">
      <c r="A689" s="109"/>
      <c r="B689" s="109"/>
      <c r="C689" s="118"/>
      <c r="D689" s="118" t="str">
        <f t="shared" si="10"/>
        <v/>
      </c>
      <c r="E689" s="131"/>
      <c r="F689" s="131"/>
    </row>
    <row r="690" spans="1:6" ht="15.75" x14ac:dyDescent="0.25">
      <c r="A690" s="109"/>
      <c r="B690" s="109"/>
      <c r="C690" s="118"/>
      <c r="D690" s="118" t="str">
        <f t="shared" si="10"/>
        <v/>
      </c>
      <c r="E690" s="131"/>
      <c r="F690" s="131"/>
    </row>
    <row r="691" spans="1:6" ht="15.75" x14ac:dyDescent="0.25">
      <c r="A691" s="109"/>
      <c r="B691" s="109"/>
      <c r="C691" s="118"/>
      <c r="D691" s="118" t="str">
        <f t="shared" si="10"/>
        <v/>
      </c>
      <c r="E691" s="131"/>
      <c r="F691" s="131"/>
    </row>
    <row r="692" spans="1:6" ht="15.75" x14ac:dyDescent="0.25">
      <c r="A692" s="109"/>
      <c r="B692" s="109"/>
      <c r="C692" s="118"/>
      <c r="D692" s="118" t="str">
        <f t="shared" si="10"/>
        <v/>
      </c>
      <c r="E692" s="131"/>
      <c r="F692" s="131"/>
    </row>
    <row r="693" spans="1:6" ht="15.75" x14ac:dyDescent="0.25">
      <c r="A693" s="109"/>
      <c r="B693" s="109"/>
      <c r="C693" s="118"/>
      <c r="D693" s="118" t="str">
        <f t="shared" si="10"/>
        <v/>
      </c>
      <c r="E693" s="131"/>
      <c r="F693" s="131"/>
    </row>
    <row r="694" spans="1:6" ht="15.75" x14ac:dyDescent="0.25">
      <c r="A694" s="109"/>
      <c r="B694" s="109"/>
      <c r="C694" s="118"/>
      <c r="D694" s="118" t="str">
        <f t="shared" si="10"/>
        <v/>
      </c>
      <c r="E694" s="131"/>
      <c r="F694" s="131"/>
    </row>
    <row r="695" spans="1:6" ht="15.75" x14ac:dyDescent="0.25">
      <c r="A695" s="109"/>
      <c r="B695" s="109"/>
      <c r="C695" s="118"/>
      <c r="D695" s="118" t="str">
        <f t="shared" si="10"/>
        <v/>
      </c>
      <c r="E695" s="131"/>
      <c r="F695" s="131"/>
    </row>
    <row r="696" spans="1:6" ht="15.75" x14ac:dyDescent="0.25">
      <c r="A696" s="109"/>
      <c r="B696" s="109"/>
      <c r="C696" s="118"/>
      <c r="D696" s="118" t="str">
        <f t="shared" si="10"/>
        <v/>
      </c>
      <c r="E696" s="131"/>
      <c r="F696" s="131"/>
    </row>
    <row r="697" spans="1:6" ht="15.75" x14ac:dyDescent="0.25">
      <c r="A697" s="109"/>
      <c r="B697" s="109"/>
      <c r="C697" s="118"/>
      <c r="D697" s="118" t="str">
        <f t="shared" si="10"/>
        <v/>
      </c>
      <c r="E697" s="131"/>
      <c r="F697" s="131"/>
    </row>
    <row r="698" spans="1:6" ht="15.75" x14ac:dyDescent="0.25">
      <c r="A698" s="109"/>
      <c r="B698" s="109"/>
      <c r="C698" s="118"/>
      <c r="D698" s="118" t="str">
        <f t="shared" si="10"/>
        <v/>
      </c>
      <c r="E698" s="131"/>
      <c r="F698" s="131"/>
    </row>
    <row r="699" spans="1:6" ht="15.75" x14ac:dyDescent="0.25">
      <c r="A699" s="109"/>
      <c r="B699" s="109"/>
      <c r="C699" s="118"/>
      <c r="D699" s="118" t="str">
        <f t="shared" si="10"/>
        <v/>
      </c>
      <c r="E699" s="131"/>
      <c r="F699" s="131"/>
    </row>
    <row r="700" spans="1:6" ht="15.75" x14ac:dyDescent="0.25">
      <c r="A700" s="109"/>
      <c r="B700" s="109"/>
      <c r="C700" s="118"/>
      <c r="D700" s="118" t="str">
        <f t="shared" si="10"/>
        <v/>
      </c>
      <c r="E700" s="131"/>
      <c r="F700" s="131"/>
    </row>
    <row r="701" spans="1:6" ht="15.75" x14ac:dyDescent="0.25">
      <c r="A701" s="109"/>
      <c r="B701" s="109"/>
      <c r="C701" s="118"/>
      <c r="D701" s="118" t="str">
        <f t="shared" si="10"/>
        <v/>
      </c>
      <c r="E701" s="131"/>
      <c r="F701" s="131"/>
    </row>
    <row r="702" spans="1:6" ht="15.75" x14ac:dyDescent="0.25">
      <c r="A702" s="109"/>
      <c r="B702" s="109"/>
      <c r="C702" s="118"/>
      <c r="D702" s="118" t="str">
        <f t="shared" si="10"/>
        <v/>
      </c>
      <c r="E702" s="131"/>
      <c r="F702" s="131"/>
    </row>
    <row r="703" spans="1:6" ht="15.75" x14ac:dyDescent="0.25">
      <c r="A703" s="109"/>
      <c r="B703" s="109"/>
      <c r="C703" s="118"/>
      <c r="D703" s="118" t="str">
        <f t="shared" si="10"/>
        <v/>
      </c>
      <c r="E703" s="131"/>
      <c r="F703" s="131"/>
    </row>
    <row r="704" spans="1:6" ht="15.75" x14ac:dyDescent="0.25">
      <c r="A704" s="109"/>
      <c r="B704" s="109"/>
      <c r="C704" s="118"/>
      <c r="D704" s="118" t="str">
        <f t="shared" si="10"/>
        <v/>
      </c>
      <c r="E704" s="131"/>
      <c r="F704" s="131"/>
    </row>
    <row r="705" spans="1:6" ht="15.75" x14ac:dyDescent="0.25">
      <c r="A705" s="109"/>
      <c r="B705" s="109"/>
      <c r="C705" s="118"/>
      <c r="D705" s="118" t="str">
        <f t="shared" si="10"/>
        <v/>
      </c>
      <c r="E705" s="131"/>
      <c r="F705" s="131"/>
    </row>
    <row r="706" spans="1:6" ht="15.75" x14ac:dyDescent="0.25">
      <c r="A706" s="109"/>
      <c r="B706" s="109"/>
      <c r="C706" s="118"/>
      <c r="D706" s="118" t="str">
        <f t="shared" si="10"/>
        <v/>
      </c>
      <c r="E706" s="131"/>
      <c r="F706" s="131"/>
    </row>
    <row r="707" spans="1:6" ht="15.75" x14ac:dyDescent="0.25">
      <c r="A707" s="109"/>
      <c r="B707" s="109"/>
      <c r="C707" s="118"/>
      <c r="D707" s="118" t="str">
        <f t="shared" si="10"/>
        <v/>
      </c>
      <c r="E707" s="131"/>
      <c r="F707" s="131"/>
    </row>
    <row r="708" spans="1:6" ht="15.75" x14ac:dyDescent="0.25">
      <c r="A708" s="109"/>
      <c r="B708" s="109"/>
      <c r="C708" s="118"/>
      <c r="D708" s="118" t="str">
        <f t="shared" si="10"/>
        <v/>
      </c>
      <c r="E708" s="131"/>
      <c r="F708" s="131"/>
    </row>
    <row r="709" spans="1:6" ht="15.75" x14ac:dyDescent="0.25">
      <c r="A709" s="109"/>
      <c r="B709" s="109"/>
      <c r="C709" s="118"/>
      <c r="D709" s="118" t="str">
        <f t="shared" si="10"/>
        <v/>
      </c>
      <c r="E709" s="131"/>
      <c r="F709" s="131"/>
    </row>
    <row r="710" spans="1:6" ht="15.75" x14ac:dyDescent="0.25">
      <c r="A710" s="109"/>
      <c r="B710" s="109"/>
      <c r="C710" s="118"/>
      <c r="D710" s="118" t="str">
        <f t="shared" si="10"/>
        <v/>
      </c>
      <c r="E710" s="131"/>
      <c r="F710" s="131"/>
    </row>
    <row r="711" spans="1:6" ht="15.75" x14ac:dyDescent="0.25">
      <c r="A711" s="109"/>
      <c r="B711" s="109"/>
      <c r="C711" s="118"/>
      <c r="D711" s="118" t="str">
        <f t="shared" si="10"/>
        <v/>
      </c>
      <c r="E711" s="131"/>
      <c r="F711" s="131"/>
    </row>
    <row r="712" spans="1:6" ht="15.75" x14ac:dyDescent="0.25">
      <c r="A712" s="109"/>
      <c r="B712" s="109"/>
      <c r="C712" s="118"/>
      <c r="D712" s="118" t="str">
        <f t="shared" si="10"/>
        <v/>
      </c>
      <c r="E712" s="131"/>
      <c r="F712" s="131"/>
    </row>
    <row r="713" spans="1:6" ht="15.75" x14ac:dyDescent="0.25">
      <c r="A713" s="109"/>
      <c r="B713" s="109"/>
      <c r="C713" s="118"/>
      <c r="D713" s="118" t="str">
        <f t="shared" si="10"/>
        <v/>
      </c>
      <c r="E713" s="131"/>
      <c r="F713" s="131"/>
    </row>
    <row r="714" spans="1:6" ht="15.75" x14ac:dyDescent="0.25">
      <c r="A714" s="109"/>
      <c r="B714" s="109"/>
      <c r="C714" s="118"/>
      <c r="D714" s="118" t="str">
        <f t="shared" si="10"/>
        <v/>
      </c>
      <c r="E714" s="131"/>
      <c r="F714" s="131"/>
    </row>
    <row r="715" spans="1:6" ht="15.75" x14ac:dyDescent="0.25">
      <c r="A715" s="109"/>
      <c r="B715" s="109"/>
      <c r="C715" s="118"/>
      <c r="D715" s="118" t="str">
        <f t="shared" ref="D715:D778" si="11">IF(A715=0,"","MinMax")</f>
        <v/>
      </c>
      <c r="E715" s="131"/>
      <c r="F715" s="131"/>
    </row>
    <row r="716" spans="1:6" ht="15.75" x14ac:dyDescent="0.25">
      <c r="A716" s="109"/>
      <c r="B716" s="109"/>
      <c r="C716" s="118"/>
      <c r="D716" s="118" t="str">
        <f t="shared" si="11"/>
        <v/>
      </c>
      <c r="E716" s="131"/>
      <c r="F716" s="131"/>
    </row>
    <row r="717" spans="1:6" ht="15.75" x14ac:dyDescent="0.25">
      <c r="A717" s="109"/>
      <c r="B717" s="109"/>
      <c r="C717" s="118"/>
      <c r="D717" s="118" t="str">
        <f t="shared" si="11"/>
        <v/>
      </c>
      <c r="E717" s="131"/>
      <c r="F717" s="131"/>
    </row>
    <row r="718" spans="1:6" ht="15.75" x14ac:dyDescent="0.25">
      <c r="A718" s="109"/>
      <c r="B718" s="109"/>
      <c r="C718" s="118"/>
      <c r="D718" s="118" t="str">
        <f t="shared" si="11"/>
        <v/>
      </c>
      <c r="E718" s="131"/>
      <c r="F718" s="131"/>
    </row>
    <row r="719" spans="1:6" ht="15.75" x14ac:dyDescent="0.25">
      <c r="A719" s="109"/>
      <c r="B719" s="109"/>
      <c r="C719" s="118"/>
      <c r="D719" s="118" t="str">
        <f t="shared" si="11"/>
        <v/>
      </c>
      <c r="E719" s="131"/>
      <c r="F719" s="131"/>
    </row>
    <row r="720" spans="1:6" ht="15.75" x14ac:dyDescent="0.25">
      <c r="A720" s="109"/>
      <c r="B720" s="109"/>
      <c r="C720" s="118"/>
      <c r="D720" s="118" t="str">
        <f t="shared" si="11"/>
        <v/>
      </c>
      <c r="E720" s="131"/>
      <c r="F720" s="131"/>
    </row>
    <row r="721" spans="1:6" ht="15.75" x14ac:dyDescent="0.25">
      <c r="A721" s="109"/>
      <c r="B721" s="109"/>
      <c r="C721" s="118"/>
      <c r="D721" s="118" t="str">
        <f t="shared" si="11"/>
        <v/>
      </c>
      <c r="E721" s="131"/>
      <c r="F721" s="131"/>
    </row>
    <row r="722" spans="1:6" ht="15.75" x14ac:dyDescent="0.25">
      <c r="A722" s="109"/>
      <c r="B722" s="109"/>
      <c r="C722" s="118"/>
      <c r="D722" s="118" t="str">
        <f t="shared" si="11"/>
        <v/>
      </c>
      <c r="E722" s="131"/>
      <c r="F722" s="131"/>
    </row>
    <row r="723" spans="1:6" ht="15.75" x14ac:dyDescent="0.25">
      <c r="A723" s="109"/>
      <c r="B723" s="109"/>
      <c r="C723" s="118"/>
      <c r="D723" s="118" t="str">
        <f t="shared" si="11"/>
        <v/>
      </c>
      <c r="E723" s="131"/>
      <c r="F723" s="131"/>
    </row>
    <row r="724" spans="1:6" ht="15.75" x14ac:dyDescent="0.25">
      <c r="A724" s="109"/>
      <c r="B724" s="109"/>
      <c r="C724" s="118"/>
      <c r="D724" s="118" t="str">
        <f t="shared" si="11"/>
        <v/>
      </c>
      <c r="E724" s="131"/>
      <c r="F724" s="131"/>
    </row>
    <row r="725" spans="1:6" ht="15.75" x14ac:dyDescent="0.25">
      <c r="A725" s="109"/>
      <c r="B725" s="109"/>
      <c r="C725" s="118"/>
      <c r="D725" s="118" t="str">
        <f t="shared" si="11"/>
        <v/>
      </c>
      <c r="E725" s="131"/>
      <c r="F725" s="131"/>
    </row>
    <row r="726" spans="1:6" ht="15.75" x14ac:dyDescent="0.25">
      <c r="A726" s="109"/>
      <c r="B726" s="109"/>
      <c r="C726" s="118"/>
      <c r="D726" s="118" t="str">
        <f t="shared" si="11"/>
        <v/>
      </c>
      <c r="E726" s="131"/>
      <c r="F726" s="131"/>
    </row>
    <row r="727" spans="1:6" ht="15.75" x14ac:dyDescent="0.25">
      <c r="A727" s="109"/>
      <c r="B727" s="109"/>
      <c r="C727" s="118"/>
      <c r="D727" s="118" t="str">
        <f t="shared" si="11"/>
        <v/>
      </c>
      <c r="E727" s="131"/>
      <c r="F727" s="131"/>
    </row>
    <row r="728" spans="1:6" ht="15.75" x14ac:dyDescent="0.25">
      <c r="A728" s="109"/>
      <c r="B728" s="109"/>
      <c r="C728" s="118"/>
      <c r="D728" s="118" t="str">
        <f t="shared" si="11"/>
        <v/>
      </c>
      <c r="E728" s="131"/>
      <c r="F728" s="131"/>
    </row>
    <row r="729" spans="1:6" ht="15.75" x14ac:dyDescent="0.25">
      <c r="A729" s="109"/>
      <c r="B729" s="109"/>
      <c r="C729" s="118"/>
      <c r="D729" s="118" t="str">
        <f t="shared" si="11"/>
        <v/>
      </c>
      <c r="E729" s="131"/>
      <c r="F729" s="131"/>
    </row>
    <row r="730" spans="1:6" ht="15.75" x14ac:dyDescent="0.25">
      <c r="A730" s="109"/>
      <c r="B730" s="109"/>
      <c r="C730" s="118"/>
      <c r="D730" s="118" t="str">
        <f t="shared" si="11"/>
        <v/>
      </c>
      <c r="E730" s="131"/>
      <c r="F730" s="131"/>
    </row>
    <row r="731" spans="1:6" ht="15.75" x14ac:dyDescent="0.25">
      <c r="A731" s="109"/>
      <c r="B731" s="109"/>
      <c r="C731" s="118"/>
      <c r="D731" s="118" t="str">
        <f t="shared" si="11"/>
        <v/>
      </c>
      <c r="E731" s="131"/>
      <c r="F731" s="131"/>
    </row>
    <row r="732" spans="1:6" ht="15.75" x14ac:dyDescent="0.25">
      <c r="A732" s="109"/>
      <c r="B732" s="109"/>
      <c r="C732" s="118"/>
      <c r="D732" s="118" t="str">
        <f t="shared" si="11"/>
        <v/>
      </c>
      <c r="E732" s="131"/>
      <c r="F732" s="131"/>
    </row>
    <row r="733" spans="1:6" ht="15.75" x14ac:dyDescent="0.25">
      <c r="A733" s="109"/>
      <c r="B733" s="109"/>
      <c r="C733" s="118"/>
      <c r="D733" s="118" t="str">
        <f t="shared" si="11"/>
        <v/>
      </c>
      <c r="E733" s="131"/>
      <c r="F733" s="131"/>
    </row>
    <row r="734" spans="1:6" ht="15.75" x14ac:dyDescent="0.25">
      <c r="A734" s="109"/>
      <c r="B734" s="109"/>
      <c r="C734" s="118"/>
      <c r="D734" s="118" t="str">
        <f t="shared" si="11"/>
        <v/>
      </c>
      <c r="E734" s="131"/>
      <c r="F734" s="131"/>
    </row>
    <row r="735" spans="1:6" ht="15.75" x14ac:dyDescent="0.25">
      <c r="A735" s="109"/>
      <c r="B735" s="109"/>
      <c r="C735" s="118"/>
      <c r="D735" s="118" t="str">
        <f t="shared" si="11"/>
        <v/>
      </c>
      <c r="E735" s="131"/>
      <c r="F735" s="131"/>
    </row>
    <row r="736" spans="1:6" ht="15.75" x14ac:dyDescent="0.25">
      <c r="A736" s="109"/>
      <c r="B736" s="109"/>
      <c r="C736" s="118"/>
      <c r="D736" s="118" t="str">
        <f t="shared" si="11"/>
        <v/>
      </c>
      <c r="E736" s="131"/>
      <c r="F736" s="131"/>
    </row>
    <row r="737" spans="1:6" ht="15.75" x14ac:dyDescent="0.25">
      <c r="A737" s="109"/>
      <c r="B737" s="109"/>
      <c r="C737" s="118"/>
      <c r="D737" s="118" t="str">
        <f t="shared" si="11"/>
        <v/>
      </c>
      <c r="E737" s="131"/>
      <c r="F737" s="131"/>
    </row>
    <row r="738" spans="1:6" ht="15.75" x14ac:dyDescent="0.25">
      <c r="A738" s="109"/>
      <c r="B738" s="109"/>
      <c r="C738" s="118"/>
      <c r="D738" s="118" t="str">
        <f t="shared" si="11"/>
        <v/>
      </c>
      <c r="E738" s="131"/>
      <c r="F738" s="131"/>
    </row>
    <row r="739" spans="1:6" ht="15.75" x14ac:dyDescent="0.25">
      <c r="A739" s="109"/>
      <c r="B739" s="109"/>
      <c r="C739" s="118"/>
      <c r="D739" s="118" t="str">
        <f t="shared" si="11"/>
        <v/>
      </c>
      <c r="E739" s="131"/>
      <c r="F739" s="131"/>
    </row>
    <row r="740" spans="1:6" ht="15.75" x14ac:dyDescent="0.25">
      <c r="A740" s="109"/>
      <c r="B740" s="109"/>
      <c r="C740" s="118"/>
      <c r="D740" s="118" t="str">
        <f t="shared" si="11"/>
        <v/>
      </c>
      <c r="E740" s="131"/>
      <c r="F740" s="131"/>
    </row>
    <row r="741" spans="1:6" ht="15.75" x14ac:dyDescent="0.25">
      <c r="A741" s="109"/>
      <c r="B741" s="109"/>
      <c r="C741" s="118"/>
      <c r="D741" s="118" t="str">
        <f t="shared" si="11"/>
        <v/>
      </c>
      <c r="E741" s="131"/>
      <c r="F741" s="131"/>
    </row>
    <row r="742" spans="1:6" ht="15.75" x14ac:dyDescent="0.25">
      <c r="A742" s="109"/>
      <c r="B742" s="109"/>
      <c r="C742" s="118"/>
      <c r="D742" s="118" t="str">
        <f t="shared" si="11"/>
        <v/>
      </c>
      <c r="E742" s="131"/>
      <c r="F742" s="131"/>
    </row>
    <row r="743" spans="1:6" ht="15.75" x14ac:dyDescent="0.25">
      <c r="A743" s="109"/>
      <c r="B743" s="109"/>
      <c r="C743" s="118"/>
      <c r="D743" s="118" t="str">
        <f t="shared" si="11"/>
        <v/>
      </c>
      <c r="E743" s="131"/>
      <c r="F743" s="131"/>
    </row>
    <row r="744" spans="1:6" ht="15.75" x14ac:dyDescent="0.25">
      <c r="A744" s="109"/>
      <c r="B744" s="109"/>
      <c r="C744" s="118"/>
      <c r="D744" s="118" t="str">
        <f t="shared" si="11"/>
        <v/>
      </c>
      <c r="E744" s="131"/>
      <c r="F744" s="131"/>
    </row>
    <row r="745" spans="1:6" ht="15.75" x14ac:dyDescent="0.25">
      <c r="A745" s="109"/>
      <c r="B745" s="109"/>
      <c r="C745" s="118"/>
      <c r="D745" s="118" t="str">
        <f t="shared" si="11"/>
        <v/>
      </c>
      <c r="E745" s="131"/>
      <c r="F745" s="131"/>
    </row>
    <row r="746" spans="1:6" ht="15.75" x14ac:dyDescent="0.25">
      <c r="A746" s="109"/>
      <c r="B746" s="109"/>
      <c r="C746" s="118"/>
      <c r="D746" s="118" t="str">
        <f t="shared" si="11"/>
        <v/>
      </c>
      <c r="E746" s="131"/>
      <c r="F746" s="131"/>
    </row>
    <row r="747" spans="1:6" ht="15.75" x14ac:dyDescent="0.25">
      <c r="A747" s="109"/>
      <c r="B747" s="109"/>
      <c r="C747" s="118"/>
      <c r="D747" s="118" t="str">
        <f t="shared" si="11"/>
        <v/>
      </c>
      <c r="E747" s="131"/>
      <c r="F747" s="131"/>
    </row>
    <row r="748" spans="1:6" ht="15.75" x14ac:dyDescent="0.25">
      <c r="A748" s="109"/>
      <c r="B748" s="109"/>
      <c r="C748" s="118"/>
      <c r="D748" s="118" t="str">
        <f t="shared" si="11"/>
        <v/>
      </c>
      <c r="E748" s="131"/>
      <c r="F748" s="131"/>
    </row>
    <row r="749" spans="1:6" ht="15.75" x14ac:dyDescent="0.25">
      <c r="A749" s="109"/>
      <c r="B749" s="109"/>
      <c r="C749" s="118"/>
      <c r="D749" s="118" t="str">
        <f t="shared" si="11"/>
        <v/>
      </c>
      <c r="E749" s="131"/>
      <c r="F749" s="131"/>
    </row>
    <row r="750" spans="1:6" ht="15.75" x14ac:dyDescent="0.25">
      <c r="A750" s="109"/>
      <c r="B750" s="109"/>
      <c r="C750" s="118"/>
      <c r="D750" s="118" t="str">
        <f t="shared" si="11"/>
        <v/>
      </c>
      <c r="E750" s="131"/>
      <c r="F750" s="131"/>
    </row>
    <row r="751" spans="1:6" ht="15.75" x14ac:dyDescent="0.25">
      <c r="A751" s="109"/>
      <c r="B751" s="109"/>
      <c r="C751" s="118"/>
      <c r="D751" s="118" t="str">
        <f t="shared" si="11"/>
        <v/>
      </c>
      <c r="E751" s="131"/>
      <c r="F751" s="131"/>
    </row>
    <row r="752" spans="1:6" ht="15.75" x14ac:dyDescent="0.25">
      <c r="A752" s="109"/>
      <c r="B752" s="109"/>
      <c r="C752" s="118"/>
      <c r="D752" s="118" t="str">
        <f t="shared" si="11"/>
        <v/>
      </c>
      <c r="E752" s="131"/>
      <c r="F752" s="131"/>
    </row>
    <row r="753" spans="1:6" ht="15.75" x14ac:dyDescent="0.25">
      <c r="A753" s="109"/>
      <c r="B753" s="109"/>
      <c r="C753" s="118"/>
      <c r="D753" s="118" t="str">
        <f t="shared" si="11"/>
        <v/>
      </c>
      <c r="E753" s="131"/>
      <c r="F753" s="131"/>
    </row>
    <row r="754" spans="1:6" ht="15.75" x14ac:dyDescent="0.25">
      <c r="A754" s="109"/>
      <c r="B754" s="109"/>
      <c r="C754" s="118"/>
      <c r="D754" s="118" t="str">
        <f t="shared" si="11"/>
        <v/>
      </c>
      <c r="E754" s="131"/>
      <c r="F754" s="131"/>
    </row>
    <row r="755" spans="1:6" ht="15.75" x14ac:dyDescent="0.25">
      <c r="A755" s="109"/>
      <c r="B755" s="109"/>
      <c r="C755" s="118"/>
      <c r="D755" s="118" t="str">
        <f t="shared" si="11"/>
        <v/>
      </c>
      <c r="E755" s="131"/>
      <c r="F755" s="131"/>
    </row>
    <row r="756" spans="1:6" ht="15.75" x14ac:dyDescent="0.25">
      <c r="A756" s="109"/>
      <c r="B756" s="109"/>
      <c r="C756" s="118"/>
      <c r="D756" s="118" t="str">
        <f t="shared" si="11"/>
        <v/>
      </c>
      <c r="E756" s="131"/>
      <c r="F756" s="131"/>
    </row>
    <row r="757" spans="1:6" ht="15.75" x14ac:dyDescent="0.25">
      <c r="A757" s="109"/>
      <c r="B757" s="109"/>
      <c r="C757" s="118"/>
      <c r="D757" s="118" t="str">
        <f t="shared" si="11"/>
        <v/>
      </c>
      <c r="E757" s="131"/>
      <c r="F757" s="131"/>
    </row>
    <row r="758" spans="1:6" ht="15.75" x14ac:dyDescent="0.25">
      <c r="A758" s="109"/>
      <c r="B758" s="109"/>
      <c r="C758" s="118"/>
      <c r="D758" s="118" t="str">
        <f t="shared" si="11"/>
        <v/>
      </c>
      <c r="E758" s="131"/>
      <c r="F758" s="131"/>
    </row>
    <row r="759" spans="1:6" ht="15.75" x14ac:dyDescent="0.25">
      <c r="A759" s="109"/>
      <c r="B759" s="109"/>
      <c r="C759" s="118"/>
      <c r="D759" s="118" t="str">
        <f t="shared" si="11"/>
        <v/>
      </c>
      <c r="E759" s="131"/>
      <c r="F759" s="131"/>
    </row>
    <row r="760" spans="1:6" ht="15.75" x14ac:dyDescent="0.25">
      <c r="A760" s="109"/>
      <c r="B760" s="109"/>
      <c r="C760" s="118"/>
      <c r="D760" s="118" t="str">
        <f t="shared" si="11"/>
        <v/>
      </c>
      <c r="E760" s="131"/>
      <c r="F760" s="131"/>
    </row>
    <row r="761" spans="1:6" ht="15.75" x14ac:dyDescent="0.25">
      <c r="A761" s="109"/>
      <c r="B761" s="109"/>
      <c r="C761" s="118"/>
      <c r="D761" s="118" t="str">
        <f t="shared" si="11"/>
        <v/>
      </c>
      <c r="E761" s="131"/>
      <c r="F761" s="131"/>
    </row>
    <row r="762" spans="1:6" ht="15.75" x14ac:dyDescent="0.25">
      <c r="A762" s="109"/>
      <c r="B762" s="109"/>
      <c r="C762" s="118"/>
      <c r="D762" s="118" t="str">
        <f t="shared" si="11"/>
        <v/>
      </c>
      <c r="E762" s="131"/>
      <c r="F762" s="131"/>
    </row>
    <row r="763" spans="1:6" ht="15.75" x14ac:dyDescent="0.25">
      <c r="A763" s="109"/>
      <c r="B763" s="109"/>
      <c r="C763" s="118"/>
      <c r="D763" s="118" t="str">
        <f t="shared" si="11"/>
        <v/>
      </c>
      <c r="E763" s="131"/>
      <c r="F763" s="131"/>
    </row>
    <row r="764" spans="1:6" ht="15.75" x14ac:dyDescent="0.25">
      <c r="A764" s="109"/>
      <c r="B764" s="109"/>
      <c r="C764" s="118"/>
      <c r="D764" s="118" t="str">
        <f t="shared" si="11"/>
        <v/>
      </c>
      <c r="E764" s="131"/>
      <c r="F764" s="131"/>
    </row>
    <row r="765" spans="1:6" ht="15.75" x14ac:dyDescent="0.25">
      <c r="A765" s="109"/>
      <c r="B765" s="109"/>
      <c r="C765" s="118"/>
      <c r="D765" s="118" t="str">
        <f t="shared" si="11"/>
        <v/>
      </c>
      <c r="E765" s="131"/>
      <c r="F765" s="131"/>
    </row>
    <row r="766" spans="1:6" ht="15.75" x14ac:dyDescent="0.25">
      <c r="A766" s="109"/>
      <c r="B766" s="109"/>
      <c r="C766" s="118"/>
      <c r="D766" s="118" t="str">
        <f t="shared" si="11"/>
        <v/>
      </c>
      <c r="E766" s="131"/>
      <c r="F766" s="131"/>
    </row>
    <row r="767" spans="1:6" ht="15.75" x14ac:dyDescent="0.25">
      <c r="A767" s="109"/>
      <c r="B767" s="109"/>
      <c r="C767" s="118"/>
      <c r="D767" s="118" t="str">
        <f t="shared" si="11"/>
        <v/>
      </c>
      <c r="E767" s="131"/>
      <c r="F767" s="131"/>
    </row>
    <row r="768" spans="1:6" ht="15.75" x14ac:dyDescent="0.25">
      <c r="A768" s="109"/>
      <c r="B768" s="109"/>
      <c r="C768" s="118"/>
      <c r="D768" s="118" t="str">
        <f t="shared" si="11"/>
        <v/>
      </c>
      <c r="E768" s="131"/>
      <c r="F768" s="131"/>
    </row>
    <row r="769" spans="1:6" ht="15.75" x14ac:dyDescent="0.25">
      <c r="A769" s="109"/>
      <c r="B769" s="109"/>
      <c r="C769" s="118"/>
      <c r="D769" s="118" t="str">
        <f t="shared" si="11"/>
        <v/>
      </c>
      <c r="E769" s="131"/>
      <c r="F769" s="131"/>
    </row>
    <row r="770" spans="1:6" ht="15.75" x14ac:dyDescent="0.25">
      <c r="A770" s="109"/>
      <c r="B770" s="109"/>
      <c r="C770" s="118"/>
      <c r="D770" s="118" t="str">
        <f t="shared" si="11"/>
        <v/>
      </c>
      <c r="E770" s="131"/>
      <c r="F770" s="131"/>
    </row>
    <row r="771" spans="1:6" ht="15.75" x14ac:dyDescent="0.25">
      <c r="A771" s="109"/>
      <c r="B771" s="109"/>
      <c r="C771" s="118"/>
      <c r="D771" s="118" t="str">
        <f t="shared" si="11"/>
        <v/>
      </c>
      <c r="E771" s="131"/>
      <c r="F771" s="131"/>
    </row>
    <row r="772" spans="1:6" ht="15.75" x14ac:dyDescent="0.25">
      <c r="A772" s="109"/>
      <c r="B772" s="109"/>
      <c r="C772" s="118"/>
      <c r="D772" s="118" t="str">
        <f t="shared" si="11"/>
        <v/>
      </c>
      <c r="E772" s="131"/>
      <c r="F772" s="131"/>
    </row>
    <row r="773" spans="1:6" ht="15.75" x14ac:dyDescent="0.25">
      <c r="A773" s="109"/>
      <c r="B773" s="109"/>
      <c r="C773" s="118"/>
      <c r="D773" s="118" t="str">
        <f t="shared" si="11"/>
        <v/>
      </c>
      <c r="E773" s="131"/>
      <c r="F773" s="131"/>
    </row>
    <row r="774" spans="1:6" ht="15.75" x14ac:dyDescent="0.25">
      <c r="A774" s="109"/>
      <c r="B774" s="109"/>
      <c r="C774" s="118"/>
      <c r="D774" s="118" t="str">
        <f t="shared" si="11"/>
        <v/>
      </c>
      <c r="E774" s="131"/>
      <c r="F774" s="131"/>
    </row>
    <row r="775" spans="1:6" ht="15.75" x14ac:dyDescent="0.25">
      <c r="A775" s="109"/>
      <c r="B775" s="109"/>
      <c r="C775" s="118"/>
      <c r="D775" s="118" t="str">
        <f t="shared" si="11"/>
        <v/>
      </c>
      <c r="E775" s="131"/>
      <c r="F775" s="131"/>
    </row>
    <row r="776" spans="1:6" ht="15.75" x14ac:dyDescent="0.25">
      <c r="A776" s="109"/>
      <c r="B776" s="109"/>
      <c r="C776" s="118"/>
      <c r="D776" s="118" t="str">
        <f t="shared" si="11"/>
        <v/>
      </c>
      <c r="E776" s="131"/>
      <c r="F776" s="131"/>
    </row>
    <row r="777" spans="1:6" ht="15.75" x14ac:dyDescent="0.25">
      <c r="A777" s="109"/>
      <c r="B777" s="109"/>
      <c r="C777" s="118"/>
      <c r="D777" s="118" t="str">
        <f t="shared" si="11"/>
        <v/>
      </c>
      <c r="E777" s="131"/>
      <c r="F777" s="131"/>
    </row>
    <row r="778" spans="1:6" ht="15.75" x14ac:dyDescent="0.25">
      <c r="A778" s="109"/>
      <c r="B778" s="109"/>
      <c r="C778" s="118"/>
      <c r="D778" s="118" t="str">
        <f t="shared" si="11"/>
        <v/>
      </c>
      <c r="E778" s="131"/>
      <c r="F778" s="131"/>
    </row>
    <row r="779" spans="1:6" ht="15.75" x14ac:dyDescent="0.25">
      <c r="A779" s="109"/>
      <c r="B779" s="109"/>
      <c r="C779" s="118"/>
      <c r="D779" s="118" t="str">
        <f t="shared" ref="D779:D842" si="12">IF(A779=0,"","MinMax")</f>
        <v/>
      </c>
      <c r="E779" s="131"/>
      <c r="F779" s="131"/>
    </row>
    <row r="780" spans="1:6" ht="15.75" x14ac:dyDescent="0.25">
      <c r="A780" s="109"/>
      <c r="B780" s="109"/>
      <c r="C780" s="118"/>
      <c r="D780" s="118" t="str">
        <f t="shared" si="12"/>
        <v/>
      </c>
      <c r="E780" s="131"/>
      <c r="F780" s="131"/>
    </row>
    <row r="781" spans="1:6" ht="15.75" x14ac:dyDescent="0.25">
      <c r="A781" s="109"/>
      <c r="B781" s="109"/>
      <c r="C781" s="118"/>
      <c r="D781" s="118" t="str">
        <f t="shared" si="12"/>
        <v/>
      </c>
      <c r="E781" s="131"/>
      <c r="F781" s="131"/>
    </row>
    <row r="782" spans="1:6" ht="15.75" x14ac:dyDescent="0.25">
      <c r="A782" s="109"/>
      <c r="B782" s="109"/>
      <c r="C782" s="118"/>
      <c r="D782" s="118" t="str">
        <f t="shared" si="12"/>
        <v/>
      </c>
      <c r="E782" s="131"/>
      <c r="F782" s="131"/>
    </row>
    <row r="783" spans="1:6" ht="15.75" x14ac:dyDescent="0.25">
      <c r="A783" s="109"/>
      <c r="B783" s="109"/>
      <c r="C783" s="118"/>
      <c r="D783" s="118" t="str">
        <f t="shared" si="12"/>
        <v/>
      </c>
      <c r="E783" s="131"/>
      <c r="F783" s="131"/>
    </row>
    <row r="784" spans="1:6" ht="15.75" x14ac:dyDescent="0.25">
      <c r="A784" s="109"/>
      <c r="B784" s="109"/>
      <c r="C784" s="118"/>
      <c r="D784" s="118" t="str">
        <f t="shared" si="12"/>
        <v/>
      </c>
      <c r="E784" s="131"/>
      <c r="F784" s="131"/>
    </row>
    <row r="785" spans="1:6" ht="15.75" x14ac:dyDescent="0.25">
      <c r="A785" s="109"/>
      <c r="B785" s="109"/>
      <c r="C785" s="118"/>
      <c r="D785" s="118" t="str">
        <f t="shared" si="12"/>
        <v/>
      </c>
      <c r="E785" s="131"/>
      <c r="F785" s="131"/>
    </row>
    <row r="786" spans="1:6" ht="15.75" x14ac:dyDescent="0.25">
      <c r="A786" s="109"/>
      <c r="B786" s="109"/>
      <c r="C786" s="118"/>
      <c r="D786" s="118" t="str">
        <f t="shared" si="12"/>
        <v/>
      </c>
      <c r="E786" s="131"/>
      <c r="F786" s="131"/>
    </row>
    <row r="787" spans="1:6" ht="15.75" x14ac:dyDescent="0.25">
      <c r="A787" s="109"/>
      <c r="B787" s="109"/>
      <c r="C787" s="118"/>
      <c r="D787" s="118" t="str">
        <f t="shared" si="12"/>
        <v/>
      </c>
      <c r="E787" s="131"/>
      <c r="F787" s="131"/>
    </row>
    <row r="788" spans="1:6" ht="15.75" x14ac:dyDescent="0.25">
      <c r="A788" s="109"/>
      <c r="B788" s="109"/>
      <c r="C788" s="118"/>
      <c r="D788" s="118" t="str">
        <f t="shared" si="12"/>
        <v/>
      </c>
      <c r="E788" s="131"/>
      <c r="F788" s="131"/>
    </row>
    <row r="789" spans="1:6" ht="15.75" x14ac:dyDescent="0.25">
      <c r="A789" s="109"/>
      <c r="B789" s="109"/>
      <c r="C789" s="118"/>
      <c r="D789" s="118" t="str">
        <f t="shared" si="12"/>
        <v/>
      </c>
      <c r="E789" s="131"/>
      <c r="F789" s="131"/>
    </row>
    <row r="790" spans="1:6" ht="15.75" x14ac:dyDescent="0.25">
      <c r="A790" s="109"/>
      <c r="B790" s="109"/>
      <c r="C790" s="118"/>
      <c r="D790" s="118" t="str">
        <f t="shared" si="12"/>
        <v/>
      </c>
      <c r="E790" s="131"/>
      <c r="F790" s="131"/>
    </row>
    <row r="791" spans="1:6" ht="15.75" x14ac:dyDescent="0.25">
      <c r="A791" s="109"/>
      <c r="B791" s="109"/>
      <c r="C791" s="118"/>
      <c r="D791" s="118" t="str">
        <f t="shared" si="12"/>
        <v/>
      </c>
      <c r="E791" s="131"/>
      <c r="F791" s="131"/>
    </row>
    <row r="792" spans="1:6" ht="15.75" x14ac:dyDescent="0.25">
      <c r="A792" s="109"/>
      <c r="B792" s="109"/>
      <c r="C792" s="118"/>
      <c r="D792" s="118" t="str">
        <f t="shared" si="12"/>
        <v/>
      </c>
      <c r="E792" s="131"/>
      <c r="F792" s="131"/>
    </row>
    <row r="793" spans="1:6" ht="15.75" x14ac:dyDescent="0.25">
      <c r="A793" s="109"/>
      <c r="B793" s="109"/>
      <c r="C793" s="118"/>
      <c r="D793" s="118" t="str">
        <f t="shared" si="12"/>
        <v/>
      </c>
      <c r="E793" s="131"/>
      <c r="F793" s="131"/>
    </row>
    <row r="794" spans="1:6" ht="15.75" x14ac:dyDescent="0.25">
      <c r="A794" s="109"/>
      <c r="B794" s="109"/>
      <c r="C794" s="118"/>
      <c r="D794" s="118" t="str">
        <f t="shared" si="12"/>
        <v/>
      </c>
      <c r="E794" s="131"/>
      <c r="F794" s="131"/>
    </row>
    <row r="795" spans="1:6" ht="15.75" x14ac:dyDescent="0.25">
      <c r="A795" s="109"/>
      <c r="B795" s="109"/>
      <c r="C795" s="118"/>
      <c r="D795" s="118" t="str">
        <f t="shared" si="12"/>
        <v/>
      </c>
      <c r="E795" s="131"/>
      <c r="F795" s="131"/>
    </row>
    <row r="796" spans="1:6" ht="15.75" x14ac:dyDescent="0.25">
      <c r="A796" s="109"/>
      <c r="B796" s="109"/>
      <c r="C796" s="118"/>
      <c r="D796" s="118" t="str">
        <f t="shared" si="12"/>
        <v/>
      </c>
      <c r="E796" s="131"/>
      <c r="F796" s="131"/>
    </row>
    <row r="797" spans="1:6" ht="15.75" x14ac:dyDescent="0.25">
      <c r="A797" s="109"/>
      <c r="B797" s="109"/>
      <c r="C797" s="118"/>
      <c r="D797" s="118" t="str">
        <f t="shared" si="12"/>
        <v/>
      </c>
      <c r="E797" s="131"/>
      <c r="F797" s="131"/>
    </row>
    <row r="798" spans="1:6" ht="15.75" x14ac:dyDescent="0.25">
      <c r="A798" s="109"/>
      <c r="B798" s="109"/>
      <c r="C798" s="118"/>
      <c r="D798" s="118" t="str">
        <f t="shared" si="12"/>
        <v/>
      </c>
      <c r="E798" s="131"/>
      <c r="F798" s="131"/>
    </row>
    <row r="799" spans="1:6" ht="15.75" x14ac:dyDescent="0.25">
      <c r="A799" s="109"/>
      <c r="B799" s="109"/>
      <c r="C799" s="118"/>
      <c r="D799" s="118" t="str">
        <f t="shared" si="12"/>
        <v/>
      </c>
      <c r="E799" s="131"/>
      <c r="F799" s="131"/>
    </row>
    <row r="800" spans="1:6" ht="15.75" x14ac:dyDescent="0.25">
      <c r="A800" s="109"/>
      <c r="B800" s="109"/>
      <c r="C800" s="118"/>
      <c r="D800" s="118" t="str">
        <f t="shared" si="12"/>
        <v/>
      </c>
      <c r="E800" s="131"/>
      <c r="F800" s="131"/>
    </row>
    <row r="801" spans="1:6" ht="15.75" x14ac:dyDescent="0.25">
      <c r="A801" s="109"/>
      <c r="B801" s="109"/>
      <c r="C801" s="118"/>
      <c r="D801" s="118" t="str">
        <f t="shared" si="12"/>
        <v/>
      </c>
      <c r="E801" s="131"/>
      <c r="F801" s="131"/>
    </row>
    <row r="802" spans="1:6" ht="15.75" x14ac:dyDescent="0.25">
      <c r="A802" s="109"/>
      <c r="B802" s="109"/>
      <c r="C802" s="118"/>
      <c r="D802" s="118" t="str">
        <f t="shared" si="12"/>
        <v/>
      </c>
      <c r="E802" s="131"/>
      <c r="F802" s="131"/>
    </row>
    <row r="803" spans="1:6" ht="15.75" x14ac:dyDescent="0.25">
      <c r="A803" s="109"/>
      <c r="B803" s="109"/>
      <c r="C803" s="118"/>
      <c r="D803" s="118" t="str">
        <f t="shared" si="12"/>
        <v/>
      </c>
      <c r="E803" s="131"/>
      <c r="F803" s="131"/>
    </row>
    <row r="804" spans="1:6" ht="15.75" x14ac:dyDescent="0.25">
      <c r="A804" s="109"/>
      <c r="B804" s="109"/>
      <c r="C804" s="118"/>
      <c r="D804" s="118" t="str">
        <f t="shared" si="12"/>
        <v/>
      </c>
      <c r="E804" s="131"/>
      <c r="F804" s="131"/>
    </row>
    <row r="805" spans="1:6" ht="15.75" x14ac:dyDescent="0.25">
      <c r="A805" s="109"/>
      <c r="B805" s="109"/>
      <c r="C805" s="118"/>
      <c r="D805" s="118" t="str">
        <f t="shared" si="12"/>
        <v/>
      </c>
      <c r="E805" s="131"/>
      <c r="F805" s="131"/>
    </row>
    <row r="806" spans="1:6" ht="15.75" x14ac:dyDescent="0.25">
      <c r="A806" s="109"/>
      <c r="B806" s="109"/>
      <c r="C806" s="118"/>
      <c r="D806" s="118" t="str">
        <f t="shared" si="12"/>
        <v/>
      </c>
      <c r="E806" s="131"/>
      <c r="F806" s="131"/>
    </row>
    <row r="807" spans="1:6" ht="15.75" x14ac:dyDescent="0.25">
      <c r="A807" s="109"/>
      <c r="B807" s="109"/>
      <c r="C807" s="118"/>
      <c r="D807" s="118" t="str">
        <f t="shared" si="12"/>
        <v/>
      </c>
      <c r="E807" s="131"/>
      <c r="F807" s="131"/>
    </row>
    <row r="808" spans="1:6" ht="15.75" x14ac:dyDescent="0.25">
      <c r="A808" s="109"/>
      <c r="B808" s="109"/>
      <c r="C808" s="118"/>
      <c r="D808" s="118" t="str">
        <f t="shared" si="12"/>
        <v/>
      </c>
      <c r="E808" s="131"/>
      <c r="F808" s="131"/>
    </row>
    <row r="809" spans="1:6" ht="15.75" x14ac:dyDescent="0.25">
      <c r="A809" s="109"/>
      <c r="B809" s="109"/>
      <c r="C809" s="118"/>
      <c r="D809" s="118" t="str">
        <f t="shared" si="12"/>
        <v/>
      </c>
      <c r="E809" s="131"/>
      <c r="F809" s="131"/>
    </row>
    <row r="810" spans="1:6" ht="15.75" x14ac:dyDescent="0.25">
      <c r="A810" s="109"/>
      <c r="B810" s="109"/>
      <c r="C810" s="118"/>
      <c r="D810" s="118" t="str">
        <f t="shared" si="12"/>
        <v/>
      </c>
      <c r="E810" s="131"/>
      <c r="F810" s="131"/>
    </row>
    <row r="811" spans="1:6" ht="15.75" x14ac:dyDescent="0.25">
      <c r="A811" s="109"/>
      <c r="B811" s="109"/>
      <c r="C811" s="118"/>
      <c r="D811" s="118" t="str">
        <f t="shared" si="12"/>
        <v/>
      </c>
      <c r="E811" s="131"/>
      <c r="F811" s="131"/>
    </row>
    <row r="812" spans="1:6" ht="15.75" x14ac:dyDescent="0.25">
      <c r="A812" s="109"/>
      <c r="B812" s="109"/>
      <c r="C812" s="118"/>
      <c r="D812" s="118" t="str">
        <f t="shared" si="12"/>
        <v/>
      </c>
      <c r="E812" s="131"/>
      <c r="F812" s="131"/>
    </row>
    <row r="813" spans="1:6" ht="15.75" x14ac:dyDescent="0.25">
      <c r="A813" s="109"/>
      <c r="B813" s="109"/>
      <c r="C813" s="118"/>
      <c r="D813" s="118" t="str">
        <f t="shared" si="12"/>
        <v/>
      </c>
      <c r="E813" s="131"/>
      <c r="F813" s="131"/>
    </row>
    <row r="814" spans="1:6" ht="15.75" x14ac:dyDescent="0.25">
      <c r="A814" s="109"/>
      <c r="B814" s="109"/>
      <c r="C814" s="118"/>
      <c r="D814" s="118" t="str">
        <f t="shared" si="12"/>
        <v/>
      </c>
      <c r="E814" s="131"/>
      <c r="F814" s="131"/>
    </row>
    <row r="815" spans="1:6" ht="15.75" x14ac:dyDescent="0.25">
      <c r="A815" s="109"/>
      <c r="B815" s="109"/>
      <c r="C815" s="118"/>
      <c r="D815" s="118" t="str">
        <f t="shared" si="12"/>
        <v/>
      </c>
      <c r="E815" s="131"/>
      <c r="F815" s="131"/>
    </row>
    <row r="816" spans="1:6" ht="15.75" x14ac:dyDescent="0.25">
      <c r="A816" s="109"/>
      <c r="B816" s="109"/>
      <c r="C816" s="118"/>
      <c r="D816" s="118" t="str">
        <f t="shared" si="12"/>
        <v/>
      </c>
      <c r="E816" s="131"/>
      <c r="F816" s="131"/>
    </row>
    <row r="817" spans="1:6" ht="15.75" x14ac:dyDescent="0.25">
      <c r="A817" s="109"/>
      <c r="B817" s="109"/>
      <c r="C817" s="118"/>
      <c r="D817" s="118" t="str">
        <f t="shared" si="12"/>
        <v/>
      </c>
      <c r="E817" s="131"/>
      <c r="F817" s="131"/>
    </row>
    <row r="818" spans="1:6" ht="15.75" x14ac:dyDescent="0.25">
      <c r="A818" s="109"/>
      <c r="B818" s="109"/>
      <c r="C818" s="118"/>
      <c r="D818" s="118" t="str">
        <f t="shared" si="12"/>
        <v/>
      </c>
      <c r="E818" s="131"/>
      <c r="F818" s="131"/>
    </row>
    <row r="819" spans="1:6" ht="15.75" x14ac:dyDescent="0.25">
      <c r="A819" s="109"/>
      <c r="B819" s="109"/>
      <c r="C819" s="118"/>
      <c r="D819" s="118" t="str">
        <f t="shared" si="12"/>
        <v/>
      </c>
      <c r="E819" s="131"/>
      <c r="F819" s="131"/>
    </row>
    <row r="820" spans="1:6" ht="15.75" x14ac:dyDescent="0.25">
      <c r="A820" s="109"/>
      <c r="B820" s="109"/>
      <c r="C820" s="118"/>
      <c r="D820" s="118" t="str">
        <f t="shared" si="12"/>
        <v/>
      </c>
      <c r="E820" s="131"/>
      <c r="F820" s="131"/>
    </row>
    <row r="821" spans="1:6" ht="15.75" x14ac:dyDescent="0.25">
      <c r="A821" s="109"/>
      <c r="B821" s="109"/>
      <c r="C821" s="118"/>
      <c r="D821" s="118" t="str">
        <f t="shared" si="12"/>
        <v/>
      </c>
      <c r="E821" s="131"/>
      <c r="F821" s="131"/>
    </row>
    <row r="822" spans="1:6" ht="15.75" x14ac:dyDescent="0.25">
      <c r="A822" s="109"/>
      <c r="B822" s="109"/>
      <c r="C822" s="118"/>
      <c r="D822" s="118" t="str">
        <f t="shared" si="12"/>
        <v/>
      </c>
      <c r="E822" s="131"/>
      <c r="F822" s="131"/>
    </row>
    <row r="823" spans="1:6" ht="15.75" x14ac:dyDescent="0.25">
      <c r="A823" s="109"/>
      <c r="B823" s="109"/>
      <c r="C823" s="118"/>
      <c r="D823" s="118" t="str">
        <f t="shared" si="12"/>
        <v/>
      </c>
      <c r="E823" s="131"/>
      <c r="F823" s="131"/>
    </row>
    <row r="824" spans="1:6" ht="15.75" x14ac:dyDescent="0.25">
      <c r="A824" s="109"/>
      <c r="B824" s="109"/>
      <c r="C824" s="118"/>
      <c r="D824" s="118" t="str">
        <f t="shared" si="12"/>
        <v/>
      </c>
      <c r="E824" s="131"/>
      <c r="F824" s="131"/>
    </row>
    <row r="825" spans="1:6" ht="15.75" x14ac:dyDescent="0.25">
      <c r="A825" s="109"/>
      <c r="B825" s="109"/>
      <c r="C825" s="118"/>
      <c r="D825" s="118" t="str">
        <f t="shared" si="12"/>
        <v/>
      </c>
      <c r="E825" s="131"/>
      <c r="F825" s="131"/>
    </row>
    <row r="826" spans="1:6" ht="15.75" x14ac:dyDescent="0.25">
      <c r="A826" s="109"/>
      <c r="B826" s="109"/>
      <c r="C826" s="118"/>
      <c r="D826" s="118" t="str">
        <f t="shared" si="12"/>
        <v/>
      </c>
      <c r="E826" s="131"/>
      <c r="F826" s="131"/>
    </row>
    <row r="827" spans="1:6" ht="15.75" x14ac:dyDescent="0.25">
      <c r="A827" s="109"/>
      <c r="B827" s="109"/>
      <c r="C827" s="118"/>
      <c r="D827" s="118" t="str">
        <f t="shared" si="12"/>
        <v/>
      </c>
      <c r="E827" s="131"/>
      <c r="F827" s="131"/>
    </row>
    <row r="828" spans="1:6" ht="15.75" x14ac:dyDescent="0.25">
      <c r="A828" s="109"/>
      <c r="B828" s="109"/>
      <c r="C828" s="118"/>
      <c r="D828" s="118" t="str">
        <f t="shared" si="12"/>
        <v/>
      </c>
      <c r="E828" s="131"/>
      <c r="F828" s="131"/>
    </row>
    <row r="829" spans="1:6" ht="15.75" x14ac:dyDescent="0.25">
      <c r="A829" s="109"/>
      <c r="B829" s="109"/>
      <c r="C829" s="118"/>
      <c r="D829" s="118" t="str">
        <f t="shared" si="12"/>
        <v/>
      </c>
      <c r="E829" s="131"/>
      <c r="F829" s="131"/>
    </row>
    <row r="830" spans="1:6" ht="15.75" x14ac:dyDescent="0.25">
      <c r="A830" s="109"/>
      <c r="B830" s="109"/>
      <c r="C830" s="118"/>
      <c r="D830" s="118" t="str">
        <f t="shared" si="12"/>
        <v/>
      </c>
      <c r="E830" s="131"/>
      <c r="F830" s="131"/>
    </row>
    <row r="831" spans="1:6" ht="15.75" x14ac:dyDescent="0.25">
      <c r="A831" s="109"/>
      <c r="B831" s="109"/>
      <c r="C831" s="118"/>
      <c r="D831" s="118" t="str">
        <f t="shared" si="12"/>
        <v/>
      </c>
      <c r="E831" s="131"/>
      <c r="F831" s="131"/>
    </row>
    <row r="832" spans="1:6" ht="15.75" x14ac:dyDescent="0.25">
      <c r="A832" s="109"/>
      <c r="B832" s="109"/>
      <c r="C832" s="118"/>
      <c r="D832" s="118" t="str">
        <f t="shared" si="12"/>
        <v/>
      </c>
      <c r="E832" s="131"/>
      <c r="F832" s="131"/>
    </row>
    <row r="833" spans="1:6" ht="15.75" x14ac:dyDescent="0.25">
      <c r="A833" s="109"/>
      <c r="B833" s="109"/>
      <c r="C833" s="118"/>
      <c r="D833" s="118" t="str">
        <f t="shared" si="12"/>
        <v/>
      </c>
      <c r="E833" s="131"/>
      <c r="F833" s="131"/>
    </row>
    <row r="834" spans="1:6" ht="15.75" x14ac:dyDescent="0.25">
      <c r="A834" s="109"/>
      <c r="B834" s="109"/>
      <c r="C834" s="118"/>
      <c r="D834" s="118" t="str">
        <f t="shared" si="12"/>
        <v/>
      </c>
      <c r="E834" s="131"/>
      <c r="F834" s="131"/>
    </row>
    <row r="835" spans="1:6" ht="15.75" x14ac:dyDescent="0.25">
      <c r="A835" s="109"/>
      <c r="B835" s="109"/>
      <c r="C835" s="118"/>
      <c r="D835" s="118" t="str">
        <f t="shared" si="12"/>
        <v/>
      </c>
      <c r="E835" s="131"/>
      <c r="F835" s="131"/>
    </row>
    <row r="836" spans="1:6" ht="15.75" x14ac:dyDescent="0.25">
      <c r="A836" s="109"/>
      <c r="B836" s="109"/>
      <c r="C836" s="118"/>
      <c r="D836" s="118" t="str">
        <f t="shared" si="12"/>
        <v/>
      </c>
      <c r="E836" s="131"/>
      <c r="F836" s="131"/>
    </row>
    <row r="837" spans="1:6" ht="15.75" x14ac:dyDescent="0.25">
      <c r="A837" s="109"/>
      <c r="B837" s="109"/>
      <c r="C837" s="118"/>
      <c r="D837" s="118" t="str">
        <f t="shared" si="12"/>
        <v/>
      </c>
      <c r="E837" s="131"/>
      <c r="F837" s="131"/>
    </row>
    <row r="838" spans="1:6" ht="15.75" x14ac:dyDescent="0.25">
      <c r="A838" s="109"/>
      <c r="B838" s="109"/>
      <c r="C838" s="118"/>
      <c r="D838" s="118" t="str">
        <f t="shared" si="12"/>
        <v/>
      </c>
      <c r="E838" s="131"/>
      <c r="F838" s="131"/>
    </row>
    <row r="839" spans="1:6" ht="15.75" x14ac:dyDescent="0.25">
      <c r="A839" s="109"/>
      <c r="B839" s="109"/>
      <c r="C839" s="118"/>
      <c r="D839" s="118" t="str">
        <f t="shared" si="12"/>
        <v/>
      </c>
      <c r="E839" s="131"/>
      <c r="F839" s="131"/>
    </row>
    <row r="840" spans="1:6" ht="15.75" x14ac:dyDescent="0.25">
      <c r="A840" s="109"/>
      <c r="B840" s="109"/>
      <c r="C840" s="118"/>
      <c r="D840" s="118" t="str">
        <f t="shared" si="12"/>
        <v/>
      </c>
      <c r="E840" s="131"/>
      <c r="F840" s="131"/>
    </row>
    <row r="841" spans="1:6" ht="15.75" x14ac:dyDescent="0.25">
      <c r="A841" s="109"/>
      <c r="B841" s="109"/>
      <c r="C841" s="118"/>
      <c r="D841" s="118" t="str">
        <f t="shared" si="12"/>
        <v/>
      </c>
      <c r="E841" s="131"/>
      <c r="F841" s="131"/>
    </row>
    <row r="842" spans="1:6" ht="15.75" x14ac:dyDescent="0.25">
      <c r="A842" s="109"/>
      <c r="B842" s="109"/>
      <c r="C842" s="118"/>
      <c r="D842" s="118" t="str">
        <f t="shared" si="12"/>
        <v/>
      </c>
      <c r="E842" s="131"/>
      <c r="F842" s="131"/>
    </row>
    <row r="843" spans="1:6" ht="15.75" x14ac:dyDescent="0.25">
      <c r="A843" s="109"/>
      <c r="B843" s="109"/>
      <c r="C843" s="118"/>
      <c r="D843" s="118" t="str">
        <f t="shared" ref="D843:D906" si="13">IF(A843=0,"","MinMax")</f>
        <v/>
      </c>
      <c r="E843" s="131"/>
      <c r="F843" s="131"/>
    </row>
    <row r="844" spans="1:6" ht="15.75" x14ac:dyDescent="0.25">
      <c r="A844" s="109"/>
      <c r="B844" s="109"/>
      <c r="C844" s="118"/>
      <c r="D844" s="118" t="str">
        <f t="shared" si="13"/>
        <v/>
      </c>
      <c r="E844" s="131"/>
      <c r="F844" s="131"/>
    </row>
    <row r="845" spans="1:6" ht="15.75" x14ac:dyDescent="0.25">
      <c r="A845" s="109"/>
      <c r="B845" s="109"/>
      <c r="C845" s="118"/>
      <c r="D845" s="118" t="str">
        <f t="shared" si="13"/>
        <v/>
      </c>
      <c r="E845" s="131"/>
      <c r="F845" s="131"/>
    </row>
    <row r="846" spans="1:6" ht="15.75" x14ac:dyDescent="0.25">
      <c r="A846" s="109"/>
      <c r="B846" s="109"/>
      <c r="C846" s="118"/>
      <c r="D846" s="118" t="str">
        <f t="shared" si="13"/>
        <v/>
      </c>
      <c r="E846" s="131"/>
      <c r="F846" s="131"/>
    </row>
    <row r="847" spans="1:6" ht="15.75" x14ac:dyDescent="0.25">
      <c r="A847" s="109"/>
      <c r="B847" s="109"/>
      <c r="C847" s="118"/>
      <c r="D847" s="118" t="str">
        <f t="shared" si="13"/>
        <v/>
      </c>
      <c r="E847" s="131"/>
      <c r="F847" s="131"/>
    </row>
    <row r="848" spans="1:6" ht="15.75" x14ac:dyDescent="0.25">
      <c r="A848" s="109"/>
      <c r="B848" s="109"/>
      <c r="C848" s="118"/>
      <c r="D848" s="118" t="str">
        <f t="shared" si="13"/>
        <v/>
      </c>
      <c r="E848" s="131"/>
      <c r="F848" s="131"/>
    </row>
    <row r="849" spans="1:6" ht="15.75" x14ac:dyDescent="0.25">
      <c r="A849" s="109"/>
      <c r="B849" s="109"/>
      <c r="C849" s="118"/>
      <c r="D849" s="118" t="str">
        <f t="shared" si="13"/>
        <v/>
      </c>
      <c r="E849" s="131"/>
      <c r="F849" s="131"/>
    </row>
    <row r="850" spans="1:6" ht="15.75" x14ac:dyDescent="0.25">
      <c r="A850" s="109"/>
      <c r="B850" s="109"/>
      <c r="C850" s="118"/>
      <c r="D850" s="118" t="str">
        <f t="shared" si="13"/>
        <v/>
      </c>
      <c r="E850" s="131"/>
      <c r="F850" s="131"/>
    </row>
    <row r="851" spans="1:6" ht="15.75" x14ac:dyDescent="0.25">
      <c r="A851" s="109"/>
      <c r="B851" s="109"/>
      <c r="C851" s="118"/>
      <c r="D851" s="118" t="str">
        <f t="shared" si="13"/>
        <v/>
      </c>
      <c r="E851" s="131"/>
      <c r="F851" s="131"/>
    </row>
    <row r="852" spans="1:6" ht="15.75" x14ac:dyDescent="0.25">
      <c r="A852" s="109"/>
      <c r="B852" s="109"/>
      <c r="C852" s="118"/>
      <c r="D852" s="118" t="str">
        <f t="shared" si="13"/>
        <v/>
      </c>
      <c r="E852" s="131"/>
      <c r="F852" s="131"/>
    </row>
    <row r="853" spans="1:6" ht="15.75" x14ac:dyDescent="0.25">
      <c r="A853" s="109"/>
      <c r="B853" s="109"/>
      <c r="C853" s="118"/>
      <c r="D853" s="118" t="str">
        <f t="shared" si="13"/>
        <v/>
      </c>
      <c r="E853" s="131"/>
      <c r="F853" s="131"/>
    </row>
    <row r="854" spans="1:6" ht="15.75" x14ac:dyDescent="0.25">
      <c r="A854" s="109"/>
      <c r="B854" s="109"/>
      <c r="C854" s="118"/>
      <c r="D854" s="118" t="str">
        <f t="shared" si="13"/>
        <v/>
      </c>
      <c r="E854" s="131"/>
      <c r="F854" s="131"/>
    </row>
    <row r="855" spans="1:6" ht="15.75" x14ac:dyDescent="0.25">
      <c r="A855" s="109"/>
      <c r="B855" s="109"/>
      <c r="C855" s="118"/>
      <c r="D855" s="118" t="str">
        <f t="shared" si="13"/>
        <v/>
      </c>
      <c r="E855" s="131"/>
      <c r="F855" s="131"/>
    </row>
    <row r="856" spans="1:6" ht="15.75" x14ac:dyDescent="0.25">
      <c r="A856" s="109"/>
      <c r="B856" s="109"/>
      <c r="C856" s="118"/>
      <c r="D856" s="118" t="str">
        <f t="shared" si="13"/>
        <v/>
      </c>
      <c r="E856" s="131"/>
      <c r="F856" s="131"/>
    </row>
    <row r="857" spans="1:6" ht="15.75" x14ac:dyDescent="0.25">
      <c r="A857" s="109"/>
      <c r="B857" s="109"/>
      <c r="C857" s="118"/>
      <c r="D857" s="118" t="str">
        <f t="shared" si="13"/>
        <v/>
      </c>
      <c r="E857" s="131"/>
      <c r="F857" s="131"/>
    </row>
    <row r="858" spans="1:6" ht="15.75" x14ac:dyDescent="0.25">
      <c r="A858" s="109"/>
      <c r="B858" s="109"/>
      <c r="C858" s="118"/>
      <c r="D858" s="118" t="str">
        <f t="shared" si="13"/>
        <v/>
      </c>
      <c r="E858" s="131"/>
      <c r="F858" s="131"/>
    </row>
    <row r="859" spans="1:6" ht="15.75" x14ac:dyDescent="0.25">
      <c r="A859" s="109"/>
      <c r="B859" s="109"/>
      <c r="C859" s="118"/>
      <c r="D859" s="118" t="str">
        <f t="shared" si="13"/>
        <v/>
      </c>
      <c r="E859" s="131"/>
      <c r="F859" s="131"/>
    </row>
    <row r="860" spans="1:6" ht="15.75" x14ac:dyDescent="0.25">
      <c r="A860" s="109"/>
      <c r="B860" s="109"/>
      <c r="C860" s="118"/>
      <c r="D860" s="118" t="str">
        <f t="shared" si="13"/>
        <v/>
      </c>
      <c r="E860" s="131"/>
      <c r="F860" s="131"/>
    </row>
    <row r="861" spans="1:6" ht="15.75" x14ac:dyDescent="0.25">
      <c r="A861" s="109"/>
      <c r="B861" s="109"/>
      <c r="C861" s="118"/>
      <c r="D861" s="118" t="str">
        <f t="shared" si="13"/>
        <v/>
      </c>
      <c r="E861" s="131"/>
      <c r="F861" s="131"/>
    </row>
    <row r="862" spans="1:6" ht="15.75" x14ac:dyDescent="0.25">
      <c r="A862" s="109"/>
      <c r="B862" s="109"/>
      <c r="C862" s="118"/>
      <c r="D862" s="118" t="str">
        <f t="shared" si="13"/>
        <v/>
      </c>
      <c r="E862" s="131"/>
      <c r="F862" s="131"/>
    </row>
    <row r="863" spans="1:6" ht="15.75" x14ac:dyDescent="0.25">
      <c r="A863" s="109"/>
      <c r="B863" s="109"/>
      <c r="C863" s="118"/>
      <c r="D863" s="118" t="str">
        <f t="shared" si="13"/>
        <v/>
      </c>
      <c r="E863" s="131"/>
      <c r="F863" s="131"/>
    </row>
    <row r="864" spans="1:6" ht="15.75" x14ac:dyDescent="0.25">
      <c r="A864" s="109"/>
      <c r="B864" s="109"/>
      <c r="C864" s="118"/>
      <c r="D864" s="118" t="str">
        <f t="shared" si="13"/>
        <v/>
      </c>
      <c r="E864" s="131"/>
      <c r="F864" s="131"/>
    </row>
    <row r="865" spans="1:6" ht="15.75" x14ac:dyDescent="0.25">
      <c r="A865" s="109"/>
      <c r="B865" s="109"/>
      <c r="C865" s="118"/>
      <c r="D865" s="118" t="str">
        <f t="shared" si="13"/>
        <v/>
      </c>
      <c r="E865" s="131"/>
      <c r="F865" s="131"/>
    </row>
    <row r="866" spans="1:6" ht="15.75" x14ac:dyDescent="0.25">
      <c r="A866" s="109"/>
      <c r="B866" s="109"/>
      <c r="C866" s="118"/>
      <c r="D866" s="118" t="str">
        <f t="shared" si="13"/>
        <v/>
      </c>
      <c r="E866" s="131"/>
      <c r="F866" s="131"/>
    </row>
    <row r="867" spans="1:6" ht="15.75" x14ac:dyDescent="0.25">
      <c r="A867" s="109"/>
      <c r="B867" s="109"/>
      <c r="C867" s="118"/>
      <c r="D867" s="118" t="str">
        <f t="shared" si="13"/>
        <v/>
      </c>
      <c r="E867" s="131"/>
      <c r="F867" s="131"/>
    </row>
    <row r="868" spans="1:6" ht="15.75" x14ac:dyDescent="0.25">
      <c r="A868" s="109"/>
      <c r="B868" s="109"/>
      <c r="C868" s="118"/>
      <c r="D868" s="118" t="str">
        <f t="shared" si="13"/>
        <v/>
      </c>
      <c r="E868" s="131"/>
      <c r="F868" s="131"/>
    </row>
    <row r="869" spans="1:6" ht="15.75" x14ac:dyDescent="0.25">
      <c r="A869" s="109"/>
      <c r="B869" s="109"/>
      <c r="C869" s="118"/>
      <c r="D869" s="118" t="str">
        <f t="shared" si="13"/>
        <v/>
      </c>
      <c r="E869" s="131"/>
      <c r="F869" s="131"/>
    </row>
    <row r="870" spans="1:6" ht="15.75" x14ac:dyDescent="0.25">
      <c r="A870" s="109"/>
      <c r="B870" s="109"/>
      <c r="C870" s="118"/>
      <c r="D870" s="118" t="str">
        <f t="shared" si="13"/>
        <v/>
      </c>
      <c r="E870" s="131"/>
      <c r="F870" s="131"/>
    </row>
    <row r="871" spans="1:6" ht="15.75" x14ac:dyDescent="0.25">
      <c r="A871" s="109"/>
      <c r="B871" s="109"/>
      <c r="C871" s="118"/>
      <c r="D871" s="118" t="str">
        <f t="shared" si="13"/>
        <v/>
      </c>
      <c r="E871" s="131"/>
      <c r="F871" s="131"/>
    </row>
    <row r="872" spans="1:6" ht="15.75" x14ac:dyDescent="0.25">
      <c r="A872" s="109"/>
      <c r="B872" s="109"/>
      <c r="C872" s="118"/>
      <c r="D872" s="118" t="str">
        <f t="shared" si="13"/>
        <v/>
      </c>
      <c r="E872" s="131"/>
      <c r="F872" s="131"/>
    </row>
    <row r="873" spans="1:6" ht="15.75" x14ac:dyDescent="0.25">
      <c r="A873" s="109"/>
      <c r="B873" s="109"/>
      <c r="C873" s="118"/>
      <c r="D873" s="118" t="str">
        <f t="shared" si="13"/>
        <v/>
      </c>
      <c r="E873" s="131"/>
      <c r="F873" s="131"/>
    </row>
    <row r="874" spans="1:6" ht="15.75" x14ac:dyDescent="0.25">
      <c r="A874" s="109"/>
      <c r="B874" s="109"/>
      <c r="C874" s="118"/>
      <c r="D874" s="118" t="str">
        <f t="shared" si="13"/>
        <v/>
      </c>
      <c r="E874" s="131"/>
      <c r="F874" s="131"/>
    </row>
    <row r="875" spans="1:6" ht="15.75" x14ac:dyDescent="0.25">
      <c r="A875" s="109"/>
      <c r="B875" s="109"/>
      <c r="C875" s="118"/>
      <c r="D875" s="118" t="str">
        <f t="shared" si="13"/>
        <v/>
      </c>
      <c r="E875" s="131"/>
      <c r="F875" s="131"/>
    </row>
    <row r="876" spans="1:6" ht="15.75" x14ac:dyDescent="0.25">
      <c r="A876" s="109"/>
      <c r="B876" s="109"/>
      <c r="C876" s="118"/>
      <c r="D876" s="118" t="str">
        <f t="shared" si="13"/>
        <v/>
      </c>
      <c r="E876" s="131"/>
      <c r="F876" s="131"/>
    </row>
    <row r="877" spans="1:6" ht="15.75" x14ac:dyDescent="0.25">
      <c r="A877" s="109"/>
      <c r="B877" s="109"/>
      <c r="C877" s="118"/>
      <c r="D877" s="118" t="str">
        <f t="shared" si="13"/>
        <v/>
      </c>
      <c r="E877" s="131"/>
      <c r="F877" s="131"/>
    </row>
    <row r="878" spans="1:6" ht="15.75" x14ac:dyDescent="0.25">
      <c r="A878" s="109"/>
      <c r="B878" s="109"/>
      <c r="C878" s="118"/>
      <c r="D878" s="118" t="str">
        <f t="shared" si="13"/>
        <v/>
      </c>
      <c r="E878" s="131"/>
      <c r="F878" s="131"/>
    </row>
    <row r="879" spans="1:6" ht="15.75" x14ac:dyDescent="0.25">
      <c r="A879" s="109"/>
      <c r="B879" s="109"/>
      <c r="C879" s="118"/>
      <c r="D879" s="118" t="str">
        <f t="shared" si="13"/>
        <v/>
      </c>
      <c r="E879" s="131"/>
      <c r="F879" s="131"/>
    </row>
    <row r="880" spans="1:6" ht="15.75" x14ac:dyDescent="0.25">
      <c r="A880" s="109"/>
      <c r="B880" s="109"/>
      <c r="C880" s="118"/>
      <c r="D880" s="118" t="str">
        <f t="shared" si="13"/>
        <v/>
      </c>
      <c r="E880" s="131"/>
      <c r="F880" s="131"/>
    </row>
    <row r="881" spans="1:6" ht="15.75" x14ac:dyDescent="0.25">
      <c r="A881" s="109"/>
      <c r="B881" s="109"/>
      <c r="C881" s="118"/>
      <c r="D881" s="118" t="str">
        <f t="shared" si="13"/>
        <v/>
      </c>
      <c r="E881" s="131"/>
      <c r="F881" s="131"/>
    </row>
    <row r="882" spans="1:6" ht="15.75" x14ac:dyDescent="0.25">
      <c r="A882" s="109"/>
      <c r="B882" s="109"/>
      <c r="C882" s="118"/>
      <c r="D882" s="118" t="str">
        <f t="shared" si="13"/>
        <v/>
      </c>
      <c r="E882" s="131"/>
      <c r="F882" s="131"/>
    </row>
    <row r="883" spans="1:6" ht="15.75" x14ac:dyDescent="0.25">
      <c r="A883" s="109"/>
      <c r="B883" s="109"/>
      <c r="C883" s="118"/>
      <c r="D883" s="118" t="str">
        <f t="shared" si="13"/>
        <v/>
      </c>
      <c r="E883" s="131"/>
      <c r="F883" s="131"/>
    </row>
    <row r="884" spans="1:6" ht="15.75" x14ac:dyDescent="0.25">
      <c r="A884" s="109"/>
      <c r="B884" s="109"/>
      <c r="C884" s="118"/>
      <c r="D884" s="118" t="str">
        <f t="shared" si="13"/>
        <v/>
      </c>
      <c r="E884" s="131"/>
      <c r="F884" s="131"/>
    </row>
    <row r="885" spans="1:6" ht="15.75" x14ac:dyDescent="0.25">
      <c r="A885" s="109"/>
      <c r="B885" s="109"/>
      <c r="C885" s="118"/>
      <c r="D885" s="118" t="str">
        <f t="shared" si="13"/>
        <v/>
      </c>
      <c r="E885" s="131"/>
      <c r="F885" s="131"/>
    </row>
    <row r="886" spans="1:6" ht="15.75" x14ac:dyDescent="0.25">
      <c r="A886" s="109"/>
      <c r="B886" s="109"/>
      <c r="C886" s="118"/>
      <c r="D886" s="118" t="str">
        <f t="shared" si="13"/>
        <v/>
      </c>
      <c r="E886" s="131"/>
      <c r="F886" s="131"/>
    </row>
    <row r="887" spans="1:6" ht="15.75" x14ac:dyDescent="0.25">
      <c r="A887" s="109"/>
      <c r="B887" s="109"/>
      <c r="C887" s="118"/>
      <c r="D887" s="118" t="str">
        <f t="shared" si="13"/>
        <v/>
      </c>
      <c r="E887" s="131"/>
      <c r="F887" s="131"/>
    </row>
    <row r="888" spans="1:6" ht="15.75" x14ac:dyDescent="0.25">
      <c r="A888" s="109"/>
      <c r="B888" s="109"/>
      <c r="C888" s="118"/>
      <c r="D888" s="118" t="str">
        <f t="shared" si="13"/>
        <v/>
      </c>
      <c r="E888" s="131"/>
      <c r="F888" s="131"/>
    </row>
    <row r="889" spans="1:6" ht="15.75" x14ac:dyDescent="0.25">
      <c r="A889" s="109"/>
      <c r="B889" s="109"/>
      <c r="C889" s="118"/>
      <c r="D889" s="118" t="str">
        <f t="shared" si="13"/>
        <v/>
      </c>
      <c r="E889" s="131"/>
      <c r="F889" s="131"/>
    </row>
    <row r="890" spans="1:6" ht="15.75" x14ac:dyDescent="0.25">
      <c r="A890" s="109"/>
      <c r="B890" s="109"/>
      <c r="C890" s="118"/>
      <c r="D890" s="118" t="str">
        <f t="shared" si="13"/>
        <v/>
      </c>
      <c r="E890" s="131"/>
      <c r="F890" s="131"/>
    </row>
    <row r="891" spans="1:6" ht="15.75" x14ac:dyDescent="0.25">
      <c r="A891" s="109"/>
      <c r="B891" s="109"/>
      <c r="C891" s="118"/>
      <c r="D891" s="118" t="str">
        <f t="shared" si="13"/>
        <v/>
      </c>
      <c r="E891" s="131"/>
      <c r="F891" s="131"/>
    </row>
    <row r="892" spans="1:6" ht="15.75" x14ac:dyDescent="0.25">
      <c r="A892" s="109"/>
      <c r="B892" s="109"/>
      <c r="C892" s="118"/>
      <c r="D892" s="118" t="str">
        <f t="shared" si="13"/>
        <v/>
      </c>
      <c r="E892" s="131"/>
      <c r="F892" s="131"/>
    </row>
    <row r="893" spans="1:6" ht="15.75" x14ac:dyDescent="0.25">
      <c r="A893" s="109"/>
      <c r="B893" s="109"/>
      <c r="C893" s="118"/>
      <c r="D893" s="118" t="str">
        <f t="shared" si="13"/>
        <v/>
      </c>
      <c r="E893" s="131"/>
      <c r="F893" s="131"/>
    </row>
    <row r="894" spans="1:6" ht="15.75" x14ac:dyDescent="0.25">
      <c r="A894" s="109"/>
      <c r="B894" s="109"/>
      <c r="C894" s="118"/>
      <c r="D894" s="118" t="str">
        <f t="shared" si="13"/>
        <v/>
      </c>
      <c r="E894" s="131"/>
      <c r="F894" s="131"/>
    </row>
    <row r="895" spans="1:6" ht="15.75" x14ac:dyDescent="0.25">
      <c r="A895" s="109"/>
      <c r="B895" s="109"/>
      <c r="C895" s="118"/>
      <c r="D895" s="118" t="str">
        <f t="shared" si="13"/>
        <v/>
      </c>
      <c r="E895" s="131"/>
      <c r="F895" s="131"/>
    </row>
    <row r="896" spans="1:6" ht="15.75" x14ac:dyDescent="0.25">
      <c r="A896" s="109"/>
      <c r="B896" s="109"/>
      <c r="C896" s="118"/>
      <c r="D896" s="118" t="str">
        <f t="shared" si="13"/>
        <v/>
      </c>
      <c r="E896" s="131"/>
      <c r="F896" s="131"/>
    </row>
    <row r="897" spans="1:6" ht="15.75" x14ac:dyDescent="0.25">
      <c r="A897" s="109"/>
      <c r="B897" s="109"/>
      <c r="C897" s="118"/>
      <c r="D897" s="118" t="str">
        <f t="shared" si="13"/>
        <v/>
      </c>
      <c r="E897" s="131"/>
      <c r="F897" s="131"/>
    </row>
    <row r="898" spans="1:6" ht="15.75" x14ac:dyDescent="0.25">
      <c r="A898" s="109"/>
      <c r="B898" s="109"/>
      <c r="C898" s="118"/>
      <c r="D898" s="118" t="str">
        <f t="shared" si="13"/>
        <v/>
      </c>
      <c r="E898" s="131"/>
      <c r="F898" s="131"/>
    </row>
    <row r="899" spans="1:6" ht="15.75" x14ac:dyDescent="0.25">
      <c r="A899" s="109"/>
      <c r="B899" s="109"/>
      <c r="C899" s="118"/>
      <c r="D899" s="118" t="str">
        <f t="shared" si="13"/>
        <v/>
      </c>
      <c r="E899" s="131"/>
      <c r="F899" s="131"/>
    </row>
    <row r="900" spans="1:6" ht="15.75" x14ac:dyDescent="0.25">
      <c r="A900" s="109"/>
      <c r="B900" s="109"/>
      <c r="C900" s="118"/>
      <c r="D900" s="118" t="str">
        <f t="shared" si="13"/>
        <v/>
      </c>
      <c r="E900" s="131"/>
      <c r="F900" s="131"/>
    </row>
    <row r="901" spans="1:6" ht="15.75" x14ac:dyDescent="0.25">
      <c r="A901" s="109"/>
      <c r="B901" s="109"/>
      <c r="C901" s="118"/>
      <c r="D901" s="118" t="str">
        <f t="shared" si="13"/>
        <v/>
      </c>
      <c r="E901" s="131"/>
      <c r="F901" s="131"/>
    </row>
    <row r="902" spans="1:6" ht="15.75" x14ac:dyDescent="0.25">
      <c r="A902" s="109"/>
      <c r="B902" s="109"/>
      <c r="C902" s="118"/>
      <c r="D902" s="118" t="str">
        <f t="shared" si="13"/>
        <v/>
      </c>
      <c r="E902" s="131"/>
      <c r="F902" s="131"/>
    </row>
    <row r="903" spans="1:6" ht="15.75" x14ac:dyDescent="0.25">
      <c r="A903" s="109"/>
      <c r="B903" s="109"/>
      <c r="C903" s="118"/>
      <c r="D903" s="118" t="str">
        <f t="shared" si="13"/>
        <v/>
      </c>
      <c r="E903" s="131"/>
      <c r="F903" s="131"/>
    </row>
    <row r="904" spans="1:6" ht="15.75" x14ac:dyDescent="0.25">
      <c r="A904" s="109"/>
      <c r="B904" s="109"/>
      <c r="C904" s="118"/>
      <c r="D904" s="118" t="str">
        <f t="shared" si="13"/>
        <v/>
      </c>
      <c r="E904" s="131"/>
      <c r="F904" s="131"/>
    </row>
    <row r="905" spans="1:6" ht="15.75" x14ac:dyDescent="0.25">
      <c r="A905" s="109"/>
      <c r="B905" s="109"/>
      <c r="C905" s="118"/>
      <c r="D905" s="118" t="str">
        <f t="shared" si="13"/>
        <v/>
      </c>
      <c r="E905" s="131"/>
      <c r="F905" s="131"/>
    </row>
    <row r="906" spans="1:6" ht="15.75" x14ac:dyDescent="0.25">
      <c r="A906" s="109"/>
      <c r="B906" s="109"/>
      <c r="C906" s="118"/>
      <c r="D906" s="118" t="str">
        <f t="shared" si="13"/>
        <v/>
      </c>
      <c r="E906" s="131"/>
      <c r="F906" s="131"/>
    </row>
    <row r="907" spans="1:6" ht="15.75" x14ac:dyDescent="0.25">
      <c r="A907" s="109"/>
      <c r="B907" s="109"/>
      <c r="C907" s="118"/>
      <c r="D907" s="118" t="str">
        <f t="shared" ref="D907:D970" si="14">IF(A907=0,"","MinMax")</f>
        <v/>
      </c>
      <c r="E907" s="131"/>
      <c r="F907" s="131"/>
    </row>
    <row r="908" spans="1:6" ht="15.75" x14ac:dyDescent="0.25">
      <c r="A908" s="109"/>
      <c r="B908" s="109"/>
      <c r="C908" s="118"/>
      <c r="D908" s="118" t="str">
        <f t="shared" si="14"/>
        <v/>
      </c>
      <c r="E908" s="131"/>
      <c r="F908" s="131"/>
    </row>
    <row r="909" spans="1:6" ht="15.75" x14ac:dyDescent="0.25">
      <c r="A909" s="109"/>
      <c r="B909" s="109"/>
      <c r="C909" s="118"/>
      <c r="D909" s="118" t="str">
        <f t="shared" si="14"/>
        <v/>
      </c>
      <c r="E909" s="131"/>
      <c r="F909" s="131"/>
    </row>
    <row r="910" spans="1:6" ht="15.75" x14ac:dyDescent="0.25">
      <c r="A910" s="109"/>
      <c r="B910" s="109"/>
      <c r="C910" s="118"/>
      <c r="D910" s="118" t="str">
        <f t="shared" si="14"/>
        <v/>
      </c>
      <c r="E910" s="131"/>
      <c r="F910" s="131"/>
    </row>
    <row r="911" spans="1:6" ht="15.75" x14ac:dyDescent="0.25">
      <c r="A911" s="109"/>
      <c r="B911" s="109"/>
      <c r="C911" s="118"/>
      <c r="D911" s="118" t="str">
        <f t="shared" si="14"/>
        <v/>
      </c>
      <c r="E911" s="131"/>
      <c r="F911" s="131"/>
    </row>
    <row r="912" spans="1:6" ht="15.75" x14ac:dyDescent="0.25">
      <c r="A912" s="109"/>
      <c r="B912" s="109"/>
      <c r="C912" s="118"/>
      <c r="D912" s="118" t="str">
        <f t="shared" si="14"/>
        <v/>
      </c>
      <c r="E912" s="131"/>
      <c r="F912" s="131"/>
    </row>
    <row r="913" spans="1:6" ht="15.75" x14ac:dyDescent="0.25">
      <c r="A913" s="109"/>
      <c r="B913" s="109"/>
      <c r="C913" s="118"/>
      <c r="D913" s="118" t="str">
        <f t="shared" si="14"/>
        <v/>
      </c>
      <c r="E913" s="131"/>
      <c r="F913" s="131"/>
    </row>
    <row r="914" spans="1:6" ht="15.75" x14ac:dyDescent="0.25">
      <c r="A914" s="109"/>
      <c r="B914" s="109"/>
      <c r="C914" s="118"/>
      <c r="D914" s="118" t="str">
        <f t="shared" si="14"/>
        <v/>
      </c>
      <c r="E914" s="131"/>
      <c r="F914" s="131"/>
    </row>
    <row r="915" spans="1:6" ht="15.75" x14ac:dyDescent="0.25">
      <c r="A915" s="109"/>
      <c r="B915" s="109"/>
      <c r="C915" s="118"/>
      <c r="D915" s="118" t="str">
        <f t="shared" si="14"/>
        <v/>
      </c>
      <c r="E915" s="131"/>
      <c r="F915" s="131"/>
    </row>
    <row r="916" spans="1:6" ht="15.75" x14ac:dyDescent="0.25">
      <c r="A916" s="109"/>
      <c r="B916" s="109"/>
      <c r="C916" s="118"/>
      <c r="D916" s="118" t="str">
        <f t="shared" si="14"/>
        <v/>
      </c>
      <c r="E916" s="131"/>
      <c r="F916" s="131"/>
    </row>
    <row r="917" spans="1:6" ht="15.75" x14ac:dyDescent="0.25">
      <c r="A917" s="109"/>
      <c r="B917" s="109"/>
      <c r="C917" s="118"/>
      <c r="D917" s="118" t="str">
        <f t="shared" si="14"/>
        <v/>
      </c>
      <c r="E917" s="131"/>
      <c r="F917" s="131"/>
    </row>
    <row r="918" spans="1:6" ht="15.75" x14ac:dyDescent="0.25">
      <c r="A918" s="109"/>
      <c r="B918" s="109"/>
      <c r="C918" s="118"/>
      <c r="D918" s="118" t="str">
        <f t="shared" si="14"/>
        <v/>
      </c>
      <c r="E918" s="131"/>
      <c r="F918" s="131"/>
    </row>
    <row r="919" spans="1:6" ht="15.75" x14ac:dyDescent="0.25">
      <c r="A919" s="109"/>
      <c r="B919" s="109"/>
      <c r="C919" s="118"/>
      <c r="D919" s="118" t="str">
        <f t="shared" si="14"/>
        <v/>
      </c>
      <c r="E919" s="131"/>
      <c r="F919" s="131"/>
    </row>
    <row r="920" spans="1:6" ht="15.75" x14ac:dyDescent="0.25">
      <c r="A920" s="109"/>
      <c r="B920" s="109"/>
      <c r="C920" s="118"/>
      <c r="D920" s="118" t="str">
        <f t="shared" si="14"/>
        <v/>
      </c>
      <c r="E920" s="131"/>
      <c r="F920" s="131"/>
    </row>
    <row r="921" spans="1:6" ht="15.75" x14ac:dyDescent="0.25">
      <c r="A921" s="109"/>
      <c r="B921" s="109"/>
      <c r="C921" s="118"/>
      <c r="D921" s="118" t="str">
        <f t="shared" si="14"/>
        <v/>
      </c>
      <c r="E921" s="131"/>
      <c r="F921" s="131"/>
    </row>
    <row r="922" spans="1:6" ht="15.75" x14ac:dyDescent="0.25">
      <c r="A922" s="109"/>
      <c r="B922" s="109"/>
      <c r="C922" s="118"/>
      <c r="D922" s="118" t="str">
        <f t="shared" si="14"/>
        <v/>
      </c>
      <c r="E922" s="131"/>
      <c r="F922" s="131"/>
    </row>
    <row r="923" spans="1:6" ht="15.75" x14ac:dyDescent="0.25">
      <c r="A923" s="109"/>
      <c r="B923" s="109"/>
      <c r="C923" s="118"/>
      <c r="D923" s="118" t="str">
        <f t="shared" si="14"/>
        <v/>
      </c>
      <c r="E923" s="131"/>
      <c r="F923" s="131"/>
    </row>
    <row r="924" spans="1:6" ht="15.75" x14ac:dyDescent="0.25">
      <c r="A924" s="109"/>
      <c r="B924" s="109"/>
      <c r="C924" s="118"/>
      <c r="D924" s="118" t="str">
        <f t="shared" si="14"/>
        <v/>
      </c>
      <c r="E924" s="131"/>
      <c r="F924" s="131"/>
    </row>
    <row r="925" spans="1:6" ht="15.75" x14ac:dyDescent="0.25">
      <c r="A925" s="109"/>
      <c r="B925" s="109"/>
      <c r="C925" s="118"/>
      <c r="D925" s="118" t="str">
        <f t="shared" si="14"/>
        <v/>
      </c>
      <c r="E925" s="131"/>
      <c r="F925" s="131"/>
    </row>
    <row r="926" spans="1:6" ht="15.75" x14ac:dyDescent="0.25">
      <c r="A926" s="109"/>
      <c r="B926" s="109"/>
      <c r="C926" s="118"/>
      <c r="D926" s="118" t="str">
        <f t="shared" si="14"/>
        <v/>
      </c>
      <c r="E926" s="131"/>
      <c r="F926" s="131"/>
    </row>
    <row r="927" spans="1:6" ht="15.75" x14ac:dyDescent="0.25">
      <c r="A927" s="109"/>
      <c r="B927" s="109"/>
      <c r="C927" s="118"/>
      <c r="D927" s="118" t="str">
        <f t="shared" si="14"/>
        <v/>
      </c>
      <c r="E927" s="131"/>
      <c r="F927" s="131"/>
    </row>
    <row r="928" spans="1:6" ht="15.75" x14ac:dyDescent="0.25">
      <c r="A928" s="109"/>
      <c r="B928" s="109"/>
      <c r="C928" s="118"/>
      <c r="D928" s="118" t="str">
        <f t="shared" si="14"/>
        <v/>
      </c>
      <c r="E928" s="131"/>
      <c r="F928" s="131"/>
    </row>
    <row r="929" spans="1:6" ht="15.75" x14ac:dyDescent="0.25">
      <c r="A929" s="109"/>
      <c r="B929" s="109"/>
      <c r="C929" s="118"/>
      <c r="D929" s="118" t="str">
        <f t="shared" si="14"/>
        <v/>
      </c>
      <c r="E929" s="131"/>
      <c r="F929" s="131"/>
    </row>
    <row r="930" spans="1:6" ht="15.75" x14ac:dyDescent="0.25">
      <c r="A930" s="109"/>
      <c r="B930" s="109"/>
      <c r="C930" s="118"/>
      <c r="D930" s="118" t="str">
        <f t="shared" si="14"/>
        <v/>
      </c>
      <c r="E930" s="131"/>
      <c r="F930" s="131"/>
    </row>
    <row r="931" spans="1:6" ht="15.75" x14ac:dyDescent="0.25">
      <c r="A931" s="109"/>
      <c r="B931" s="109"/>
      <c r="C931" s="118"/>
      <c r="D931" s="118" t="str">
        <f t="shared" si="14"/>
        <v/>
      </c>
      <c r="E931" s="131"/>
      <c r="F931" s="131"/>
    </row>
    <row r="932" spans="1:6" ht="15.75" x14ac:dyDescent="0.25">
      <c r="A932" s="109"/>
      <c r="B932" s="109"/>
      <c r="C932" s="118"/>
      <c r="D932" s="118" t="str">
        <f t="shared" si="14"/>
        <v/>
      </c>
      <c r="E932" s="131"/>
      <c r="F932" s="131"/>
    </row>
    <row r="933" spans="1:6" ht="15.75" x14ac:dyDescent="0.25">
      <c r="A933" s="109"/>
      <c r="B933" s="109"/>
      <c r="C933" s="118"/>
      <c r="D933" s="118" t="str">
        <f t="shared" si="14"/>
        <v/>
      </c>
      <c r="E933" s="131"/>
      <c r="F933" s="131"/>
    </row>
    <row r="934" spans="1:6" ht="15.75" x14ac:dyDescent="0.25">
      <c r="A934" s="109"/>
      <c r="B934" s="109"/>
      <c r="C934" s="118"/>
      <c r="D934" s="118" t="str">
        <f t="shared" si="14"/>
        <v/>
      </c>
      <c r="E934" s="131"/>
      <c r="F934" s="131"/>
    </row>
    <row r="935" spans="1:6" ht="15.75" x14ac:dyDescent="0.25">
      <c r="A935" s="109"/>
      <c r="B935" s="109"/>
      <c r="C935" s="118"/>
      <c r="D935" s="118" t="str">
        <f t="shared" si="14"/>
        <v/>
      </c>
      <c r="E935" s="131"/>
      <c r="F935" s="131"/>
    </row>
    <row r="936" spans="1:6" ht="15.75" x14ac:dyDescent="0.25">
      <c r="A936" s="109"/>
      <c r="B936" s="109"/>
      <c r="C936" s="118"/>
      <c r="D936" s="118" t="str">
        <f t="shared" si="14"/>
        <v/>
      </c>
      <c r="E936" s="131"/>
      <c r="F936" s="131"/>
    </row>
    <row r="937" spans="1:6" ht="15.75" x14ac:dyDescent="0.25">
      <c r="A937" s="109"/>
      <c r="B937" s="109"/>
      <c r="C937" s="118"/>
      <c r="D937" s="118" t="str">
        <f t="shared" si="14"/>
        <v/>
      </c>
      <c r="E937" s="131"/>
      <c r="F937" s="131"/>
    </row>
    <row r="938" spans="1:6" ht="15.75" x14ac:dyDescent="0.25">
      <c r="A938" s="109"/>
      <c r="B938" s="109"/>
      <c r="C938" s="118"/>
      <c r="D938" s="118" t="str">
        <f t="shared" si="14"/>
        <v/>
      </c>
      <c r="E938" s="131"/>
      <c r="F938" s="131"/>
    </row>
    <row r="939" spans="1:6" ht="15.75" x14ac:dyDescent="0.25">
      <c r="A939" s="109"/>
      <c r="B939" s="109"/>
      <c r="C939" s="118"/>
      <c r="D939" s="118" t="str">
        <f t="shared" si="14"/>
        <v/>
      </c>
      <c r="E939" s="131"/>
      <c r="F939" s="131"/>
    </row>
    <row r="940" spans="1:6" ht="15.75" x14ac:dyDescent="0.25">
      <c r="A940" s="109"/>
      <c r="B940" s="109"/>
      <c r="C940" s="118"/>
      <c r="D940" s="118" t="str">
        <f t="shared" si="14"/>
        <v/>
      </c>
      <c r="E940" s="131"/>
      <c r="F940" s="131"/>
    </row>
    <row r="941" spans="1:6" ht="15.75" x14ac:dyDescent="0.25">
      <c r="A941" s="109"/>
      <c r="B941" s="109"/>
      <c r="C941" s="118"/>
      <c r="D941" s="118" t="str">
        <f t="shared" si="14"/>
        <v/>
      </c>
      <c r="E941" s="131"/>
      <c r="F941" s="131"/>
    </row>
    <row r="942" spans="1:6" ht="15.75" x14ac:dyDescent="0.25">
      <c r="A942" s="109"/>
      <c r="B942" s="109"/>
      <c r="C942" s="118"/>
      <c r="D942" s="118" t="str">
        <f t="shared" si="14"/>
        <v/>
      </c>
      <c r="E942" s="131"/>
      <c r="F942" s="131"/>
    </row>
    <row r="943" spans="1:6" ht="15.75" x14ac:dyDescent="0.25">
      <c r="A943" s="109"/>
      <c r="B943" s="109"/>
      <c r="C943" s="118"/>
      <c r="D943" s="118" t="str">
        <f t="shared" si="14"/>
        <v/>
      </c>
      <c r="E943" s="131"/>
      <c r="F943" s="131"/>
    </row>
    <row r="944" spans="1:6" ht="15.75" x14ac:dyDescent="0.25">
      <c r="A944" s="109"/>
      <c r="B944" s="109"/>
      <c r="C944" s="118"/>
      <c r="D944" s="118" t="str">
        <f t="shared" si="14"/>
        <v/>
      </c>
      <c r="E944" s="131"/>
      <c r="F944" s="131"/>
    </row>
    <row r="945" spans="1:6" ht="15.75" x14ac:dyDescent="0.25">
      <c r="A945" s="109"/>
      <c r="B945" s="109"/>
      <c r="C945" s="118"/>
      <c r="D945" s="118" t="str">
        <f t="shared" si="14"/>
        <v/>
      </c>
      <c r="E945" s="131"/>
      <c r="F945" s="131"/>
    </row>
    <row r="946" spans="1:6" ht="15.75" x14ac:dyDescent="0.25">
      <c r="A946" s="109"/>
      <c r="B946" s="109"/>
      <c r="C946" s="118"/>
      <c r="D946" s="118" t="str">
        <f t="shared" si="14"/>
        <v/>
      </c>
      <c r="E946" s="131"/>
      <c r="F946" s="131"/>
    </row>
    <row r="947" spans="1:6" ht="15.75" x14ac:dyDescent="0.25">
      <c r="A947" s="109"/>
      <c r="B947" s="109"/>
      <c r="C947" s="118"/>
      <c r="D947" s="118" t="str">
        <f t="shared" si="14"/>
        <v/>
      </c>
      <c r="E947" s="131"/>
      <c r="F947" s="131"/>
    </row>
    <row r="948" spans="1:6" ht="15.75" x14ac:dyDescent="0.25">
      <c r="A948" s="109"/>
      <c r="B948" s="109"/>
      <c r="C948" s="118"/>
      <c r="D948" s="118" t="str">
        <f t="shared" si="14"/>
        <v/>
      </c>
      <c r="E948" s="131"/>
      <c r="F948" s="131"/>
    </row>
    <row r="949" spans="1:6" ht="15.75" x14ac:dyDescent="0.25">
      <c r="A949" s="109"/>
      <c r="B949" s="109"/>
      <c r="C949" s="118"/>
      <c r="D949" s="118" t="str">
        <f t="shared" si="14"/>
        <v/>
      </c>
      <c r="E949" s="131"/>
      <c r="F949" s="131"/>
    </row>
    <row r="950" spans="1:6" ht="15.75" x14ac:dyDescent="0.25">
      <c r="A950" s="109"/>
      <c r="B950" s="109"/>
      <c r="C950" s="118"/>
      <c r="D950" s="118" t="str">
        <f t="shared" si="14"/>
        <v/>
      </c>
      <c r="E950" s="131"/>
      <c r="F950" s="131"/>
    </row>
    <row r="951" spans="1:6" ht="15.75" x14ac:dyDescent="0.25">
      <c r="A951" s="109"/>
      <c r="B951" s="109"/>
      <c r="C951" s="118"/>
      <c r="D951" s="118" t="str">
        <f t="shared" si="14"/>
        <v/>
      </c>
      <c r="E951" s="131"/>
      <c r="F951" s="131"/>
    </row>
    <row r="952" spans="1:6" ht="15.75" x14ac:dyDescent="0.25">
      <c r="A952" s="109"/>
      <c r="B952" s="109"/>
      <c r="C952" s="118"/>
      <c r="D952" s="118" t="str">
        <f t="shared" si="14"/>
        <v/>
      </c>
      <c r="E952" s="131"/>
      <c r="F952" s="131"/>
    </row>
    <row r="953" spans="1:6" ht="15.75" x14ac:dyDescent="0.25">
      <c r="A953" s="109"/>
      <c r="B953" s="109"/>
      <c r="C953" s="118"/>
      <c r="D953" s="118" t="str">
        <f t="shared" si="14"/>
        <v/>
      </c>
      <c r="E953" s="131"/>
      <c r="F953" s="131"/>
    </row>
    <row r="954" spans="1:6" ht="15.75" x14ac:dyDescent="0.25">
      <c r="A954" s="109"/>
      <c r="B954" s="109"/>
      <c r="C954" s="118"/>
      <c r="D954" s="118" t="str">
        <f t="shared" si="14"/>
        <v/>
      </c>
      <c r="E954" s="131"/>
      <c r="F954" s="131"/>
    </row>
    <row r="955" spans="1:6" ht="15.75" x14ac:dyDescent="0.25">
      <c r="A955" s="109"/>
      <c r="B955" s="109"/>
      <c r="C955" s="118"/>
      <c r="D955" s="118" t="str">
        <f t="shared" si="14"/>
        <v/>
      </c>
      <c r="E955" s="131"/>
      <c r="F955" s="131"/>
    </row>
    <row r="956" spans="1:6" ht="15.75" x14ac:dyDescent="0.25">
      <c r="A956" s="109"/>
      <c r="B956" s="109"/>
      <c r="C956" s="118"/>
      <c r="D956" s="118" t="str">
        <f t="shared" si="14"/>
        <v/>
      </c>
      <c r="E956" s="131"/>
      <c r="F956" s="131"/>
    </row>
    <row r="957" spans="1:6" ht="15.75" x14ac:dyDescent="0.25">
      <c r="A957" s="109"/>
      <c r="B957" s="109"/>
      <c r="C957" s="118"/>
      <c r="D957" s="118" t="str">
        <f t="shared" si="14"/>
        <v/>
      </c>
      <c r="E957" s="131"/>
      <c r="F957" s="131"/>
    </row>
    <row r="958" spans="1:6" ht="15.75" x14ac:dyDescent="0.25">
      <c r="A958" s="109"/>
      <c r="B958" s="109"/>
      <c r="C958" s="118"/>
      <c r="D958" s="118" t="str">
        <f t="shared" si="14"/>
        <v/>
      </c>
      <c r="E958" s="131"/>
      <c r="F958" s="131"/>
    </row>
    <row r="959" spans="1:6" ht="15.75" x14ac:dyDescent="0.25">
      <c r="A959" s="109"/>
      <c r="B959" s="109"/>
      <c r="C959" s="118"/>
      <c r="D959" s="118" t="str">
        <f t="shared" si="14"/>
        <v/>
      </c>
      <c r="E959" s="131"/>
      <c r="F959" s="131"/>
    </row>
    <row r="960" spans="1:6" ht="15.75" x14ac:dyDescent="0.25">
      <c r="A960" s="109"/>
      <c r="B960" s="109"/>
      <c r="C960" s="118"/>
      <c r="D960" s="118" t="str">
        <f t="shared" si="14"/>
        <v/>
      </c>
      <c r="E960" s="131"/>
      <c r="F960" s="131"/>
    </row>
    <row r="961" spans="1:6" ht="15.75" x14ac:dyDescent="0.25">
      <c r="A961" s="109"/>
      <c r="B961" s="109"/>
      <c r="C961" s="118"/>
      <c r="D961" s="118" t="str">
        <f t="shared" si="14"/>
        <v/>
      </c>
      <c r="E961" s="131"/>
      <c r="F961" s="131"/>
    </row>
    <row r="962" spans="1:6" ht="15.75" x14ac:dyDescent="0.25">
      <c r="A962" s="109"/>
      <c r="B962" s="109"/>
      <c r="C962" s="118"/>
      <c r="D962" s="118" t="str">
        <f t="shared" si="14"/>
        <v/>
      </c>
      <c r="E962" s="131"/>
      <c r="F962" s="131"/>
    </row>
    <row r="963" spans="1:6" ht="15.75" x14ac:dyDescent="0.25">
      <c r="A963" s="109"/>
      <c r="B963" s="109"/>
      <c r="C963" s="118"/>
      <c r="D963" s="118" t="str">
        <f t="shared" si="14"/>
        <v/>
      </c>
      <c r="E963" s="131"/>
      <c r="F963" s="131"/>
    </row>
    <row r="964" spans="1:6" ht="15.75" x14ac:dyDescent="0.25">
      <c r="A964" s="109"/>
      <c r="B964" s="109"/>
      <c r="C964" s="118"/>
      <c r="D964" s="118" t="str">
        <f t="shared" si="14"/>
        <v/>
      </c>
      <c r="E964" s="131"/>
      <c r="F964" s="131"/>
    </row>
    <row r="965" spans="1:6" ht="15.75" x14ac:dyDescent="0.25">
      <c r="A965" s="109"/>
      <c r="B965" s="109"/>
      <c r="C965" s="118"/>
      <c r="D965" s="118" t="str">
        <f t="shared" si="14"/>
        <v/>
      </c>
      <c r="E965" s="131"/>
      <c r="F965" s="131"/>
    </row>
    <row r="966" spans="1:6" ht="15.75" x14ac:dyDescent="0.25">
      <c r="A966" s="109"/>
      <c r="B966" s="109"/>
      <c r="C966" s="118"/>
      <c r="D966" s="118" t="str">
        <f t="shared" si="14"/>
        <v/>
      </c>
      <c r="E966" s="131"/>
      <c r="F966" s="131"/>
    </row>
    <row r="967" spans="1:6" ht="15.75" x14ac:dyDescent="0.25">
      <c r="A967" s="109"/>
      <c r="B967" s="109"/>
      <c r="C967" s="118"/>
      <c r="D967" s="118" t="str">
        <f t="shared" si="14"/>
        <v/>
      </c>
      <c r="E967" s="131"/>
      <c r="F967" s="131"/>
    </row>
    <row r="968" spans="1:6" ht="15.75" x14ac:dyDescent="0.25">
      <c r="A968" s="109"/>
      <c r="B968" s="109"/>
      <c r="C968" s="118"/>
      <c r="D968" s="118" t="str">
        <f t="shared" si="14"/>
        <v/>
      </c>
      <c r="E968" s="131"/>
      <c r="F968" s="131"/>
    </row>
    <row r="969" spans="1:6" ht="15.75" x14ac:dyDescent="0.25">
      <c r="A969" s="109"/>
      <c r="B969" s="109"/>
      <c r="C969" s="118"/>
      <c r="D969" s="118" t="str">
        <f t="shared" si="14"/>
        <v/>
      </c>
      <c r="E969" s="131"/>
      <c r="F969" s="131"/>
    </row>
    <row r="970" spans="1:6" ht="15.75" x14ac:dyDescent="0.25">
      <c r="A970" s="109"/>
      <c r="B970" s="109"/>
      <c r="C970" s="118"/>
      <c r="D970" s="118" t="str">
        <f t="shared" si="14"/>
        <v/>
      </c>
      <c r="E970" s="131"/>
      <c r="F970" s="131"/>
    </row>
    <row r="971" spans="1:6" ht="15.75" x14ac:dyDescent="0.25">
      <c r="A971" s="109"/>
      <c r="B971" s="109"/>
      <c r="C971" s="118"/>
      <c r="D971" s="118" t="str">
        <f t="shared" ref="D971:D1009" si="15">IF(A971=0,"","MinMax")</f>
        <v/>
      </c>
      <c r="E971" s="131"/>
      <c r="F971" s="131"/>
    </row>
    <row r="972" spans="1:6" ht="15.75" x14ac:dyDescent="0.25">
      <c r="A972" s="109"/>
      <c r="B972" s="109"/>
      <c r="C972" s="118"/>
      <c r="D972" s="118" t="str">
        <f t="shared" si="15"/>
        <v/>
      </c>
      <c r="E972" s="131"/>
      <c r="F972" s="131"/>
    </row>
    <row r="973" spans="1:6" ht="15.75" x14ac:dyDescent="0.25">
      <c r="A973" s="109"/>
      <c r="B973" s="109"/>
      <c r="C973" s="118"/>
      <c r="D973" s="118" t="str">
        <f t="shared" si="15"/>
        <v/>
      </c>
      <c r="E973" s="131"/>
      <c r="F973" s="131"/>
    </row>
    <row r="974" spans="1:6" ht="15.75" x14ac:dyDescent="0.25">
      <c r="A974" s="109"/>
      <c r="B974" s="109"/>
      <c r="C974" s="118"/>
      <c r="D974" s="118" t="str">
        <f t="shared" si="15"/>
        <v/>
      </c>
      <c r="E974" s="131"/>
      <c r="F974" s="131"/>
    </row>
    <row r="975" spans="1:6" ht="15.75" x14ac:dyDescent="0.25">
      <c r="A975" s="109"/>
      <c r="B975" s="109"/>
      <c r="C975" s="118"/>
      <c r="D975" s="118" t="str">
        <f t="shared" si="15"/>
        <v/>
      </c>
      <c r="E975" s="131"/>
      <c r="F975" s="131"/>
    </row>
    <row r="976" spans="1:6" ht="15.75" x14ac:dyDescent="0.25">
      <c r="A976" s="109"/>
      <c r="B976" s="109"/>
      <c r="C976" s="118"/>
      <c r="D976" s="118" t="str">
        <f t="shared" si="15"/>
        <v/>
      </c>
      <c r="E976" s="131"/>
      <c r="F976" s="131"/>
    </row>
    <row r="977" spans="1:6" ht="15.75" x14ac:dyDescent="0.25">
      <c r="A977" s="109"/>
      <c r="B977" s="109"/>
      <c r="C977" s="118"/>
      <c r="D977" s="118" t="str">
        <f t="shared" si="15"/>
        <v/>
      </c>
      <c r="E977" s="131"/>
      <c r="F977" s="131"/>
    </row>
    <row r="978" spans="1:6" ht="15.75" x14ac:dyDescent="0.25">
      <c r="A978" s="109"/>
      <c r="B978" s="109"/>
      <c r="C978" s="118"/>
      <c r="D978" s="118" t="str">
        <f t="shared" si="15"/>
        <v/>
      </c>
      <c r="E978" s="131"/>
      <c r="F978" s="131"/>
    </row>
    <row r="979" spans="1:6" ht="15.75" x14ac:dyDescent="0.25">
      <c r="A979" s="109"/>
      <c r="B979" s="109"/>
      <c r="C979" s="118"/>
      <c r="D979" s="118" t="str">
        <f t="shared" si="15"/>
        <v/>
      </c>
      <c r="E979" s="131"/>
      <c r="F979" s="131"/>
    </row>
    <row r="980" spans="1:6" ht="15.75" x14ac:dyDescent="0.25">
      <c r="A980" s="109"/>
      <c r="B980" s="109"/>
      <c r="C980" s="118"/>
      <c r="D980" s="118" t="str">
        <f t="shared" si="15"/>
        <v/>
      </c>
      <c r="E980" s="131"/>
      <c r="F980" s="131"/>
    </row>
    <row r="981" spans="1:6" ht="15.75" x14ac:dyDescent="0.25">
      <c r="A981" s="109"/>
      <c r="B981" s="109"/>
      <c r="C981" s="118"/>
      <c r="D981" s="118" t="str">
        <f t="shared" si="15"/>
        <v/>
      </c>
      <c r="E981" s="131"/>
      <c r="F981" s="131"/>
    </row>
    <row r="982" spans="1:6" ht="15.75" x14ac:dyDescent="0.25">
      <c r="A982" s="109"/>
      <c r="B982" s="109"/>
      <c r="C982" s="118"/>
      <c r="D982" s="118" t="str">
        <f t="shared" si="15"/>
        <v/>
      </c>
      <c r="E982" s="131"/>
      <c r="F982" s="131"/>
    </row>
    <row r="983" spans="1:6" ht="15.75" x14ac:dyDescent="0.25">
      <c r="A983" s="109"/>
      <c r="B983" s="109"/>
      <c r="C983" s="118"/>
      <c r="D983" s="118" t="str">
        <f t="shared" si="15"/>
        <v/>
      </c>
      <c r="E983" s="131"/>
      <c r="F983" s="131"/>
    </row>
    <row r="984" spans="1:6" ht="15.75" x14ac:dyDescent="0.25">
      <c r="A984" s="109"/>
      <c r="B984" s="109"/>
      <c r="C984" s="118"/>
      <c r="D984" s="118" t="str">
        <f t="shared" si="15"/>
        <v/>
      </c>
      <c r="E984" s="131"/>
      <c r="F984" s="131"/>
    </row>
    <row r="985" spans="1:6" ht="15.75" x14ac:dyDescent="0.25">
      <c r="A985" s="109"/>
      <c r="B985" s="109"/>
      <c r="C985" s="118"/>
      <c r="D985" s="118" t="str">
        <f t="shared" si="15"/>
        <v/>
      </c>
      <c r="E985" s="131"/>
      <c r="F985" s="131"/>
    </row>
    <row r="986" spans="1:6" ht="15.75" x14ac:dyDescent="0.25">
      <c r="A986" s="109"/>
      <c r="B986" s="109"/>
      <c r="C986" s="118"/>
      <c r="D986" s="118" t="str">
        <f t="shared" si="15"/>
        <v/>
      </c>
      <c r="E986" s="131"/>
      <c r="F986" s="131"/>
    </row>
    <row r="987" spans="1:6" ht="15.75" x14ac:dyDescent="0.25">
      <c r="A987" s="109"/>
      <c r="B987" s="109"/>
      <c r="C987" s="118"/>
      <c r="D987" s="118" t="str">
        <f t="shared" si="15"/>
        <v/>
      </c>
      <c r="E987" s="131"/>
      <c r="F987" s="131"/>
    </row>
    <row r="988" spans="1:6" ht="15.75" x14ac:dyDescent="0.25">
      <c r="A988" s="109"/>
      <c r="B988" s="109"/>
      <c r="C988" s="118"/>
      <c r="D988" s="118" t="str">
        <f t="shared" si="15"/>
        <v/>
      </c>
      <c r="E988" s="131"/>
      <c r="F988" s="131"/>
    </row>
    <row r="989" spans="1:6" ht="15.75" x14ac:dyDescent="0.25">
      <c r="A989" s="109"/>
      <c r="B989" s="109"/>
      <c r="C989" s="118"/>
      <c r="D989" s="118" t="str">
        <f t="shared" si="15"/>
        <v/>
      </c>
      <c r="E989" s="131"/>
      <c r="F989" s="131"/>
    </row>
    <row r="990" spans="1:6" ht="15.75" x14ac:dyDescent="0.25">
      <c r="A990" s="109"/>
      <c r="B990" s="109"/>
      <c r="C990" s="118"/>
      <c r="D990" s="118" t="str">
        <f t="shared" si="15"/>
        <v/>
      </c>
      <c r="E990" s="131"/>
      <c r="F990" s="131"/>
    </row>
    <row r="991" spans="1:6" ht="15.75" x14ac:dyDescent="0.25">
      <c r="A991" s="109"/>
      <c r="B991" s="109"/>
      <c r="C991" s="118"/>
      <c r="D991" s="118" t="str">
        <f t="shared" si="15"/>
        <v/>
      </c>
      <c r="E991" s="131"/>
      <c r="F991" s="131"/>
    </row>
    <row r="992" spans="1:6" ht="15.75" x14ac:dyDescent="0.25">
      <c r="A992" s="109"/>
      <c r="B992" s="109"/>
      <c r="C992" s="118"/>
      <c r="D992" s="118" t="str">
        <f t="shared" si="15"/>
        <v/>
      </c>
      <c r="E992" s="131"/>
      <c r="F992" s="131"/>
    </row>
    <row r="993" spans="1:6" ht="15.75" x14ac:dyDescent="0.25">
      <c r="A993" s="109"/>
      <c r="B993" s="109"/>
      <c r="C993" s="118"/>
      <c r="D993" s="118" t="str">
        <f t="shared" si="15"/>
        <v/>
      </c>
      <c r="E993" s="131"/>
      <c r="F993" s="131"/>
    </row>
    <row r="994" spans="1:6" ht="15.75" x14ac:dyDescent="0.25">
      <c r="A994" s="109"/>
      <c r="B994" s="109"/>
      <c r="C994" s="118"/>
      <c r="D994" s="118" t="str">
        <f t="shared" si="15"/>
        <v/>
      </c>
      <c r="E994" s="131"/>
      <c r="F994" s="131"/>
    </row>
    <row r="995" spans="1:6" ht="15.75" x14ac:dyDescent="0.25">
      <c r="A995" s="109"/>
      <c r="B995" s="109"/>
      <c r="C995" s="118"/>
      <c r="D995" s="118" t="str">
        <f t="shared" si="15"/>
        <v/>
      </c>
      <c r="E995" s="131"/>
      <c r="F995" s="131"/>
    </row>
    <row r="996" spans="1:6" ht="15.75" x14ac:dyDescent="0.25">
      <c r="A996" s="109"/>
      <c r="B996" s="109"/>
      <c r="C996" s="118"/>
      <c r="D996" s="118" t="str">
        <f t="shared" si="15"/>
        <v/>
      </c>
      <c r="E996" s="131"/>
      <c r="F996" s="131"/>
    </row>
    <row r="997" spans="1:6" ht="15.75" x14ac:dyDescent="0.25">
      <c r="A997" s="109"/>
      <c r="B997" s="109"/>
      <c r="C997" s="118"/>
      <c r="D997" s="118" t="str">
        <f t="shared" si="15"/>
        <v/>
      </c>
      <c r="E997" s="131"/>
      <c r="F997" s="131"/>
    </row>
    <row r="998" spans="1:6" ht="15.75" x14ac:dyDescent="0.25">
      <c r="A998" s="109"/>
      <c r="B998" s="109"/>
      <c r="C998" s="118"/>
      <c r="D998" s="118" t="str">
        <f t="shared" si="15"/>
        <v/>
      </c>
      <c r="E998" s="131"/>
      <c r="F998" s="131"/>
    </row>
    <row r="999" spans="1:6" ht="15.75" x14ac:dyDescent="0.25">
      <c r="A999" s="109"/>
      <c r="B999" s="109"/>
      <c r="C999" s="118"/>
      <c r="D999" s="118" t="str">
        <f t="shared" si="15"/>
        <v/>
      </c>
      <c r="E999" s="131"/>
      <c r="F999" s="131"/>
    </row>
    <row r="1000" spans="1:6" ht="15.75" x14ac:dyDescent="0.25">
      <c r="A1000" s="109"/>
      <c r="B1000" s="109"/>
      <c r="C1000" s="118"/>
      <c r="D1000" s="118" t="str">
        <f t="shared" si="15"/>
        <v/>
      </c>
      <c r="E1000" s="131"/>
      <c r="F1000" s="131"/>
    </row>
    <row r="1001" spans="1:6" ht="15.75" x14ac:dyDescent="0.25">
      <c r="A1001" s="109"/>
      <c r="B1001" s="109"/>
      <c r="C1001" s="118"/>
      <c r="D1001" s="118" t="str">
        <f t="shared" si="15"/>
        <v/>
      </c>
      <c r="E1001" s="131"/>
      <c r="F1001" s="131"/>
    </row>
    <row r="1002" spans="1:6" ht="15.75" x14ac:dyDescent="0.25">
      <c r="A1002" s="109"/>
      <c r="B1002" s="109"/>
      <c r="C1002" s="118"/>
      <c r="D1002" s="118" t="str">
        <f t="shared" si="15"/>
        <v/>
      </c>
      <c r="E1002" s="131"/>
      <c r="F1002" s="131"/>
    </row>
    <row r="1003" spans="1:6" ht="15.75" x14ac:dyDescent="0.25">
      <c r="A1003" s="109"/>
      <c r="B1003" s="109"/>
      <c r="C1003" s="118"/>
      <c r="D1003" s="118" t="str">
        <f t="shared" si="15"/>
        <v/>
      </c>
      <c r="E1003" s="131"/>
      <c r="F1003" s="131"/>
    </row>
    <row r="1004" spans="1:6" ht="15.75" x14ac:dyDescent="0.25">
      <c r="A1004" s="109"/>
      <c r="B1004" s="109"/>
      <c r="C1004" s="118"/>
      <c r="D1004" s="118" t="str">
        <f t="shared" si="15"/>
        <v/>
      </c>
      <c r="E1004" s="131"/>
      <c r="F1004" s="131"/>
    </row>
    <row r="1005" spans="1:6" ht="15.75" x14ac:dyDescent="0.25">
      <c r="A1005" s="109"/>
      <c r="B1005" s="109"/>
      <c r="C1005" s="118"/>
      <c r="D1005" s="118" t="str">
        <f t="shared" si="15"/>
        <v/>
      </c>
      <c r="E1005" s="131"/>
      <c r="F1005" s="131"/>
    </row>
    <row r="1006" spans="1:6" ht="15.75" x14ac:dyDescent="0.25">
      <c r="A1006" s="109"/>
      <c r="B1006" s="109"/>
      <c r="C1006" s="118"/>
      <c r="D1006" s="118" t="str">
        <f t="shared" si="15"/>
        <v/>
      </c>
      <c r="E1006" s="131"/>
      <c r="F1006" s="131"/>
    </row>
    <row r="1007" spans="1:6" ht="15.75" x14ac:dyDescent="0.25">
      <c r="A1007" s="109"/>
      <c r="B1007" s="109"/>
      <c r="C1007" s="118"/>
      <c r="D1007" s="118" t="str">
        <f t="shared" si="15"/>
        <v/>
      </c>
      <c r="E1007" s="131"/>
      <c r="F1007" s="131"/>
    </row>
    <row r="1008" spans="1:6" ht="15.75" x14ac:dyDescent="0.25">
      <c r="A1008" s="109"/>
      <c r="B1008" s="109"/>
      <c r="C1008" s="118"/>
      <c r="D1008" s="118" t="str">
        <f t="shared" si="15"/>
        <v/>
      </c>
      <c r="E1008" s="131"/>
      <c r="F1008" s="131"/>
    </row>
    <row r="1009" spans="1:6" ht="15.75" x14ac:dyDescent="0.25">
      <c r="A1009" s="109"/>
      <c r="B1009" s="109"/>
      <c r="C1009" s="118"/>
      <c r="D1009" s="118" t="str">
        <f t="shared" si="15"/>
        <v/>
      </c>
      <c r="E1009" s="131"/>
      <c r="F1009" s="131"/>
    </row>
  </sheetData>
  <dataValidations count="3">
    <dataValidation type="list" allowBlank="1" showInputMessage="1" showErrorMessage="1" errorTitle="Invalid Input" error="Choose from the list" sqref="B10:B1048576" xr:uid="{24CC4461-B9FB-4913-BFD9-F1635C202051}">
      <formula1>NL_Mat_Name</formula1>
    </dataValidation>
    <dataValidation type="custom" allowBlank="1" showInputMessage="1" showErrorMessage="1" errorTitle="Invalid Input" error="Please enter a text/string value only." sqref="A10:A1048576" xr:uid="{FEFDD29B-D1C3-4525-A4AF-65A33677ED32}">
      <formula1>ISTEXT(A10)</formula1>
    </dataValidation>
    <dataValidation type="decimal" allowBlank="1" showInputMessage="1" showErrorMessage="1" errorTitle="Invalid Input" error="Please enter a float value only." sqref="E10:F1048576" xr:uid="{CBFC78AD-2AEB-4DCF-94A1-BAE87C8DD33D}">
      <formula1>0</formula1>
      <formula2>1000000000000</formula2>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23B26E-5946-4687-A1C5-2CD9F433D764}">
  <sheetPr codeName="Sheet9"/>
  <dimension ref="A1:AF1019"/>
  <sheetViews>
    <sheetView zoomScale="130" zoomScaleNormal="130" workbookViewId="0">
      <selection activeCell="A20" sqref="A20"/>
    </sheetView>
  </sheetViews>
  <sheetFormatPr defaultColWidth="10.85546875" defaultRowHeight="15.75" x14ac:dyDescent="0.25"/>
  <cols>
    <col min="1" max="1" width="20.7109375" style="109" customWidth="1"/>
    <col min="2" max="2" width="20.7109375" style="118" customWidth="1"/>
    <col min="3" max="3" width="20.7109375" style="109" customWidth="1"/>
    <col min="4" max="4" width="15.7109375" style="121" customWidth="1"/>
    <col min="5" max="22" width="10.7109375" style="121" customWidth="1"/>
    <col min="23" max="26" width="15.7109375" style="121" customWidth="1"/>
    <col min="27" max="28" width="10.7109375" style="121" customWidth="1"/>
    <col min="29" max="30" width="15.7109375" style="121" customWidth="1"/>
    <col min="31" max="32" width="10.7109375" style="121" customWidth="1"/>
    <col min="33" max="16384" width="10.85546875" style="96"/>
  </cols>
  <sheetData>
    <row r="1" spans="1:32" x14ac:dyDescent="0.25">
      <c r="A1" s="69" t="s">
        <v>200</v>
      </c>
      <c r="B1" s="92"/>
      <c r="C1" s="92"/>
      <c r="D1" s="116"/>
      <c r="E1" s="116"/>
      <c r="F1" s="116"/>
      <c r="G1" s="116"/>
      <c r="H1" s="116"/>
      <c r="I1" s="116"/>
      <c r="J1" s="116"/>
      <c r="K1" s="116"/>
      <c r="L1" s="116"/>
      <c r="M1" s="116"/>
      <c r="N1" s="116"/>
      <c r="O1" s="116"/>
      <c r="P1" s="117"/>
      <c r="Q1" s="116"/>
      <c r="R1" s="116"/>
      <c r="S1" s="116"/>
      <c r="T1" s="116"/>
      <c r="U1" s="116"/>
      <c r="V1" s="116"/>
      <c r="W1" s="116"/>
      <c r="X1" s="116"/>
      <c r="Y1" s="116"/>
      <c r="Z1" s="116"/>
      <c r="AA1" s="116"/>
      <c r="AB1" s="116"/>
      <c r="AC1" s="116"/>
      <c r="AD1" s="116"/>
      <c r="AE1" s="116"/>
      <c r="AF1" s="117"/>
    </row>
    <row r="2" spans="1:32" x14ac:dyDescent="0.25">
      <c r="A2" s="100" t="s">
        <v>248</v>
      </c>
      <c r="B2" s="97"/>
      <c r="C2" s="97"/>
      <c r="D2" s="125"/>
      <c r="E2" s="125"/>
      <c r="F2" s="125"/>
      <c r="G2" s="125"/>
      <c r="H2" s="125"/>
      <c r="I2" s="125"/>
      <c r="J2" s="125"/>
      <c r="K2" s="125"/>
      <c r="L2" s="125"/>
      <c r="M2" s="125"/>
      <c r="N2" s="125"/>
      <c r="O2" s="125"/>
      <c r="P2" s="120"/>
      <c r="Q2" s="159" t="s">
        <v>298</v>
      </c>
      <c r="R2" s="125"/>
      <c r="S2" s="125"/>
      <c r="T2" s="125"/>
      <c r="U2" s="125"/>
      <c r="V2" s="125"/>
      <c r="W2" s="125"/>
      <c r="X2" s="125"/>
      <c r="Y2" s="125"/>
      <c r="Z2" s="125"/>
      <c r="AA2" s="125"/>
      <c r="AB2" s="125"/>
      <c r="AC2" s="125"/>
      <c r="AD2" s="125"/>
      <c r="AE2" s="125"/>
      <c r="AF2" s="120"/>
    </row>
    <row r="3" spans="1:32" x14ac:dyDescent="0.25">
      <c r="A3" s="100" t="s">
        <v>285</v>
      </c>
      <c r="B3" s="97"/>
      <c r="C3" s="97"/>
      <c r="D3" s="125"/>
      <c r="E3" s="125"/>
      <c r="F3" s="125"/>
      <c r="G3" s="125"/>
      <c r="H3" s="125"/>
      <c r="I3" s="125"/>
      <c r="J3" s="125"/>
      <c r="K3" s="125"/>
      <c r="L3" s="125"/>
      <c r="M3" s="125"/>
      <c r="N3" s="125"/>
      <c r="O3" s="125"/>
      <c r="P3" s="120"/>
      <c r="Q3" s="159" t="s">
        <v>299</v>
      </c>
      <c r="R3" s="125"/>
      <c r="S3" s="125"/>
      <c r="T3" s="125"/>
      <c r="U3" s="125"/>
      <c r="V3" s="125"/>
      <c r="W3" s="125"/>
      <c r="X3" s="125"/>
      <c r="Y3" s="125"/>
      <c r="Z3" s="125"/>
      <c r="AA3" s="125"/>
      <c r="AB3" s="125"/>
      <c r="AC3" s="125"/>
      <c r="AD3" s="125"/>
      <c r="AE3" s="125"/>
      <c r="AF3" s="120"/>
    </row>
    <row r="4" spans="1:32" x14ac:dyDescent="0.25">
      <c r="A4" s="100" t="s">
        <v>288</v>
      </c>
      <c r="B4" s="97"/>
      <c r="C4" s="97"/>
      <c r="D4" s="125"/>
      <c r="E4" s="125"/>
      <c r="F4" s="125"/>
      <c r="G4" s="125"/>
      <c r="H4" s="125"/>
      <c r="I4" s="125"/>
      <c r="J4" s="125"/>
      <c r="K4" s="125"/>
      <c r="L4" s="125"/>
      <c r="M4" s="125"/>
      <c r="N4" s="125"/>
      <c r="O4" s="125"/>
      <c r="P4" s="120"/>
      <c r="Q4" s="159" t="s">
        <v>300</v>
      </c>
      <c r="R4" s="125"/>
      <c r="S4" s="125"/>
      <c r="T4" s="125"/>
      <c r="U4" s="125"/>
      <c r="V4" s="125"/>
      <c r="W4" s="125"/>
      <c r="X4" s="125"/>
      <c r="Y4" s="125"/>
      <c r="Z4" s="125"/>
      <c r="AA4" s="125"/>
      <c r="AB4" s="125"/>
      <c r="AC4" s="125"/>
      <c r="AD4" s="125"/>
      <c r="AE4" s="125"/>
      <c r="AF4" s="120"/>
    </row>
    <row r="5" spans="1:32" x14ac:dyDescent="0.25">
      <c r="A5" s="100" t="s">
        <v>289</v>
      </c>
      <c r="B5" s="97"/>
      <c r="C5" s="97"/>
      <c r="D5" s="125"/>
      <c r="E5" s="125"/>
      <c r="F5" s="125"/>
      <c r="G5" s="125"/>
      <c r="H5" s="125"/>
      <c r="I5" s="125"/>
      <c r="J5" s="125"/>
      <c r="K5" s="125"/>
      <c r="L5" s="125"/>
      <c r="M5" s="125"/>
      <c r="N5" s="125"/>
      <c r="O5" s="125"/>
      <c r="P5" s="120"/>
      <c r="Q5" s="159" t="s">
        <v>301</v>
      </c>
      <c r="R5" s="125"/>
      <c r="S5" s="125"/>
      <c r="T5" s="125"/>
      <c r="U5" s="125"/>
      <c r="V5" s="125"/>
      <c r="W5" s="125"/>
      <c r="X5" s="125"/>
      <c r="Y5" s="125"/>
      <c r="Z5" s="125"/>
      <c r="AA5" s="125"/>
      <c r="AB5" s="125"/>
      <c r="AC5" s="125"/>
      <c r="AD5" s="125"/>
      <c r="AE5" s="125"/>
      <c r="AF5" s="120"/>
    </row>
    <row r="6" spans="1:32" ht="31.5" customHeight="1" x14ac:dyDescent="0.25">
      <c r="A6" s="160" t="s">
        <v>290</v>
      </c>
      <c r="B6" s="161"/>
      <c r="C6" s="161"/>
      <c r="D6" s="161"/>
      <c r="E6" s="161"/>
      <c r="F6" s="161"/>
      <c r="G6" s="161"/>
      <c r="H6" s="161"/>
      <c r="I6" s="161"/>
      <c r="J6" s="161"/>
      <c r="K6" s="161"/>
      <c r="L6" s="161"/>
      <c r="M6" s="161"/>
      <c r="N6" s="161"/>
      <c r="O6" s="161"/>
      <c r="P6" s="167"/>
      <c r="Q6" s="159" t="s">
        <v>302</v>
      </c>
      <c r="R6" s="125"/>
      <c r="S6" s="125"/>
      <c r="T6" s="125"/>
      <c r="U6" s="125"/>
      <c r="V6" s="125"/>
      <c r="W6" s="125"/>
      <c r="X6" s="125"/>
      <c r="Y6" s="125"/>
      <c r="Z6" s="125"/>
      <c r="AA6" s="125"/>
      <c r="AB6" s="125"/>
      <c r="AC6" s="125"/>
      <c r="AD6" s="125"/>
      <c r="AE6" s="125"/>
      <c r="AF6" s="120"/>
    </row>
    <row r="7" spans="1:32" ht="31.5" customHeight="1" x14ac:dyDescent="0.25">
      <c r="A7" s="160" t="s">
        <v>291</v>
      </c>
      <c r="B7" s="161"/>
      <c r="C7" s="161"/>
      <c r="D7" s="161"/>
      <c r="E7" s="161"/>
      <c r="F7" s="161"/>
      <c r="G7" s="161"/>
      <c r="H7" s="161"/>
      <c r="I7" s="161"/>
      <c r="J7" s="161"/>
      <c r="K7" s="161"/>
      <c r="L7" s="161"/>
      <c r="M7" s="161"/>
      <c r="N7" s="161"/>
      <c r="O7" s="161"/>
      <c r="P7" s="167"/>
      <c r="Q7" s="159" t="s">
        <v>303</v>
      </c>
      <c r="R7" s="125"/>
      <c r="S7" s="125"/>
      <c r="T7" s="125"/>
      <c r="U7" s="125"/>
      <c r="V7" s="125"/>
      <c r="W7" s="125"/>
      <c r="X7" s="125"/>
      <c r="Y7" s="125"/>
      <c r="Z7" s="125"/>
      <c r="AA7" s="125"/>
      <c r="AB7" s="125"/>
      <c r="AC7" s="125"/>
      <c r="AD7" s="125"/>
      <c r="AE7" s="125"/>
      <c r="AF7" s="120"/>
    </row>
    <row r="8" spans="1:32" x14ac:dyDescent="0.25">
      <c r="A8" s="100" t="s">
        <v>292</v>
      </c>
      <c r="B8" s="97"/>
      <c r="C8" s="97"/>
      <c r="D8" s="125"/>
      <c r="E8" s="125"/>
      <c r="F8" s="125"/>
      <c r="G8" s="125"/>
      <c r="H8" s="125"/>
      <c r="I8" s="125"/>
      <c r="J8" s="125"/>
      <c r="K8" s="125"/>
      <c r="L8" s="125"/>
      <c r="M8" s="125"/>
      <c r="N8" s="125"/>
      <c r="O8" s="125"/>
      <c r="P8" s="120"/>
      <c r="Q8" s="159" t="s">
        <v>309</v>
      </c>
      <c r="R8" s="125"/>
      <c r="S8" s="125"/>
      <c r="T8" s="125"/>
      <c r="U8" s="125"/>
      <c r="V8" s="125"/>
      <c r="W8" s="125"/>
      <c r="X8" s="125"/>
      <c r="Y8" s="125"/>
      <c r="Z8" s="125"/>
      <c r="AA8" s="125"/>
      <c r="AB8" s="125"/>
      <c r="AC8" s="125"/>
      <c r="AD8" s="125"/>
      <c r="AE8" s="125"/>
      <c r="AF8" s="120"/>
    </row>
    <row r="9" spans="1:32" x14ac:dyDescent="0.25">
      <c r="A9" s="100" t="s">
        <v>293</v>
      </c>
      <c r="B9" s="97"/>
      <c r="C9" s="97"/>
      <c r="D9" s="125"/>
      <c r="E9" s="125"/>
      <c r="F9" s="125"/>
      <c r="G9" s="125"/>
      <c r="H9" s="125"/>
      <c r="I9" s="125"/>
      <c r="J9" s="125"/>
      <c r="K9" s="125"/>
      <c r="L9" s="125"/>
      <c r="M9" s="125"/>
      <c r="N9" s="125"/>
      <c r="O9" s="125"/>
      <c r="P9" s="120"/>
      <c r="Q9" s="159" t="s">
        <v>308</v>
      </c>
      <c r="R9" s="125"/>
      <c r="S9" s="125"/>
      <c r="T9" s="125"/>
      <c r="U9" s="125"/>
      <c r="V9" s="125"/>
      <c r="W9" s="125"/>
      <c r="X9" s="125"/>
      <c r="Y9" s="125"/>
      <c r="Z9" s="125"/>
      <c r="AA9" s="125"/>
      <c r="AB9" s="125"/>
      <c r="AC9" s="125"/>
      <c r="AD9" s="125"/>
      <c r="AE9" s="125"/>
      <c r="AF9" s="120"/>
    </row>
    <row r="10" spans="1:32" x14ac:dyDescent="0.25">
      <c r="A10" s="100" t="s">
        <v>294</v>
      </c>
      <c r="B10" s="97"/>
      <c r="C10" s="97"/>
      <c r="D10" s="125"/>
      <c r="E10" s="125"/>
      <c r="F10" s="125"/>
      <c r="G10" s="125"/>
      <c r="H10" s="125"/>
      <c r="I10" s="125"/>
      <c r="J10" s="125"/>
      <c r="K10" s="125"/>
      <c r="L10" s="125"/>
      <c r="M10" s="125"/>
      <c r="N10" s="125"/>
      <c r="O10" s="125"/>
      <c r="P10" s="120"/>
      <c r="Q10" s="159" t="s">
        <v>310</v>
      </c>
      <c r="R10" s="125"/>
      <c r="S10" s="125"/>
      <c r="T10" s="125"/>
      <c r="U10" s="125"/>
      <c r="V10" s="125"/>
      <c r="W10" s="125"/>
      <c r="X10" s="125"/>
      <c r="Y10" s="125"/>
      <c r="Z10" s="125"/>
      <c r="AA10" s="125"/>
      <c r="AB10" s="125"/>
      <c r="AC10" s="125"/>
      <c r="AD10" s="125"/>
      <c r="AE10" s="125"/>
      <c r="AF10" s="120"/>
    </row>
    <row r="11" spans="1:32" x14ac:dyDescent="0.25">
      <c r="A11" s="100" t="s">
        <v>295</v>
      </c>
      <c r="B11" s="97"/>
      <c r="C11" s="97"/>
      <c r="D11" s="125"/>
      <c r="E11" s="125"/>
      <c r="F11" s="125"/>
      <c r="G11" s="125"/>
      <c r="H11" s="125"/>
      <c r="I11" s="125"/>
      <c r="J11" s="125"/>
      <c r="K11" s="125"/>
      <c r="L11" s="125"/>
      <c r="M11" s="125"/>
      <c r="N11" s="125"/>
      <c r="O11" s="125"/>
      <c r="P11" s="120"/>
      <c r="Q11" s="159" t="s">
        <v>311</v>
      </c>
      <c r="R11" s="125"/>
      <c r="S11" s="125"/>
      <c r="T11" s="125"/>
      <c r="U11" s="125"/>
      <c r="V11" s="125"/>
      <c r="W11" s="125"/>
      <c r="X11" s="125"/>
      <c r="Y11" s="125"/>
      <c r="Z11" s="125"/>
      <c r="AA11" s="125"/>
      <c r="AB11" s="125"/>
      <c r="AC11" s="125"/>
      <c r="AD11" s="125"/>
      <c r="AE11" s="125"/>
      <c r="AF11" s="120"/>
    </row>
    <row r="12" spans="1:32" ht="31.5" customHeight="1" x14ac:dyDescent="0.25">
      <c r="A12" s="160" t="s">
        <v>304</v>
      </c>
      <c r="B12" s="161"/>
      <c r="C12" s="161"/>
      <c r="D12" s="161"/>
      <c r="E12" s="161"/>
      <c r="F12" s="161"/>
      <c r="G12" s="161"/>
      <c r="H12" s="161"/>
      <c r="I12" s="161"/>
      <c r="J12" s="161"/>
      <c r="K12" s="161"/>
      <c r="L12" s="161"/>
      <c r="M12" s="161"/>
      <c r="N12" s="161"/>
      <c r="O12" s="161"/>
      <c r="P12" s="167"/>
      <c r="Q12" s="159" t="s">
        <v>312</v>
      </c>
      <c r="R12" s="125"/>
      <c r="S12" s="125"/>
      <c r="T12" s="125"/>
      <c r="U12" s="125"/>
      <c r="V12" s="125"/>
      <c r="W12" s="125"/>
      <c r="X12" s="125"/>
      <c r="Y12" s="125"/>
      <c r="Z12" s="125"/>
      <c r="AA12" s="125"/>
      <c r="AB12" s="125"/>
      <c r="AC12" s="125"/>
      <c r="AD12" s="125"/>
      <c r="AE12" s="125"/>
      <c r="AF12" s="120"/>
    </row>
    <row r="13" spans="1:32" ht="31.5" customHeight="1" x14ac:dyDescent="0.25">
      <c r="A13" s="160" t="s">
        <v>305</v>
      </c>
      <c r="B13" s="161"/>
      <c r="C13" s="161"/>
      <c r="D13" s="161"/>
      <c r="E13" s="161"/>
      <c r="F13" s="161"/>
      <c r="G13" s="161"/>
      <c r="H13" s="161"/>
      <c r="I13" s="161"/>
      <c r="J13" s="161"/>
      <c r="K13" s="161"/>
      <c r="L13" s="161"/>
      <c r="M13" s="161"/>
      <c r="N13" s="161"/>
      <c r="O13" s="161"/>
      <c r="P13" s="167"/>
      <c r="Q13" s="159" t="s">
        <v>313</v>
      </c>
      <c r="R13" s="125"/>
      <c r="S13" s="125"/>
      <c r="T13" s="125"/>
      <c r="U13" s="125"/>
      <c r="V13" s="125"/>
      <c r="W13" s="125"/>
      <c r="X13" s="125"/>
      <c r="Y13" s="125"/>
      <c r="Z13" s="125"/>
      <c r="AA13" s="125"/>
      <c r="AB13" s="125"/>
      <c r="AC13" s="125"/>
      <c r="AD13" s="125"/>
      <c r="AE13" s="125"/>
      <c r="AF13" s="120"/>
    </row>
    <row r="14" spans="1:32" ht="15.75" customHeight="1" x14ac:dyDescent="0.25">
      <c r="A14" s="50" t="s">
        <v>306</v>
      </c>
      <c r="B14" s="53"/>
      <c r="C14" s="53"/>
      <c r="D14" s="53"/>
      <c r="E14" s="53"/>
      <c r="F14" s="53"/>
      <c r="G14" s="53"/>
      <c r="H14" s="53"/>
      <c r="I14" s="53"/>
      <c r="J14" s="53"/>
      <c r="K14" s="53"/>
      <c r="L14" s="53"/>
      <c r="M14" s="53"/>
      <c r="N14" s="53"/>
      <c r="O14" s="53"/>
      <c r="P14" s="168"/>
      <c r="Q14" s="159" t="s">
        <v>314</v>
      </c>
      <c r="R14" s="125"/>
      <c r="S14" s="125"/>
      <c r="T14" s="125"/>
      <c r="U14" s="125"/>
      <c r="V14" s="125"/>
      <c r="W14" s="125"/>
      <c r="X14" s="125"/>
      <c r="Y14" s="125"/>
      <c r="Z14" s="125"/>
      <c r="AA14" s="125"/>
      <c r="AB14" s="125"/>
      <c r="AC14" s="125"/>
      <c r="AD14" s="125"/>
      <c r="AE14" s="125"/>
      <c r="AF14" s="120"/>
    </row>
    <row r="15" spans="1:32" ht="15.75" customHeight="1" x14ac:dyDescent="0.25">
      <c r="A15" s="162" t="s">
        <v>307</v>
      </c>
      <c r="B15" s="163"/>
      <c r="C15" s="163"/>
      <c r="D15" s="163"/>
      <c r="E15" s="163"/>
      <c r="F15" s="98"/>
      <c r="G15" s="125"/>
      <c r="H15" s="125"/>
      <c r="I15" s="125"/>
      <c r="J15" s="125"/>
      <c r="K15" s="125"/>
      <c r="L15" s="125"/>
      <c r="M15" s="125"/>
      <c r="N15" s="125"/>
      <c r="O15" s="125"/>
      <c r="P15" s="120"/>
      <c r="Q15" s="159" t="s">
        <v>315</v>
      </c>
      <c r="R15" s="125"/>
      <c r="S15" s="125"/>
      <c r="T15" s="125"/>
      <c r="U15" s="125"/>
      <c r="V15" s="125"/>
      <c r="W15" s="125"/>
      <c r="X15" s="125"/>
      <c r="Y15" s="125"/>
      <c r="Z15" s="125"/>
      <c r="AA15" s="125"/>
      <c r="AB15" s="125"/>
      <c r="AC15" s="125"/>
      <c r="AD15" s="125"/>
      <c r="AE15" s="125"/>
      <c r="AF15" s="120"/>
    </row>
    <row r="16" spans="1:32" ht="15.75" customHeight="1" x14ac:dyDescent="0.25">
      <c r="A16" s="162" t="s">
        <v>296</v>
      </c>
      <c r="B16" s="163"/>
      <c r="C16" s="163"/>
      <c r="D16" s="163"/>
      <c r="E16" s="163"/>
      <c r="F16" s="98"/>
      <c r="G16" s="125"/>
      <c r="H16" s="125"/>
      <c r="I16" s="125"/>
      <c r="J16" s="125"/>
      <c r="K16" s="125"/>
      <c r="L16" s="125"/>
      <c r="M16" s="125"/>
      <c r="N16" s="125"/>
      <c r="O16" s="125"/>
      <c r="P16" s="120"/>
      <c r="Q16" s="159" t="s">
        <v>316</v>
      </c>
      <c r="R16" s="125"/>
      <c r="S16" s="125"/>
      <c r="T16" s="125"/>
      <c r="U16" s="125"/>
      <c r="V16" s="125"/>
      <c r="W16" s="125"/>
      <c r="X16" s="125"/>
      <c r="Y16" s="125"/>
      <c r="Z16" s="125"/>
      <c r="AA16" s="125"/>
      <c r="AB16" s="125"/>
      <c r="AC16" s="125"/>
      <c r="AD16" s="125"/>
      <c r="AE16" s="125"/>
      <c r="AF16" s="120"/>
    </row>
    <row r="17" spans="1:32" ht="15.75" customHeight="1" x14ac:dyDescent="0.25">
      <c r="A17" s="164" t="s">
        <v>297</v>
      </c>
      <c r="B17" s="165"/>
      <c r="C17" s="165"/>
      <c r="D17" s="165"/>
      <c r="E17" s="165"/>
      <c r="F17" s="114"/>
      <c r="G17" s="104"/>
      <c r="H17" s="104"/>
      <c r="I17" s="104"/>
      <c r="J17" s="104"/>
      <c r="K17" s="104"/>
      <c r="L17" s="104"/>
      <c r="M17" s="104"/>
      <c r="N17" s="104"/>
      <c r="O17" s="104"/>
      <c r="P17" s="105"/>
      <c r="Q17" s="166" t="s">
        <v>317</v>
      </c>
      <c r="R17" s="104"/>
      <c r="S17" s="104"/>
      <c r="T17" s="104"/>
      <c r="U17" s="104"/>
      <c r="V17" s="104"/>
      <c r="W17" s="104"/>
      <c r="X17" s="104"/>
      <c r="Y17" s="104"/>
      <c r="Z17" s="104"/>
      <c r="AA17" s="104"/>
      <c r="AB17" s="104"/>
      <c r="AC17" s="104"/>
      <c r="AD17" s="104"/>
      <c r="AE17" s="104"/>
      <c r="AF17" s="105"/>
    </row>
    <row r="18" spans="1:32" x14ac:dyDescent="0.25">
      <c r="A18" s="107"/>
      <c r="B18" s="59"/>
      <c r="C18" s="59"/>
      <c r="D18" s="110"/>
      <c r="E18" s="110"/>
      <c r="F18" s="110"/>
      <c r="G18" s="110"/>
      <c r="H18" s="110"/>
      <c r="I18" s="110"/>
      <c r="J18" s="110"/>
      <c r="K18" s="110"/>
      <c r="L18" s="110"/>
      <c r="M18" s="110"/>
      <c r="N18" s="110"/>
      <c r="O18" s="110"/>
      <c r="P18" s="110"/>
      <c r="Q18" s="110"/>
      <c r="R18" s="110"/>
      <c r="S18" s="110"/>
      <c r="T18" s="110"/>
      <c r="U18" s="110"/>
      <c r="V18" s="110"/>
      <c r="W18" s="110"/>
      <c r="X18" s="110"/>
      <c r="Y18" s="110"/>
      <c r="Z18" s="110"/>
      <c r="AA18" s="110"/>
      <c r="AB18" s="110"/>
      <c r="AC18" s="110"/>
      <c r="AD18" s="110"/>
      <c r="AE18" s="110"/>
      <c r="AF18" s="110"/>
    </row>
    <row r="19" spans="1:32" s="57" customFormat="1" ht="16.5" customHeight="1" x14ac:dyDescent="0.25">
      <c r="A19" s="86" t="s">
        <v>10</v>
      </c>
      <c r="B19" s="86" t="s">
        <v>8</v>
      </c>
      <c r="C19" s="86" t="s">
        <v>19</v>
      </c>
      <c r="D19" s="86" t="s">
        <v>36</v>
      </c>
      <c r="E19" s="86" t="s">
        <v>37</v>
      </c>
      <c r="F19" s="86" t="s">
        <v>38</v>
      </c>
      <c r="G19" s="86" t="s">
        <v>39</v>
      </c>
      <c r="H19" s="86" t="s">
        <v>40</v>
      </c>
      <c r="I19" s="86" t="s">
        <v>41</v>
      </c>
      <c r="J19" s="86" t="s">
        <v>42</v>
      </c>
      <c r="K19" s="86" t="s">
        <v>43</v>
      </c>
      <c r="L19" s="86" t="s">
        <v>44</v>
      </c>
      <c r="M19" s="86" t="s">
        <v>45</v>
      </c>
      <c r="N19" s="86" t="s">
        <v>64</v>
      </c>
      <c r="O19" s="86" t="s">
        <v>46</v>
      </c>
      <c r="P19" s="86" t="s">
        <v>47</v>
      </c>
      <c r="Q19" s="86" t="s">
        <v>48</v>
      </c>
      <c r="R19" s="86" t="s">
        <v>49</v>
      </c>
      <c r="S19" s="86" t="s">
        <v>50</v>
      </c>
      <c r="T19" s="86" t="s">
        <v>51</v>
      </c>
      <c r="U19" s="86" t="s">
        <v>52</v>
      </c>
      <c r="V19" s="86" t="s">
        <v>53</v>
      </c>
      <c r="W19" s="86" t="s">
        <v>54</v>
      </c>
      <c r="X19" s="86" t="s">
        <v>55</v>
      </c>
      <c r="Y19" s="86" t="s">
        <v>56</v>
      </c>
      <c r="Z19" s="86" t="s">
        <v>57</v>
      </c>
      <c r="AA19" s="86" t="s">
        <v>58</v>
      </c>
      <c r="AB19" s="86" t="s">
        <v>59</v>
      </c>
      <c r="AC19" s="86" t="s">
        <v>60</v>
      </c>
      <c r="AD19" s="86" t="s">
        <v>61</v>
      </c>
      <c r="AE19" s="86" t="s">
        <v>62</v>
      </c>
      <c r="AF19" s="86" t="s">
        <v>63</v>
      </c>
    </row>
    <row r="20" spans="1:32" x14ac:dyDescent="0.25">
      <c r="A20" s="109" t="s">
        <v>65</v>
      </c>
      <c r="B20" s="118" t="str">
        <f t="shared" ref="B20:B83" si="0">IF(A20=0,"","Hinge")</f>
        <v>Hinge</v>
      </c>
      <c r="C20" s="109" t="s">
        <v>66</v>
      </c>
      <c r="D20" s="121">
        <v>114958.97490209967</v>
      </c>
      <c r="E20" s="121">
        <v>0</v>
      </c>
      <c r="F20" s="121">
        <v>0</v>
      </c>
      <c r="G20" s="121">
        <v>243.16919999999999</v>
      </c>
      <c r="H20" s="121">
        <v>388.62200000000001</v>
      </c>
      <c r="I20" s="121">
        <f>G20*1.1</f>
        <v>267.48612000000003</v>
      </c>
      <c r="J20" s="121">
        <f>H20*1.1</f>
        <v>427.48420000000004</v>
      </c>
      <c r="K20" s="121">
        <v>0</v>
      </c>
      <c r="L20" s="121">
        <v>0</v>
      </c>
      <c r="M20" s="121">
        <v>0</v>
      </c>
      <c r="N20" s="121">
        <v>0</v>
      </c>
      <c r="O20" s="121">
        <v>0</v>
      </c>
      <c r="P20" s="121">
        <v>0</v>
      </c>
      <c r="Q20" s="121">
        <v>0</v>
      </c>
      <c r="R20" s="121">
        <v>0</v>
      </c>
      <c r="S20" s="121">
        <v>1</v>
      </c>
      <c r="T20" s="121">
        <v>1</v>
      </c>
      <c r="U20" s="121">
        <v>1</v>
      </c>
      <c r="V20" s="121">
        <v>1</v>
      </c>
      <c r="W20" s="121">
        <v>2.2268112818223454E-2</v>
      </c>
      <c r="X20" s="121">
        <v>2.2268112818223454E-2</v>
      </c>
      <c r="Y20" s="121">
        <v>2.2268112818223454E-2</v>
      </c>
      <c r="Z20" s="121">
        <v>2.2268112818223454E-2</v>
      </c>
      <c r="AA20" s="121">
        <v>0.2</v>
      </c>
      <c r="AB20" s="121">
        <v>0.2</v>
      </c>
      <c r="AC20" s="121">
        <v>4.1385682576436635E-2</v>
      </c>
      <c r="AD20" s="121">
        <v>4.1385682576436635E-2</v>
      </c>
      <c r="AE20" s="121">
        <v>1</v>
      </c>
      <c r="AF20" s="121">
        <v>1</v>
      </c>
    </row>
    <row r="21" spans="1:32" x14ac:dyDescent="0.25">
      <c r="B21" s="118" t="str">
        <f t="shared" si="0"/>
        <v/>
      </c>
    </row>
    <row r="22" spans="1:32" x14ac:dyDescent="0.25">
      <c r="B22" s="118" t="str">
        <f t="shared" si="0"/>
        <v/>
      </c>
    </row>
    <row r="23" spans="1:32" x14ac:dyDescent="0.25">
      <c r="B23" s="118" t="str">
        <f t="shared" si="0"/>
        <v/>
      </c>
    </row>
    <row r="24" spans="1:32" x14ac:dyDescent="0.25">
      <c r="B24" s="118" t="str">
        <f t="shared" si="0"/>
        <v/>
      </c>
    </row>
    <row r="25" spans="1:32" x14ac:dyDescent="0.25">
      <c r="B25" s="118" t="str">
        <f t="shared" si="0"/>
        <v/>
      </c>
    </row>
    <row r="26" spans="1:32" x14ac:dyDescent="0.25">
      <c r="B26" s="118" t="str">
        <f t="shared" si="0"/>
        <v/>
      </c>
    </row>
    <row r="27" spans="1:32" x14ac:dyDescent="0.25">
      <c r="B27" s="118" t="str">
        <f t="shared" si="0"/>
        <v/>
      </c>
    </row>
    <row r="28" spans="1:32" x14ac:dyDescent="0.25">
      <c r="B28" s="118" t="str">
        <f t="shared" si="0"/>
        <v/>
      </c>
    </row>
    <row r="29" spans="1:32" x14ac:dyDescent="0.25">
      <c r="B29" s="118" t="str">
        <f t="shared" si="0"/>
        <v/>
      </c>
    </row>
    <row r="30" spans="1:32" x14ac:dyDescent="0.25">
      <c r="B30" s="118" t="str">
        <f t="shared" si="0"/>
        <v/>
      </c>
    </row>
    <row r="31" spans="1:32" x14ac:dyDescent="0.25">
      <c r="B31" s="118" t="str">
        <f t="shared" si="0"/>
        <v/>
      </c>
    </row>
    <row r="32" spans="1:32" x14ac:dyDescent="0.25">
      <c r="B32" s="118" t="str">
        <f t="shared" si="0"/>
        <v/>
      </c>
    </row>
    <row r="33" spans="2:2" x14ac:dyDescent="0.25">
      <c r="B33" s="118" t="str">
        <f t="shared" si="0"/>
        <v/>
      </c>
    </row>
    <row r="34" spans="2:2" x14ac:dyDescent="0.25">
      <c r="B34" s="118" t="str">
        <f t="shared" si="0"/>
        <v/>
      </c>
    </row>
    <row r="35" spans="2:2" x14ac:dyDescent="0.25">
      <c r="B35" s="118" t="str">
        <f t="shared" si="0"/>
        <v/>
      </c>
    </row>
    <row r="36" spans="2:2" x14ac:dyDescent="0.25">
      <c r="B36" s="118" t="str">
        <f t="shared" si="0"/>
        <v/>
      </c>
    </row>
    <row r="37" spans="2:2" x14ac:dyDescent="0.25">
      <c r="B37" s="118" t="str">
        <f t="shared" si="0"/>
        <v/>
      </c>
    </row>
    <row r="38" spans="2:2" x14ac:dyDescent="0.25">
      <c r="B38" s="118" t="str">
        <f t="shared" si="0"/>
        <v/>
      </c>
    </row>
    <row r="39" spans="2:2" x14ac:dyDescent="0.25">
      <c r="B39" s="118" t="str">
        <f t="shared" si="0"/>
        <v/>
      </c>
    </row>
    <row r="40" spans="2:2" x14ac:dyDescent="0.25">
      <c r="B40" s="118" t="str">
        <f t="shared" si="0"/>
        <v/>
      </c>
    </row>
    <row r="41" spans="2:2" x14ac:dyDescent="0.25">
      <c r="B41" s="118" t="str">
        <f t="shared" si="0"/>
        <v/>
      </c>
    </row>
    <row r="42" spans="2:2" x14ac:dyDescent="0.25">
      <c r="B42" s="118" t="str">
        <f t="shared" si="0"/>
        <v/>
      </c>
    </row>
    <row r="43" spans="2:2" x14ac:dyDescent="0.25">
      <c r="B43" s="118" t="str">
        <f t="shared" si="0"/>
        <v/>
      </c>
    </row>
    <row r="44" spans="2:2" x14ac:dyDescent="0.25">
      <c r="B44" s="118" t="str">
        <f t="shared" si="0"/>
        <v/>
      </c>
    </row>
    <row r="45" spans="2:2" x14ac:dyDescent="0.25">
      <c r="B45" s="118" t="str">
        <f t="shared" si="0"/>
        <v/>
      </c>
    </row>
    <row r="46" spans="2:2" x14ac:dyDescent="0.25">
      <c r="B46" s="118" t="str">
        <f t="shared" si="0"/>
        <v/>
      </c>
    </row>
    <row r="47" spans="2:2" x14ac:dyDescent="0.25">
      <c r="B47" s="118" t="str">
        <f t="shared" si="0"/>
        <v/>
      </c>
    </row>
    <row r="48" spans="2:2" x14ac:dyDescent="0.25">
      <c r="B48" s="118" t="str">
        <f t="shared" si="0"/>
        <v/>
      </c>
    </row>
    <row r="49" spans="2:2" x14ac:dyDescent="0.25">
      <c r="B49" s="118" t="str">
        <f t="shared" si="0"/>
        <v/>
      </c>
    </row>
    <row r="50" spans="2:2" x14ac:dyDescent="0.25">
      <c r="B50" s="118" t="str">
        <f t="shared" si="0"/>
        <v/>
      </c>
    </row>
    <row r="51" spans="2:2" x14ac:dyDescent="0.25">
      <c r="B51" s="118" t="str">
        <f t="shared" si="0"/>
        <v/>
      </c>
    </row>
    <row r="52" spans="2:2" x14ac:dyDescent="0.25">
      <c r="B52" s="118" t="str">
        <f t="shared" si="0"/>
        <v/>
      </c>
    </row>
    <row r="53" spans="2:2" x14ac:dyDescent="0.25">
      <c r="B53" s="118" t="str">
        <f t="shared" si="0"/>
        <v/>
      </c>
    </row>
    <row r="54" spans="2:2" x14ac:dyDescent="0.25">
      <c r="B54" s="118" t="str">
        <f t="shared" si="0"/>
        <v/>
      </c>
    </row>
    <row r="55" spans="2:2" x14ac:dyDescent="0.25">
      <c r="B55" s="118" t="str">
        <f t="shared" si="0"/>
        <v/>
      </c>
    </row>
    <row r="56" spans="2:2" x14ac:dyDescent="0.25">
      <c r="B56" s="118" t="str">
        <f t="shared" si="0"/>
        <v/>
      </c>
    </row>
    <row r="57" spans="2:2" x14ac:dyDescent="0.25">
      <c r="B57" s="118" t="str">
        <f t="shared" si="0"/>
        <v/>
      </c>
    </row>
    <row r="58" spans="2:2" x14ac:dyDescent="0.25">
      <c r="B58" s="118" t="str">
        <f t="shared" si="0"/>
        <v/>
      </c>
    </row>
    <row r="59" spans="2:2" x14ac:dyDescent="0.25">
      <c r="B59" s="118" t="str">
        <f t="shared" si="0"/>
        <v/>
      </c>
    </row>
    <row r="60" spans="2:2" x14ac:dyDescent="0.25">
      <c r="B60" s="118" t="str">
        <f t="shared" si="0"/>
        <v/>
      </c>
    </row>
    <row r="61" spans="2:2" x14ac:dyDescent="0.25">
      <c r="B61" s="118" t="str">
        <f t="shared" si="0"/>
        <v/>
      </c>
    </row>
    <row r="62" spans="2:2" x14ac:dyDescent="0.25">
      <c r="B62" s="118" t="str">
        <f t="shared" si="0"/>
        <v/>
      </c>
    </row>
    <row r="63" spans="2:2" x14ac:dyDescent="0.25">
      <c r="B63" s="118" t="str">
        <f t="shared" si="0"/>
        <v/>
      </c>
    </row>
    <row r="64" spans="2:2" x14ac:dyDescent="0.25">
      <c r="B64" s="118" t="str">
        <f t="shared" si="0"/>
        <v/>
      </c>
    </row>
    <row r="65" spans="2:2" x14ac:dyDescent="0.25">
      <c r="B65" s="118" t="str">
        <f t="shared" si="0"/>
        <v/>
      </c>
    </row>
    <row r="66" spans="2:2" x14ac:dyDescent="0.25">
      <c r="B66" s="118" t="str">
        <f t="shared" si="0"/>
        <v/>
      </c>
    </row>
    <row r="67" spans="2:2" x14ac:dyDescent="0.25">
      <c r="B67" s="118" t="str">
        <f t="shared" si="0"/>
        <v/>
      </c>
    </row>
    <row r="68" spans="2:2" x14ac:dyDescent="0.25">
      <c r="B68" s="118" t="str">
        <f t="shared" si="0"/>
        <v/>
      </c>
    </row>
    <row r="69" spans="2:2" x14ac:dyDescent="0.25">
      <c r="B69" s="118" t="str">
        <f t="shared" si="0"/>
        <v/>
      </c>
    </row>
    <row r="70" spans="2:2" x14ac:dyDescent="0.25">
      <c r="B70" s="118" t="str">
        <f t="shared" si="0"/>
        <v/>
      </c>
    </row>
    <row r="71" spans="2:2" x14ac:dyDescent="0.25">
      <c r="B71" s="118" t="str">
        <f t="shared" si="0"/>
        <v/>
      </c>
    </row>
    <row r="72" spans="2:2" x14ac:dyDescent="0.25">
      <c r="B72" s="118" t="str">
        <f t="shared" si="0"/>
        <v/>
      </c>
    </row>
    <row r="73" spans="2:2" x14ac:dyDescent="0.25">
      <c r="B73" s="118" t="str">
        <f t="shared" si="0"/>
        <v/>
      </c>
    </row>
    <row r="74" spans="2:2" x14ac:dyDescent="0.25">
      <c r="B74" s="118" t="str">
        <f t="shared" si="0"/>
        <v/>
      </c>
    </row>
    <row r="75" spans="2:2" x14ac:dyDescent="0.25">
      <c r="B75" s="118" t="str">
        <f t="shared" si="0"/>
        <v/>
      </c>
    </row>
    <row r="76" spans="2:2" x14ac:dyDescent="0.25">
      <c r="B76" s="118" t="str">
        <f t="shared" si="0"/>
        <v/>
      </c>
    </row>
    <row r="77" spans="2:2" x14ac:dyDescent="0.25">
      <c r="B77" s="118" t="str">
        <f t="shared" si="0"/>
        <v/>
      </c>
    </row>
    <row r="78" spans="2:2" x14ac:dyDescent="0.25">
      <c r="B78" s="118" t="str">
        <f t="shared" si="0"/>
        <v/>
      </c>
    </row>
    <row r="79" spans="2:2" x14ac:dyDescent="0.25">
      <c r="B79" s="118" t="str">
        <f t="shared" si="0"/>
        <v/>
      </c>
    </row>
    <row r="80" spans="2:2" x14ac:dyDescent="0.25">
      <c r="B80" s="118" t="str">
        <f t="shared" si="0"/>
        <v/>
      </c>
    </row>
    <row r="81" spans="2:2" x14ac:dyDescent="0.25">
      <c r="B81" s="118" t="str">
        <f t="shared" si="0"/>
        <v/>
      </c>
    </row>
    <row r="82" spans="2:2" x14ac:dyDescent="0.25">
      <c r="B82" s="118" t="str">
        <f t="shared" si="0"/>
        <v/>
      </c>
    </row>
    <row r="83" spans="2:2" x14ac:dyDescent="0.25">
      <c r="B83" s="118" t="str">
        <f t="shared" si="0"/>
        <v/>
      </c>
    </row>
    <row r="84" spans="2:2" x14ac:dyDescent="0.25">
      <c r="B84" s="118" t="str">
        <f t="shared" ref="B84:B147" si="1">IF(A84=0,"","Hinge")</f>
        <v/>
      </c>
    </row>
    <row r="85" spans="2:2" x14ac:dyDescent="0.25">
      <c r="B85" s="118" t="str">
        <f t="shared" si="1"/>
        <v/>
      </c>
    </row>
    <row r="86" spans="2:2" x14ac:dyDescent="0.25">
      <c r="B86" s="118" t="str">
        <f t="shared" si="1"/>
        <v/>
      </c>
    </row>
    <row r="87" spans="2:2" x14ac:dyDescent="0.25">
      <c r="B87" s="118" t="str">
        <f t="shared" si="1"/>
        <v/>
      </c>
    </row>
    <row r="88" spans="2:2" x14ac:dyDescent="0.25">
      <c r="B88" s="118" t="str">
        <f t="shared" si="1"/>
        <v/>
      </c>
    </row>
    <row r="89" spans="2:2" x14ac:dyDescent="0.25">
      <c r="B89" s="118" t="str">
        <f t="shared" si="1"/>
        <v/>
      </c>
    </row>
    <row r="90" spans="2:2" x14ac:dyDescent="0.25">
      <c r="B90" s="118" t="str">
        <f t="shared" si="1"/>
        <v/>
      </c>
    </row>
    <row r="91" spans="2:2" x14ac:dyDescent="0.25">
      <c r="B91" s="118" t="str">
        <f t="shared" si="1"/>
        <v/>
      </c>
    </row>
    <row r="92" spans="2:2" x14ac:dyDescent="0.25">
      <c r="B92" s="118" t="str">
        <f t="shared" si="1"/>
        <v/>
      </c>
    </row>
    <row r="93" spans="2:2" x14ac:dyDescent="0.25">
      <c r="B93" s="118" t="str">
        <f t="shared" si="1"/>
        <v/>
      </c>
    </row>
    <row r="94" spans="2:2" x14ac:dyDescent="0.25">
      <c r="B94" s="118" t="str">
        <f t="shared" si="1"/>
        <v/>
      </c>
    </row>
    <row r="95" spans="2:2" x14ac:dyDescent="0.25">
      <c r="B95" s="118" t="str">
        <f t="shared" si="1"/>
        <v/>
      </c>
    </row>
    <row r="96" spans="2:2" x14ac:dyDescent="0.25">
      <c r="B96" s="118" t="str">
        <f t="shared" si="1"/>
        <v/>
      </c>
    </row>
    <row r="97" spans="2:2" x14ac:dyDescent="0.25">
      <c r="B97" s="118" t="str">
        <f t="shared" si="1"/>
        <v/>
      </c>
    </row>
    <row r="98" spans="2:2" x14ac:dyDescent="0.25">
      <c r="B98" s="118" t="str">
        <f t="shared" si="1"/>
        <v/>
      </c>
    </row>
    <row r="99" spans="2:2" x14ac:dyDescent="0.25">
      <c r="B99" s="118" t="str">
        <f t="shared" si="1"/>
        <v/>
      </c>
    </row>
    <row r="100" spans="2:2" x14ac:dyDescent="0.25">
      <c r="B100" s="118" t="str">
        <f t="shared" si="1"/>
        <v/>
      </c>
    </row>
    <row r="101" spans="2:2" x14ac:dyDescent="0.25">
      <c r="B101" s="118" t="str">
        <f t="shared" si="1"/>
        <v/>
      </c>
    </row>
    <row r="102" spans="2:2" x14ac:dyDescent="0.25">
      <c r="B102" s="118" t="str">
        <f t="shared" si="1"/>
        <v/>
      </c>
    </row>
    <row r="103" spans="2:2" x14ac:dyDescent="0.25">
      <c r="B103" s="118" t="str">
        <f t="shared" si="1"/>
        <v/>
      </c>
    </row>
    <row r="104" spans="2:2" x14ac:dyDescent="0.25">
      <c r="B104" s="118" t="str">
        <f t="shared" si="1"/>
        <v/>
      </c>
    </row>
    <row r="105" spans="2:2" x14ac:dyDescent="0.25">
      <c r="B105" s="118" t="str">
        <f t="shared" si="1"/>
        <v/>
      </c>
    </row>
    <row r="106" spans="2:2" x14ac:dyDescent="0.25">
      <c r="B106" s="118" t="str">
        <f t="shared" si="1"/>
        <v/>
      </c>
    </row>
    <row r="107" spans="2:2" x14ac:dyDescent="0.25">
      <c r="B107" s="118" t="str">
        <f t="shared" si="1"/>
        <v/>
      </c>
    </row>
    <row r="108" spans="2:2" x14ac:dyDescent="0.25">
      <c r="B108" s="118" t="str">
        <f t="shared" si="1"/>
        <v/>
      </c>
    </row>
    <row r="109" spans="2:2" x14ac:dyDescent="0.25">
      <c r="B109" s="118" t="str">
        <f t="shared" si="1"/>
        <v/>
      </c>
    </row>
    <row r="110" spans="2:2" x14ac:dyDescent="0.25">
      <c r="B110" s="118" t="str">
        <f t="shared" si="1"/>
        <v/>
      </c>
    </row>
    <row r="111" spans="2:2" x14ac:dyDescent="0.25">
      <c r="B111" s="118" t="str">
        <f t="shared" si="1"/>
        <v/>
      </c>
    </row>
    <row r="112" spans="2:2" x14ac:dyDescent="0.25">
      <c r="B112" s="118" t="str">
        <f t="shared" si="1"/>
        <v/>
      </c>
    </row>
    <row r="113" spans="2:2" x14ac:dyDescent="0.25">
      <c r="B113" s="118" t="str">
        <f t="shared" si="1"/>
        <v/>
      </c>
    </row>
    <row r="114" spans="2:2" x14ac:dyDescent="0.25">
      <c r="B114" s="118" t="str">
        <f t="shared" si="1"/>
        <v/>
      </c>
    </row>
    <row r="115" spans="2:2" x14ac:dyDescent="0.25">
      <c r="B115" s="118" t="str">
        <f t="shared" si="1"/>
        <v/>
      </c>
    </row>
    <row r="116" spans="2:2" x14ac:dyDescent="0.25">
      <c r="B116" s="118" t="str">
        <f t="shared" si="1"/>
        <v/>
      </c>
    </row>
    <row r="117" spans="2:2" x14ac:dyDescent="0.25">
      <c r="B117" s="118" t="str">
        <f t="shared" si="1"/>
        <v/>
      </c>
    </row>
    <row r="118" spans="2:2" x14ac:dyDescent="0.25">
      <c r="B118" s="118" t="str">
        <f t="shared" si="1"/>
        <v/>
      </c>
    </row>
    <row r="119" spans="2:2" x14ac:dyDescent="0.25">
      <c r="B119" s="118" t="str">
        <f t="shared" si="1"/>
        <v/>
      </c>
    </row>
    <row r="120" spans="2:2" x14ac:dyDescent="0.25">
      <c r="B120" s="118" t="str">
        <f t="shared" si="1"/>
        <v/>
      </c>
    </row>
    <row r="121" spans="2:2" x14ac:dyDescent="0.25">
      <c r="B121" s="118" t="str">
        <f t="shared" si="1"/>
        <v/>
      </c>
    </row>
    <row r="122" spans="2:2" x14ac:dyDescent="0.25">
      <c r="B122" s="118" t="str">
        <f t="shared" si="1"/>
        <v/>
      </c>
    </row>
    <row r="123" spans="2:2" x14ac:dyDescent="0.25">
      <c r="B123" s="118" t="str">
        <f t="shared" si="1"/>
        <v/>
      </c>
    </row>
    <row r="124" spans="2:2" x14ac:dyDescent="0.25">
      <c r="B124" s="118" t="str">
        <f t="shared" si="1"/>
        <v/>
      </c>
    </row>
    <row r="125" spans="2:2" x14ac:dyDescent="0.25">
      <c r="B125" s="118" t="str">
        <f t="shared" si="1"/>
        <v/>
      </c>
    </row>
    <row r="126" spans="2:2" x14ac:dyDescent="0.25">
      <c r="B126" s="118" t="str">
        <f t="shared" si="1"/>
        <v/>
      </c>
    </row>
    <row r="127" spans="2:2" x14ac:dyDescent="0.25">
      <c r="B127" s="118" t="str">
        <f t="shared" si="1"/>
        <v/>
      </c>
    </row>
    <row r="128" spans="2:2" x14ac:dyDescent="0.25">
      <c r="B128" s="118" t="str">
        <f t="shared" si="1"/>
        <v/>
      </c>
    </row>
    <row r="129" spans="2:2" x14ac:dyDescent="0.25">
      <c r="B129" s="118" t="str">
        <f t="shared" si="1"/>
        <v/>
      </c>
    </row>
    <row r="130" spans="2:2" x14ac:dyDescent="0.25">
      <c r="B130" s="118" t="str">
        <f t="shared" si="1"/>
        <v/>
      </c>
    </row>
    <row r="131" spans="2:2" x14ac:dyDescent="0.25">
      <c r="B131" s="118" t="str">
        <f t="shared" si="1"/>
        <v/>
      </c>
    </row>
    <row r="132" spans="2:2" x14ac:dyDescent="0.25">
      <c r="B132" s="118" t="str">
        <f t="shared" si="1"/>
        <v/>
      </c>
    </row>
    <row r="133" spans="2:2" x14ac:dyDescent="0.25">
      <c r="B133" s="118" t="str">
        <f t="shared" si="1"/>
        <v/>
      </c>
    </row>
    <row r="134" spans="2:2" x14ac:dyDescent="0.25">
      <c r="B134" s="118" t="str">
        <f t="shared" si="1"/>
        <v/>
      </c>
    </row>
    <row r="135" spans="2:2" x14ac:dyDescent="0.25">
      <c r="B135" s="118" t="str">
        <f t="shared" si="1"/>
        <v/>
      </c>
    </row>
    <row r="136" spans="2:2" x14ac:dyDescent="0.25">
      <c r="B136" s="118" t="str">
        <f t="shared" si="1"/>
        <v/>
      </c>
    </row>
    <row r="137" spans="2:2" x14ac:dyDescent="0.25">
      <c r="B137" s="118" t="str">
        <f t="shared" si="1"/>
        <v/>
      </c>
    </row>
    <row r="138" spans="2:2" x14ac:dyDescent="0.25">
      <c r="B138" s="118" t="str">
        <f t="shared" si="1"/>
        <v/>
      </c>
    </row>
    <row r="139" spans="2:2" x14ac:dyDescent="0.25">
      <c r="B139" s="118" t="str">
        <f t="shared" si="1"/>
        <v/>
      </c>
    </row>
    <row r="140" spans="2:2" x14ac:dyDescent="0.25">
      <c r="B140" s="118" t="str">
        <f t="shared" si="1"/>
        <v/>
      </c>
    </row>
    <row r="141" spans="2:2" x14ac:dyDescent="0.25">
      <c r="B141" s="118" t="str">
        <f t="shared" si="1"/>
        <v/>
      </c>
    </row>
    <row r="142" spans="2:2" x14ac:dyDescent="0.25">
      <c r="B142" s="118" t="str">
        <f t="shared" si="1"/>
        <v/>
      </c>
    </row>
    <row r="143" spans="2:2" x14ac:dyDescent="0.25">
      <c r="B143" s="118" t="str">
        <f t="shared" si="1"/>
        <v/>
      </c>
    </row>
    <row r="144" spans="2:2" x14ac:dyDescent="0.25">
      <c r="B144" s="118" t="str">
        <f t="shared" si="1"/>
        <v/>
      </c>
    </row>
    <row r="145" spans="2:2" x14ac:dyDescent="0.25">
      <c r="B145" s="118" t="str">
        <f t="shared" si="1"/>
        <v/>
      </c>
    </row>
    <row r="146" spans="2:2" x14ac:dyDescent="0.25">
      <c r="B146" s="118" t="str">
        <f t="shared" si="1"/>
        <v/>
      </c>
    </row>
    <row r="147" spans="2:2" x14ac:dyDescent="0.25">
      <c r="B147" s="118" t="str">
        <f t="shared" si="1"/>
        <v/>
      </c>
    </row>
    <row r="148" spans="2:2" x14ac:dyDescent="0.25">
      <c r="B148" s="118" t="str">
        <f t="shared" ref="B148:B211" si="2">IF(A148=0,"","Hinge")</f>
        <v/>
      </c>
    </row>
    <row r="149" spans="2:2" x14ac:dyDescent="0.25">
      <c r="B149" s="118" t="str">
        <f t="shared" si="2"/>
        <v/>
      </c>
    </row>
    <row r="150" spans="2:2" x14ac:dyDescent="0.25">
      <c r="B150" s="118" t="str">
        <f t="shared" si="2"/>
        <v/>
      </c>
    </row>
    <row r="151" spans="2:2" x14ac:dyDescent="0.25">
      <c r="B151" s="118" t="str">
        <f t="shared" si="2"/>
        <v/>
      </c>
    </row>
    <row r="152" spans="2:2" x14ac:dyDescent="0.25">
      <c r="B152" s="118" t="str">
        <f t="shared" si="2"/>
        <v/>
      </c>
    </row>
    <row r="153" spans="2:2" x14ac:dyDescent="0.25">
      <c r="B153" s="118" t="str">
        <f t="shared" si="2"/>
        <v/>
      </c>
    </row>
    <row r="154" spans="2:2" x14ac:dyDescent="0.25">
      <c r="B154" s="118" t="str">
        <f t="shared" si="2"/>
        <v/>
      </c>
    </row>
    <row r="155" spans="2:2" x14ac:dyDescent="0.25">
      <c r="B155" s="118" t="str">
        <f t="shared" si="2"/>
        <v/>
      </c>
    </row>
    <row r="156" spans="2:2" x14ac:dyDescent="0.25">
      <c r="B156" s="118" t="str">
        <f t="shared" si="2"/>
        <v/>
      </c>
    </row>
    <row r="157" spans="2:2" x14ac:dyDescent="0.25">
      <c r="B157" s="118" t="str">
        <f t="shared" si="2"/>
        <v/>
      </c>
    </row>
    <row r="158" spans="2:2" x14ac:dyDescent="0.25">
      <c r="B158" s="118" t="str">
        <f t="shared" si="2"/>
        <v/>
      </c>
    </row>
    <row r="159" spans="2:2" x14ac:dyDescent="0.25">
      <c r="B159" s="118" t="str">
        <f t="shared" si="2"/>
        <v/>
      </c>
    </row>
    <row r="160" spans="2:2" x14ac:dyDescent="0.25">
      <c r="B160" s="118" t="str">
        <f t="shared" si="2"/>
        <v/>
      </c>
    </row>
    <row r="161" spans="2:2" x14ac:dyDescent="0.25">
      <c r="B161" s="118" t="str">
        <f t="shared" si="2"/>
        <v/>
      </c>
    </row>
    <row r="162" spans="2:2" x14ac:dyDescent="0.25">
      <c r="B162" s="118" t="str">
        <f t="shared" si="2"/>
        <v/>
      </c>
    </row>
    <row r="163" spans="2:2" x14ac:dyDescent="0.25">
      <c r="B163" s="118" t="str">
        <f t="shared" si="2"/>
        <v/>
      </c>
    </row>
    <row r="164" spans="2:2" x14ac:dyDescent="0.25">
      <c r="B164" s="118" t="str">
        <f t="shared" si="2"/>
        <v/>
      </c>
    </row>
    <row r="165" spans="2:2" x14ac:dyDescent="0.25">
      <c r="B165" s="118" t="str">
        <f t="shared" si="2"/>
        <v/>
      </c>
    </row>
    <row r="166" spans="2:2" x14ac:dyDescent="0.25">
      <c r="B166" s="118" t="str">
        <f t="shared" si="2"/>
        <v/>
      </c>
    </row>
    <row r="167" spans="2:2" x14ac:dyDescent="0.25">
      <c r="B167" s="118" t="str">
        <f t="shared" si="2"/>
        <v/>
      </c>
    </row>
    <row r="168" spans="2:2" x14ac:dyDescent="0.25">
      <c r="B168" s="118" t="str">
        <f t="shared" si="2"/>
        <v/>
      </c>
    </row>
    <row r="169" spans="2:2" x14ac:dyDescent="0.25">
      <c r="B169" s="118" t="str">
        <f t="shared" si="2"/>
        <v/>
      </c>
    </row>
    <row r="170" spans="2:2" x14ac:dyDescent="0.25">
      <c r="B170" s="118" t="str">
        <f t="shared" si="2"/>
        <v/>
      </c>
    </row>
    <row r="171" spans="2:2" x14ac:dyDescent="0.25">
      <c r="B171" s="118" t="str">
        <f t="shared" si="2"/>
        <v/>
      </c>
    </row>
    <row r="172" spans="2:2" x14ac:dyDescent="0.25">
      <c r="B172" s="118" t="str">
        <f t="shared" si="2"/>
        <v/>
      </c>
    </row>
    <row r="173" spans="2:2" x14ac:dyDescent="0.25">
      <c r="B173" s="118" t="str">
        <f t="shared" si="2"/>
        <v/>
      </c>
    </row>
    <row r="174" spans="2:2" x14ac:dyDescent="0.25">
      <c r="B174" s="118" t="str">
        <f t="shared" si="2"/>
        <v/>
      </c>
    </row>
    <row r="175" spans="2:2" x14ac:dyDescent="0.25">
      <c r="B175" s="118" t="str">
        <f t="shared" si="2"/>
        <v/>
      </c>
    </row>
    <row r="176" spans="2:2" x14ac:dyDescent="0.25">
      <c r="B176" s="118" t="str">
        <f t="shared" si="2"/>
        <v/>
      </c>
    </row>
    <row r="177" spans="2:2" x14ac:dyDescent="0.25">
      <c r="B177" s="118" t="str">
        <f t="shared" si="2"/>
        <v/>
      </c>
    </row>
    <row r="178" spans="2:2" x14ac:dyDescent="0.25">
      <c r="B178" s="118" t="str">
        <f t="shared" si="2"/>
        <v/>
      </c>
    </row>
    <row r="179" spans="2:2" x14ac:dyDescent="0.25">
      <c r="B179" s="118" t="str">
        <f t="shared" si="2"/>
        <v/>
      </c>
    </row>
    <row r="180" spans="2:2" x14ac:dyDescent="0.25">
      <c r="B180" s="118" t="str">
        <f t="shared" si="2"/>
        <v/>
      </c>
    </row>
    <row r="181" spans="2:2" x14ac:dyDescent="0.25">
      <c r="B181" s="118" t="str">
        <f t="shared" si="2"/>
        <v/>
      </c>
    </row>
    <row r="182" spans="2:2" x14ac:dyDescent="0.25">
      <c r="B182" s="118" t="str">
        <f t="shared" si="2"/>
        <v/>
      </c>
    </row>
    <row r="183" spans="2:2" x14ac:dyDescent="0.25">
      <c r="B183" s="118" t="str">
        <f t="shared" si="2"/>
        <v/>
      </c>
    </row>
    <row r="184" spans="2:2" x14ac:dyDescent="0.25">
      <c r="B184" s="118" t="str">
        <f t="shared" si="2"/>
        <v/>
      </c>
    </row>
    <row r="185" spans="2:2" x14ac:dyDescent="0.25">
      <c r="B185" s="118" t="str">
        <f t="shared" si="2"/>
        <v/>
      </c>
    </row>
    <row r="186" spans="2:2" x14ac:dyDescent="0.25">
      <c r="B186" s="118" t="str">
        <f t="shared" si="2"/>
        <v/>
      </c>
    </row>
    <row r="187" spans="2:2" x14ac:dyDescent="0.25">
      <c r="B187" s="118" t="str">
        <f t="shared" si="2"/>
        <v/>
      </c>
    </row>
    <row r="188" spans="2:2" x14ac:dyDescent="0.25">
      <c r="B188" s="118" t="str">
        <f t="shared" si="2"/>
        <v/>
      </c>
    </row>
    <row r="189" spans="2:2" x14ac:dyDescent="0.25">
      <c r="B189" s="118" t="str">
        <f t="shared" si="2"/>
        <v/>
      </c>
    </row>
    <row r="190" spans="2:2" x14ac:dyDescent="0.25">
      <c r="B190" s="118" t="str">
        <f t="shared" si="2"/>
        <v/>
      </c>
    </row>
    <row r="191" spans="2:2" x14ac:dyDescent="0.25">
      <c r="B191" s="118" t="str">
        <f t="shared" si="2"/>
        <v/>
      </c>
    </row>
    <row r="192" spans="2:2" x14ac:dyDescent="0.25">
      <c r="B192" s="118" t="str">
        <f t="shared" si="2"/>
        <v/>
      </c>
    </row>
    <row r="193" spans="2:2" x14ac:dyDescent="0.25">
      <c r="B193" s="118" t="str">
        <f t="shared" si="2"/>
        <v/>
      </c>
    </row>
    <row r="194" spans="2:2" x14ac:dyDescent="0.25">
      <c r="B194" s="118" t="str">
        <f t="shared" si="2"/>
        <v/>
      </c>
    </row>
    <row r="195" spans="2:2" x14ac:dyDescent="0.25">
      <c r="B195" s="118" t="str">
        <f t="shared" si="2"/>
        <v/>
      </c>
    </row>
    <row r="196" spans="2:2" x14ac:dyDescent="0.25">
      <c r="B196" s="118" t="str">
        <f t="shared" si="2"/>
        <v/>
      </c>
    </row>
    <row r="197" spans="2:2" x14ac:dyDescent="0.25">
      <c r="B197" s="118" t="str">
        <f t="shared" si="2"/>
        <v/>
      </c>
    </row>
    <row r="198" spans="2:2" x14ac:dyDescent="0.25">
      <c r="B198" s="118" t="str">
        <f t="shared" si="2"/>
        <v/>
      </c>
    </row>
    <row r="199" spans="2:2" x14ac:dyDescent="0.25">
      <c r="B199" s="118" t="str">
        <f t="shared" si="2"/>
        <v/>
      </c>
    </row>
    <row r="200" spans="2:2" x14ac:dyDescent="0.25">
      <c r="B200" s="118" t="str">
        <f t="shared" si="2"/>
        <v/>
      </c>
    </row>
    <row r="201" spans="2:2" x14ac:dyDescent="0.25">
      <c r="B201" s="118" t="str">
        <f t="shared" si="2"/>
        <v/>
      </c>
    </row>
    <row r="202" spans="2:2" x14ac:dyDescent="0.25">
      <c r="B202" s="118" t="str">
        <f t="shared" si="2"/>
        <v/>
      </c>
    </row>
    <row r="203" spans="2:2" x14ac:dyDescent="0.25">
      <c r="B203" s="118" t="str">
        <f t="shared" si="2"/>
        <v/>
      </c>
    </row>
    <row r="204" spans="2:2" x14ac:dyDescent="0.25">
      <c r="B204" s="118" t="str">
        <f t="shared" si="2"/>
        <v/>
      </c>
    </row>
    <row r="205" spans="2:2" x14ac:dyDescent="0.25">
      <c r="B205" s="118" t="str">
        <f t="shared" si="2"/>
        <v/>
      </c>
    </row>
    <row r="206" spans="2:2" x14ac:dyDescent="0.25">
      <c r="B206" s="118" t="str">
        <f t="shared" si="2"/>
        <v/>
      </c>
    </row>
    <row r="207" spans="2:2" x14ac:dyDescent="0.25">
      <c r="B207" s="118" t="str">
        <f t="shared" si="2"/>
        <v/>
      </c>
    </row>
    <row r="208" spans="2:2" x14ac:dyDescent="0.25">
      <c r="B208" s="118" t="str">
        <f t="shared" si="2"/>
        <v/>
      </c>
    </row>
    <row r="209" spans="2:2" x14ac:dyDescent="0.25">
      <c r="B209" s="118" t="str">
        <f t="shared" si="2"/>
        <v/>
      </c>
    </row>
    <row r="210" spans="2:2" x14ac:dyDescent="0.25">
      <c r="B210" s="118" t="str">
        <f t="shared" si="2"/>
        <v/>
      </c>
    </row>
    <row r="211" spans="2:2" x14ac:dyDescent="0.25">
      <c r="B211" s="118" t="str">
        <f t="shared" si="2"/>
        <v/>
      </c>
    </row>
    <row r="212" spans="2:2" x14ac:dyDescent="0.25">
      <c r="B212" s="118" t="str">
        <f t="shared" ref="B212:B275" si="3">IF(A212=0,"","Hinge")</f>
        <v/>
      </c>
    </row>
    <row r="213" spans="2:2" x14ac:dyDescent="0.25">
      <c r="B213" s="118" t="str">
        <f t="shared" si="3"/>
        <v/>
      </c>
    </row>
    <row r="214" spans="2:2" x14ac:dyDescent="0.25">
      <c r="B214" s="118" t="str">
        <f t="shared" si="3"/>
        <v/>
      </c>
    </row>
    <row r="215" spans="2:2" x14ac:dyDescent="0.25">
      <c r="B215" s="118" t="str">
        <f t="shared" si="3"/>
        <v/>
      </c>
    </row>
    <row r="216" spans="2:2" x14ac:dyDescent="0.25">
      <c r="B216" s="118" t="str">
        <f t="shared" si="3"/>
        <v/>
      </c>
    </row>
    <row r="217" spans="2:2" x14ac:dyDescent="0.25">
      <c r="B217" s="118" t="str">
        <f t="shared" si="3"/>
        <v/>
      </c>
    </row>
    <row r="218" spans="2:2" x14ac:dyDescent="0.25">
      <c r="B218" s="118" t="str">
        <f t="shared" si="3"/>
        <v/>
      </c>
    </row>
    <row r="219" spans="2:2" x14ac:dyDescent="0.25">
      <c r="B219" s="118" t="str">
        <f t="shared" si="3"/>
        <v/>
      </c>
    </row>
    <row r="220" spans="2:2" x14ac:dyDescent="0.25">
      <c r="B220" s="118" t="str">
        <f t="shared" si="3"/>
        <v/>
      </c>
    </row>
    <row r="221" spans="2:2" x14ac:dyDescent="0.25">
      <c r="B221" s="118" t="str">
        <f t="shared" si="3"/>
        <v/>
      </c>
    </row>
    <row r="222" spans="2:2" x14ac:dyDescent="0.25">
      <c r="B222" s="118" t="str">
        <f t="shared" si="3"/>
        <v/>
      </c>
    </row>
    <row r="223" spans="2:2" x14ac:dyDescent="0.25">
      <c r="B223" s="118" t="str">
        <f t="shared" si="3"/>
        <v/>
      </c>
    </row>
    <row r="224" spans="2:2" x14ac:dyDescent="0.25">
      <c r="B224" s="118" t="str">
        <f t="shared" si="3"/>
        <v/>
      </c>
    </row>
    <row r="225" spans="2:2" x14ac:dyDescent="0.25">
      <c r="B225" s="118" t="str">
        <f t="shared" si="3"/>
        <v/>
      </c>
    </row>
    <row r="226" spans="2:2" x14ac:dyDescent="0.25">
      <c r="B226" s="118" t="str">
        <f t="shared" si="3"/>
        <v/>
      </c>
    </row>
    <row r="227" spans="2:2" x14ac:dyDescent="0.25">
      <c r="B227" s="118" t="str">
        <f t="shared" si="3"/>
        <v/>
      </c>
    </row>
    <row r="228" spans="2:2" x14ac:dyDescent="0.25">
      <c r="B228" s="118" t="str">
        <f t="shared" si="3"/>
        <v/>
      </c>
    </row>
    <row r="229" spans="2:2" x14ac:dyDescent="0.25">
      <c r="B229" s="118" t="str">
        <f t="shared" si="3"/>
        <v/>
      </c>
    </row>
    <row r="230" spans="2:2" x14ac:dyDescent="0.25">
      <c r="B230" s="118" t="str">
        <f t="shared" si="3"/>
        <v/>
      </c>
    </row>
    <row r="231" spans="2:2" x14ac:dyDescent="0.25">
      <c r="B231" s="118" t="str">
        <f t="shared" si="3"/>
        <v/>
      </c>
    </row>
    <row r="232" spans="2:2" x14ac:dyDescent="0.25">
      <c r="B232" s="118" t="str">
        <f t="shared" si="3"/>
        <v/>
      </c>
    </row>
    <row r="233" spans="2:2" x14ac:dyDescent="0.25">
      <c r="B233" s="118" t="str">
        <f t="shared" si="3"/>
        <v/>
      </c>
    </row>
    <row r="234" spans="2:2" x14ac:dyDescent="0.25">
      <c r="B234" s="118" t="str">
        <f t="shared" si="3"/>
        <v/>
      </c>
    </row>
    <row r="235" spans="2:2" x14ac:dyDescent="0.25">
      <c r="B235" s="118" t="str">
        <f t="shared" si="3"/>
        <v/>
      </c>
    </row>
    <row r="236" spans="2:2" x14ac:dyDescent="0.25">
      <c r="B236" s="118" t="str">
        <f t="shared" si="3"/>
        <v/>
      </c>
    </row>
    <row r="237" spans="2:2" x14ac:dyDescent="0.25">
      <c r="B237" s="118" t="str">
        <f t="shared" si="3"/>
        <v/>
      </c>
    </row>
    <row r="238" spans="2:2" x14ac:dyDescent="0.25">
      <c r="B238" s="118" t="str">
        <f t="shared" si="3"/>
        <v/>
      </c>
    </row>
    <row r="239" spans="2:2" x14ac:dyDescent="0.25">
      <c r="B239" s="118" t="str">
        <f t="shared" si="3"/>
        <v/>
      </c>
    </row>
    <row r="240" spans="2:2" x14ac:dyDescent="0.25">
      <c r="B240" s="118" t="str">
        <f t="shared" si="3"/>
        <v/>
      </c>
    </row>
    <row r="241" spans="2:2" x14ac:dyDescent="0.25">
      <c r="B241" s="118" t="str">
        <f t="shared" si="3"/>
        <v/>
      </c>
    </row>
    <row r="242" spans="2:2" x14ac:dyDescent="0.25">
      <c r="B242" s="118" t="str">
        <f t="shared" si="3"/>
        <v/>
      </c>
    </row>
    <row r="243" spans="2:2" x14ac:dyDescent="0.25">
      <c r="B243" s="118" t="str">
        <f t="shared" si="3"/>
        <v/>
      </c>
    </row>
    <row r="244" spans="2:2" x14ac:dyDescent="0.25">
      <c r="B244" s="118" t="str">
        <f t="shared" si="3"/>
        <v/>
      </c>
    </row>
    <row r="245" spans="2:2" x14ac:dyDescent="0.25">
      <c r="B245" s="118" t="str">
        <f t="shared" si="3"/>
        <v/>
      </c>
    </row>
    <row r="246" spans="2:2" x14ac:dyDescent="0.25">
      <c r="B246" s="118" t="str">
        <f t="shared" si="3"/>
        <v/>
      </c>
    </row>
    <row r="247" spans="2:2" x14ac:dyDescent="0.25">
      <c r="B247" s="118" t="str">
        <f t="shared" si="3"/>
        <v/>
      </c>
    </row>
    <row r="248" spans="2:2" x14ac:dyDescent="0.25">
      <c r="B248" s="118" t="str">
        <f t="shared" si="3"/>
        <v/>
      </c>
    </row>
    <row r="249" spans="2:2" x14ac:dyDescent="0.25">
      <c r="B249" s="118" t="str">
        <f t="shared" si="3"/>
        <v/>
      </c>
    </row>
    <row r="250" spans="2:2" x14ac:dyDescent="0.25">
      <c r="B250" s="118" t="str">
        <f t="shared" si="3"/>
        <v/>
      </c>
    </row>
    <row r="251" spans="2:2" x14ac:dyDescent="0.25">
      <c r="B251" s="118" t="str">
        <f t="shared" si="3"/>
        <v/>
      </c>
    </row>
    <row r="252" spans="2:2" x14ac:dyDescent="0.25">
      <c r="B252" s="118" t="str">
        <f t="shared" si="3"/>
        <v/>
      </c>
    </row>
    <row r="253" spans="2:2" x14ac:dyDescent="0.25">
      <c r="B253" s="118" t="str">
        <f t="shared" si="3"/>
        <v/>
      </c>
    </row>
    <row r="254" spans="2:2" x14ac:dyDescent="0.25">
      <c r="B254" s="118" t="str">
        <f t="shared" si="3"/>
        <v/>
      </c>
    </row>
    <row r="255" spans="2:2" x14ac:dyDescent="0.25">
      <c r="B255" s="118" t="str">
        <f t="shared" si="3"/>
        <v/>
      </c>
    </row>
    <row r="256" spans="2:2" x14ac:dyDescent="0.25">
      <c r="B256" s="118" t="str">
        <f t="shared" si="3"/>
        <v/>
      </c>
    </row>
    <row r="257" spans="2:2" x14ac:dyDescent="0.25">
      <c r="B257" s="118" t="str">
        <f t="shared" si="3"/>
        <v/>
      </c>
    </row>
    <row r="258" spans="2:2" x14ac:dyDescent="0.25">
      <c r="B258" s="118" t="str">
        <f t="shared" si="3"/>
        <v/>
      </c>
    </row>
    <row r="259" spans="2:2" x14ac:dyDescent="0.25">
      <c r="B259" s="118" t="str">
        <f t="shared" si="3"/>
        <v/>
      </c>
    </row>
    <row r="260" spans="2:2" x14ac:dyDescent="0.25">
      <c r="B260" s="118" t="str">
        <f t="shared" si="3"/>
        <v/>
      </c>
    </row>
    <row r="261" spans="2:2" x14ac:dyDescent="0.25">
      <c r="B261" s="118" t="str">
        <f t="shared" si="3"/>
        <v/>
      </c>
    </row>
    <row r="262" spans="2:2" x14ac:dyDescent="0.25">
      <c r="B262" s="118" t="str">
        <f t="shared" si="3"/>
        <v/>
      </c>
    </row>
    <row r="263" spans="2:2" x14ac:dyDescent="0.25">
      <c r="B263" s="118" t="str">
        <f t="shared" si="3"/>
        <v/>
      </c>
    </row>
    <row r="264" spans="2:2" x14ac:dyDescent="0.25">
      <c r="B264" s="118" t="str">
        <f t="shared" si="3"/>
        <v/>
      </c>
    </row>
    <row r="265" spans="2:2" x14ac:dyDescent="0.25">
      <c r="B265" s="118" t="str">
        <f t="shared" si="3"/>
        <v/>
      </c>
    </row>
    <row r="266" spans="2:2" x14ac:dyDescent="0.25">
      <c r="B266" s="118" t="str">
        <f t="shared" si="3"/>
        <v/>
      </c>
    </row>
    <row r="267" spans="2:2" x14ac:dyDescent="0.25">
      <c r="B267" s="118" t="str">
        <f t="shared" si="3"/>
        <v/>
      </c>
    </row>
    <row r="268" spans="2:2" x14ac:dyDescent="0.25">
      <c r="B268" s="118" t="str">
        <f t="shared" si="3"/>
        <v/>
      </c>
    </row>
    <row r="269" spans="2:2" x14ac:dyDescent="0.25">
      <c r="B269" s="118" t="str">
        <f t="shared" si="3"/>
        <v/>
      </c>
    </row>
    <row r="270" spans="2:2" x14ac:dyDescent="0.25">
      <c r="B270" s="118" t="str">
        <f t="shared" si="3"/>
        <v/>
      </c>
    </row>
    <row r="271" spans="2:2" x14ac:dyDescent="0.25">
      <c r="B271" s="118" t="str">
        <f t="shared" si="3"/>
        <v/>
      </c>
    </row>
    <row r="272" spans="2:2" x14ac:dyDescent="0.25">
      <c r="B272" s="118" t="str">
        <f t="shared" si="3"/>
        <v/>
      </c>
    </row>
    <row r="273" spans="2:2" x14ac:dyDescent="0.25">
      <c r="B273" s="118" t="str">
        <f t="shared" si="3"/>
        <v/>
      </c>
    </row>
    <row r="274" spans="2:2" x14ac:dyDescent="0.25">
      <c r="B274" s="118" t="str">
        <f t="shared" si="3"/>
        <v/>
      </c>
    </row>
    <row r="275" spans="2:2" x14ac:dyDescent="0.25">
      <c r="B275" s="118" t="str">
        <f t="shared" si="3"/>
        <v/>
      </c>
    </row>
    <row r="276" spans="2:2" x14ac:dyDescent="0.25">
      <c r="B276" s="118" t="str">
        <f t="shared" ref="B276:B339" si="4">IF(A276=0,"","Hinge")</f>
        <v/>
      </c>
    </row>
    <row r="277" spans="2:2" x14ac:dyDescent="0.25">
      <c r="B277" s="118" t="str">
        <f t="shared" si="4"/>
        <v/>
      </c>
    </row>
    <row r="278" spans="2:2" x14ac:dyDescent="0.25">
      <c r="B278" s="118" t="str">
        <f t="shared" si="4"/>
        <v/>
      </c>
    </row>
    <row r="279" spans="2:2" x14ac:dyDescent="0.25">
      <c r="B279" s="118" t="str">
        <f t="shared" si="4"/>
        <v/>
      </c>
    </row>
    <row r="280" spans="2:2" x14ac:dyDescent="0.25">
      <c r="B280" s="118" t="str">
        <f t="shared" si="4"/>
        <v/>
      </c>
    </row>
    <row r="281" spans="2:2" x14ac:dyDescent="0.25">
      <c r="B281" s="118" t="str">
        <f t="shared" si="4"/>
        <v/>
      </c>
    </row>
    <row r="282" spans="2:2" x14ac:dyDescent="0.25">
      <c r="B282" s="118" t="str">
        <f t="shared" si="4"/>
        <v/>
      </c>
    </row>
    <row r="283" spans="2:2" x14ac:dyDescent="0.25">
      <c r="B283" s="118" t="str">
        <f t="shared" si="4"/>
        <v/>
      </c>
    </row>
    <row r="284" spans="2:2" x14ac:dyDescent="0.25">
      <c r="B284" s="118" t="str">
        <f t="shared" si="4"/>
        <v/>
      </c>
    </row>
    <row r="285" spans="2:2" x14ac:dyDescent="0.25">
      <c r="B285" s="118" t="str">
        <f t="shared" si="4"/>
        <v/>
      </c>
    </row>
    <row r="286" spans="2:2" x14ac:dyDescent="0.25">
      <c r="B286" s="118" t="str">
        <f t="shared" si="4"/>
        <v/>
      </c>
    </row>
    <row r="287" spans="2:2" x14ac:dyDescent="0.25">
      <c r="B287" s="118" t="str">
        <f t="shared" si="4"/>
        <v/>
      </c>
    </row>
    <row r="288" spans="2:2" x14ac:dyDescent="0.25">
      <c r="B288" s="118" t="str">
        <f t="shared" si="4"/>
        <v/>
      </c>
    </row>
    <row r="289" spans="2:2" x14ac:dyDescent="0.25">
      <c r="B289" s="118" t="str">
        <f t="shared" si="4"/>
        <v/>
      </c>
    </row>
    <row r="290" spans="2:2" x14ac:dyDescent="0.25">
      <c r="B290" s="118" t="str">
        <f t="shared" si="4"/>
        <v/>
      </c>
    </row>
    <row r="291" spans="2:2" x14ac:dyDescent="0.25">
      <c r="B291" s="118" t="str">
        <f t="shared" si="4"/>
        <v/>
      </c>
    </row>
    <row r="292" spans="2:2" x14ac:dyDescent="0.25">
      <c r="B292" s="118" t="str">
        <f t="shared" si="4"/>
        <v/>
      </c>
    </row>
    <row r="293" spans="2:2" x14ac:dyDescent="0.25">
      <c r="B293" s="118" t="str">
        <f t="shared" si="4"/>
        <v/>
      </c>
    </row>
    <row r="294" spans="2:2" x14ac:dyDescent="0.25">
      <c r="B294" s="118" t="str">
        <f t="shared" si="4"/>
        <v/>
      </c>
    </row>
    <row r="295" spans="2:2" x14ac:dyDescent="0.25">
      <c r="B295" s="118" t="str">
        <f t="shared" si="4"/>
        <v/>
      </c>
    </row>
    <row r="296" spans="2:2" x14ac:dyDescent="0.25">
      <c r="B296" s="118" t="str">
        <f t="shared" si="4"/>
        <v/>
      </c>
    </row>
    <row r="297" spans="2:2" x14ac:dyDescent="0.25">
      <c r="B297" s="118" t="str">
        <f t="shared" si="4"/>
        <v/>
      </c>
    </row>
    <row r="298" spans="2:2" x14ac:dyDescent="0.25">
      <c r="B298" s="118" t="str">
        <f t="shared" si="4"/>
        <v/>
      </c>
    </row>
    <row r="299" spans="2:2" x14ac:dyDescent="0.25">
      <c r="B299" s="118" t="str">
        <f t="shared" si="4"/>
        <v/>
      </c>
    </row>
    <row r="300" spans="2:2" x14ac:dyDescent="0.25">
      <c r="B300" s="118" t="str">
        <f t="shared" si="4"/>
        <v/>
      </c>
    </row>
    <row r="301" spans="2:2" x14ac:dyDescent="0.25">
      <c r="B301" s="118" t="str">
        <f t="shared" si="4"/>
        <v/>
      </c>
    </row>
    <row r="302" spans="2:2" x14ac:dyDescent="0.25">
      <c r="B302" s="118" t="str">
        <f t="shared" si="4"/>
        <v/>
      </c>
    </row>
    <row r="303" spans="2:2" x14ac:dyDescent="0.25">
      <c r="B303" s="118" t="str">
        <f t="shared" si="4"/>
        <v/>
      </c>
    </row>
    <row r="304" spans="2:2" x14ac:dyDescent="0.25">
      <c r="B304" s="118" t="str">
        <f t="shared" si="4"/>
        <v/>
      </c>
    </row>
    <row r="305" spans="2:2" x14ac:dyDescent="0.25">
      <c r="B305" s="118" t="str">
        <f t="shared" si="4"/>
        <v/>
      </c>
    </row>
    <row r="306" spans="2:2" x14ac:dyDescent="0.25">
      <c r="B306" s="118" t="str">
        <f t="shared" si="4"/>
        <v/>
      </c>
    </row>
    <row r="307" spans="2:2" x14ac:dyDescent="0.25">
      <c r="B307" s="118" t="str">
        <f t="shared" si="4"/>
        <v/>
      </c>
    </row>
    <row r="308" spans="2:2" x14ac:dyDescent="0.25">
      <c r="B308" s="118" t="str">
        <f t="shared" si="4"/>
        <v/>
      </c>
    </row>
    <row r="309" spans="2:2" x14ac:dyDescent="0.25">
      <c r="B309" s="118" t="str">
        <f t="shared" si="4"/>
        <v/>
      </c>
    </row>
    <row r="310" spans="2:2" x14ac:dyDescent="0.25">
      <c r="B310" s="118" t="str">
        <f t="shared" si="4"/>
        <v/>
      </c>
    </row>
    <row r="311" spans="2:2" x14ac:dyDescent="0.25">
      <c r="B311" s="118" t="str">
        <f t="shared" si="4"/>
        <v/>
      </c>
    </row>
    <row r="312" spans="2:2" x14ac:dyDescent="0.25">
      <c r="B312" s="118" t="str">
        <f t="shared" si="4"/>
        <v/>
      </c>
    </row>
    <row r="313" spans="2:2" x14ac:dyDescent="0.25">
      <c r="B313" s="118" t="str">
        <f t="shared" si="4"/>
        <v/>
      </c>
    </row>
    <row r="314" spans="2:2" x14ac:dyDescent="0.25">
      <c r="B314" s="118" t="str">
        <f t="shared" si="4"/>
        <v/>
      </c>
    </row>
    <row r="315" spans="2:2" x14ac:dyDescent="0.25">
      <c r="B315" s="118" t="str">
        <f t="shared" si="4"/>
        <v/>
      </c>
    </row>
    <row r="316" spans="2:2" x14ac:dyDescent="0.25">
      <c r="B316" s="118" t="str">
        <f t="shared" si="4"/>
        <v/>
      </c>
    </row>
    <row r="317" spans="2:2" x14ac:dyDescent="0.25">
      <c r="B317" s="118" t="str">
        <f t="shared" si="4"/>
        <v/>
      </c>
    </row>
    <row r="318" spans="2:2" x14ac:dyDescent="0.25">
      <c r="B318" s="118" t="str">
        <f t="shared" si="4"/>
        <v/>
      </c>
    </row>
    <row r="319" spans="2:2" x14ac:dyDescent="0.25">
      <c r="B319" s="118" t="str">
        <f t="shared" si="4"/>
        <v/>
      </c>
    </row>
    <row r="320" spans="2:2" x14ac:dyDescent="0.25">
      <c r="B320" s="118" t="str">
        <f t="shared" si="4"/>
        <v/>
      </c>
    </row>
    <row r="321" spans="2:2" x14ac:dyDescent="0.25">
      <c r="B321" s="118" t="str">
        <f t="shared" si="4"/>
        <v/>
      </c>
    </row>
    <row r="322" spans="2:2" x14ac:dyDescent="0.25">
      <c r="B322" s="118" t="str">
        <f t="shared" si="4"/>
        <v/>
      </c>
    </row>
    <row r="323" spans="2:2" x14ac:dyDescent="0.25">
      <c r="B323" s="118" t="str">
        <f t="shared" si="4"/>
        <v/>
      </c>
    </row>
    <row r="324" spans="2:2" x14ac:dyDescent="0.25">
      <c r="B324" s="118" t="str">
        <f t="shared" si="4"/>
        <v/>
      </c>
    </row>
    <row r="325" spans="2:2" x14ac:dyDescent="0.25">
      <c r="B325" s="118" t="str">
        <f t="shared" si="4"/>
        <v/>
      </c>
    </row>
    <row r="326" spans="2:2" x14ac:dyDescent="0.25">
      <c r="B326" s="118" t="str">
        <f t="shared" si="4"/>
        <v/>
      </c>
    </row>
    <row r="327" spans="2:2" x14ac:dyDescent="0.25">
      <c r="B327" s="118" t="str">
        <f t="shared" si="4"/>
        <v/>
      </c>
    </row>
    <row r="328" spans="2:2" x14ac:dyDescent="0.25">
      <c r="B328" s="118" t="str">
        <f t="shared" si="4"/>
        <v/>
      </c>
    </row>
    <row r="329" spans="2:2" x14ac:dyDescent="0.25">
      <c r="B329" s="118" t="str">
        <f t="shared" si="4"/>
        <v/>
      </c>
    </row>
    <row r="330" spans="2:2" x14ac:dyDescent="0.25">
      <c r="B330" s="118" t="str">
        <f t="shared" si="4"/>
        <v/>
      </c>
    </row>
    <row r="331" spans="2:2" x14ac:dyDescent="0.25">
      <c r="B331" s="118" t="str">
        <f t="shared" si="4"/>
        <v/>
      </c>
    </row>
    <row r="332" spans="2:2" x14ac:dyDescent="0.25">
      <c r="B332" s="118" t="str">
        <f t="shared" si="4"/>
        <v/>
      </c>
    </row>
    <row r="333" spans="2:2" x14ac:dyDescent="0.25">
      <c r="B333" s="118" t="str">
        <f t="shared" si="4"/>
        <v/>
      </c>
    </row>
    <row r="334" spans="2:2" x14ac:dyDescent="0.25">
      <c r="B334" s="118" t="str">
        <f t="shared" si="4"/>
        <v/>
      </c>
    </row>
    <row r="335" spans="2:2" x14ac:dyDescent="0.25">
      <c r="B335" s="118" t="str">
        <f t="shared" si="4"/>
        <v/>
      </c>
    </row>
    <row r="336" spans="2:2" x14ac:dyDescent="0.25">
      <c r="B336" s="118" t="str">
        <f t="shared" si="4"/>
        <v/>
      </c>
    </row>
    <row r="337" spans="2:2" x14ac:dyDescent="0.25">
      <c r="B337" s="118" t="str">
        <f t="shared" si="4"/>
        <v/>
      </c>
    </row>
    <row r="338" spans="2:2" x14ac:dyDescent="0.25">
      <c r="B338" s="118" t="str">
        <f t="shared" si="4"/>
        <v/>
      </c>
    </row>
    <row r="339" spans="2:2" x14ac:dyDescent="0.25">
      <c r="B339" s="118" t="str">
        <f t="shared" si="4"/>
        <v/>
      </c>
    </row>
    <row r="340" spans="2:2" x14ac:dyDescent="0.25">
      <c r="B340" s="118" t="str">
        <f t="shared" ref="B340:B403" si="5">IF(A340=0,"","Hinge")</f>
        <v/>
      </c>
    </row>
    <row r="341" spans="2:2" x14ac:dyDescent="0.25">
      <c r="B341" s="118" t="str">
        <f t="shared" si="5"/>
        <v/>
      </c>
    </row>
    <row r="342" spans="2:2" x14ac:dyDescent="0.25">
      <c r="B342" s="118" t="str">
        <f t="shared" si="5"/>
        <v/>
      </c>
    </row>
    <row r="343" spans="2:2" x14ac:dyDescent="0.25">
      <c r="B343" s="118" t="str">
        <f t="shared" si="5"/>
        <v/>
      </c>
    </row>
    <row r="344" spans="2:2" x14ac:dyDescent="0.25">
      <c r="B344" s="118" t="str">
        <f t="shared" si="5"/>
        <v/>
      </c>
    </row>
    <row r="345" spans="2:2" x14ac:dyDescent="0.25">
      <c r="B345" s="118" t="str">
        <f t="shared" si="5"/>
        <v/>
      </c>
    </row>
    <row r="346" spans="2:2" x14ac:dyDescent="0.25">
      <c r="B346" s="118" t="str">
        <f t="shared" si="5"/>
        <v/>
      </c>
    </row>
    <row r="347" spans="2:2" x14ac:dyDescent="0.25">
      <c r="B347" s="118" t="str">
        <f t="shared" si="5"/>
        <v/>
      </c>
    </row>
    <row r="348" spans="2:2" x14ac:dyDescent="0.25">
      <c r="B348" s="118" t="str">
        <f t="shared" si="5"/>
        <v/>
      </c>
    </row>
    <row r="349" spans="2:2" x14ac:dyDescent="0.25">
      <c r="B349" s="118" t="str">
        <f t="shared" si="5"/>
        <v/>
      </c>
    </row>
    <row r="350" spans="2:2" x14ac:dyDescent="0.25">
      <c r="B350" s="118" t="str">
        <f t="shared" si="5"/>
        <v/>
      </c>
    </row>
    <row r="351" spans="2:2" x14ac:dyDescent="0.25">
      <c r="B351" s="118" t="str">
        <f t="shared" si="5"/>
        <v/>
      </c>
    </row>
    <row r="352" spans="2:2" x14ac:dyDescent="0.25">
      <c r="B352" s="118" t="str">
        <f t="shared" si="5"/>
        <v/>
      </c>
    </row>
    <row r="353" spans="2:2" x14ac:dyDescent="0.25">
      <c r="B353" s="118" t="str">
        <f t="shared" si="5"/>
        <v/>
      </c>
    </row>
    <row r="354" spans="2:2" x14ac:dyDescent="0.25">
      <c r="B354" s="118" t="str">
        <f t="shared" si="5"/>
        <v/>
      </c>
    </row>
    <row r="355" spans="2:2" x14ac:dyDescent="0.25">
      <c r="B355" s="118" t="str">
        <f t="shared" si="5"/>
        <v/>
      </c>
    </row>
    <row r="356" spans="2:2" x14ac:dyDescent="0.25">
      <c r="B356" s="118" t="str">
        <f t="shared" si="5"/>
        <v/>
      </c>
    </row>
    <row r="357" spans="2:2" x14ac:dyDescent="0.25">
      <c r="B357" s="118" t="str">
        <f t="shared" si="5"/>
        <v/>
      </c>
    </row>
    <row r="358" spans="2:2" x14ac:dyDescent="0.25">
      <c r="B358" s="118" t="str">
        <f t="shared" si="5"/>
        <v/>
      </c>
    </row>
    <row r="359" spans="2:2" x14ac:dyDescent="0.25">
      <c r="B359" s="118" t="str">
        <f t="shared" si="5"/>
        <v/>
      </c>
    </row>
    <row r="360" spans="2:2" x14ac:dyDescent="0.25">
      <c r="B360" s="118" t="str">
        <f t="shared" si="5"/>
        <v/>
      </c>
    </row>
    <row r="361" spans="2:2" x14ac:dyDescent="0.25">
      <c r="B361" s="118" t="str">
        <f t="shared" si="5"/>
        <v/>
      </c>
    </row>
    <row r="362" spans="2:2" x14ac:dyDescent="0.25">
      <c r="B362" s="118" t="str">
        <f t="shared" si="5"/>
        <v/>
      </c>
    </row>
    <row r="363" spans="2:2" x14ac:dyDescent="0.25">
      <c r="B363" s="118" t="str">
        <f t="shared" si="5"/>
        <v/>
      </c>
    </row>
    <row r="364" spans="2:2" x14ac:dyDescent="0.25">
      <c r="B364" s="118" t="str">
        <f t="shared" si="5"/>
        <v/>
      </c>
    </row>
    <row r="365" spans="2:2" x14ac:dyDescent="0.25">
      <c r="B365" s="118" t="str">
        <f t="shared" si="5"/>
        <v/>
      </c>
    </row>
    <row r="366" spans="2:2" x14ac:dyDescent="0.25">
      <c r="B366" s="118" t="str">
        <f t="shared" si="5"/>
        <v/>
      </c>
    </row>
    <row r="367" spans="2:2" x14ac:dyDescent="0.25">
      <c r="B367" s="118" t="str">
        <f t="shared" si="5"/>
        <v/>
      </c>
    </row>
    <row r="368" spans="2:2" x14ac:dyDescent="0.25">
      <c r="B368" s="118" t="str">
        <f t="shared" si="5"/>
        <v/>
      </c>
    </row>
    <row r="369" spans="2:2" x14ac:dyDescent="0.25">
      <c r="B369" s="118" t="str">
        <f t="shared" si="5"/>
        <v/>
      </c>
    </row>
    <row r="370" spans="2:2" x14ac:dyDescent="0.25">
      <c r="B370" s="118" t="str">
        <f t="shared" si="5"/>
        <v/>
      </c>
    </row>
    <row r="371" spans="2:2" x14ac:dyDescent="0.25">
      <c r="B371" s="118" t="str">
        <f t="shared" si="5"/>
        <v/>
      </c>
    </row>
    <row r="372" spans="2:2" x14ac:dyDescent="0.25">
      <c r="B372" s="118" t="str">
        <f t="shared" si="5"/>
        <v/>
      </c>
    </row>
    <row r="373" spans="2:2" x14ac:dyDescent="0.25">
      <c r="B373" s="118" t="str">
        <f t="shared" si="5"/>
        <v/>
      </c>
    </row>
    <row r="374" spans="2:2" x14ac:dyDescent="0.25">
      <c r="B374" s="118" t="str">
        <f t="shared" si="5"/>
        <v/>
      </c>
    </row>
    <row r="375" spans="2:2" x14ac:dyDescent="0.25">
      <c r="B375" s="118" t="str">
        <f t="shared" si="5"/>
        <v/>
      </c>
    </row>
    <row r="376" spans="2:2" x14ac:dyDescent="0.25">
      <c r="B376" s="118" t="str">
        <f t="shared" si="5"/>
        <v/>
      </c>
    </row>
    <row r="377" spans="2:2" x14ac:dyDescent="0.25">
      <c r="B377" s="118" t="str">
        <f t="shared" si="5"/>
        <v/>
      </c>
    </row>
    <row r="378" spans="2:2" x14ac:dyDescent="0.25">
      <c r="B378" s="118" t="str">
        <f t="shared" si="5"/>
        <v/>
      </c>
    </row>
    <row r="379" spans="2:2" x14ac:dyDescent="0.25">
      <c r="B379" s="118" t="str">
        <f t="shared" si="5"/>
        <v/>
      </c>
    </row>
    <row r="380" spans="2:2" x14ac:dyDescent="0.25">
      <c r="B380" s="118" t="str">
        <f t="shared" si="5"/>
        <v/>
      </c>
    </row>
    <row r="381" spans="2:2" x14ac:dyDescent="0.25">
      <c r="B381" s="118" t="str">
        <f t="shared" si="5"/>
        <v/>
      </c>
    </row>
    <row r="382" spans="2:2" x14ac:dyDescent="0.25">
      <c r="B382" s="118" t="str">
        <f t="shared" si="5"/>
        <v/>
      </c>
    </row>
    <row r="383" spans="2:2" x14ac:dyDescent="0.25">
      <c r="B383" s="118" t="str">
        <f t="shared" si="5"/>
        <v/>
      </c>
    </row>
    <row r="384" spans="2:2" x14ac:dyDescent="0.25">
      <c r="B384" s="118" t="str">
        <f t="shared" si="5"/>
        <v/>
      </c>
    </row>
    <row r="385" spans="2:2" x14ac:dyDescent="0.25">
      <c r="B385" s="118" t="str">
        <f t="shared" si="5"/>
        <v/>
      </c>
    </row>
    <row r="386" spans="2:2" x14ac:dyDescent="0.25">
      <c r="B386" s="118" t="str">
        <f t="shared" si="5"/>
        <v/>
      </c>
    </row>
    <row r="387" spans="2:2" x14ac:dyDescent="0.25">
      <c r="B387" s="118" t="str">
        <f t="shared" si="5"/>
        <v/>
      </c>
    </row>
    <row r="388" spans="2:2" x14ac:dyDescent="0.25">
      <c r="B388" s="118" t="str">
        <f t="shared" si="5"/>
        <v/>
      </c>
    </row>
    <row r="389" spans="2:2" x14ac:dyDescent="0.25">
      <c r="B389" s="118" t="str">
        <f t="shared" si="5"/>
        <v/>
      </c>
    </row>
    <row r="390" spans="2:2" x14ac:dyDescent="0.25">
      <c r="B390" s="118" t="str">
        <f t="shared" si="5"/>
        <v/>
      </c>
    </row>
    <row r="391" spans="2:2" x14ac:dyDescent="0.25">
      <c r="B391" s="118" t="str">
        <f t="shared" si="5"/>
        <v/>
      </c>
    </row>
    <row r="392" spans="2:2" x14ac:dyDescent="0.25">
      <c r="B392" s="118" t="str">
        <f t="shared" si="5"/>
        <v/>
      </c>
    </row>
    <row r="393" spans="2:2" x14ac:dyDescent="0.25">
      <c r="B393" s="118" t="str">
        <f t="shared" si="5"/>
        <v/>
      </c>
    </row>
    <row r="394" spans="2:2" x14ac:dyDescent="0.25">
      <c r="B394" s="118" t="str">
        <f t="shared" si="5"/>
        <v/>
      </c>
    </row>
    <row r="395" spans="2:2" x14ac:dyDescent="0.25">
      <c r="B395" s="118" t="str">
        <f t="shared" si="5"/>
        <v/>
      </c>
    </row>
    <row r="396" spans="2:2" x14ac:dyDescent="0.25">
      <c r="B396" s="118" t="str">
        <f t="shared" si="5"/>
        <v/>
      </c>
    </row>
    <row r="397" spans="2:2" x14ac:dyDescent="0.25">
      <c r="B397" s="118" t="str">
        <f t="shared" si="5"/>
        <v/>
      </c>
    </row>
    <row r="398" spans="2:2" x14ac:dyDescent="0.25">
      <c r="B398" s="118" t="str">
        <f t="shared" si="5"/>
        <v/>
      </c>
    </row>
    <row r="399" spans="2:2" x14ac:dyDescent="0.25">
      <c r="B399" s="118" t="str">
        <f t="shared" si="5"/>
        <v/>
      </c>
    </row>
    <row r="400" spans="2:2" x14ac:dyDescent="0.25">
      <c r="B400" s="118" t="str">
        <f t="shared" si="5"/>
        <v/>
      </c>
    </row>
    <row r="401" spans="2:2" x14ac:dyDescent="0.25">
      <c r="B401" s="118" t="str">
        <f t="shared" si="5"/>
        <v/>
      </c>
    </row>
    <row r="402" spans="2:2" x14ac:dyDescent="0.25">
      <c r="B402" s="118" t="str">
        <f t="shared" si="5"/>
        <v/>
      </c>
    </row>
    <row r="403" spans="2:2" x14ac:dyDescent="0.25">
      <c r="B403" s="118" t="str">
        <f t="shared" si="5"/>
        <v/>
      </c>
    </row>
    <row r="404" spans="2:2" x14ac:dyDescent="0.25">
      <c r="B404" s="118" t="str">
        <f t="shared" ref="B404:B467" si="6">IF(A404=0,"","Hinge")</f>
        <v/>
      </c>
    </row>
    <row r="405" spans="2:2" x14ac:dyDescent="0.25">
      <c r="B405" s="118" t="str">
        <f t="shared" si="6"/>
        <v/>
      </c>
    </row>
    <row r="406" spans="2:2" x14ac:dyDescent="0.25">
      <c r="B406" s="118" t="str">
        <f t="shared" si="6"/>
        <v/>
      </c>
    </row>
    <row r="407" spans="2:2" x14ac:dyDescent="0.25">
      <c r="B407" s="118" t="str">
        <f t="shared" si="6"/>
        <v/>
      </c>
    </row>
    <row r="408" spans="2:2" x14ac:dyDescent="0.25">
      <c r="B408" s="118" t="str">
        <f t="shared" si="6"/>
        <v/>
      </c>
    </row>
    <row r="409" spans="2:2" x14ac:dyDescent="0.25">
      <c r="B409" s="118" t="str">
        <f t="shared" si="6"/>
        <v/>
      </c>
    </row>
    <row r="410" spans="2:2" x14ac:dyDescent="0.25">
      <c r="B410" s="118" t="str">
        <f t="shared" si="6"/>
        <v/>
      </c>
    </row>
    <row r="411" spans="2:2" x14ac:dyDescent="0.25">
      <c r="B411" s="118" t="str">
        <f t="shared" si="6"/>
        <v/>
      </c>
    </row>
    <row r="412" spans="2:2" x14ac:dyDescent="0.25">
      <c r="B412" s="118" t="str">
        <f t="shared" si="6"/>
        <v/>
      </c>
    </row>
    <row r="413" spans="2:2" x14ac:dyDescent="0.25">
      <c r="B413" s="118" t="str">
        <f t="shared" si="6"/>
        <v/>
      </c>
    </row>
    <row r="414" spans="2:2" x14ac:dyDescent="0.25">
      <c r="B414" s="118" t="str">
        <f t="shared" si="6"/>
        <v/>
      </c>
    </row>
    <row r="415" spans="2:2" x14ac:dyDescent="0.25">
      <c r="B415" s="118" t="str">
        <f t="shared" si="6"/>
        <v/>
      </c>
    </row>
    <row r="416" spans="2:2" x14ac:dyDescent="0.25">
      <c r="B416" s="118" t="str">
        <f t="shared" si="6"/>
        <v/>
      </c>
    </row>
    <row r="417" spans="2:2" x14ac:dyDescent="0.25">
      <c r="B417" s="118" t="str">
        <f t="shared" si="6"/>
        <v/>
      </c>
    </row>
    <row r="418" spans="2:2" x14ac:dyDescent="0.25">
      <c r="B418" s="118" t="str">
        <f t="shared" si="6"/>
        <v/>
      </c>
    </row>
    <row r="419" spans="2:2" x14ac:dyDescent="0.25">
      <c r="B419" s="118" t="str">
        <f t="shared" si="6"/>
        <v/>
      </c>
    </row>
    <row r="420" spans="2:2" x14ac:dyDescent="0.25">
      <c r="B420" s="118" t="str">
        <f t="shared" si="6"/>
        <v/>
      </c>
    </row>
    <row r="421" spans="2:2" x14ac:dyDescent="0.25">
      <c r="B421" s="118" t="str">
        <f t="shared" si="6"/>
        <v/>
      </c>
    </row>
    <row r="422" spans="2:2" x14ac:dyDescent="0.25">
      <c r="B422" s="118" t="str">
        <f t="shared" si="6"/>
        <v/>
      </c>
    </row>
    <row r="423" spans="2:2" x14ac:dyDescent="0.25">
      <c r="B423" s="118" t="str">
        <f t="shared" si="6"/>
        <v/>
      </c>
    </row>
    <row r="424" spans="2:2" x14ac:dyDescent="0.25">
      <c r="B424" s="118" t="str">
        <f t="shared" si="6"/>
        <v/>
      </c>
    </row>
    <row r="425" spans="2:2" x14ac:dyDescent="0.25">
      <c r="B425" s="118" t="str">
        <f t="shared" si="6"/>
        <v/>
      </c>
    </row>
    <row r="426" spans="2:2" x14ac:dyDescent="0.25">
      <c r="B426" s="118" t="str">
        <f t="shared" si="6"/>
        <v/>
      </c>
    </row>
    <row r="427" spans="2:2" x14ac:dyDescent="0.25">
      <c r="B427" s="118" t="str">
        <f t="shared" si="6"/>
        <v/>
      </c>
    </row>
    <row r="428" spans="2:2" x14ac:dyDescent="0.25">
      <c r="B428" s="118" t="str">
        <f t="shared" si="6"/>
        <v/>
      </c>
    </row>
    <row r="429" spans="2:2" x14ac:dyDescent="0.25">
      <c r="B429" s="118" t="str">
        <f t="shared" si="6"/>
        <v/>
      </c>
    </row>
    <row r="430" spans="2:2" x14ac:dyDescent="0.25">
      <c r="B430" s="118" t="str">
        <f t="shared" si="6"/>
        <v/>
      </c>
    </row>
    <row r="431" spans="2:2" x14ac:dyDescent="0.25">
      <c r="B431" s="118" t="str">
        <f t="shared" si="6"/>
        <v/>
      </c>
    </row>
    <row r="432" spans="2:2" x14ac:dyDescent="0.25">
      <c r="B432" s="118" t="str">
        <f t="shared" si="6"/>
        <v/>
      </c>
    </row>
    <row r="433" spans="2:2" x14ac:dyDescent="0.25">
      <c r="B433" s="118" t="str">
        <f t="shared" si="6"/>
        <v/>
      </c>
    </row>
    <row r="434" spans="2:2" x14ac:dyDescent="0.25">
      <c r="B434" s="118" t="str">
        <f t="shared" si="6"/>
        <v/>
      </c>
    </row>
    <row r="435" spans="2:2" x14ac:dyDescent="0.25">
      <c r="B435" s="118" t="str">
        <f t="shared" si="6"/>
        <v/>
      </c>
    </row>
    <row r="436" spans="2:2" x14ac:dyDescent="0.25">
      <c r="B436" s="118" t="str">
        <f t="shared" si="6"/>
        <v/>
      </c>
    </row>
    <row r="437" spans="2:2" x14ac:dyDescent="0.25">
      <c r="B437" s="118" t="str">
        <f t="shared" si="6"/>
        <v/>
      </c>
    </row>
    <row r="438" spans="2:2" x14ac:dyDescent="0.25">
      <c r="B438" s="118" t="str">
        <f t="shared" si="6"/>
        <v/>
      </c>
    </row>
    <row r="439" spans="2:2" x14ac:dyDescent="0.25">
      <c r="B439" s="118" t="str">
        <f t="shared" si="6"/>
        <v/>
      </c>
    </row>
    <row r="440" spans="2:2" x14ac:dyDescent="0.25">
      <c r="B440" s="118" t="str">
        <f t="shared" si="6"/>
        <v/>
      </c>
    </row>
    <row r="441" spans="2:2" x14ac:dyDescent="0.25">
      <c r="B441" s="118" t="str">
        <f t="shared" si="6"/>
        <v/>
      </c>
    </row>
    <row r="442" spans="2:2" x14ac:dyDescent="0.25">
      <c r="B442" s="118" t="str">
        <f t="shared" si="6"/>
        <v/>
      </c>
    </row>
    <row r="443" spans="2:2" x14ac:dyDescent="0.25">
      <c r="B443" s="118" t="str">
        <f t="shared" si="6"/>
        <v/>
      </c>
    </row>
    <row r="444" spans="2:2" x14ac:dyDescent="0.25">
      <c r="B444" s="118" t="str">
        <f t="shared" si="6"/>
        <v/>
      </c>
    </row>
    <row r="445" spans="2:2" x14ac:dyDescent="0.25">
      <c r="B445" s="118" t="str">
        <f t="shared" si="6"/>
        <v/>
      </c>
    </row>
    <row r="446" spans="2:2" x14ac:dyDescent="0.25">
      <c r="B446" s="118" t="str">
        <f t="shared" si="6"/>
        <v/>
      </c>
    </row>
    <row r="447" spans="2:2" x14ac:dyDescent="0.25">
      <c r="B447" s="118" t="str">
        <f t="shared" si="6"/>
        <v/>
      </c>
    </row>
    <row r="448" spans="2:2" x14ac:dyDescent="0.25">
      <c r="B448" s="118" t="str">
        <f t="shared" si="6"/>
        <v/>
      </c>
    </row>
    <row r="449" spans="2:2" x14ac:dyDescent="0.25">
      <c r="B449" s="118" t="str">
        <f t="shared" si="6"/>
        <v/>
      </c>
    </row>
    <row r="450" spans="2:2" x14ac:dyDescent="0.25">
      <c r="B450" s="118" t="str">
        <f t="shared" si="6"/>
        <v/>
      </c>
    </row>
    <row r="451" spans="2:2" x14ac:dyDescent="0.25">
      <c r="B451" s="118" t="str">
        <f t="shared" si="6"/>
        <v/>
      </c>
    </row>
    <row r="452" spans="2:2" x14ac:dyDescent="0.25">
      <c r="B452" s="118" t="str">
        <f t="shared" si="6"/>
        <v/>
      </c>
    </row>
    <row r="453" spans="2:2" x14ac:dyDescent="0.25">
      <c r="B453" s="118" t="str">
        <f t="shared" si="6"/>
        <v/>
      </c>
    </row>
    <row r="454" spans="2:2" x14ac:dyDescent="0.25">
      <c r="B454" s="118" t="str">
        <f t="shared" si="6"/>
        <v/>
      </c>
    </row>
    <row r="455" spans="2:2" x14ac:dyDescent="0.25">
      <c r="B455" s="118" t="str">
        <f t="shared" si="6"/>
        <v/>
      </c>
    </row>
    <row r="456" spans="2:2" x14ac:dyDescent="0.25">
      <c r="B456" s="118" t="str">
        <f t="shared" si="6"/>
        <v/>
      </c>
    </row>
    <row r="457" spans="2:2" x14ac:dyDescent="0.25">
      <c r="B457" s="118" t="str">
        <f t="shared" si="6"/>
        <v/>
      </c>
    </row>
    <row r="458" spans="2:2" x14ac:dyDescent="0.25">
      <c r="B458" s="118" t="str">
        <f t="shared" si="6"/>
        <v/>
      </c>
    </row>
    <row r="459" spans="2:2" x14ac:dyDescent="0.25">
      <c r="B459" s="118" t="str">
        <f t="shared" si="6"/>
        <v/>
      </c>
    </row>
    <row r="460" spans="2:2" x14ac:dyDescent="0.25">
      <c r="B460" s="118" t="str">
        <f t="shared" si="6"/>
        <v/>
      </c>
    </row>
    <row r="461" spans="2:2" x14ac:dyDescent="0.25">
      <c r="B461" s="118" t="str">
        <f t="shared" si="6"/>
        <v/>
      </c>
    </row>
    <row r="462" spans="2:2" x14ac:dyDescent="0.25">
      <c r="B462" s="118" t="str">
        <f t="shared" si="6"/>
        <v/>
      </c>
    </row>
    <row r="463" spans="2:2" x14ac:dyDescent="0.25">
      <c r="B463" s="118" t="str">
        <f t="shared" si="6"/>
        <v/>
      </c>
    </row>
    <row r="464" spans="2:2" x14ac:dyDescent="0.25">
      <c r="B464" s="118" t="str">
        <f t="shared" si="6"/>
        <v/>
      </c>
    </row>
    <row r="465" spans="2:2" x14ac:dyDescent="0.25">
      <c r="B465" s="118" t="str">
        <f t="shared" si="6"/>
        <v/>
      </c>
    </row>
    <row r="466" spans="2:2" x14ac:dyDescent="0.25">
      <c r="B466" s="118" t="str">
        <f t="shared" si="6"/>
        <v/>
      </c>
    </row>
    <row r="467" spans="2:2" x14ac:dyDescent="0.25">
      <c r="B467" s="118" t="str">
        <f t="shared" si="6"/>
        <v/>
      </c>
    </row>
    <row r="468" spans="2:2" x14ac:dyDescent="0.25">
      <c r="B468" s="118" t="str">
        <f t="shared" ref="B468:B531" si="7">IF(A468=0,"","Hinge")</f>
        <v/>
      </c>
    </row>
    <row r="469" spans="2:2" x14ac:dyDescent="0.25">
      <c r="B469" s="118" t="str">
        <f t="shared" si="7"/>
        <v/>
      </c>
    </row>
    <row r="470" spans="2:2" x14ac:dyDescent="0.25">
      <c r="B470" s="118" t="str">
        <f t="shared" si="7"/>
        <v/>
      </c>
    </row>
    <row r="471" spans="2:2" x14ac:dyDescent="0.25">
      <c r="B471" s="118" t="str">
        <f t="shared" si="7"/>
        <v/>
      </c>
    </row>
    <row r="472" spans="2:2" x14ac:dyDescent="0.25">
      <c r="B472" s="118" t="str">
        <f t="shared" si="7"/>
        <v/>
      </c>
    </row>
    <row r="473" spans="2:2" x14ac:dyDescent="0.25">
      <c r="B473" s="118" t="str">
        <f t="shared" si="7"/>
        <v/>
      </c>
    </row>
    <row r="474" spans="2:2" x14ac:dyDescent="0.25">
      <c r="B474" s="118" t="str">
        <f t="shared" si="7"/>
        <v/>
      </c>
    </row>
    <row r="475" spans="2:2" x14ac:dyDescent="0.25">
      <c r="B475" s="118" t="str">
        <f t="shared" si="7"/>
        <v/>
      </c>
    </row>
    <row r="476" spans="2:2" x14ac:dyDescent="0.25">
      <c r="B476" s="118" t="str">
        <f t="shared" si="7"/>
        <v/>
      </c>
    </row>
    <row r="477" spans="2:2" x14ac:dyDescent="0.25">
      <c r="B477" s="118" t="str">
        <f t="shared" si="7"/>
        <v/>
      </c>
    </row>
    <row r="478" spans="2:2" x14ac:dyDescent="0.25">
      <c r="B478" s="118" t="str">
        <f t="shared" si="7"/>
        <v/>
      </c>
    </row>
    <row r="479" spans="2:2" x14ac:dyDescent="0.25">
      <c r="B479" s="118" t="str">
        <f t="shared" si="7"/>
        <v/>
      </c>
    </row>
    <row r="480" spans="2:2" x14ac:dyDescent="0.25">
      <c r="B480" s="118" t="str">
        <f t="shared" si="7"/>
        <v/>
      </c>
    </row>
    <row r="481" spans="2:2" x14ac:dyDescent="0.25">
      <c r="B481" s="118" t="str">
        <f t="shared" si="7"/>
        <v/>
      </c>
    </row>
    <row r="482" spans="2:2" x14ac:dyDescent="0.25">
      <c r="B482" s="118" t="str">
        <f t="shared" si="7"/>
        <v/>
      </c>
    </row>
    <row r="483" spans="2:2" x14ac:dyDescent="0.25">
      <c r="B483" s="118" t="str">
        <f t="shared" si="7"/>
        <v/>
      </c>
    </row>
    <row r="484" spans="2:2" x14ac:dyDescent="0.25">
      <c r="B484" s="118" t="str">
        <f t="shared" si="7"/>
        <v/>
      </c>
    </row>
    <row r="485" spans="2:2" x14ac:dyDescent="0.25">
      <c r="B485" s="118" t="str">
        <f t="shared" si="7"/>
        <v/>
      </c>
    </row>
    <row r="486" spans="2:2" x14ac:dyDescent="0.25">
      <c r="B486" s="118" t="str">
        <f t="shared" si="7"/>
        <v/>
      </c>
    </row>
    <row r="487" spans="2:2" x14ac:dyDescent="0.25">
      <c r="B487" s="118" t="str">
        <f t="shared" si="7"/>
        <v/>
      </c>
    </row>
    <row r="488" spans="2:2" x14ac:dyDescent="0.25">
      <c r="B488" s="118" t="str">
        <f t="shared" si="7"/>
        <v/>
      </c>
    </row>
    <row r="489" spans="2:2" x14ac:dyDescent="0.25">
      <c r="B489" s="118" t="str">
        <f t="shared" si="7"/>
        <v/>
      </c>
    </row>
    <row r="490" spans="2:2" x14ac:dyDescent="0.25">
      <c r="B490" s="118" t="str">
        <f t="shared" si="7"/>
        <v/>
      </c>
    </row>
    <row r="491" spans="2:2" x14ac:dyDescent="0.25">
      <c r="B491" s="118" t="str">
        <f t="shared" si="7"/>
        <v/>
      </c>
    </row>
    <row r="492" spans="2:2" x14ac:dyDescent="0.25">
      <c r="B492" s="118" t="str">
        <f t="shared" si="7"/>
        <v/>
      </c>
    </row>
    <row r="493" spans="2:2" x14ac:dyDescent="0.25">
      <c r="B493" s="118" t="str">
        <f t="shared" si="7"/>
        <v/>
      </c>
    </row>
    <row r="494" spans="2:2" x14ac:dyDescent="0.25">
      <c r="B494" s="118" t="str">
        <f t="shared" si="7"/>
        <v/>
      </c>
    </row>
    <row r="495" spans="2:2" x14ac:dyDescent="0.25">
      <c r="B495" s="118" t="str">
        <f t="shared" si="7"/>
        <v/>
      </c>
    </row>
    <row r="496" spans="2:2" x14ac:dyDescent="0.25">
      <c r="B496" s="118" t="str">
        <f t="shared" si="7"/>
        <v/>
      </c>
    </row>
    <row r="497" spans="2:2" x14ac:dyDescent="0.25">
      <c r="B497" s="118" t="str">
        <f t="shared" si="7"/>
        <v/>
      </c>
    </row>
    <row r="498" spans="2:2" x14ac:dyDescent="0.25">
      <c r="B498" s="118" t="str">
        <f t="shared" si="7"/>
        <v/>
      </c>
    </row>
    <row r="499" spans="2:2" x14ac:dyDescent="0.25">
      <c r="B499" s="118" t="str">
        <f t="shared" si="7"/>
        <v/>
      </c>
    </row>
    <row r="500" spans="2:2" x14ac:dyDescent="0.25">
      <c r="B500" s="118" t="str">
        <f t="shared" si="7"/>
        <v/>
      </c>
    </row>
    <row r="501" spans="2:2" x14ac:dyDescent="0.25">
      <c r="B501" s="118" t="str">
        <f t="shared" si="7"/>
        <v/>
      </c>
    </row>
    <row r="502" spans="2:2" x14ac:dyDescent="0.25">
      <c r="B502" s="118" t="str">
        <f t="shared" si="7"/>
        <v/>
      </c>
    </row>
    <row r="503" spans="2:2" x14ac:dyDescent="0.25">
      <c r="B503" s="118" t="str">
        <f t="shared" si="7"/>
        <v/>
      </c>
    </row>
    <row r="504" spans="2:2" x14ac:dyDescent="0.25">
      <c r="B504" s="118" t="str">
        <f t="shared" si="7"/>
        <v/>
      </c>
    </row>
    <row r="505" spans="2:2" x14ac:dyDescent="0.25">
      <c r="B505" s="118" t="str">
        <f t="shared" si="7"/>
        <v/>
      </c>
    </row>
    <row r="506" spans="2:2" x14ac:dyDescent="0.25">
      <c r="B506" s="118" t="str">
        <f t="shared" si="7"/>
        <v/>
      </c>
    </row>
    <row r="507" spans="2:2" x14ac:dyDescent="0.25">
      <c r="B507" s="118" t="str">
        <f t="shared" si="7"/>
        <v/>
      </c>
    </row>
    <row r="508" spans="2:2" x14ac:dyDescent="0.25">
      <c r="B508" s="118" t="str">
        <f t="shared" si="7"/>
        <v/>
      </c>
    </row>
    <row r="509" spans="2:2" x14ac:dyDescent="0.25">
      <c r="B509" s="118" t="str">
        <f t="shared" si="7"/>
        <v/>
      </c>
    </row>
    <row r="510" spans="2:2" x14ac:dyDescent="0.25">
      <c r="B510" s="118" t="str">
        <f t="shared" si="7"/>
        <v/>
      </c>
    </row>
    <row r="511" spans="2:2" x14ac:dyDescent="0.25">
      <c r="B511" s="118" t="str">
        <f t="shared" si="7"/>
        <v/>
      </c>
    </row>
    <row r="512" spans="2:2" x14ac:dyDescent="0.25">
      <c r="B512" s="118" t="str">
        <f t="shared" si="7"/>
        <v/>
      </c>
    </row>
    <row r="513" spans="2:2" x14ac:dyDescent="0.25">
      <c r="B513" s="118" t="str">
        <f t="shared" si="7"/>
        <v/>
      </c>
    </row>
    <row r="514" spans="2:2" x14ac:dyDescent="0.25">
      <c r="B514" s="118" t="str">
        <f t="shared" si="7"/>
        <v/>
      </c>
    </row>
    <row r="515" spans="2:2" x14ac:dyDescent="0.25">
      <c r="B515" s="118" t="str">
        <f t="shared" si="7"/>
        <v/>
      </c>
    </row>
    <row r="516" spans="2:2" x14ac:dyDescent="0.25">
      <c r="B516" s="118" t="str">
        <f t="shared" si="7"/>
        <v/>
      </c>
    </row>
    <row r="517" spans="2:2" x14ac:dyDescent="0.25">
      <c r="B517" s="118" t="str">
        <f t="shared" si="7"/>
        <v/>
      </c>
    </row>
    <row r="518" spans="2:2" x14ac:dyDescent="0.25">
      <c r="B518" s="118" t="str">
        <f t="shared" si="7"/>
        <v/>
      </c>
    </row>
    <row r="519" spans="2:2" x14ac:dyDescent="0.25">
      <c r="B519" s="118" t="str">
        <f t="shared" si="7"/>
        <v/>
      </c>
    </row>
    <row r="520" spans="2:2" x14ac:dyDescent="0.25">
      <c r="B520" s="118" t="str">
        <f t="shared" si="7"/>
        <v/>
      </c>
    </row>
    <row r="521" spans="2:2" x14ac:dyDescent="0.25">
      <c r="B521" s="118" t="str">
        <f t="shared" si="7"/>
        <v/>
      </c>
    </row>
    <row r="522" spans="2:2" x14ac:dyDescent="0.25">
      <c r="B522" s="118" t="str">
        <f t="shared" si="7"/>
        <v/>
      </c>
    </row>
    <row r="523" spans="2:2" x14ac:dyDescent="0.25">
      <c r="B523" s="118" t="str">
        <f t="shared" si="7"/>
        <v/>
      </c>
    </row>
    <row r="524" spans="2:2" x14ac:dyDescent="0.25">
      <c r="B524" s="118" t="str">
        <f t="shared" si="7"/>
        <v/>
      </c>
    </row>
    <row r="525" spans="2:2" x14ac:dyDescent="0.25">
      <c r="B525" s="118" t="str">
        <f t="shared" si="7"/>
        <v/>
      </c>
    </row>
    <row r="526" spans="2:2" x14ac:dyDescent="0.25">
      <c r="B526" s="118" t="str">
        <f t="shared" si="7"/>
        <v/>
      </c>
    </row>
    <row r="527" spans="2:2" x14ac:dyDescent="0.25">
      <c r="B527" s="118" t="str">
        <f t="shared" si="7"/>
        <v/>
      </c>
    </row>
    <row r="528" spans="2:2" x14ac:dyDescent="0.25">
      <c r="B528" s="118" t="str">
        <f t="shared" si="7"/>
        <v/>
      </c>
    </row>
    <row r="529" spans="2:2" x14ac:dyDescent="0.25">
      <c r="B529" s="118" t="str">
        <f t="shared" si="7"/>
        <v/>
      </c>
    </row>
    <row r="530" spans="2:2" x14ac:dyDescent="0.25">
      <c r="B530" s="118" t="str">
        <f t="shared" si="7"/>
        <v/>
      </c>
    </row>
    <row r="531" spans="2:2" x14ac:dyDescent="0.25">
      <c r="B531" s="118" t="str">
        <f t="shared" si="7"/>
        <v/>
      </c>
    </row>
    <row r="532" spans="2:2" x14ac:dyDescent="0.25">
      <c r="B532" s="118" t="str">
        <f t="shared" ref="B532:B595" si="8">IF(A532=0,"","Hinge")</f>
        <v/>
      </c>
    </row>
    <row r="533" spans="2:2" x14ac:dyDescent="0.25">
      <c r="B533" s="118" t="str">
        <f t="shared" si="8"/>
        <v/>
      </c>
    </row>
    <row r="534" spans="2:2" x14ac:dyDescent="0.25">
      <c r="B534" s="118" t="str">
        <f t="shared" si="8"/>
        <v/>
      </c>
    </row>
    <row r="535" spans="2:2" x14ac:dyDescent="0.25">
      <c r="B535" s="118" t="str">
        <f t="shared" si="8"/>
        <v/>
      </c>
    </row>
    <row r="536" spans="2:2" x14ac:dyDescent="0.25">
      <c r="B536" s="118" t="str">
        <f t="shared" si="8"/>
        <v/>
      </c>
    </row>
    <row r="537" spans="2:2" x14ac:dyDescent="0.25">
      <c r="B537" s="118" t="str">
        <f t="shared" si="8"/>
        <v/>
      </c>
    </row>
    <row r="538" spans="2:2" x14ac:dyDescent="0.25">
      <c r="B538" s="118" t="str">
        <f t="shared" si="8"/>
        <v/>
      </c>
    </row>
    <row r="539" spans="2:2" x14ac:dyDescent="0.25">
      <c r="B539" s="118" t="str">
        <f t="shared" si="8"/>
        <v/>
      </c>
    </row>
    <row r="540" spans="2:2" x14ac:dyDescent="0.25">
      <c r="B540" s="118" t="str">
        <f t="shared" si="8"/>
        <v/>
      </c>
    </row>
    <row r="541" spans="2:2" x14ac:dyDescent="0.25">
      <c r="B541" s="118" t="str">
        <f t="shared" si="8"/>
        <v/>
      </c>
    </row>
    <row r="542" spans="2:2" x14ac:dyDescent="0.25">
      <c r="B542" s="118" t="str">
        <f t="shared" si="8"/>
        <v/>
      </c>
    </row>
    <row r="543" spans="2:2" x14ac:dyDescent="0.25">
      <c r="B543" s="118" t="str">
        <f t="shared" si="8"/>
        <v/>
      </c>
    </row>
    <row r="544" spans="2:2" x14ac:dyDescent="0.25">
      <c r="B544" s="118" t="str">
        <f t="shared" si="8"/>
        <v/>
      </c>
    </row>
    <row r="545" spans="2:2" x14ac:dyDescent="0.25">
      <c r="B545" s="118" t="str">
        <f t="shared" si="8"/>
        <v/>
      </c>
    </row>
    <row r="546" spans="2:2" x14ac:dyDescent="0.25">
      <c r="B546" s="118" t="str">
        <f t="shared" si="8"/>
        <v/>
      </c>
    </row>
    <row r="547" spans="2:2" x14ac:dyDescent="0.25">
      <c r="B547" s="118" t="str">
        <f t="shared" si="8"/>
        <v/>
      </c>
    </row>
    <row r="548" spans="2:2" x14ac:dyDescent="0.25">
      <c r="B548" s="118" t="str">
        <f t="shared" si="8"/>
        <v/>
      </c>
    </row>
    <row r="549" spans="2:2" x14ac:dyDescent="0.25">
      <c r="B549" s="118" t="str">
        <f t="shared" si="8"/>
        <v/>
      </c>
    </row>
    <row r="550" spans="2:2" x14ac:dyDescent="0.25">
      <c r="B550" s="118" t="str">
        <f t="shared" si="8"/>
        <v/>
      </c>
    </row>
    <row r="551" spans="2:2" x14ac:dyDescent="0.25">
      <c r="B551" s="118" t="str">
        <f t="shared" si="8"/>
        <v/>
      </c>
    </row>
    <row r="552" spans="2:2" x14ac:dyDescent="0.25">
      <c r="B552" s="118" t="str">
        <f t="shared" si="8"/>
        <v/>
      </c>
    </row>
    <row r="553" spans="2:2" x14ac:dyDescent="0.25">
      <c r="B553" s="118" t="str">
        <f t="shared" si="8"/>
        <v/>
      </c>
    </row>
    <row r="554" spans="2:2" x14ac:dyDescent="0.25">
      <c r="B554" s="118" t="str">
        <f t="shared" si="8"/>
        <v/>
      </c>
    </row>
    <row r="555" spans="2:2" x14ac:dyDescent="0.25">
      <c r="B555" s="118" t="str">
        <f t="shared" si="8"/>
        <v/>
      </c>
    </row>
    <row r="556" spans="2:2" x14ac:dyDescent="0.25">
      <c r="B556" s="118" t="str">
        <f t="shared" si="8"/>
        <v/>
      </c>
    </row>
    <row r="557" spans="2:2" x14ac:dyDescent="0.25">
      <c r="B557" s="118" t="str">
        <f t="shared" si="8"/>
        <v/>
      </c>
    </row>
    <row r="558" spans="2:2" x14ac:dyDescent="0.25">
      <c r="B558" s="118" t="str">
        <f t="shared" si="8"/>
        <v/>
      </c>
    </row>
    <row r="559" spans="2:2" x14ac:dyDescent="0.25">
      <c r="B559" s="118" t="str">
        <f t="shared" si="8"/>
        <v/>
      </c>
    </row>
    <row r="560" spans="2:2" x14ac:dyDescent="0.25">
      <c r="B560" s="118" t="str">
        <f t="shared" si="8"/>
        <v/>
      </c>
    </row>
    <row r="561" spans="2:2" x14ac:dyDescent="0.25">
      <c r="B561" s="118" t="str">
        <f t="shared" si="8"/>
        <v/>
      </c>
    </row>
    <row r="562" spans="2:2" x14ac:dyDescent="0.25">
      <c r="B562" s="118" t="str">
        <f t="shared" si="8"/>
        <v/>
      </c>
    </row>
    <row r="563" spans="2:2" x14ac:dyDescent="0.25">
      <c r="B563" s="118" t="str">
        <f t="shared" si="8"/>
        <v/>
      </c>
    </row>
    <row r="564" spans="2:2" x14ac:dyDescent="0.25">
      <c r="B564" s="118" t="str">
        <f t="shared" si="8"/>
        <v/>
      </c>
    </row>
    <row r="565" spans="2:2" x14ac:dyDescent="0.25">
      <c r="B565" s="118" t="str">
        <f t="shared" si="8"/>
        <v/>
      </c>
    </row>
    <row r="566" spans="2:2" x14ac:dyDescent="0.25">
      <c r="B566" s="118" t="str">
        <f t="shared" si="8"/>
        <v/>
      </c>
    </row>
    <row r="567" spans="2:2" x14ac:dyDescent="0.25">
      <c r="B567" s="118" t="str">
        <f t="shared" si="8"/>
        <v/>
      </c>
    </row>
    <row r="568" spans="2:2" x14ac:dyDescent="0.25">
      <c r="B568" s="118" t="str">
        <f t="shared" si="8"/>
        <v/>
      </c>
    </row>
    <row r="569" spans="2:2" x14ac:dyDescent="0.25">
      <c r="B569" s="118" t="str">
        <f t="shared" si="8"/>
        <v/>
      </c>
    </row>
    <row r="570" spans="2:2" x14ac:dyDescent="0.25">
      <c r="B570" s="118" t="str">
        <f t="shared" si="8"/>
        <v/>
      </c>
    </row>
    <row r="571" spans="2:2" x14ac:dyDescent="0.25">
      <c r="B571" s="118" t="str">
        <f t="shared" si="8"/>
        <v/>
      </c>
    </row>
    <row r="572" spans="2:2" x14ac:dyDescent="0.25">
      <c r="B572" s="118" t="str">
        <f t="shared" si="8"/>
        <v/>
      </c>
    </row>
    <row r="573" spans="2:2" x14ac:dyDescent="0.25">
      <c r="B573" s="118" t="str">
        <f t="shared" si="8"/>
        <v/>
      </c>
    </row>
    <row r="574" spans="2:2" x14ac:dyDescent="0.25">
      <c r="B574" s="118" t="str">
        <f t="shared" si="8"/>
        <v/>
      </c>
    </row>
    <row r="575" spans="2:2" x14ac:dyDescent="0.25">
      <c r="B575" s="118" t="str">
        <f t="shared" si="8"/>
        <v/>
      </c>
    </row>
    <row r="576" spans="2:2" x14ac:dyDescent="0.25">
      <c r="B576" s="118" t="str">
        <f t="shared" si="8"/>
        <v/>
      </c>
    </row>
    <row r="577" spans="2:2" x14ac:dyDescent="0.25">
      <c r="B577" s="118" t="str">
        <f t="shared" si="8"/>
        <v/>
      </c>
    </row>
    <row r="578" spans="2:2" x14ac:dyDescent="0.25">
      <c r="B578" s="118" t="str">
        <f t="shared" si="8"/>
        <v/>
      </c>
    </row>
    <row r="579" spans="2:2" x14ac:dyDescent="0.25">
      <c r="B579" s="118" t="str">
        <f t="shared" si="8"/>
        <v/>
      </c>
    </row>
    <row r="580" spans="2:2" x14ac:dyDescent="0.25">
      <c r="B580" s="118" t="str">
        <f t="shared" si="8"/>
        <v/>
      </c>
    </row>
    <row r="581" spans="2:2" x14ac:dyDescent="0.25">
      <c r="B581" s="118" t="str">
        <f t="shared" si="8"/>
        <v/>
      </c>
    </row>
    <row r="582" spans="2:2" x14ac:dyDescent="0.25">
      <c r="B582" s="118" t="str">
        <f t="shared" si="8"/>
        <v/>
      </c>
    </row>
    <row r="583" spans="2:2" x14ac:dyDescent="0.25">
      <c r="B583" s="118" t="str">
        <f t="shared" si="8"/>
        <v/>
      </c>
    </row>
    <row r="584" spans="2:2" x14ac:dyDescent="0.25">
      <c r="B584" s="118" t="str">
        <f t="shared" si="8"/>
        <v/>
      </c>
    </row>
    <row r="585" spans="2:2" x14ac:dyDescent="0.25">
      <c r="B585" s="118" t="str">
        <f t="shared" si="8"/>
        <v/>
      </c>
    </row>
    <row r="586" spans="2:2" x14ac:dyDescent="0.25">
      <c r="B586" s="118" t="str">
        <f t="shared" si="8"/>
        <v/>
      </c>
    </row>
    <row r="587" spans="2:2" x14ac:dyDescent="0.25">
      <c r="B587" s="118" t="str">
        <f t="shared" si="8"/>
        <v/>
      </c>
    </row>
    <row r="588" spans="2:2" x14ac:dyDescent="0.25">
      <c r="B588" s="118" t="str">
        <f t="shared" si="8"/>
        <v/>
      </c>
    </row>
    <row r="589" spans="2:2" x14ac:dyDescent="0.25">
      <c r="B589" s="118" t="str">
        <f t="shared" si="8"/>
        <v/>
      </c>
    </row>
    <row r="590" spans="2:2" x14ac:dyDescent="0.25">
      <c r="B590" s="118" t="str">
        <f t="shared" si="8"/>
        <v/>
      </c>
    </row>
    <row r="591" spans="2:2" x14ac:dyDescent="0.25">
      <c r="B591" s="118" t="str">
        <f t="shared" si="8"/>
        <v/>
      </c>
    </row>
    <row r="592" spans="2:2" x14ac:dyDescent="0.25">
      <c r="B592" s="118" t="str">
        <f t="shared" si="8"/>
        <v/>
      </c>
    </row>
    <row r="593" spans="2:2" x14ac:dyDescent="0.25">
      <c r="B593" s="118" t="str">
        <f t="shared" si="8"/>
        <v/>
      </c>
    </row>
    <row r="594" spans="2:2" x14ac:dyDescent="0.25">
      <c r="B594" s="118" t="str">
        <f t="shared" si="8"/>
        <v/>
      </c>
    </row>
    <row r="595" spans="2:2" x14ac:dyDescent="0.25">
      <c r="B595" s="118" t="str">
        <f t="shared" si="8"/>
        <v/>
      </c>
    </row>
    <row r="596" spans="2:2" x14ac:dyDescent="0.25">
      <c r="B596" s="118" t="str">
        <f t="shared" ref="B596:B659" si="9">IF(A596=0,"","Hinge")</f>
        <v/>
      </c>
    </row>
    <row r="597" spans="2:2" x14ac:dyDescent="0.25">
      <c r="B597" s="118" t="str">
        <f t="shared" si="9"/>
        <v/>
      </c>
    </row>
    <row r="598" spans="2:2" x14ac:dyDescent="0.25">
      <c r="B598" s="118" t="str">
        <f t="shared" si="9"/>
        <v/>
      </c>
    </row>
    <row r="599" spans="2:2" x14ac:dyDescent="0.25">
      <c r="B599" s="118" t="str">
        <f t="shared" si="9"/>
        <v/>
      </c>
    </row>
    <row r="600" spans="2:2" x14ac:dyDescent="0.25">
      <c r="B600" s="118" t="str">
        <f t="shared" si="9"/>
        <v/>
      </c>
    </row>
    <row r="601" spans="2:2" x14ac:dyDescent="0.25">
      <c r="B601" s="118" t="str">
        <f t="shared" si="9"/>
        <v/>
      </c>
    </row>
    <row r="602" spans="2:2" x14ac:dyDescent="0.25">
      <c r="B602" s="118" t="str">
        <f t="shared" si="9"/>
        <v/>
      </c>
    </row>
    <row r="603" spans="2:2" x14ac:dyDescent="0.25">
      <c r="B603" s="118" t="str">
        <f t="shared" si="9"/>
        <v/>
      </c>
    </row>
    <row r="604" spans="2:2" x14ac:dyDescent="0.25">
      <c r="B604" s="118" t="str">
        <f t="shared" si="9"/>
        <v/>
      </c>
    </row>
    <row r="605" spans="2:2" x14ac:dyDescent="0.25">
      <c r="B605" s="118" t="str">
        <f t="shared" si="9"/>
        <v/>
      </c>
    </row>
    <row r="606" spans="2:2" x14ac:dyDescent="0.25">
      <c r="B606" s="118" t="str">
        <f t="shared" si="9"/>
        <v/>
      </c>
    </row>
    <row r="607" spans="2:2" x14ac:dyDescent="0.25">
      <c r="B607" s="118" t="str">
        <f t="shared" si="9"/>
        <v/>
      </c>
    </row>
    <row r="608" spans="2:2" x14ac:dyDescent="0.25">
      <c r="B608" s="118" t="str">
        <f t="shared" si="9"/>
        <v/>
      </c>
    </row>
    <row r="609" spans="2:2" x14ac:dyDescent="0.25">
      <c r="B609" s="118" t="str">
        <f t="shared" si="9"/>
        <v/>
      </c>
    </row>
    <row r="610" spans="2:2" x14ac:dyDescent="0.25">
      <c r="B610" s="118" t="str">
        <f t="shared" si="9"/>
        <v/>
      </c>
    </row>
    <row r="611" spans="2:2" x14ac:dyDescent="0.25">
      <c r="B611" s="118" t="str">
        <f t="shared" si="9"/>
        <v/>
      </c>
    </row>
    <row r="612" spans="2:2" x14ac:dyDescent="0.25">
      <c r="B612" s="118" t="str">
        <f t="shared" si="9"/>
        <v/>
      </c>
    </row>
    <row r="613" spans="2:2" x14ac:dyDescent="0.25">
      <c r="B613" s="118" t="str">
        <f t="shared" si="9"/>
        <v/>
      </c>
    </row>
    <row r="614" spans="2:2" x14ac:dyDescent="0.25">
      <c r="B614" s="118" t="str">
        <f t="shared" si="9"/>
        <v/>
      </c>
    </row>
    <row r="615" spans="2:2" x14ac:dyDescent="0.25">
      <c r="B615" s="118" t="str">
        <f t="shared" si="9"/>
        <v/>
      </c>
    </row>
    <row r="616" spans="2:2" x14ac:dyDescent="0.25">
      <c r="B616" s="118" t="str">
        <f t="shared" si="9"/>
        <v/>
      </c>
    </row>
    <row r="617" spans="2:2" x14ac:dyDescent="0.25">
      <c r="B617" s="118" t="str">
        <f t="shared" si="9"/>
        <v/>
      </c>
    </row>
    <row r="618" spans="2:2" x14ac:dyDescent="0.25">
      <c r="B618" s="118" t="str">
        <f t="shared" si="9"/>
        <v/>
      </c>
    </row>
    <row r="619" spans="2:2" x14ac:dyDescent="0.25">
      <c r="B619" s="118" t="str">
        <f t="shared" si="9"/>
        <v/>
      </c>
    </row>
    <row r="620" spans="2:2" x14ac:dyDescent="0.25">
      <c r="B620" s="118" t="str">
        <f t="shared" si="9"/>
        <v/>
      </c>
    </row>
    <row r="621" spans="2:2" x14ac:dyDescent="0.25">
      <c r="B621" s="118" t="str">
        <f t="shared" si="9"/>
        <v/>
      </c>
    </row>
    <row r="622" spans="2:2" x14ac:dyDescent="0.25">
      <c r="B622" s="118" t="str">
        <f t="shared" si="9"/>
        <v/>
      </c>
    </row>
    <row r="623" spans="2:2" x14ac:dyDescent="0.25">
      <c r="B623" s="118" t="str">
        <f t="shared" si="9"/>
        <v/>
      </c>
    </row>
    <row r="624" spans="2:2" x14ac:dyDescent="0.25">
      <c r="B624" s="118" t="str">
        <f t="shared" si="9"/>
        <v/>
      </c>
    </row>
    <row r="625" spans="2:2" x14ac:dyDescent="0.25">
      <c r="B625" s="118" t="str">
        <f t="shared" si="9"/>
        <v/>
      </c>
    </row>
    <row r="626" spans="2:2" x14ac:dyDescent="0.25">
      <c r="B626" s="118" t="str">
        <f t="shared" si="9"/>
        <v/>
      </c>
    </row>
    <row r="627" spans="2:2" x14ac:dyDescent="0.25">
      <c r="B627" s="118" t="str">
        <f t="shared" si="9"/>
        <v/>
      </c>
    </row>
    <row r="628" spans="2:2" x14ac:dyDescent="0.25">
      <c r="B628" s="118" t="str">
        <f t="shared" si="9"/>
        <v/>
      </c>
    </row>
    <row r="629" spans="2:2" x14ac:dyDescent="0.25">
      <c r="B629" s="118" t="str">
        <f t="shared" si="9"/>
        <v/>
      </c>
    </row>
    <row r="630" spans="2:2" x14ac:dyDescent="0.25">
      <c r="B630" s="118" t="str">
        <f t="shared" si="9"/>
        <v/>
      </c>
    </row>
    <row r="631" spans="2:2" x14ac:dyDescent="0.25">
      <c r="B631" s="118" t="str">
        <f t="shared" si="9"/>
        <v/>
      </c>
    </row>
    <row r="632" spans="2:2" x14ac:dyDescent="0.25">
      <c r="B632" s="118" t="str">
        <f t="shared" si="9"/>
        <v/>
      </c>
    </row>
    <row r="633" spans="2:2" x14ac:dyDescent="0.25">
      <c r="B633" s="118" t="str">
        <f t="shared" si="9"/>
        <v/>
      </c>
    </row>
    <row r="634" spans="2:2" x14ac:dyDescent="0.25">
      <c r="B634" s="118" t="str">
        <f t="shared" si="9"/>
        <v/>
      </c>
    </row>
    <row r="635" spans="2:2" x14ac:dyDescent="0.25">
      <c r="B635" s="118" t="str">
        <f t="shared" si="9"/>
        <v/>
      </c>
    </row>
    <row r="636" spans="2:2" x14ac:dyDescent="0.25">
      <c r="B636" s="118" t="str">
        <f t="shared" si="9"/>
        <v/>
      </c>
    </row>
    <row r="637" spans="2:2" x14ac:dyDescent="0.25">
      <c r="B637" s="118" t="str">
        <f t="shared" si="9"/>
        <v/>
      </c>
    </row>
    <row r="638" spans="2:2" x14ac:dyDescent="0.25">
      <c r="B638" s="118" t="str">
        <f t="shared" si="9"/>
        <v/>
      </c>
    </row>
    <row r="639" spans="2:2" x14ac:dyDescent="0.25">
      <c r="B639" s="118" t="str">
        <f t="shared" si="9"/>
        <v/>
      </c>
    </row>
    <row r="640" spans="2:2" x14ac:dyDescent="0.25">
      <c r="B640" s="118" t="str">
        <f t="shared" si="9"/>
        <v/>
      </c>
    </row>
    <row r="641" spans="2:2" x14ac:dyDescent="0.25">
      <c r="B641" s="118" t="str">
        <f t="shared" si="9"/>
        <v/>
      </c>
    </row>
    <row r="642" spans="2:2" x14ac:dyDescent="0.25">
      <c r="B642" s="118" t="str">
        <f t="shared" si="9"/>
        <v/>
      </c>
    </row>
    <row r="643" spans="2:2" x14ac:dyDescent="0.25">
      <c r="B643" s="118" t="str">
        <f t="shared" si="9"/>
        <v/>
      </c>
    </row>
    <row r="644" spans="2:2" x14ac:dyDescent="0.25">
      <c r="B644" s="118" t="str">
        <f t="shared" si="9"/>
        <v/>
      </c>
    </row>
    <row r="645" spans="2:2" x14ac:dyDescent="0.25">
      <c r="B645" s="118" t="str">
        <f t="shared" si="9"/>
        <v/>
      </c>
    </row>
    <row r="646" spans="2:2" x14ac:dyDescent="0.25">
      <c r="B646" s="118" t="str">
        <f t="shared" si="9"/>
        <v/>
      </c>
    </row>
    <row r="647" spans="2:2" x14ac:dyDescent="0.25">
      <c r="B647" s="118" t="str">
        <f t="shared" si="9"/>
        <v/>
      </c>
    </row>
    <row r="648" spans="2:2" x14ac:dyDescent="0.25">
      <c r="B648" s="118" t="str">
        <f t="shared" si="9"/>
        <v/>
      </c>
    </row>
    <row r="649" spans="2:2" x14ac:dyDescent="0.25">
      <c r="B649" s="118" t="str">
        <f t="shared" si="9"/>
        <v/>
      </c>
    </row>
    <row r="650" spans="2:2" x14ac:dyDescent="0.25">
      <c r="B650" s="118" t="str">
        <f t="shared" si="9"/>
        <v/>
      </c>
    </row>
    <row r="651" spans="2:2" x14ac:dyDescent="0.25">
      <c r="B651" s="118" t="str">
        <f t="shared" si="9"/>
        <v/>
      </c>
    </row>
    <row r="652" spans="2:2" x14ac:dyDescent="0.25">
      <c r="B652" s="118" t="str">
        <f t="shared" si="9"/>
        <v/>
      </c>
    </row>
    <row r="653" spans="2:2" x14ac:dyDescent="0.25">
      <c r="B653" s="118" t="str">
        <f t="shared" si="9"/>
        <v/>
      </c>
    </row>
    <row r="654" spans="2:2" x14ac:dyDescent="0.25">
      <c r="B654" s="118" t="str">
        <f t="shared" si="9"/>
        <v/>
      </c>
    </row>
    <row r="655" spans="2:2" x14ac:dyDescent="0.25">
      <c r="B655" s="118" t="str">
        <f t="shared" si="9"/>
        <v/>
      </c>
    </row>
    <row r="656" spans="2:2" x14ac:dyDescent="0.25">
      <c r="B656" s="118" t="str">
        <f t="shared" si="9"/>
        <v/>
      </c>
    </row>
    <row r="657" spans="2:2" x14ac:dyDescent="0.25">
      <c r="B657" s="118" t="str">
        <f t="shared" si="9"/>
        <v/>
      </c>
    </row>
    <row r="658" spans="2:2" x14ac:dyDescent="0.25">
      <c r="B658" s="118" t="str">
        <f t="shared" si="9"/>
        <v/>
      </c>
    </row>
    <row r="659" spans="2:2" x14ac:dyDescent="0.25">
      <c r="B659" s="118" t="str">
        <f t="shared" si="9"/>
        <v/>
      </c>
    </row>
    <row r="660" spans="2:2" x14ac:dyDescent="0.25">
      <c r="B660" s="118" t="str">
        <f t="shared" ref="B660:B723" si="10">IF(A660=0,"","Hinge")</f>
        <v/>
      </c>
    </row>
    <row r="661" spans="2:2" x14ac:dyDescent="0.25">
      <c r="B661" s="118" t="str">
        <f t="shared" si="10"/>
        <v/>
      </c>
    </row>
    <row r="662" spans="2:2" x14ac:dyDescent="0.25">
      <c r="B662" s="118" t="str">
        <f t="shared" si="10"/>
        <v/>
      </c>
    </row>
    <row r="663" spans="2:2" x14ac:dyDescent="0.25">
      <c r="B663" s="118" t="str">
        <f t="shared" si="10"/>
        <v/>
      </c>
    </row>
    <row r="664" spans="2:2" x14ac:dyDescent="0.25">
      <c r="B664" s="118" t="str">
        <f t="shared" si="10"/>
        <v/>
      </c>
    </row>
    <row r="665" spans="2:2" x14ac:dyDescent="0.25">
      <c r="B665" s="118" t="str">
        <f t="shared" si="10"/>
        <v/>
      </c>
    </row>
    <row r="666" spans="2:2" x14ac:dyDescent="0.25">
      <c r="B666" s="118" t="str">
        <f t="shared" si="10"/>
        <v/>
      </c>
    </row>
    <row r="667" spans="2:2" x14ac:dyDescent="0.25">
      <c r="B667" s="118" t="str">
        <f t="shared" si="10"/>
        <v/>
      </c>
    </row>
    <row r="668" spans="2:2" x14ac:dyDescent="0.25">
      <c r="B668" s="118" t="str">
        <f t="shared" si="10"/>
        <v/>
      </c>
    </row>
    <row r="669" spans="2:2" x14ac:dyDescent="0.25">
      <c r="B669" s="118" t="str">
        <f t="shared" si="10"/>
        <v/>
      </c>
    </row>
    <row r="670" spans="2:2" x14ac:dyDescent="0.25">
      <c r="B670" s="118" t="str">
        <f t="shared" si="10"/>
        <v/>
      </c>
    </row>
    <row r="671" spans="2:2" x14ac:dyDescent="0.25">
      <c r="B671" s="118" t="str">
        <f t="shared" si="10"/>
        <v/>
      </c>
    </row>
    <row r="672" spans="2:2" x14ac:dyDescent="0.25">
      <c r="B672" s="118" t="str">
        <f t="shared" si="10"/>
        <v/>
      </c>
    </row>
    <row r="673" spans="2:2" x14ac:dyDescent="0.25">
      <c r="B673" s="118" t="str">
        <f t="shared" si="10"/>
        <v/>
      </c>
    </row>
    <row r="674" spans="2:2" x14ac:dyDescent="0.25">
      <c r="B674" s="118" t="str">
        <f t="shared" si="10"/>
        <v/>
      </c>
    </row>
    <row r="675" spans="2:2" x14ac:dyDescent="0.25">
      <c r="B675" s="118" t="str">
        <f t="shared" si="10"/>
        <v/>
      </c>
    </row>
    <row r="676" spans="2:2" x14ac:dyDescent="0.25">
      <c r="B676" s="118" t="str">
        <f t="shared" si="10"/>
        <v/>
      </c>
    </row>
    <row r="677" spans="2:2" x14ac:dyDescent="0.25">
      <c r="B677" s="118" t="str">
        <f t="shared" si="10"/>
        <v/>
      </c>
    </row>
    <row r="678" spans="2:2" x14ac:dyDescent="0.25">
      <c r="B678" s="118" t="str">
        <f t="shared" si="10"/>
        <v/>
      </c>
    </row>
    <row r="679" spans="2:2" x14ac:dyDescent="0.25">
      <c r="B679" s="118" t="str">
        <f t="shared" si="10"/>
        <v/>
      </c>
    </row>
    <row r="680" spans="2:2" x14ac:dyDescent="0.25">
      <c r="B680" s="118" t="str">
        <f t="shared" si="10"/>
        <v/>
      </c>
    </row>
    <row r="681" spans="2:2" x14ac:dyDescent="0.25">
      <c r="B681" s="118" t="str">
        <f t="shared" si="10"/>
        <v/>
      </c>
    </row>
    <row r="682" spans="2:2" x14ac:dyDescent="0.25">
      <c r="B682" s="118" t="str">
        <f t="shared" si="10"/>
        <v/>
      </c>
    </row>
    <row r="683" spans="2:2" x14ac:dyDescent="0.25">
      <c r="B683" s="118" t="str">
        <f t="shared" si="10"/>
        <v/>
      </c>
    </row>
    <row r="684" spans="2:2" x14ac:dyDescent="0.25">
      <c r="B684" s="118" t="str">
        <f t="shared" si="10"/>
        <v/>
      </c>
    </row>
    <row r="685" spans="2:2" x14ac:dyDescent="0.25">
      <c r="B685" s="118" t="str">
        <f t="shared" si="10"/>
        <v/>
      </c>
    </row>
    <row r="686" spans="2:2" x14ac:dyDescent="0.25">
      <c r="B686" s="118" t="str">
        <f t="shared" si="10"/>
        <v/>
      </c>
    </row>
    <row r="687" spans="2:2" x14ac:dyDescent="0.25">
      <c r="B687" s="118" t="str">
        <f t="shared" si="10"/>
        <v/>
      </c>
    </row>
    <row r="688" spans="2:2" x14ac:dyDescent="0.25">
      <c r="B688" s="118" t="str">
        <f t="shared" si="10"/>
        <v/>
      </c>
    </row>
    <row r="689" spans="2:2" x14ac:dyDescent="0.25">
      <c r="B689" s="118" t="str">
        <f t="shared" si="10"/>
        <v/>
      </c>
    </row>
    <row r="690" spans="2:2" x14ac:dyDescent="0.25">
      <c r="B690" s="118" t="str">
        <f t="shared" si="10"/>
        <v/>
      </c>
    </row>
    <row r="691" spans="2:2" x14ac:dyDescent="0.25">
      <c r="B691" s="118" t="str">
        <f t="shared" si="10"/>
        <v/>
      </c>
    </row>
    <row r="692" spans="2:2" x14ac:dyDescent="0.25">
      <c r="B692" s="118" t="str">
        <f t="shared" si="10"/>
        <v/>
      </c>
    </row>
    <row r="693" spans="2:2" x14ac:dyDescent="0.25">
      <c r="B693" s="118" t="str">
        <f t="shared" si="10"/>
        <v/>
      </c>
    </row>
    <row r="694" spans="2:2" x14ac:dyDescent="0.25">
      <c r="B694" s="118" t="str">
        <f t="shared" si="10"/>
        <v/>
      </c>
    </row>
    <row r="695" spans="2:2" x14ac:dyDescent="0.25">
      <c r="B695" s="118" t="str">
        <f t="shared" si="10"/>
        <v/>
      </c>
    </row>
    <row r="696" spans="2:2" x14ac:dyDescent="0.25">
      <c r="B696" s="118" t="str">
        <f t="shared" si="10"/>
        <v/>
      </c>
    </row>
    <row r="697" spans="2:2" x14ac:dyDescent="0.25">
      <c r="B697" s="118" t="str">
        <f t="shared" si="10"/>
        <v/>
      </c>
    </row>
    <row r="698" spans="2:2" x14ac:dyDescent="0.25">
      <c r="B698" s="118" t="str">
        <f t="shared" si="10"/>
        <v/>
      </c>
    </row>
    <row r="699" spans="2:2" x14ac:dyDescent="0.25">
      <c r="B699" s="118" t="str">
        <f t="shared" si="10"/>
        <v/>
      </c>
    </row>
    <row r="700" spans="2:2" x14ac:dyDescent="0.25">
      <c r="B700" s="118" t="str">
        <f t="shared" si="10"/>
        <v/>
      </c>
    </row>
    <row r="701" spans="2:2" x14ac:dyDescent="0.25">
      <c r="B701" s="118" t="str">
        <f t="shared" si="10"/>
        <v/>
      </c>
    </row>
    <row r="702" spans="2:2" x14ac:dyDescent="0.25">
      <c r="B702" s="118" t="str">
        <f t="shared" si="10"/>
        <v/>
      </c>
    </row>
    <row r="703" spans="2:2" x14ac:dyDescent="0.25">
      <c r="B703" s="118" t="str">
        <f t="shared" si="10"/>
        <v/>
      </c>
    </row>
    <row r="704" spans="2:2" x14ac:dyDescent="0.25">
      <c r="B704" s="118" t="str">
        <f t="shared" si="10"/>
        <v/>
      </c>
    </row>
    <row r="705" spans="2:2" x14ac:dyDescent="0.25">
      <c r="B705" s="118" t="str">
        <f t="shared" si="10"/>
        <v/>
      </c>
    </row>
    <row r="706" spans="2:2" x14ac:dyDescent="0.25">
      <c r="B706" s="118" t="str">
        <f t="shared" si="10"/>
        <v/>
      </c>
    </row>
    <row r="707" spans="2:2" x14ac:dyDescent="0.25">
      <c r="B707" s="118" t="str">
        <f t="shared" si="10"/>
        <v/>
      </c>
    </row>
    <row r="708" spans="2:2" x14ac:dyDescent="0.25">
      <c r="B708" s="118" t="str">
        <f t="shared" si="10"/>
        <v/>
      </c>
    </row>
    <row r="709" spans="2:2" x14ac:dyDescent="0.25">
      <c r="B709" s="118" t="str">
        <f t="shared" si="10"/>
        <v/>
      </c>
    </row>
    <row r="710" spans="2:2" x14ac:dyDescent="0.25">
      <c r="B710" s="118" t="str">
        <f t="shared" si="10"/>
        <v/>
      </c>
    </row>
    <row r="711" spans="2:2" x14ac:dyDescent="0.25">
      <c r="B711" s="118" t="str">
        <f t="shared" si="10"/>
        <v/>
      </c>
    </row>
    <row r="712" spans="2:2" x14ac:dyDescent="0.25">
      <c r="B712" s="118" t="str">
        <f t="shared" si="10"/>
        <v/>
      </c>
    </row>
    <row r="713" spans="2:2" x14ac:dyDescent="0.25">
      <c r="B713" s="118" t="str">
        <f t="shared" si="10"/>
        <v/>
      </c>
    </row>
    <row r="714" spans="2:2" x14ac:dyDescent="0.25">
      <c r="B714" s="118" t="str">
        <f t="shared" si="10"/>
        <v/>
      </c>
    </row>
    <row r="715" spans="2:2" x14ac:dyDescent="0.25">
      <c r="B715" s="118" t="str">
        <f t="shared" si="10"/>
        <v/>
      </c>
    </row>
    <row r="716" spans="2:2" x14ac:dyDescent="0.25">
      <c r="B716" s="118" t="str">
        <f t="shared" si="10"/>
        <v/>
      </c>
    </row>
    <row r="717" spans="2:2" x14ac:dyDescent="0.25">
      <c r="B717" s="118" t="str">
        <f t="shared" si="10"/>
        <v/>
      </c>
    </row>
    <row r="718" spans="2:2" x14ac:dyDescent="0.25">
      <c r="B718" s="118" t="str">
        <f t="shared" si="10"/>
        <v/>
      </c>
    </row>
    <row r="719" spans="2:2" x14ac:dyDescent="0.25">
      <c r="B719" s="118" t="str">
        <f t="shared" si="10"/>
        <v/>
      </c>
    </row>
    <row r="720" spans="2:2" x14ac:dyDescent="0.25">
      <c r="B720" s="118" t="str">
        <f t="shared" si="10"/>
        <v/>
      </c>
    </row>
    <row r="721" spans="2:2" x14ac:dyDescent="0.25">
      <c r="B721" s="118" t="str">
        <f t="shared" si="10"/>
        <v/>
      </c>
    </row>
    <row r="722" spans="2:2" x14ac:dyDescent="0.25">
      <c r="B722" s="118" t="str">
        <f t="shared" si="10"/>
        <v/>
      </c>
    </row>
    <row r="723" spans="2:2" x14ac:dyDescent="0.25">
      <c r="B723" s="118" t="str">
        <f t="shared" si="10"/>
        <v/>
      </c>
    </row>
    <row r="724" spans="2:2" x14ac:dyDescent="0.25">
      <c r="B724" s="118" t="str">
        <f t="shared" ref="B724:B787" si="11">IF(A724=0,"","Hinge")</f>
        <v/>
      </c>
    </row>
    <row r="725" spans="2:2" x14ac:dyDescent="0.25">
      <c r="B725" s="118" t="str">
        <f t="shared" si="11"/>
        <v/>
      </c>
    </row>
    <row r="726" spans="2:2" x14ac:dyDescent="0.25">
      <c r="B726" s="118" t="str">
        <f t="shared" si="11"/>
        <v/>
      </c>
    </row>
    <row r="727" spans="2:2" x14ac:dyDescent="0.25">
      <c r="B727" s="118" t="str">
        <f t="shared" si="11"/>
        <v/>
      </c>
    </row>
    <row r="728" spans="2:2" x14ac:dyDescent="0.25">
      <c r="B728" s="118" t="str">
        <f t="shared" si="11"/>
        <v/>
      </c>
    </row>
    <row r="729" spans="2:2" x14ac:dyDescent="0.25">
      <c r="B729" s="118" t="str">
        <f t="shared" si="11"/>
        <v/>
      </c>
    </row>
    <row r="730" spans="2:2" x14ac:dyDescent="0.25">
      <c r="B730" s="118" t="str">
        <f t="shared" si="11"/>
        <v/>
      </c>
    </row>
    <row r="731" spans="2:2" x14ac:dyDescent="0.25">
      <c r="B731" s="118" t="str">
        <f t="shared" si="11"/>
        <v/>
      </c>
    </row>
    <row r="732" spans="2:2" x14ac:dyDescent="0.25">
      <c r="B732" s="118" t="str">
        <f t="shared" si="11"/>
        <v/>
      </c>
    </row>
    <row r="733" spans="2:2" x14ac:dyDescent="0.25">
      <c r="B733" s="118" t="str">
        <f t="shared" si="11"/>
        <v/>
      </c>
    </row>
    <row r="734" spans="2:2" x14ac:dyDescent="0.25">
      <c r="B734" s="118" t="str">
        <f t="shared" si="11"/>
        <v/>
      </c>
    </row>
    <row r="735" spans="2:2" x14ac:dyDescent="0.25">
      <c r="B735" s="118" t="str">
        <f t="shared" si="11"/>
        <v/>
      </c>
    </row>
    <row r="736" spans="2:2" x14ac:dyDescent="0.25">
      <c r="B736" s="118" t="str">
        <f t="shared" si="11"/>
        <v/>
      </c>
    </row>
    <row r="737" spans="2:2" x14ac:dyDescent="0.25">
      <c r="B737" s="118" t="str">
        <f t="shared" si="11"/>
        <v/>
      </c>
    </row>
    <row r="738" spans="2:2" x14ac:dyDescent="0.25">
      <c r="B738" s="118" t="str">
        <f t="shared" si="11"/>
        <v/>
      </c>
    </row>
    <row r="739" spans="2:2" x14ac:dyDescent="0.25">
      <c r="B739" s="118" t="str">
        <f t="shared" si="11"/>
        <v/>
      </c>
    </row>
    <row r="740" spans="2:2" x14ac:dyDescent="0.25">
      <c r="B740" s="118" t="str">
        <f t="shared" si="11"/>
        <v/>
      </c>
    </row>
    <row r="741" spans="2:2" x14ac:dyDescent="0.25">
      <c r="B741" s="118" t="str">
        <f t="shared" si="11"/>
        <v/>
      </c>
    </row>
    <row r="742" spans="2:2" x14ac:dyDescent="0.25">
      <c r="B742" s="118" t="str">
        <f t="shared" si="11"/>
        <v/>
      </c>
    </row>
    <row r="743" spans="2:2" x14ac:dyDescent="0.25">
      <c r="B743" s="118" t="str">
        <f t="shared" si="11"/>
        <v/>
      </c>
    </row>
    <row r="744" spans="2:2" x14ac:dyDescent="0.25">
      <c r="B744" s="118" t="str">
        <f t="shared" si="11"/>
        <v/>
      </c>
    </row>
    <row r="745" spans="2:2" x14ac:dyDescent="0.25">
      <c r="B745" s="118" t="str">
        <f t="shared" si="11"/>
        <v/>
      </c>
    </row>
    <row r="746" spans="2:2" x14ac:dyDescent="0.25">
      <c r="B746" s="118" t="str">
        <f t="shared" si="11"/>
        <v/>
      </c>
    </row>
    <row r="747" spans="2:2" x14ac:dyDescent="0.25">
      <c r="B747" s="118" t="str">
        <f t="shared" si="11"/>
        <v/>
      </c>
    </row>
    <row r="748" spans="2:2" x14ac:dyDescent="0.25">
      <c r="B748" s="118" t="str">
        <f t="shared" si="11"/>
        <v/>
      </c>
    </row>
    <row r="749" spans="2:2" x14ac:dyDescent="0.25">
      <c r="B749" s="118" t="str">
        <f t="shared" si="11"/>
        <v/>
      </c>
    </row>
    <row r="750" spans="2:2" x14ac:dyDescent="0.25">
      <c r="B750" s="118" t="str">
        <f t="shared" si="11"/>
        <v/>
      </c>
    </row>
    <row r="751" spans="2:2" x14ac:dyDescent="0.25">
      <c r="B751" s="118" t="str">
        <f t="shared" si="11"/>
        <v/>
      </c>
    </row>
    <row r="752" spans="2:2" x14ac:dyDescent="0.25">
      <c r="B752" s="118" t="str">
        <f t="shared" si="11"/>
        <v/>
      </c>
    </row>
    <row r="753" spans="2:2" x14ac:dyDescent="0.25">
      <c r="B753" s="118" t="str">
        <f t="shared" si="11"/>
        <v/>
      </c>
    </row>
    <row r="754" spans="2:2" x14ac:dyDescent="0.25">
      <c r="B754" s="118" t="str">
        <f t="shared" si="11"/>
        <v/>
      </c>
    </row>
    <row r="755" spans="2:2" x14ac:dyDescent="0.25">
      <c r="B755" s="118" t="str">
        <f t="shared" si="11"/>
        <v/>
      </c>
    </row>
    <row r="756" spans="2:2" x14ac:dyDescent="0.25">
      <c r="B756" s="118" t="str">
        <f t="shared" si="11"/>
        <v/>
      </c>
    </row>
    <row r="757" spans="2:2" x14ac:dyDescent="0.25">
      <c r="B757" s="118" t="str">
        <f t="shared" si="11"/>
        <v/>
      </c>
    </row>
    <row r="758" spans="2:2" x14ac:dyDescent="0.25">
      <c r="B758" s="118" t="str">
        <f t="shared" si="11"/>
        <v/>
      </c>
    </row>
    <row r="759" spans="2:2" x14ac:dyDescent="0.25">
      <c r="B759" s="118" t="str">
        <f t="shared" si="11"/>
        <v/>
      </c>
    </row>
    <row r="760" spans="2:2" x14ac:dyDescent="0.25">
      <c r="B760" s="118" t="str">
        <f t="shared" si="11"/>
        <v/>
      </c>
    </row>
    <row r="761" spans="2:2" x14ac:dyDescent="0.25">
      <c r="B761" s="118" t="str">
        <f t="shared" si="11"/>
        <v/>
      </c>
    </row>
    <row r="762" spans="2:2" x14ac:dyDescent="0.25">
      <c r="B762" s="118" t="str">
        <f t="shared" si="11"/>
        <v/>
      </c>
    </row>
    <row r="763" spans="2:2" x14ac:dyDescent="0.25">
      <c r="B763" s="118" t="str">
        <f t="shared" si="11"/>
        <v/>
      </c>
    </row>
    <row r="764" spans="2:2" x14ac:dyDescent="0.25">
      <c r="B764" s="118" t="str">
        <f t="shared" si="11"/>
        <v/>
      </c>
    </row>
    <row r="765" spans="2:2" x14ac:dyDescent="0.25">
      <c r="B765" s="118" t="str">
        <f t="shared" si="11"/>
        <v/>
      </c>
    </row>
    <row r="766" spans="2:2" x14ac:dyDescent="0.25">
      <c r="B766" s="118" t="str">
        <f t="shared" si="11"/>
        <v/>
      </c>
    </row>
    <row r="767" spans="2:2" x14ac:dyDescent="0.25">
      <c r="B767" s="118" t="str">
        <f t="shared" si="11"/>
        <v/>
      </c>
    </row>
    <row r="768" spans="2:2" x14ac:dyDescent="0.25">
      <c r="B768" s="118" t="str">
        <f t="shared" si="11"/>
        <v/>
      </c>
    </row>
    <row r="769" spans="2:2" x14ac:dyDescent="0.25">
      <c r="B769" s="118" t="str">
        <f t="shared" si="11"/>
        <v/>
      </c>
    </row>
    <row r="770" spans="2:2" x14ac:dyDescent="0.25">
      <c r="B770" s="118" t="str">
        <f t="shared" si="11"/>
        <v/>
      </c>
    </row>
    <row r="771" spans="2:2" x14ac:dyDescent="0.25">
      <c r="B771" s="118" t="str">
        <f t="shared" si="11"/>
        <v/>
      </c>
    </row>
    <row r="772" spans="2:2" x14ac:dyDescent="0.25">
      <c r="B772" s="118" t="str">
        <f t="shared" si="11"/>
        <v/>
      </c>
    </row>
    <row r="773" spans="2:2" x14ac:dyDescent="0.25">
      <c r="B773" s="118" t="str">
        <f t="shared" si="11"/>
        <v/>
      </c>
    </row>
    <row r="774" spans="2:2" x14ac:dyDescent="0.25">
      <c r="B774" s="118" t="str">
        <f t="shared" si="11"/>
        <v/>
      </c>
    </row>
    <row r="775" spans="2:2" x14ac:dyDescent="0.25">
      <c r="B775" s="118" t="str">
        <f t="shared" si="11"/>
        <v/>
      </c>
    </row>
    <row r="776" spans="2:2" x14ac:dyDescent="0.25">
      <c r="B776" s="118" t="str">
        <f t="shared" si="11"/>
        <v/>
      </c>
    </row>
    <row r="777" spans="2:2" x14ac:dyDescent="0.25">
      <c r="B777" s="118" t="str">
        <f t="shared" si="11"/>
        <v/>
      </c>
    </row>
    <row r="778" spans="2:2" x14ac:dyDescent="0.25">
      <c r="B778" s="118" t="str">
        <f t="shared" si="11"/>
        <v/>
      </c>
    </row>
    <row r="779" spans="2:2" x14ac:dyDescent="0.25">
      <c r="B779" s="118" t="str">
        <f t="shared" si="11"/>
        <v/>
      </c>
    </row>
    <row r="780" spans="2:2" x14ac:dyDescent="0.25">
      <c r="B780" s="118" t="str">
        <f t="shared" si="11"/>
        <v/>
      </c>
    </row>
    <row r="781" spans="2:2" x14ac:dyDescent="0.25">
      <c r="B781" s="118" t="str">
        <f t="shared" si="11"/>
        <v/>
      </c>
    </row>
    <row r="782" spans="2:2" x14ac:dyDescent="0.25">
      <c r="B782" s="118" t="str">
        <f t="shared" si="11"/>
        <v/>
      </c>
    </row>
    <row r="783" spans="2:2" x14ac:dyDescent="0.25">
      <c r="B783" s="118" t="str">
        <f t="shared" si="11"/>
        <v/>
      </c>
    </row>
    <row r="784" spans="2:2" x14ac:dyDescent="0.25">
      <c r="B784" s="118" t="str">
        <f t="shared" si="11"/>
        <v/>
      </c>
    </row>
    <row r="785" spans="2:2" x14ac:dyDescent="0.25">
      <c r="B785" s="118" t="str">
        <f t="shared" si="11"/>
        <v/>
      </c>
    </row>
    <row r="786" spans="2:2" x14ac:dyDescent="0.25">
      <c r="B786" s="118" t="str">
        <f t="shared" si="11"/>
        <v/>
      </c>
    </row>
    <row r="787" spans="2:2" x14ac:dyDescent="0.25">
      <c r="B787" s="118" t="str">
        <f t="shared" si="11"/>
        <v/>
      </c>
    </row>
    <row r="788" spans="2:2" x14ac:dyDescent="0.25">
      <c r="B788" s="118" t="str">
        <f t="shared" ref="B788:B851" si="12">IF(A788=0,"","Hinge")</f>
        <v/>
      </c>
    </row>
    <row r="789" spans="2:2" x14ac:dyDescent="0.25">
      <c r="B789" s="118" t="str">
        <f t="shared" si="12"/>
        <v/>
      </c>
    </row>
    <row r="790" spans="2:2" x14ac:dyDescent="0.25">
      <c r="B790" s="118" t="str">
        <f t="shared" si="12"/>
        <v/>
      </c>
    </row>
    <row r="791" spans="2:2" x14ac:dyDescent="0.25">
      <c r="B791" s="118" t="str">
        <f t="shared" si="12"/>
        <v/>
      </c>
    </row>
    <row r="792" spans="2:2" x14ac:dyDescent="0.25">
      <c r="B792" s="118" t="str">
        <f t="shared" si="12"/>
        <v/>
      </c>
    </row>
    <row r="793" spans="2:2" x14ac:dyDescent="0.25">
      <c r="B793" s="118" t="str">
        <f t="shared" si="12"/>
        <v/>
      </c>
    </row>
    <row r="794" spans="2:2" x14ac:dyDescent="0.25">
      <c r="B794" s="118" t="str">
        <f t="shared" si="12"/>
        <v/>
      </c>
    </row>
    <row r="795" spans="2:2" x14ac:dyDescent="0.25">
      <c r="B795" s="118" t="str">
        <f t="shared" si="12"/>
        <v/>
      </c>
    </row>
    <row r="796" spans="2:2" x14ac:dyDescent="0.25">
      <c r="B796" s="118" t="str">
        <f t="shared" si="12"/>
        <v/>
      </c>
    </row>
    <row r="797" spans="2:2" x14ac:dyDescent="0.25">
      <c r="B797" s="118" t="str">
        <f t="shared" si="12"/>
        <v/>
      </c>
    </row>
    <row r="798" spans="2:2" x14ac:dyDescent="0.25">
      <c r="B798" s="118" t="str">
        <f t="shared" si="12"/>
        <v/>
      </c>
    </row>
    <row r="799" spans="2:2" x14ac:dyDescent="0.25">
      <c r="B799" s="118" t="str">
        <f t="shared" si="12"/>
        <v/>
      </c>
    </row>
    <row r="800" spans="2:2" x14ac:dyDescent="0.25">
      <c r="B800" s="118" t="str">
        <f t="shared" si="12"/>
        <v/>
      </c>
    </row>
    <row r="801" spans="2:2" x14ac:dyDescent="0.25">
      <c r="B801" s="118" t="str">
        <f t="shared" si="12"/>
        <v/>
      </c>
    </row>
    <row r="802" spans="2:2" x14ac:dyDescent="0.25">
      <c r="B802" s="118" t="str">
        <f t="shared" si="12"/>
        <v/>
      </c>
    </row>
    <row r="803" spans="2:2" x14ac:dyDescent="0.25">
      <c r="B803" s="118" t="str">
        <f t="shared" si="12"/>
        <v/>
      </c>
    </row>
    <row r="804" spans="2:2" x14ac:dyDescent="0.25">
      <c r="B804" s="118" t="str">
        <f t="shared" si="12"/>
        <v/>
      </c>
    </row>
    <row r="805" spans="2:2" x14ac:dyDescent="0.25">
      <c r="B805" s="118" t="str">
        <f t="shared" si="12"/>
        <v/>
      </c>
    </row>
    <row r="806" spans="2:2" x14ac:dyDescent="0.25">
      <c r="B806" s="118" t="str">
        <f t="shared" si="12"/>
        <v/>
      </c>
    </row>
    <row r="807" spans="2:2" x14ac:dyDescent="0.25">
      <c r="B807" s="118" t="str">
        <f t="shared" si="12"/>
        <v/>
      </c>
    </row>
    <row r="808" spans="2:2" x14ac:dyDescent="0.25">
      <c r="B808" s="118" t="str">
        <f t="shared" si="12"/>
        <v/>
      </c>
    </row>
    <row r="809" spans="2:2" x14ac:dyDescent="0.25">
      <c r="B809" s="118" t="str">
        <f t="shared" si="12"/>
        <v/>
      </c>
    </row>
    <row r="810" spans="2:2" x14ac:dyDescent="0.25">
      <c r="B810" s="118" t="str">
        <f t="shared" si="12"/>
        <v/>
      </c>
    </row>
    <row r="811" spans="2:2" x14ac:dyDescent="0.25">
      <c r="B811" s="118" t="str">
        <f t="shared" si="12"/>
        <v/>
      </c>
    </row>
    <row r="812" spans="2:2" x14ac:dyDescent="0.25">
      <c r="B812" s="118" t="str">
        <f t="shared" si="12"/>
        <v/>
      </c>
    </row>
    <row r="813" spans="2:2" x14ac:dyDescent="0.25">
      <c r="B813" s="118" t="str">
        <f t="shared" si="12"/>
        <v/>
      </c>
    </row>
    <row r="814" spans="2:2" x14ac:dyDescent="0.25">
      <c r="B814" s="118" t="str">
        <f t="shared" si="12"/>
        <v/>
      </c>
    </row>
    <row r="815" spans="2:2" x14ac:dyDescent="0.25">
      <c r="B815" s="118" t="str">
        <f t="shared" si="12"/>
        <v/>
      </c>
    </row>
    <row r="816" spans="2:2" x14ac:dyDescent="0.25">
      <c r="B816" s="118" t="str">
        <f t="shared" si="12"/>
        <v/>
      </c>
    </row>
    <row r="817" spans="2:2" x14ac:dyDescent="0.25">
      <c r="B817" s="118" t="str">
        <f t="shared" si="12"/>
        <v/>
      </c>
    </row>
    <row r="818" spans="2:2" x14ac:dyDescent="0.25">
      <c r="B818" s="118" t="str">
        <f t="shared" si="12"/>
        <v/>
      </c>
    </row>
    <row r="819" spans="2:2" x14ac:dyDescent="0.25">
      <c r="B819" s="118" t="str">
        <f t="shared" si="12"/>
        <v/>
      </c>
    </row>
    <row r="820" spans="2:2" x14ac:dyDescent="0.25">
      <c r="B820" s="118" t="str">
        <f t="shared" si="12"/>
        <v/>
      </c>
    </row>
    <row r="821" spans="2:2" x14ac:dyDescent="0.25">
      <c r="B821" s="118" t="str">
        <f t="shared" si="12"/>
        <v/>
      </c>
    </row>
    <row r="822" spans="2:2" x14ac:dyDescent="0.25">
      <c r="B822" s="118" t="str">
        <f t="shared" si="12"/>
        <v/>
      </c>
    </row>
    <row r="823" spans="2:2" x14ac:dyDescent="0.25">
      <c r="B823" s="118" t="str">
        <f t="shared" si="12"/>
        <v/>
      </c>
    </row>
    <row r="824" spans="2:2" x14ac:dyDescent="0.25">
      <c r="B824" s="118" t="str">
        <f t="shared" si="12"/>
        <v/>
      </c>
    </row>
    <row r="825" spans="2:2" x14ac:dyDescent="0.25">
      <c r="B825" s="118" t="str">
        <f t="shared" si="12"/>
        <v/>
      </c>
    </row>
    <row r="826" spans="2:2" x14ac:dyDescent="0.25">
      <c r="B826" s="118" t="str">
        <f t="shared" si="12"/>
        <v/>
      </c>
    </row>
    <row r="827" spans="2:2" x14ac:dyDescent="0.25">
      <c r="B827" s="118" t="str">
        <f t="shared" si="12"/>
        <v/>
      </c>
    </row>
    <row r="828" spans="2:2" x14ac:dyDescent="0.25">
      <c r="B828" s="118" t="str">
        <f t="shared" si="12"/>
        <v/>
      </c>
    </row>
    <row r="829" spans="2:2" x14ac:dyDescent="0.25">
      <c r="B829" s="118" t="str">
        <f t="shared" si="12"/>
        <v/>
      </c>
    </row>
    <row r="830" spans="2:2" x14ac:dyDescent="0.25">
      <c r="B830" s="118" t="str">
        <f t="shared" si="12"/>
        <v/>
      </c>
    </row>
    <row r="831" spans="2:2" x14ac:dyDescent="0.25">
      <c r="B831" s="118" t="str">
        <f t="shared" si="12"/>
        <v/>
      </c>
    </row>
    <row r="832" spans="2:2" x14ac:dyDescent="0.25">
      <c r="B832" s="118" t="str">
        <f t="shared" si="12"/>
        <v/>
      </c>
    </row>
    <row r="833" spans="2:2" x14ac:dyDescent="0.25">
      <c r="B833" s="118" t="str">
        <f t="shared" si="12"/>
        <v/>
      </c>
    </row>
    <row r="834" spans="2:2" x14ac:dyDescent="0.25">
      <c r="B834" s="118" t="str">
        <f t="shared" si="12"/>
        <v/>
      </c>
    </row>
    <row r="835" spans="2:2" x14ac:dyDescent="0.25">
      <c r="B835" s="118" t="str">
        <f t="shared" si="12"/>
        <v/>
      </c>
    </row>
    <row r="836" spans="2:2" x14ac:dyDescent="0.25">
      <c r="B836" s="118" t="str">
        <f t="shared" si="12"/>
        <v/>
      </c>
    </row>
    <row r="837" spans="2:2" x14ac:dyDescent="0.25">
      <c r="B837" s="118" t="str">
        <f t="shared" si="12"/>
        <v/>
      </c>
    </row>
    <row r="838" spans="2:2" x14ac:dyDescent="0.25">
      <c r="B838" s="118" t="str">
        <f t="shared" si="12"/>
        <v/>
      </c>
    </row>
    <row r="839" spans="2:2" x14ac:dyDescent="0.25">
      <c r="B839" s="118" t="str">
        <f t="shared" si="12"/>
        <v/>
      </c>
    </row>
    <row r="840" spans="2:2" x14ac:dyDescent="0.25">
      <c r="B840" s="118" t="str">
        <f t="shared" si="12"/>
        <v/>
      </c>
    </row>
    <row r="841" spans="2:2" x14ac:dyDescent="0.25">
      <c r="B841" s="118" t="str">
        <f t="shared" si="12"/>
        <v/>
      </c>
    </row>
    <row r="842" spans="2:2" x14ac:dyDescent="0.25">
      <c r="B842" s="118" t="str">
        <f t="shared" si="12"/>
        <v/>
      </c>
    </row>
    <row r="843" spans="2:2" x14ac:dyDescent="0.25">
      <c r="B843" s="118" t="str">
        <f t="shared" si="12"/>
        <v/>
      </c>
    </row>
    <row r="844" spans="2:2" x14ac:dyDescent="0.25">
      <c r="B844" s="118" t="str">
        <f t="shared" si="12"/>
        <v/>
      </c>
    </row>
    <row r="845" spans="2:2" x14ac:dyDescent="0.25">
      <c r="B845" s="118" t="str">
        <f t="shared" si="12"/>
        <v/>
      </c>
    </row>
    <row r="846" spans="2:2" x14ac:dyDescent="0.25">
      <c r="B846" s="118" t="str">
        <f t="shared" si="12"/>
        <v/>
      </c>
    </row>
    <row r="847" spans="2:2" x14ac:dyDescent="0.25">
      <c r="B847" s="118" t="str">
        <f t="shared" si="12"/>
        <v/>
      </c>
    </row>
    <row r="848" spans="2:2" x14ac:dyDescent="0.25">
      <c r="B848" s="118" t="str">
        <f t="shared" si="12"/>
        <v/>
      </c>
    </row>
    <row r="849" spans="2:2" x14ac:dyDescent="0.25">
      <c r="B849" s="118" t="str">
        <f t="shared" si="12"/>
        <v/>
      </c>
    </row>
    <row r="850" spans="2:2" x14ac:dyDescent="0.25">
      <c r="B850" s="118" t="str">
        <f t="shared" si="12"/>
        <v/>
      </c>
    </row>
    <row r="851" spans="2:2" x14ac:dyDescent="0.25">
      <c r="B851" s="118" t="str">
        <f t="shared" si="12"/>
        <v/>
      </c>
    </row>
    <row r="852" spans="2:2" x14ac:dyDescent="0.25">
      <c r="B852" s="118" t="str">
        <f t="shared" ref="B852:B915" si="13">IF(A852=0,"","Hinge")</f>
        <v/>
      </c>
    </row>
    <row r="853" spans="2:2" x14ac:dyDescent="0.25">
      <c r="B853" s="118" t="str">
        <f t="shared" si="13"/>
        <v/>
      </c>
    </row>
    <row r="854" spans="2:2" x14ac:dyDescent="0.25">
      <c r="B854" s="118" t="str">
        <f t="shared" si="13"/>
        <v/>
      </c>
    </row>
    <row r="855" spans="2:2" x14ac:dyDescent="0.25">
      <c r="B855" s="118" t="str">
        <f t="shared" si="13"/>
        <v/>
      </c>
    </row>
    <row r="856" spans="2:2" x14ac:dyDescent="0.25">
      <c r="B856" s="118" t="str">
        <f t="shared" si="13"/>
        <v/>
      </c>
    </row>
    <row r="857" spans="2:2" x14ac:dyDescent="0.25">
      <c r="B857" s="118" t="str">
        <f t="shared" si="13"/>
        <v/>
      </c>
    </row>
    <row r="858" spans="2:2" x14ac:dyDescent="0.25">
      <c r="B858" s="118" t="str">
        <f t="shared" si="13"/>
        <v/>
      </c>
    </row>
    <row r="859" spans="2:2" x14ac:dyDescent="0.25">
      <c r="B859" s="118" t="str">
        <f t="shared" si="13"/>
        <v/>
      </c>
    </row>
    <row r="860" spans="2:2" x14ac:dyDescent="0.25">
      <c r="B860" s="118" t="str">
        <f t="shared" si="13"/>
        <v/>
      </c>
    </row>
    <row r="861" spans="2:2" x14ac:dyDescent="0.25">
      <c r="B861" s="118" t="str">
        <f t="shared" si="13"/>
        <v/>
      </c>
    </row>
    <row r="862" spans="2:2" x14ac:dyDescent="0.25">
      <c r="B862" s="118" t="str">
        <f t="shared" si="13"/>
        <v/>
      </c>
    </row>
    <row r="863" spans="2:2" x14ac:dyDescent="0.25">
      <c r="B863" s="118" t="str">
        <f t="shared" si="13"/>
        <v/>
      </c>
    </row>
    <row r="864" spans="2:2" x14ac:dyDescent="0.25">
      <c r="B864" s="118" t="str">
        <f t="shared" si="13"/>
        <v/>
      </c>
    </row>
    <row r="865" spans="2:2" x14ac:dyDescent="0.25">
      <c r="B865" s="118" t="str">
        <f t="shared" si="13"/>
        <v/>
      </c>
    </row>
    <row r="866" spans="2:2" x14ac:dyDescent="0.25">
      <c r="B866" s="118" t="str">
        <f t="shared" si="13"/>
        <v/>
      </c>
    </row>
    <row r="867" spans="2:2" x14ac:dyDescent="0.25">
      <c r="B867" s="118" t="str">
        <f t="shared" si="13"/>
        <v/>
      </c>
    </row>
    <row r="868" spans="2:2" x14ac:dyDescent="0.25">
      <c r="B868" s="118" t="str">
        <f t="shared" si="13"/>
        <v/>
      </c>
    </row>
    <row r="869" spans="2:2" x14ac:dyDescent="0.25">
      <c r="B869" s="118" t="str">
        <f t="shared" si="13"/>
        <v/>
      </c>
    </row>
    <row r="870" spans="2:2" x14ac:dyDescent="0.25">
      <c r="B870" s="118" t="str">
        <f t="shared" si="13"/>
        <v/>
      </c>
    </row>
    <row r="871" spans="2:2" x14ac:dyDescent="0.25">
      <c r="B871" s="118" t="str">
        <f t="shared" si="13"/>
        <v/>
      </c>
    </row>
    <row r="872" spans="2:2" x14ac:dyDescent="0.25">
      <c r="B872" s="118" t="str">
        <f t="shared" si="13"/>
        <v/>
      </c>
    </row>
    <row r="873" spans="2:2" x14ac:dyDescent="0.25">
      <c r="B873" s="118" t="str">
        <f t="shared" si="13"/>
        <v/>
      </c>
    </row>
    <row r="874" spans="2:2" x14ac:dyDescent="0.25">
      <c r="B874" s="118" t="str">
        <f t="shared" si="13"/>
        <v/>
      </c>
    </row>
    <row r="875" spans="2:2" x14ac:dyDescent="0.25">
      <c r="B875" s="118" t="str">
        <f t="shared" si="13"/>
        <v/>
      </c>
    </row>
    <row r="876" spans="2:2" x14ac:dyDescent="0.25">
      <c r="B876" s="118" t="str">
        <f t="shared" si="13"/>
        <v/>
      </c>
    </row>
    <row r="877" spans="2:2" x14ac:dyDescent="0.25">
      <c r="B877" s="118" t="str">
        <f t="shared" si="13"/>
        <v/>
      </c>
    </row>
    <row r="878" spans="2:2" x14ac:dyDescent="0.25">
      <c r="B878" s="118" t="str">
        <f t="shared" si="13"/>
        <v/>
      </c>
    </row>
    <row r="879" spans="2:2" x14ac:dyDescent="0.25">
      <c r="B879" s="118" t="str">
        <f t="shared" si="13"/>
        <v/>
      </c>
    </row>
    <row r="880" spans="2:2" x14ac:dyDescent="0.25">
      <c r="B880" s="118" t="str">
        <f t="shared" si="13"/>
        <v/>
      </c>
    </row>
    <row r="881" spans="2:2" x14ac:dyDescent="0.25">
      <c r="B881" s="118" t="str">
        <f t="shared" si="13"/>
        <v/>
      </c>
    </row>
    <row r="882" spans="2:2" x14ac:dyDescent="0.25">
      <c r="B882" s="118" t="str">
        <f t="shared" si="13"/>
        <v/>
      </c>
    </row>
    <row r="883" spans="2:2" x14ac:dyDescent="0.25">
      <c r="B883" s="118" t="str">
        <f t="shared" si="13"/>
        <v/>
      </c>
    </row>
    <row r="884" spans="2:2" x14ac:dyDescent="0.25">
      <c r="B884" s="118" t="str">
        <f t="shared" si="13"/>
        <v/>
      </c>
    </row>
    <row r="885" spans="2:2" x14ac:dyDescent="0.25">
      <c r="B885" s="118" t="str">
        <f t="shared" si="13"/>
        <v/>
      </c>
    </row>
    <row r="886" spans="2:2" x14ac:dyDescent="0.25">
      <c r="B886" s="118" t="str">
        <f t="shared" si="13"/>
        <v/>
      </c>
    </row>
    <row r="887" spans="2:2" x14ac:dyDescent="0.25">
      <c r="B887" s="118" t="str">
        <f t="shared" si="13"/>
        <v/>
      </c>
    </row>
    <row r="888" spans="2:2" x14ac:dyDescent="0.25">
      <c r="B888" s="118" t="str">
        <f t="shared" si="13"/>
        <v/>
      </c>
    </row>
    <row r="889" spans="2:2" x14ac:dyDescent="0.25">
      <c r="B889" s="118" t="str">
        <f t="shared" si="13"/>
        <v/>
      </c>
    </row>
    <row r="890" spans="2:2" x14ac:dyDescent="0.25">
      <c r="B890" s="118" t="str">
        <f t="shared" si="13"/>
        <v/>
      </c>
    </row>
    <row r="891" spans="2:2" x14ac:dyDescent="0.25">
      <c r="B891" s="118" t="str">
        <f t="shared" si="13"/>
        <v/>
      </c>
    </row>
    <row r="892" spans="2:2" x14ac:dyDescent="0.25">
      <c r="B892" s="118" t="str">
        <f t="shared" si="13"/>
        <v/>
      </c>
    </row>
    <row r="893" spans="2:2" x14ac:dyDescent="0.25">
      <c r="B893" s="118" t="str">
        <f t="shared" si="13"/>
        <v/>
      </c>
    </row>
    <row r="894" spans="2:2" x14ac:dyDescent="0.25">
      <c r="B894" s="118" t="str">
        <f t="shared" si="13"/>
        <v/>
      </c>
    </row>
    <row r="895" spans="2:2" x14ac:dyDescent="0.25">
      <c r="B895" s="118" t="str">
        <f t="shared" si="13"/>
        <v/>
      </c>
    </row>
    <row r="896" spans="2:2" x14ac:dyDescent="0.25">
      <c r="B896" s="118" t="str">
        <f t="shared" si="13"/>
        <v/>
      </c>
    </row>
    <row r="897" spans="2:2" x14ac:dyDescent="0.25">
      <c r="B897" s="118" t="str">
        <f t="shared" si="13"/>
        <v/>
      </c>
    </row>
    <row r="898" spans="2:2" x14ac:dyDescent="0.25">
      <c r="B898" s="118" t="str">
        <f t="shared" si="13"/>
        <v/>
      </c>
    </row>
    <row r="899" spans="2:2" x14ac:dyDescent="0.25">
      <c r="B899" s="118" t="str">
        <f t="shared" si="13"/>
        <v/>
      </c>
    </row>
    <row r="900" spans="2:2" x14ac:dyDescent="0.25">
      <c r="B900" s="118" t="str">
        <f t="shared" si="13"/>
        <v/>
      </c>
    </row>
    <row r="901" spans="2:2" x14ac:dyDescent="0.25">
      <c r="B901" s="118" t="str">
        <f t="shared" si="13"/>
        <v/>
      </c>
    </row>
    <row r="902" spans="2:2" x14ac:dyDescent="0.25">
      <c r="B902" s="118" t="str">
        <f t="shared" si="13"/>
        <v/>
      </c>
    </row>
    <row r="903" spans="2:2" x14ac:dyDescent="0.25">
      <c r="B903" s="118" t="str">
        <f t="shared" si="13"/>
        <v/>
      </c>
    </row>
    <row r="904" spans="2:2" x14ac:dyDescent="0.25">
      <c r="B904" s="118" t="str">
        <f t="shared" si="13"/>
        <v/>
      </c>
    </row>
    <row r="905" spans="2:2" x14ac:dyDescent="0.25">
      <c r="B905" s="118" t="str">
        <f t="shared" si="13"/>
        <v/>
      </c>
    </row>
    <row r="906" spans="2:2" x14ac:dyDescent="0.25">
      <c r="B906" s="118" t="str">
        <f t="shared" si="13"/>
        <v/>
      </c>
    </row>
    <row r="907" spans="2:2" x14ac:dyDescent="0.25">
      <c r="B907" s="118" t="str">
        <f t="shared" si="13"/>
        <v/>
      </c>
    </row>
    <row r="908" spans="2:2" x14ac:dyDescent="0.25">
      <c r="B908" s="118" t="str">
        <f t="shared" si="13"/>
        <v/>
      </c>
    </row>
    <row r="909" spans="2:2" x14ac:dyDescent="0.25">
      <c r="B909" s="118" t="str">
        <f t="shared" si="13"/>
        <v/>
      </c>
    </row>
    <row r="910" spans="2:2" x14ac:dyDescent="0.25">
      <c r="B910" s="118" t="str">
        <f t="shared" si="13"/>
        <v/>
      </c>
    </row>
    <row r="911" spans="2:2" x14ac:dyDescent="0.25">
      <c r="B911" s="118" t="str">
        <f t="shared" si="13"/>
        <v/>
      </c>
    </row>
    <row r="912" spans="2:2" x14ac:dyDescent="0.25">
      <c r="B912" s="118" t="str">
        <f t="shared" si="13"/>
        <v/>
      </c>
    </row>
    <row r="913" spans="2:2" x14ac:dyDescent="0.25">
      <c r="B913" s="118" t="str">
        <f t="shared" si="13"/>
        <v/>
      </c>
    </row>
    <row r="914" spans="2:2" x14ac:dyDescent="0.25">
      <c r="B914" s="118" t="str">
        <f t="shared" si="13"/>
        <v/>
      </c>
    </row>
    <row r="915" spans="2:2" x14ac:dyDescent="0.25">
      <c r="B915" s="118" t="str">
        <f t="shared" si="13"/>
        <v/>
      </c>
    </row>
    <row r="916" spans="2:2" x14ac:dyDescent="0.25">
      <c r="B916" s="118" t="str">
        <f t="shared" ref="B916:B979" si="14">IF(A916=0,"","Hinge")</f>
        <v/>
      </c>
    </row>
    <row r="917" spans="2:2" x14ac:dyDescent="0.25">
      <c r="B917" s="118" t="str">
        <f t="shared" si="14"/>
        <v/>
      </c>
    </row>
    <row r="918" spans="2:2" x14ac:dyDescent="0.25">
      <c r="B918" s="118" t="str">
        <f t="shared" si="14"/>
        <v/>
      </c>
    </row>
    <row r="919" spans="2:2" x14ac:dyDescent="0.25">
      <c r="B919" s="118" t="str">
        <f t="shared" si="14"/>
        <v/>
      </c>
    </row>
    <row r="920" spans="2:2" x14ac:dyDescent="0.25">
      <c r="B920" s="118" t="str">
        <f t="shared" si="14"/>
        <v/>
      </c>
    </row>
    <row r="921" spans="2:2" x14ac:dyDescent="0.25">
      <c r="B921" s="118" t="str">
        <f t="shared" si="14"/>
        <v/>
      </c>
    </row>
    <row r="922" spans="2:2" x14ac:dyDescent="0.25">
      <c r="B922" s="118" t="str">
        <f t="shared" si="14"/>
        <v/>
      </c>
    </row>
    <row r="923" spans="2:2" x14ac:dyDescent="0.25">
      <c r="B923" s="118" t="str">
        <f t="shared" si="14"/>
        <v/>
      </c>
    </row>
    <row r="924" spans="2:2" x14ac:dyDescent="0.25">
      <c r="B924" s="118" t="str">
        <f t="shared" si="14"/>
        <v/>
      </c>
    </row>
    <row r="925" spans="2:2" x14ac:dyDescent="0.25">
      <c r="B925" s="118" t="str">
        <f t="shared" si="14"/>
        <v/>
      </c>
    </row>
    <row r="926" spans="2:2" x14ac:dyDescent="0.25">
      <c r="B926" s="118" t="str">
        <f t="shared" si="14"/>
        <v/>
      </c>
    </row>
    <row r="927" spans="2:2" x14ac:dyDescent="0.25">
      <c r="B927" s="118" t="str">
        <f t="shared" si="14"/>
        <v/>
      </c>
    </row>
    <row r="928" spans="2:2" x14ac:dyDescent="0.25">
      <c r="B928" s="118" t="str">
        <f t="shared" si="14"/>
        <v/>
      </c>
    </row>
    <row r="929" spans="2:2" x14ac:dyDescent="0.25">
      <c r="B929" s="118" t="str">
        <f t="shared" si="14"/>
        <v/>
      </c>
    </row>
    <row r="930" spans="2:2" x14ac:dyDescent="0.25">
      <c r="B930" s="118" t="str">
        <f t="shared" si="14"/>
        <v/>
      </c>
    </row>
    <row r="931" spans="2:2" x14ac:dyDescent="0.25">
      <c r="B931" s="118" t="str">
        <f t="shared" si="14"/>
        <v/>
      </c>
    </row>
    <row r="932" spans="2:2" x14ac:dyDescent="0.25">
      <c r="B932" s="118" t="str">
        <f t="shared" si="14"/>
        <v/>
      </c>
    </row>
    <row r="933" spans="2:2" x14ac:dyDescent="0.25">
      <c r="B933" s="118" t="str">
        <f t="shared" si="14"/>
        <v/>
      </c>
    </row>
    <row r="934" spans="2:2" x14ac:dyDescent="0.25">
      <c r="B934" s="118" t="str">
        <f t="shared" si="14"/>
        <v/>
      </c>
    </row>
    <row r="935" spans="2:2" x14ac:dyDescent="0.25">
      <c r="B935" s="118" t="str">
        <f t="shared" si="14"/>
        <v/>
      </c>
    </row>
    <row r="936" spans="2:2" x14ac:dyDescent="0.25">
      <c r="B936" s="118" t="str">
        <f t="shared" si="14"/>
        <v/>
      </c>
    </row>
    <row r="937" spans="2:2" x14ac:dyDescent="0.25">
      <c r="B937" s="118" t="str">
        <f t="shared" si="14"/>
        <v/>
      </c>
    </row>
    <row r="938" spans="2:2" x14ac:dyDescent="0.25">
      <c r="B938" s="118" t="str">
        <f t="shared" si="14"/>
        <v/>
      </c>
    </row>
    <row r="939" spans="2:2" x14ac:dyDescent="0.25">
      <c r="B939" s="118" t="str">
        <f t="shared" si="14"/>
        <v/>
      </c>
    </row>
    <row r="940" spans="2:2" x14ac:dyDescent="0.25">
      <c r="B940" s="118" t="str">
        <f t="shared" si="14"/>
        <v/>
      </c>
    </row>
    <row r="941" spans="2:2" x14ac:dyDescent="0.25">
      <c r="B941" s="118" t="str">
        <f t="shared" si="14"/>
        <v/>
      </c>
    </row>
    <row r="942" spans="2:2" x14ac:dyDescent="0.25">
      <c r="B942" s="118" t="str">
        <f t="shared" si="14"/>
        <v/>
      </c>
    </row>
    <row r="943" spans="2:2" x14ac:dyDescent="0.25">
      <c r="B943" s="118" t="str">
        <f t="shared" si="14"/>
        <v/>
      </c>
    </row>
    <row r="944" spans="2:2" x14ac:dyDescent="0.25">
      <c r="B944" s="118" t="str">
        <f t="shared" si="14"/>
        <v/>
      </c>
    </row>
    <row r="945" spans="2:2" x14ac:dyDescent="0.25">
      <c r="B945" s="118" t="str">
        <f t="shared" si="14"/>
        <v/>
      </c>
    </row>
    <row r="946" spans="2:2" x14ac:dyDescent="0.25">
      <c r="B946" s="118" t="str">
        <f t="shared" si="14"/>
        <v/>
      </c>
    </row>
    <row r="947" spans="2:2" x14ac:dyDescent="0.25">
      <c r="B947" s="118" t="str">
        <f t="shared" si="14"/>
        <v/>
      </c>
    </row>
    <row r="948" spans="2:2" x14ac:dyDescent="0.25">
      <c r="B948" s="118" t="str">
        <f t="shared" si="14"/>
        <v/>
      </c>
    </row>
    <row r="949" spans="2:2" x14ac:dyDescent="0.25">
      <c r="B949" s="118" t="str">
        <f t="shared" si="14"/>
        <v/>
      </c>
    </row>
    <row r="950" spans="2:2" x14ac:dyDescent="0.25">
      <c r="B950" s="118" t="str">
        <f t="shared" si="14"/>
        <v/>
      </c>
    </row>
    <row r="951" spans="2:2" x14ac:dyDescent="0.25">
      <c r="B951" s="118" t="str">
        <f t="shared" si="14"/>
        <v/>
      </c>
    </row>
    <row r="952" spans="2:2" x14ac:dyDescent="0.25">
      <c r="B952" s="118" t="str">
        <f t="shared" si="14"/>
        <v/>
      </c>
    </row>
    <row r="953" spans="2:2" x14ac:dyDescent="0.25">
      <c r="B953" s="118" t="str">
        <f t="shared" si="14"/>
        <v/>
      </c>
    </row>
    <row r="954" spans="2:2" x14ac:dyDescent="0.25">
      <c r="B954" s="118" t="str">
        <f t="shared" si="14"/>
        <v/>
      </c>
    </row>
    <row r="955" spans="2:2" x14ac:dyDescent="0.25">
      <c r="B955" s="118" t="str">
        <f t="shared" si="14"/>
        <v/>
      </c>
    </row>
    <row r="956" spans="2:2" x14ac:dyDescent="0.25">
      <c r="B956" s="118" t="str">
        <f t="shared" si="14"/>
        <v/>
      </c>
    </row>
    <row r="957" spans="2:2" x14ac:dyDescent="0.25">
      <c r="B957" s="118" t="str">
        <f t="shared" si="14"/>
        <v/>
      </c>
    </row>
    <row r="958" spans="2:2" x14ac:dyDescent="0.25">
      <c r="B958" s="118" t="str">
        <f t="shared" si="14"/>
        <v/>
      </c>
    </row>
    <row r="959" spans="2:2" x14ac:dyDescent="0.25">
      <c r="B959" s="118" t="str">
        <f t="shared" si="14"/>
        <v/>
      </c>
    </row>
    <row r="960" spans="2:2" x14ac:dyDescent="0.25">
      <c r="B960" s="118" t="str">
        <f t="shared" si="14"/>
        <v/>
      </c>
    </row>
    <row r="961" spans="2:2" x14ac:dyDescent="0.25">
      <c r="B961" s="118" t="str">
        <f t="shared" si="14"/>
        <v/>
      </c>
    </row>
    <row r="962" spans="2:2" x14ac:dyDescent="0.25">
      <c r="B962" s="118" t="str">
        <f t="shared" si="14"/>
        <v/>
      </c>
    </row>
    <row r="963" spans="2:2" x14ac:dyDescent="0.25">
      <c r="B963" s="118" t="str">
        <f t="shared" si="14"/>
        <v/>
      </c>
    </row>
    <row r="964" spans="2:2" x14ac:dyDescent="0.25">
      <c r="B964" s="118" t="str">
        <f t="shared" si="14"/>
        <v/>
      </c>
    </row>
    <row r="965" spans="2:2" x14ac:dyDescent="0.25">
      <c r="B965" s="118" t="str">
        <f t="shared" si="14"/>
        <v/>
      </c>
    </row>
    <row r="966" spans="2:2" x14ac:dyDescent="0.25">
      <c r="B966" s="118" t="str">
        <f t="shared" si="14"/>
        <v/>
      </c>
    </row>
    <row r="967" spans="2:2" x14ac:dyDescent="0.25">
      <c r="B967" s="118" t="str">
        <f t="shared" si="14"/>
        <v/>
      </c>
    </row>
    <row r="968" spans="2:2" x14ac:dyDescent="0.25">
      <c r="B968" s="118" t="str">
        <f t="shared" si="14"/>
        <v/>
      </c>
    </row>
    <row r="969" spans="2:2" x14ac:dyDescent="0.25">
      <c r="B969" s="118" t="str">
        <f t="shared" si="14"/>
        <v/>
      </c>
    </row>
    <row r="970" spans="2:2" x14ac:dyDescent="0.25">
      <c r="B970" s="118" t="str">
        <f t="shared" si="14"/>
        <v/>
      </c>
    </row>
    <row r="971" spans="2:2" x14ac:dyDescent="0.25">
      <c r="B971" s="118" t="str">
        <f t="shared" si="14"/>
        <v/>
      </c>
    </row>
    <row r="972" spans="2:2" x14ac:dyDescent="0.25">
      <c r="B972" s="118" t="str">
        <f t="shared" si="14"/>
        <v/>
      </c>
    </row>
    <row r="973" spans="2:2" x14ac:dyDescent="0.25">
      <c r="B973" s="118" t="str">
        <f t="shared" si="14"/>
        <v/>
      </c>
    </row>
    <row r="974" spans="2:2" x14ac:dyDescent="0.25">
      <c r="B974" s="118" t="str">
        <f t="shared" si="14"/>
        <v/>
      </c>
    </row>
    <row r="975" spans="2:2" x14ac:dyDescent="0.25">
      <c r="B975" s="118" t="str">
        <f t="shared" si="14"/>
        <v/>
      </c>
    </row>
    <row r="976" spans="2:2" x14ac:dyDescent="0.25">
      <c r="B976" s="118" t="str">
        <f t="shared" si="14"/>
        <v/>
      </c>
    </row>
    <row r="977" spans="2:2" x14ac:dyDescent="0.25">
      <c r="B977" s="118" t="str">
        <f t="shared" si="14"/>
        <v/>
      </c>
    </row>
    <row r="978" spans="2:2" x14ac:dyDescent="0.25">
      <c r="B978" s="118" t="str">
        <f t="shared" si="14"/>
        <v/>
      </c>
    </row>
    <row r="979" spans="2:2" x14ac:dyDescent="0.25">
      <c r="B979" s="118" t="str">
        <f t="shared" si="14"/>
        <v/>
      </c>
    </row>
    <row r="980" spans="2:2" x14ac:dyDescent="0.25">
      <c r="B980" s="118" t="str">
        <f t="shared" ref="B980:B1019" si="15">IF(A980=0,"","Hinge")</f>
        <v/>
      </c>
    </row>
    <row r="981" spans="2:2" x14ac:dyDescent="0.25">
      <c r="B981" s="118" t="str">
        <f t="shared" si="15"/>
        <v/>
      </c>
    </row>
    <row r="982" spans="2:2" x14ac:dyDescent="0.25">
      <c r="B982" s="118" t="str">
        <f t="shared" si="15"/>
        <v/>
      </c>
    </row>
    <row r="983" spans="2:2" x14ac:dyDescent="0.25">
      <c r="B983" s="118" t="str">
        <f t="shared" si="15"/>
        <v/>
      </c>
    </row>
    <row r="984" spans="2:2" x14ac:dyDescent="0.25">
      <c r="B984" s="118" t="str">
        <f t="shared" si="15"/>
        <v/>
      </c>
    </row>
    <row r="985" spans="2:2" x14ac:dyDescent="0.25">
      <c r="B985" s="118" t="str">
        <f t="shared" si="15"/>
        <v/>
      </c>
    </row>
    <row r="986" spans="2:2" x14ac:dyDescent="0.25">
      <c r="B986" s="118" t="str">
        <f t="shared" si="15"/>
        <v/>
      </c>
    </row>
    <row r="987" spans="2:2" x14ac:dyDescent="0.25">
      <c r="B987" s="118" t="str">
        <f t="shared" si="15"/>
        <v/>
      </c>
    </row>
    <row r="988" spans="2:2" x14ac:dyDescent="0.25">
      <c r="B988" s="118" t="str">
        <f t="shared" si="15"/>
        <v/>
      </c>
    </row>
    <row r="989" spans="2:2" x14ac:dyDescent="0.25">
      <c r="B989" s="118" t="str">
        <f t="shared" si="15"/>
        <v/>
      </c>
    </row>
    <row r="990" spans="2:2" x14ac:dyDescent="0.25">
      <c r="B990" s="118" t="str">
        <f t="shared" si="15"/>
        <v/>
      </c>
    </row>
    <row r="991" spans="2:2" x14ac:dyDescent="0.25">
      <c r="B991" s="118" t="str">
        <f t="shared" si="15"/>
        <v/>
      </c>
    </row>
    <row r="992" spans="2:2" x14ac:dyDescent="0.25">
      <c r="B992" s="118" t="str">
        <f t="shared" si="15"/>
        <v/>
      </c>
    </row>
    <row r="993" spans="2:2" x14ac:dyDescent="0.25">
      <c r="B993" s="118" t="str">
        <f t="shared" si="15"/>
        <v/>
      </c>
    </row>
    <row r="994" spans="2:2" x14ac:dyDescent="0.25">
      <c r="B994" s="118" t="str">
        <f t="shared" si="15"/>
        <v/>
      </c>
    </row>
    <row r="995" spans="2:2" x14ac:dyDescent="0.25">
      <c r="B995" s="118" t="str">
        <f t="shared" si="15"/>
        <v/>
      </c>
    </row>
    <row r="996" spans="2:2" x14ac:dyDescent="0.25">
      <c r="B996" s="118" t="str">
        <f t="shared" si="15"/>
        <v/>
      </c>
    </row>
    <row r="997" spans="2:2" x14ac:dyDescent="0.25">
      <c r="B997" s="118" t="str">
        <f t="shared" si="15"/>
        <v/>
      </c>
    </row>
    <row r="998" spans="2:2" x14ac:dyDescent="0.25">
      <c r="B998" s="118" t="str">
        <f t="shared" si="15"/>
        <v/>
      </c>
    </row>
    <row r="999" spans="2:2" x14ac:dyDescent="0.25">
      <c r="B999" s="118" t="str">
        <f t="shared" si="15"/>
        <v/>
      </c>
    </row>
    <row r="1000" spans="2:2" x14ac:dyDescent="0.25">
      <c r="B1000" s="118" t="str">
        <f t="shared" si="15"/>
        <v/>
      </c>
    </row>
    <row r="1001" spans="2:2" x14ac:dyDescent="0.25">
      <c r="B1001" s="118" t="str">
        <f t="shared" si="15"/>
        <v/>
      </c>
    </row>
    <row r="1002" spans="2:2" x14ac:dyDescent="0.25">
      <c r="B1002" s="118" t="str">
        <f t="shared" si="15"/>
        <v/>
      </c>
    </row>
    <row r="1003" spans="2:2" x14ac:dyDescent="0.25">
      <c r="B1003" s="118" t="str">
        <f t="shared" si="15"/>
        <v/>
      </c>
    </row>
    <row r="1004" spans="2:2" x14ac:dyDescent="0.25">
      <c r="B1004" s="118" t="str">
        <f t="shared" si="15"/>
        <v/>
      </c>
    </row>
    <row r="1005" spans="2:2" x14ac:dyDescent="0.25">
      <c r="B1005" s="118" t="str">
        <f t="shared" si="15"/>
        <v/>
      </c>
    </row>
    <row r="1006" spans="2:2" x14ac:dyDescent="0.25">
      <c r="B1006" s="118" t="str">
        <f t="shared" si="15"/>
        <v/>
      </c>
    </row>
    <row r="1007" spans="2:2" x14ac:dyDescent="0.25">
      <c r="B1007" s="118" t="str">
        <f t="shared" si="15"/>
        <v/>
      </c>
    </row>
    <row r="1008" spans="2:2" x14ac:dyDescent="0.25">
      <c r="B1008" s="118" t="str">
        <f t="shared" si="15"/>
        <v/>
      </c>
    </row>
    <row r="1009" spans="2:2" x14ac:dyDescent="0.25">
      <c r="B1009" s="118" t="str">
        <f t="shared" si="15"/>
        <v/>
      </c>
    </row>
    <row r="1010" spans="2:2" x14ac:dyDescent="0.25">
      <c r="B1010" s="118" t="str">
        <f t="shared" si="15"/>
        <v/>
      </c>
    </row>
    <row r="1011" spans="2:2" x14ac:dyDescent="0.25">
      <c r="B1011" s="118" t="str">
        <f t="shared" si="15"/>
        <v/>
      </c>
    </row>
    <row r="1012" spans="2:2" x14ac:dyDescent="0.25">
      <c r="B1012" s="118" t="str">
        <f t="shared" si="15"/>
        <v/>
      </c>
    </row>
    <row r="1013" spans="2:2" x14ac:dyDescent="0.25">
      <c r="B1013" s="118" t="str">
        <f t="shared" si="15"/>
        <v/>
      </c>
    </row>
    <row r="1014" spans="2:2" x14ac:dyDescent="0.25">
      <c r="B1014" s="118" t="str">
        <f t="shared" si="15"/>
        <v/>
      </c>
    </row>
    <row r="1015" spans="2:2" x14ac:dyDescent="0.25">
      <c r="B1015" s="118" t="str">
        <f t="shared" si="15"/>
        <v/>
      </c>
    </row>
    <row r="1016" spans="2:2" x14ac:dyDescent="0.25">
      <c r="B1016" s="118" t="str">
        <f t="shared" si="15"/>
        <v/>
      </c>
    </row>
    <row r="1017" spans="2:2" x14ac:dyDescent="0.25">
      <c r="B1017" s="118" t="str">
        <f t="shared" si="15"/>
        <v/>
      </c>
    </row>
    <row r="1018" spans="2:2" x14ac:dyDescent="0.25">
      <c r="B1018" s="118" t="str">
        <f t="shared" si="15"/>
        <v/>
      </c>
    </row>
    <row r="1019" spans="2:2" x14ac:dyDescent="0.25">
      <c r="B1019" s="118" t="str">
        <f t="shared" si="15"/>
        <v/>
      </c>
    </row>
  </sheetData>
  <mergeCells count="4">
    <mergeCell ref="A6:P6"/>
    <mergeCell ref="A7:P7"/>
    <mergeCell ref="A12:P12"/>
    <mergeCell ref="A13:P13"/>
  </mergeCells>
  <dataValidations count="4">
    <dataValidation type="custom" allowBlank="1" showInputMessage="1" showErrorMessage="1" errorTitle="Invalid Input" error="Please enter a text/string value only." sqref="A20:A1048576" xr:uid="{0EC59F64-990E-497D-8F14-343CD7ECC886}">
      <formula1>ISTEXT(A20)</formula1>
    </dataValidation>
    <dataValidation type="list" allowBlank="1" showInputMessage="1" showErrorMessage="1" errorTitle="Invalid Input" error="Choose from the list" sqref="C20:C1048576" xr:uid="{279C696D-6E2E-4175-B430-7BA291FB10BD}">
      <formula1>"IMKBilinear, IMKPeakOriented, IMKPinching"</formula1>
    </dataValidation>
    <dataValidation type="decimal" allowBlank="1" showInputMessage="1" showErrorMessage="1" errorTitle="Invalid Input" error="Please enter a float value only." sqref="E20:V1048576 W20:AF1048576" xr:uid="{225206F4-F767-49ED-BE1B-D966A8CB3279}">
      <formula1>0</formula1>
      <formula2>1000000000000</formula2>
    </dataValidation>
    <dataValidation type="decimal" allowBlank="1" showInputMessage="1" showErrorMessage="1" errorTitle="Invalid Input" error="Please enter a float value only." sqref="D20:D1048576" xr:uid="{B42B9AD7-83E4-4677-8604-4C2177709045}">
      <formula1>0</formula1>
      <formula2>1E+24</formula2>
    </dataValidation>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50D375-DBFA-4947-9799-8505849C9E0A}">
  <sheetPr codeName="Sheet10"/>
  <dimension ref="A1:M1016"/>
  <sheetViews>
    <sheetView zoomScale="130" zoomScaleNormal="130" workbookViewId="0">
      <selection activeCell="C8" sqref="C8"/>
    </sheetView>
  </sheetViews>
  <sheetFormatPr defaultColWidth="10.85546875" defaultRowHeight="15.75" x14ac:dyDescent="0.25"/>
  <cols>
    <col min="1" max="3" width="20.7109375" style="41" customWidth="1"/>
    <col min="4" max="4" width="20.7109375" style="39" customWidth="1"/>
    <col min="5" max="5" width="20.7109375" style="41" customWidth="1"/>
    <col min="6" max="13" width="10.7109375" style="48" customWidth="1"/>
    <col min="14" max="16384" width="10.85546875" style="3"/>
  </cols>
  <sheetData>
    <row r="1" spans="1:13" x14ac:dyDescent="0.25">
      <c r="A1" s="32" t="s">
        <v>200</v>
      </c>
      <c r="B1" s="38"/>
      <c r="C1" s="38"/>
      <c r="D1" s="38"/>
      <c r="E1" s="38"/>
      <c r="F1" s="42"/>
      <c r="G1" s="42"/>
      <c r="H1" s="42"/>
      <c r="I1" s="42"/>
      <c r="J1" s="42"/>
      <c r="K1" s="42"/>
      <c r="L1" s="42"/>
      <c r="M1" s="43"/>
    </row>
    <row r="2" spans="1:13" x14ac:dyDescent="0.25">
      <c r="A2" s="44" t="s">
        <v>318</v>
      </c>
      <c r="B2" s="54"/>
      <c r="C2" s="54"/>
      <c r="D2" s="54"/>
      <c r="E2" s="54"/>
      <c r="F2" s="55"/>
      <c r="G2" s="55"/>
      <c r="H2" s="55"/>
      <c r="I2" s="55"/>
      <c r="J2" s="55"/>
      <c r="K2" s="55"/>
      <c r="L2" s="55"/>
      <c r="M2" s="45"/>
    </row>
    <row r="3" spans="1:13" x14ac:dyDescent="0.25">
      <c r="A3" s="44" t="s">
        <v>319</v>
      </c>
      <c r="B3" s="54"/>
      <c r="C3" s="54"/>
      <c r="D3" s="54"/>
      <c r="E3" s="54"/>
      <c r="F3" s="55"/>
      <c r="G3" s="55"/>
      <c r="H3" s="55"/>
      <c r="I3" s="55"/>
      <c r="J3" s="55"/>
      <c r="K3" s="55"/>
      <c r="L3" s="55"/>
      <c r="M3" s="45"/>
    </row>
    <row r="4" spans="1:13" x14ac:dyDescent="0.25">
      <c r="A4" s="100" t="s">
        <v>320</v>
      </c>
      <c r="B4" s="54"/>
      <c r="C4" s="54"/>
      <c r="D4" s="54"/>
      <c r="E4" s="54"/>
      <c r="F4" s="55"/>
      <c r="G4" s="55"/>
      <c r="H4" s="55"/>
      <c r="I4" s="55"/>
      <c r="J4" s="55"/>
      <c r="K4" s="55"/>
      <c r="L4" s="55"/>
      <c r="M4" s="45"/>
    </row>
    <row r="5" spans="1:13" x14ac:dyDescent="0.25">
      <c r="A5" s="44" t="s">
        <v>321</v>
      </c>
      <c r="B5" s="54"/>
      <c r="C5" s="54"/>
      <c r="D5" s="54"/>
      <c r="E5" s="54"/>
      <c r="F5" s="55"/>
      <c r="G5" s="55"/>
      <c r="H5" s="55"/>
      <c r="I5" s="55"/>
      <c r="J5" s="55"/>
      <c r="K5" s="55"/>
      <c r="L5" s="55"/>
      <c r="M5" s="45"/>
    </row>
    <row r="6" spans="1:13" x14ac:dyDescent="0.25">
      <c r="A6" s="44" t="s">
        <v>322</v>
      </c>
      <c r="B6" s="54"/>
      <c r="C6" s="54"/>
      <c r="D6" s="54"/>
      <c r="E6" s="54"/>
      <c r="F6" s="55"/>
      <c r="G6" s="55"/>
      <c r="H6" s="55"/>
      <c r="I6" s="55"/>
      <c r="J6" s="55"/>
      <c r="K6" s="55"/>
      <c r="L6" s="55"/>
      <c r="M6" s="45"/>
    </row>
    <row r="7" spans="1:13" x14ac:dyDescent="0.25">
      <c r="A7" s="44" t="s">
        <v>323</v>
      </c>
      <c r="B7" s="54"/>
      <c r="C7" s="54"/>
      <c r="D7" s="54"/>
      <c r="E7" s="54"/>
      <c r="F7" s="55"/>
      <c r="G7" s="55"/>
      <c r="H7" s="55"/>
      <c r="I7" s="55"/>
      <c r="J7" s="55"/>
      <c r="K7" s="55"/>
      <c r="L7" s="55"/>
      <c r="M7" s="45"/>
    </row>
    <row r="8" spans="1:13" x14ac:dyDescent="0.25">
      <c r="A8" s="44" t="s">
        <v>324</v>
      </c>
      <c r="B8" s="54"/>
      <c r="C8" s="54"/>
      <c r="D8" s="54"/>
      <c r="E8" s="54"/>
      <c r="F8" s="55"/>
      <c r="G8" s="55"/>
      <c r="H8" s="55"/>
      <c r="I8" s="55"/>
      <c r="J8" s="55"/>
      <c r="K8" s="55"/>
      <c r="L8" s="55"/>
      <c r="M8" s="45"/>
    </row>
    <row r="9" spans="1:13" x14ac:dyDescent="0.25">
      <c r="A9" s="44" t="s">
        <v>326</v>
      </c>
      <c r="B9" s="54"/>
      <c r="C9" s="54"/>
      <c r="D9" s="54"/>
      <c r="E9" s="54"/>
      <c r="F9" s="55"/>
      <c r="G9" s="55"/>
      <c r="H9" s="55"/>
      <c r="I9" s="55"/>
      <c r="J9" s="55"/>
      <c r="K9" s="55"/>
      <c r="L9" s="55"/>
      <c r="M9" s="45"/>
    </row>
    <row r="10" spans="1:13" x14ac:dyDescent="0.25">
      <c r="A10" s="44" t="s">
        <v>325</v>
      </c>
      <c r="B10" s="54"/>
      <c r="C10" s="54"/>
      <c r="D10" s="54"/>
      <c r="E10" s="54"/>
      <c r="F10" s="55"/>
      <c r="G10" s="55"/>
      <c r="H10" s="55"/>
      <c r="I10" s="55"/>
      <c r="J10" s="55"/>
      <c r="K10" s="55"/>
      <c r="L10" s="55"/>
      <c r="M10" s="45"/>
    </row>
    <row r="11" spans="1:13" x14ac:dyDescent="0.25">
      <c r="A11" s="44" t="s">
        <v>327</v>
      </c>
      <c r="B11" s="54"/>
      <c r="C11" s="54"/>
      <c r="D11" s="54"/>
      <c r="E11" s="54"/>
      <c r="F11" s="55"/>
      <c r="G11" s="55"/>
      <c r="H11" s="55"/>
      <c r="I11" s="55"/>
      <c r="J11" s="55"/>
      <c r="K11" s="55"/>
      <c r="L11" s="55"/>
      <c r="M11" s="45"/>
    </row>
    <row r="12" spans="1:13" x14ac:dyDescent="0.25">
      <c r="A12" s="44" t="s">
        <v>328</v>
      </c>
      <c r="B12" s="54"/>
      <c r="C12" s="54"/>
      <c r="D12" s="54"/>
      <c r="E12" s="54"/>
      <c r="F12" s="55"/>
      <c r="G12" s="55"/>
      <c r="H12" s="55"/>
      <c r="I12" s="55"/>
      <c r="J12" s="55"/>
      <c r="K12" s="55"/>
      <c r="L12" s="55"/>
      <c r="M12" s="45"/>
    </row>
    <row r="13" spans="1:13" x14ac:dyDescent="0.25">
      <c r="A13" s="44" t="s">
        <v>329</v>
      </c>
      <c r="B13" s="54"/>
      <c r="C13" s="54"/>
      <c r="D13" s="54"/>
      <c r="E13" s="54"/>
      <c r="F13" s="55"/>
      <c r="G13" s="55"/>
      <c r="H13" s="55"/>
      <c r="I13" s="55"/>
      <c r="J13" s="55"/>
      <c r="K13" s="55"/>
      <c r="L13" s="55"/>
      <c r="M13" s="45"/>
    </row>
    <row r="14" spans="1:13" x14ac:dyDescent="0.25">
      <c r="A14" s="49" t="s">
        <v>330</v>
      </c>
      <c r="B14" s="40"/>
      <c r="C14" s="40"/>
      <c r="D14" s="40"/>
      <c r="E14" s="40"/>
      <c r="F14" s="46"/>
      <c r="G14" s="46"/>
      <c r="H14" s="46"/>
      <c r="I14" s="46"/>
      <c r="J14" s="46"/>
      <c r="K14" s="46"/>
      <c r="L14" s="46"/>
      <c r="M14" s="47"/>
    </row>
    <row r="15" spans="1:13" x14ac:dyDescent="0.25">
      <c r="A15" s="33"/>
      <c r="B15" s="1"/>
      <c r="C15" s="1"/>
      <c r="D15" s="1"/>
      <c r="E15" s="1"/>
      <c r="F15" s="4"/>
      <c r="G15" s="4"/>
      <c r="H15" s="4"/>
      <c r="I15" s="4"/>
      <c r="J15" s="4"/>
      <c r="K15" s="4"/>
      <c r="L15" s="4"/>
      <c r="M15" s="4"/>
    </row>
    <row r="16" spans="1:13" s="2" customFormat="1" x14ac:dyDescent="0.25">
      <c r="A16" s="31" t="s">
        <v>72</v>
      </c>
      <c r="B16" s="31" t="s">
        <v>71</v>
      </c>
      <c r="C16" s="31" t="s">
        <v>18</v>
      </c>
      <c r="D16" s="31" t="s">
        <v>79</v>
      </c>
      <c r="E16" s="31" t="s">
        <v>115</v>
      </c>
      <c r="F16" s="31" t="s">
        <v>80</v>
      </c>
      <c r="G16" s="31" t="s">
        <v>28</v>
      </c>
      <c r="H16" s="31" t="s">
        <v>81</v>
      </c>
      <c r="I16" s="31" t="s">
        <v>82</v>
      </c>
      <c r="J16" s="31" t="s">
        <v>83</v>
      </c>
      <c r="K16" s="31" t="s">
        <v>84</v>
      </c>
      <c r="L16" s="31" t="s">
        <v>85</v>
      </c>
      <c r="M16" s="31" t="s">
        <v>86</v>
      </c>
    </row>
    <row r="17" spans="1:13" x14ac:dyDescent="0.25">
      <c r="A17" s="41" t="s">
        <v>87</v>
      </c>
      <c r="B17" s="41" t="s">
        <v>74</v>
      </c>
      <c r="C17" s="41" t="s">
        <v>16</v>
      </c>
      <c r="D17" s="39" t="str">
        <f t="shared" ref="D17:D80" si="0">IF(A17=0,"","Elastic")</f>
        <v>Elastic</v>
      </c>
      <c r="E17" s="41" t="s">
        <v>116</v>
      </c>
      <c r="F17" s="48">
        <v>0.7</v>
      </c>
      <c r="G17" s="48">
        <v>0.7</v>
      </c>
      <c r="H17" s="48">
        <v>1</v>
      </c>
      <c r="I17" s="48">
        <v>1</v>
      </c>
      <c r="J17" s="48">
        <v>1</v>
      </c>
      <c r="K17" s="48">
        <v>0.7</v>
      </c>
      <c r="L17" s="48">
        <v>0.7</v>
      </c>
      <c r="M17" s="48">
        <v>1</v>
      </c>
    </row>
    <row r="18" spans="1:13" x14ac:dyDescent="0.25">
      <c r="A18" s="41" t="s">
        <v>88</v>
      </c>
      <c r="B18" s="41" t="s">
        <v>74</v>
      </c>
      <c r="C18" s="41" t="s">
        <v>16</v>
      </c>
      <c r="D18" s="39" t="str">
        <f t="shared" si="0"/>
        <v>Elastic</v>
      </c>
      <c r="E18" s="41" t="s">
        <v>117</v>
      </c>
      <c r="F18" s="48">
        <v>0.6</v>
      </c>
      <c r="G18" s="48">
        <v>0.3</v>
      </c>
      <c r="H18" s="48">
        <v>1</v>
      </c>
      <c r="I18" s="48">
        <v>1</v>
      </c>
      <c r="J18" s="48">
        <v>1</v>
      </c>
      <c r="K18" s="48">
        <v>0.35</v>
      </c>
      <c r="L18" s="48">
        <v>0.35</v>
      </c>
      <c r="M18" s="48">
        <v>1</v>
      </c>
    </row>
    <row r="19" spans="1:13" x14ac:dyDescent="0.25">
      <c r="D19" s="39" t="str">
        <f t="shared" si="0"/>
        <v/>
      </c>
      <c r="E19" s="41" t="str">
        <f t="shared" ref="E19:E82" si="1">IF(B19=0,"","Elastic")</f>
        <v/>
      </c>
    </row>
    <row r="20" spans="1:13" x14ac:dyDescent="0.25">
      <c r="D20" s="39" t="str">
        <f t="shared" si="0"/>
        <v/>
      </c>
      <c r="E20" s="41" t="str">
        <f t="shared" si="1"/>
        <v/>
      </c>
    </row>
    <row r="21" spans="1:13" x14ac:dyDescent="0.25">
      <c r="D21" s="39" t="str">
        <f t="shared" si="0"/>
        <v/>
      </c>
      <c r="E21" s="41" t="str">
        <f t="shared" si="1"/>
        <v/>
      </c>
    </row>
    <row r="22" spans="1:13" x14ac:dyDescent="0.25">
      <c r="D22" s="39" t="str">
        <f t="shared" si="0"/>
        <v/>
      </c>
      <c r="E22" s="41" t="str">
        <f t="shared" si="1"/>
        <v/>
      </c>
    </row>
    <row r="23" spans="1:13" x14ac:dyDescent="0.25">
      <c r="D23" s="39" t="str">
        <f t="shared" si="0"/>
        <v/>
      </c>
      <c r="E23" s="41" t="str">
        <f t="shared" si="1"/>
        <v/>
      </c>
    </row>
    <row r="24" spans="1:13" x14ac:dyDescent="0.25">
      <c r="D24" s="39" t="str">
        <f t="shared" si="0"/>
        <v/>
      </c>
      <c r="E24" s="41" t="str">
        <f t="shared" si="1"/>
        <v/>
      </c>
    </row>
    <row r="25" spans="1:13" x14ac:dyDescent="0.25">
      <c r="D25" s="39" t="str">
        <f t="shared" si="0"/>
        <v/>
      </c>
      <c r="E25" s="41" t="str">
        <f t="shared" si="1"/>
        <v/>
      </c>
    </row>
    <row r="26" spans="1:13" x14ac:dyDescent="0.25">
      <c r="D26" s="39" t="str">
        <f t="shared" si="0"/>
        <v/>
      </c>
      <c r="E26" s="41" t="str">
        <f t="shared" si="1"/>
        <v/>
      </c>
    </row>
    <row r="27" spans="1:13" x14ac:dyDescent="0.25">
      <c r="D27" s="39" t="str">
        <f t="shared" si="0"/>
        <v/>
      </c>
      <c r="E27" s="41" t="str">
        <f t="shared" si="1"/>
        <v/>
      </c>
    </row>
    <row r="28" spans="1:13" x14ac:dyDescent="0.25">
      <c r="D28" s="39" t="str">
        <f t="shared" si="0"/>
        <v/>
      </c>
      <c r="E28" s="41" t="str">
        <f t="shared" si="1"/>
        <v/>
      </c>
    </row>
    <row r="29" spans="1:13" x14ac:dyDescent="0.25">
      <c r="D29" s="39" t="str">
        <f t="shared" si="0"/>
        <v/>
      </c>
      <c r="E29" s="41" t="str">
        <f t="shared" si="1"/>
        <v/>
      </c>
    </row>
    <row r="30" spans="1:13" x14ac:dyDescent="0.25">
      <c r="D30" s="39" t="str">
        <f t="shared" si="0"/>
        <v/>
      </c>
      <c r="E30" s="41" t="str">
        <f t="shared" si="1"/>
        <v/>
      </c>
    </row>
    <row r="31" spans="1:13" x14ac:dyDescent="0.25">
      <c r="D31" s="39" t="str">
        <f t="shared" si="0"/>
        <v/>
      </c>
      <c r="E31" s="41" t="str">
        <f t="shared" si="1"/>
        <v/>
      </c>
    </row>
    <row r="32" spans="1:13" x14ac:dyDescent="0.25">
      <c r="D32" s="39" t="str">
        <f t="shared" si="0"/>
        <v/>
      </c>
      <c r="E32" s="41" t="str">
        <f t="shared" si="1"/>
        <v/>
      </c>
    </row>
    <row r="33" spans="4:5" x14ac:dyDescent="0.25">
      <c r="D33" s="39" t="str">
        <f t="shared" si="0"/>
        <v/>
      </c>
      <c r="E33" s="41" t="str">
        <f t="shared" si="1"/>
        <v/>
      </c>
    </row>
    <row r="34" spans="4:5" x14ac:dyDescent="0.25">
      <c r="D34" s="39" t="str">
        <f t="shared" si="0"/>
        <v/>
      </c>
      <c r="E34" s="41" t="str">
        <f t="shared" si="1"/>
        <v/>
      </c>
    </row>
    <row r="35" spans="4:5" x14ac:dyDescent="0.25">
      <c r="D35" s="39" t="str">
        <f t="shared" si="0"/>
        <v/>
      </c>
      <c r="E35" s="41" t="str">
        <f t="shared" si="1"/>
        <v/>
      </c>
    </row>
    <row r="36" spans="4:5" x14ac:dyDescent="0.25">
      <c r="D36" s="39" t="str">
        <f t="shared" si="0"/>
        <v/>
      </c>
      <c r="E36" s="41" t="str">
        <f t="shared" si="1"/>
        <v/>
      </c>
    </row>
    <row r="37" spans="4:5" x14ac:dyDescent="0.25">
      <c r="D37" s="39" t="str">
        <f t="shared" si="0"/>
        <v/>
      </c>
      <c r="E37" s="41" t="str">
        <f t="shared" si="1"/>
        <v/>
      </c>
    </row>
    <row r="38" spans="4:5" x14ac:dyDescent="0.25">
      <c r="D38" s="39" t="str">
        <f t="shared" si="0"/>
        <v/>
      </c>
      <c r="E38" s="41" t="str">
        <f t="shared" si="1"/>
        <v/>
      </c>
    </row>
    <row r="39" spans="4:5" x14ac:dyDescent="0.25">
      <c r="D39" s="39" t="str">
        <f t="shared" si="0"/>
        <v/>
      </c>
      <c r="E39" s="41" t="str">
        <f t="shared" si="1"/>
        <v/>
      </c>
    </row>
    <row r="40" spans="4:5" x14ac:dyDescent="0.25">
      <c r="D40" s="39" t="str">
        <f t="shared" si="0"/>
        <v/>
      </c>
      <c r="E40" s="41" t="str">
        <f t="shared" si="1"/>
        <v/>
      </c>
    </row>
    <row r="41" spans="4:5" x14ac:dyDescent="0.25">
      <c r="D41" s="39" t="str">
        <f t="shared" si="0"/>
        <v/>
      </c>
      <c r="E41" s="41" t="str">
        <f t="shared" si="1"/>
        <v/>
      </c>
    </row>
    <row r="42" spans="4:5" x14ac:dyDescent="0.25">
      <c r="D42" s="39" t="str">
        <f t="shared" si="0"/>
        <v/>
      </c>
      <c r="E42" s="41" t="str">
        <f t="shared" si="1"/>
        <v/>
      </c>
    </row>
    <row r="43" spans="4:5" x14ac:dyDescent="0.25">
      <c r="D43" s="39" t="str">
        <f t="shared" si="0"/>
        <v/>
      </c>
      <c r="E43" s="41" t="str">
        <f t="shared" si="1"/>
        <v/>
      </c>
    </row>
    <row r="44" spans="4:5" x14ac:dyDescent="0.25">
      <c r="D44" s="39" t="str">
        <f t="shared" si="0"/>
        <v/>
      </c>
      <c r="E44" s="41" t="str">
        <f t="shared" si="1"/>
        <v/>
      </c>
    </row>
    <row r="45" spans="4:5" x14ac:dyDescent="0.25">
      <c r="D45" s="39" t="str">
        <f t="shared" si="0"/>
        <v/>
      </c>
      <c r="E45" s="41" t="str">
        <f t="shared" si="1"/>
        <v/>
      </c>
    </row>
    <row r="46" spans="4:5" x14ac:dyDescent="0.25">
      <c r="D46" s="39" t="str">
        <f t="shared" si="0"/>
        <v/>
      </c>
      <c r="E46" s="41" t="str">
        <f t="shared" si="1"/>
        <v/>
      </c>
    </row>
    <row r="47" spans="4:5" x14ac:dyDescent="0.25">
      <c r="D47" s="39" t="str">
        <f t="shared" si="0"/>
        <v/>
      </c>
      <c r="E47" s="41" t="str">
        <f t="shared" si="1"/>
        <v/>
      </c>
    </row>
    <row r="48" spans="4:5" x14ac:dyDescent="0.25">
      <c r="D48" s="39" t="str">
        <f t="shared" si="0"/>
        <v/>
      </c>
      <c r="E48" s="41" t="str">
        <f t="shared" si="1"/>
        <v/>
      </c>
    </row>
    <row r="49" spans="4:5" x14ac:dyDescent="0.25">
      <c r="D49" s="39" t="str">
        <f t="shared" si="0"/>
        <v/>
      </c>
      <c r="E49" s="41" t="str">
        <f t="shared" si="1"/>
        <v/>
      </c>
    </row>
    <row r="50" spans="4:5" x14ac:dyDescent="0.25">
      <c r="D50" s="39" t="str">
        <f t="shared" si="0"/>
        <v/>
      </c>
      <c r="E50" s="41" t="str">
        <f t="shared" si="1"/>
        <v/>
      </c>
    </row>
    <row r="51" spans="4:5" x14ac:dyDescent="0.25">
      <c r="D51" s="39" t="str">
        <f t="shared" si="0"/>
        <v/>
      </c>
      <c r="E51" s="41" t="str">
        <f t="shared" si="1"/>
        <v/>
      </c>
    </row>
    <row r="52" spans="4:5" x14ac:dyDescent="0.25">
      <c r="D52" s="39" t="str">
        <f t="shared" si="0"/>
        <v/>
      </c>
      <c r="E52" s="41" t="str">
        <f t="shared" si="1"/>
        <v/>
      </c>
    </row>
    <row r="53" spans="4:5" x14ac:dyDescent="0.25">
      <c r="D53" s="39" t="str">
        <f t="shared" si="0"/>
        <v/>
      </c>
      <c r="E53" s="41" t="str">
        <f t="shared" si="1"/>
        <v/>
      </c>
    </row>
    <row r="54" spans="4:5" x14ac:dyDescent="0.25">
      <c r="D54" s="39" t="str">
        <f t="shared" si="0"/>
        <v/>
      </c>
      <c r="E54" s="41" t="str">
        <f t="shared" si="1"/>
        <v/>
      </c>
    </row>
    <row r="55" spans="4:5" x14ac:dyDescent="0.25">
      <c r="D55" s="39" t="str">
        <f t="shared" si="0"/>
        <v/>
      </c>
      <c r="E55" s="41" t="str">
        <f t="shared" si="1"/>
        <v/>
      </c>
    </row>
    <row r="56" spans="4:5" x14ac:dyDescent="0.25">
      <c r="D56" s="39" t="str">
        <f t="shared" si="0"/>
        <v/>
      </c>
      <c r="E56" s="41" t="str">
        <f t="shared" si="1"/>
        <v/>
      </c>
    </row>
    <row r="57" spans="4:5" x14ac:dyDescent="0.25">
      <c r="D57" s="39" t="str">
        <f t="shared" si="0"/>
        <v/>
      </c>
      <c r="E57" s="41" t="str">
        <f t="shared" si="1"/>
        <v/>
      </c>
    </row>
    <row r="58" spans="4:5" x14ac:dyDescent="0.25">
      <c r="D58" s="39" t="str">
        <f t="shared" si="0"/>
        <v/>
      </c>
      <c r="E58" s="41" t="str">
        <f t="shared" si="1"/>
        <v/>
      </c>
    </row>
    <row r="59" spans="4:5" x14ac:dyDescent="0.25">
      <c r="D59" s="39" t="str">
        <f t="shared" si="0"/>
        <v/>
      </c>
      <c r="E59" s="41" t="str">
        <f t="shared" si="1"/>
        <v/>
      </c>
    </row>
    <row r="60" spans="4:5" x14ac:dyDescent="0.25">
      <c r="D60" s="39" t="str">
        <f t="shared" si="0"/>
        <v/>
      </c>
      <c r="E60" s="41" t="str">
        <f t="shared" si="1"/>
        <v/>
      </c>
    </row>
    <row r="61" spans="4:5" x14ac:dyDescent="0.25">
      <c r="D61" s="39" t="str">
        <f t="shared" si="0"/>
        <v/>
      </c>
      <c r="E61" s="41" t="str">
        <f t="shared" si="1"/>
        <v/>
      </c>
    </row>
    <row r="62" spans="4:5" x14ac:dyDescent="0.25">
      <c r="D62" s="39" t="str">
        <f t="shared" si="0"/>
        <v/>
      </c>
      <c r="E62" s="41" t="str">
        <f t="shared" si="1"/>
        <v/>
      </c>
    </row>
    <row r="63" spans="4:5" x14ac:dyDescent="0.25">
      <c r="D63" s="39" t="str">
        <f t="shared" si="0"/>
        <v/>
      </c>
      <c r="E63" s="41" t="str">
        <f t="shared" si="1"/>
        <v/>
      </c>
    </row>
    <row r="64" spans="4:5" x14ac:dyDescent="0.25">
      <c r="D64" s="39" t="str">
        <f t="shared" si="0"/>
        <v/>
      </c>
      <c r="E64" s="41" t="str">
        <f t="shared" si="1"/>
        <v/>
      </c>
    </row>
    <row r="65" spans="4:5" x14ac:dyDescent="0.25">
      <c r="D65" s="39" t="str">
        <f t="shared" si="0"/>
        <v/>
      </c>
      <c r="E65" s="41" t="str">
        <f t="shared" si="1"/>
        <v/>
      </c>
    </row>
    <row r="66" spans="4:5" x14ac:dyDescent="0.25">
      <c r="D66" s="39" t="str">
        <f t="shared" si="0"/>
        <v/>
      </c>
      <c r="E66" s="41" t="str">
        <f t="shared" si="1"/>
        <v/>
      </c>
    </row>
    <row r="67" spans="4:5" x14ac:dyDescent="0.25">
      <c r="D67" s="39" t="str">
        <f t="shared" si="0"/>
        <v/>
      </c>
      <c r="E67" s="41" t="str">
        <f t="shared" si="1"/>
        <v/>
      </c>
    </row>
    <row r="68" spans="4:5" x14ac:dyDescent="0.25">
      <c r="D68" s="39" t="str">
        <f t="shared" si="0"/>
        <v/>
      </c>
      <c r="E68" s="41" t="str">
        <f t="shared" si="1"/>
        <v/>
      </c>
    </row>
    <row r="69" spans="4:5" x14ac:dyDescent="0.25">
      <c r="D69" s="39" t="str">
        <f t="shared" si="0"/>
        <v/>
      </c>
      <c r="E69" s="41" t="str">
        <f t="shared" si="1"/>
        <v/>
      </c>
    </row>
    <row r="70" spans="4:5" x14ac:dyDescent="0.25">
      <c r="D70" s="39" t="str">
        <f t="shared" si="0"/>
        <v/>
      </c>
      <c r="E70" s="41" t="str">
        <f t="shared" si="1"/>
        <v/>
      </c>
    </row>
    <row r="71" spans="4:5" x14ac:dyDescent="0.25">
      <c r="D71" s="39" t="str">
        <f t="shared" si="0"/>
        <v/>
      </c>
      <c r="E71" s="41" t="str">
        <f t="shared" si="1"/>
        <v/>
      </c>
    </row>
    <row r="72" spans="4:5" x14ac:dyDescent="0.25">
      <c r="D72" s="39" t="str">
        <f t="shared" si="0"/>
        <v/>
      </c>
      <c r="E72" s="41" t="str">
        <f t="shared" si="1"/>
        <v/>
      </c>
    </row>
    <row r="73" spans="4:5" x14ac:dyDescent="0.25">
      <c r="D73" s="39" t="str">
        <f t="shared" si="0"/>
        <v/>
      </c>
      <c r="E73" s="41" t="str">
        <f t="shared" si="1"/>
        <v/>
      </c>
    </row>
    <row r="74" spans="4:5" x14ac:dyDescent="0.25">
      <c r="D74" s="39" t="str">
        <f t="shared" si="0"/>
        <v/>
      </c>
      <c r="E74" s="41" t="str">
        <f t="shared" si="1"/>
        <v/>
      </c>
    </row>
    <row r="75" spans="4:5" x14ac:dyDescent="0.25">
      <c r="D75" s="39" t="str">
        <f t="shared" si="0"/>
        <v/>
      </c>
      <c r="E75" s="41" t="str">
        <f t="shared" si="1"/>
        <v/>
      </c>
    </row>
    <row r="76" spans="4:5" x14ac:dyDescent="0.25">
      <c r="D76" s="39" t="str">
        <f t="shared" si="0"/>
        <v/>
      </c>
      <c r="E76" s="41" t="str">
        <f t="shared" si="1"/>
        <v/>
      </c>
    </row>
    <row r="77" spans="4:5" x14ac:dyDescent="0.25">
      <c r="D77" s="39" t="str">
        <f t="shared" si="0"/>
        <v/>
      </c>
      <c r="E77" s="41" t="str">
        <f t="shared" si="1"/>
        <v/>
      </c>
    </row>
    <row r="78" spans="4:5" x14ac:dyDescent="0.25">
      <c r="D78" s="39" t="str">
        <f t="shared" si="0"/>
        <v/>
      </c>
      <c r="E78" s="41" t="str">
        <f t="shared" si="1"/>
        <v/>
      </c>
    </row>
    <row r="79" spans="4:5" x14ac:dyDescent="0.25">
      <c r="D79" s="39" t="str">
        <f t="shared" si="0"/>
        <v/>
      </c>
      <c r="E79" s="41" t="str">
        <f t="shared" si="1"/>
        <v/>
      </c>
    </row>
    <row r="80" spans="4:5" x14ac:dyDescent="0.25">
      <c r="D80" s="39" t="str">
        <f t="shared" si="0"/>
        <v/>
      </c>
      <c r="E80" s="41" t="str">
        <f t="shared" si="1"/>
        <v/>
      </c>
    </row>
    <row r="81" spans="4:5" x14ac:dyDescent="0.25">
      <c r="D81" s="39" t="str">
        <f t="shared" ref="D81:D144" si="2">IF(A81=0,"","Elastic")</f>
        <v/>
      </c>
      <c r="E81" s="41" t="str">
        <f t="shared" si="1"/>
        <v/>
      </c>
    </row>
    <row r="82" spans="4:5" x14ac:dyDescent="0.25">
      <c r="D82" s="39" t="str">
        <f t="shared" si="2"/>
        <v/>
      </c>
      <c r="E82" s="41" t="str">
        <f t="shared" si="1"/>
        <v/>
      </c>
    </row>
    <row r="83" spans="4:5" x14ac:dyDescent="0.25">
      <c r="D83" s="39" t="str">
        <f t="shared" si="2"/>
        <v/>
      </c>
      <c r="E83" s="41" t="str">
        <f t="shared" ref="E83:E146" si="3">IF(B83=0,"","Elastic")</f>
        <v/>
      </c>
    </row>
    <row r="84" spans="4:5" x14ac:dyDescent="0.25">
      <c r="D84" s="39" t="str">
        <f t="shared" si="2"/>
        <v/>
      </c>
      <c r="E84" s="41" t="str">
        <f t="shared" si="3"/>
        <v/>
      </c>
    </row>
    <row r="85" spans="4:5" x14ac:dyDescent="0.25">
      <c r="D85" s="39" t="str">
        <f t="shared" si="2"/>
        <v/>
      </c>
      <c r="E85" s="41" t="str">
        <f t="shared" si="3"/>
        <v/>
      </c>
    </row>
    <row r="86" spans="4:5" x14ac:dyDescent="0.25">
      <c r="D86" s="39" t="str">
        <f t="shared" si="2"/>
        <v/>
      </c>
      <c r="E86" s="41" t="str">
        <f t="shared" si="3"/>
        <v/>
      </c>
    </row>
    <row r="87" spans="4:5" x14ac:dyDescent="0.25">
      <c r="D87" s="39" t="str">
        <f t="shared" si="2"/>
        <v/>
      </c>
      <c r="E87" s="41" t="str">
        <f t="shared" si="3"/>
        <v/>
      </c>
    </row>
    <row r="88" spans="4:5" x14ac:dyDescent="0.25">
      <c r="D88" s="39" t="str">
        <f t="shared" si="2"/>
        <v/>
      </c>
      <c r="E88" s="41" t="str">
        <f t="shared" si="3"/>
        <v/>
      </c>
    </row>
    <row r="89" spans="4:5" x14ac:dyDescent="0.25">
      <c r="D89" s="39" t="str">
        <f t="shared" si="2"/>
        <v/>
      </c>
      <c r="E89" s="41" t="str">
        <f t="shared" si="3"/>
        <v/>
      </c>
    </row>
    <row r="90" spans="4:5" x14ac:dyDescent="0.25">
      <c r="D90" s="39" t="str">
        <f t="shared" si="2"/>
        <v/>
      </c>
      <c r="E90" s="41" t="str">
        <f t="shared" si="3"/>
        <v/>
      </c>
    </row>
    <row r="91" spans="4:5" x14ac:dyDescent="0.25">
      <c r="D91" s="39" t="str">
        <f t="shared" si="2"/>
        <v/>
      </c>
      <c r="E91" s="41" t="str">
        <f t="shared" si="3"/>
        <v/>
      </c>
    </row>
    <row r="92" spans="4:5" x14ac:dyDescent="0.25">
      <c r="D92" s="39" t="str">
        <f t="shared" si="2"/>
        <v/>
      </c>
      <c r="E92" s="41" t="str">
        <f t="shared" si="3"/>
        <v/>
      </c>
    </row>
    <row r="93" spans="4:5" x14ac:dyDescent="0.25">
      <c r="D93" s="39" t="str">
        <f t="shared" si="2"/>
        <v/>
      </c>
      <c r="E93" s="41" t="str">
        <f t="shared" si="3"/>
        <v/>
      </c>
    </row>
    <row r="94" spans="4:5" x14ac:dyDescent="0.25">
      <c r="D94" s="39" t="str">
        <f t="shared" si="2"/>
        <v/>
      </c>
      <c r="E94" s="41" t="str">
        <f t="shared" si="3"/>
        <v/>
      </c>
    </row>
    <row r="95" spans="4:5" x14ac:dyDescent="0.25">
      <c r="D95" s="39" t="str">
        <f t="shared" si="2"/>
        <v/>
      </c>
      <c r="E95" s="41" t="str">
        <f t="shared" si="3"/>
        <v/>
      </c>
    </row>
    <row r="96" spans="4:5" x14ac:dyDescent="0.25">
      <c r="D96" s="39" t="str">
        <f t="shared" si="2"/>
        <v/>
      </c>
      <c r="E96" s="41" t="str">
        <f t="shared" si="3"/>
        <v/>
      </c>
    </row>
    <row r="97" spans="4:5" x14ac:dyDescent="0.25">
      <c r="D97" s="39" t="str">
        <f t="shared" si="2"/>
        <v/>
      </c>
      <c r="E97" s="41" t="str">
        <f t="shared" si="3"/>
        <v/>
      </c>
    </row>
    <row r="98" spans="4:5" x14ac:dyDescent="0.25">
      <c r="D98" s="39" t="str">
        <f t="shared" si="2"/>
        <v/>
      </c>
      <c r="E98" s="41" t="str">
        <f t="shared" si="3"/>
        <v/>
      </c>
    </row>
    <row r="99" spans="4:5" x14ac:dyDescent="0.25">
      <c r="D99" s="39" t="str">
        <f t="shared" si="2"/>
        <v/>
      </c>
      <c r="E99" s="41" t="str">
        <f t="shared" si="3"/>
        <v/>
      </c>
    </row>
    <row r="100" spans="4:5" x14ac:dyDescent="0.25">
      <c r="D100" s="39" t="str">
        <f t="shared" si="2"/>
        <v/>
      </c>
      <c r="E100" s="41" t="str">
        <f t="shared" si="3"/>
        <v/>
      </c>
    </row>
    <row r="101" spans="4:5" x14ac:dyDescent="0.25">
      <c r="D101" s="39" t="str">
        <f t="shared" si="2"/>
        <v/>
      </c>
      <c r="E101" s="41" t="str">
        <f t="shared" si="3"/>
        <v/>
      </c>
    </row>
    <row r="102" spans="4:5" x14ac:dyDescent="0.25">
      <c r="D102" s="39" t="str">
        <f t="shared" si="2"/>
        <v/>
      </c>
      <c r="E102" s="41" t="str">
        <f t="shared" si="3"/>
        <v/>
      </c>
    </row>
    <row r="103" spans="4:5" x14ac:dyDescent="0.25">
      <c r="D103" s="39" t="str">
        <f t="shared" si="2"/>
        <v/>
      </c>
      <c r="E103" s="41" t="str">
        <f t="shared" si="3"/>
        <v/>
      </c>
    </row>
    <row r="104" spans="4:5" x14ac:dyDescent="0.25">
      <c r="D104" s="39" t="str">
        <f t="shared" si="2"/>
        <v/>
      </c>
      <c r="E104" s="41" t="str">
        <f t="shared" si="3"/>
        <v/>
      </c>
    </row>
    <row r="105" spans="4:5" x14ac:dyDescent="0.25">
      <c r="D105" s="39" t="str">
        <f t="shared" si="2"/>
        <v/>
      </c>
      <c r="E105" s="41" t="str">
        <f t="shared" si="3"/>
        <v/>
      </c>
    </row>
    <row r="106" spans="4:5" x14ac:dyDescent="0.25">
      <c r="D106" s="39" t="str">
        <f t="shared" si="2"/>
        <v/>
      </c>
      <c r="E106" s="41" t="str">
        <f t="shared" si="3"/>
        <v/>
      </c>
    </row>
    <row r="107" spans="4:5" x14ac:dyDescent="0.25">
      <c r="D107" s="39" t="str">
        <f t="shared" si="2"/>
        <v/>
      </c>
      <c r="E107" s="41" t="str">
        <f t="shared" si="3"/>
        <v/>
      </c>
    </row>
    <row r="108" spans="4:5" x14ac:dyDescent="0.25">
      <c r="D108" s="39" t="str">
        <f t="shared" si="2"/>
        <v/>
      </c>
      <c r="E108" s="41" t="str">
        <f t="shared" si="3"/>
        <v/>
      </c>
    </row>
    <row r="109" spans="4:5" x14ac:dyDescent="0.25">
      <c r="D109" s="39" t="str">
        <f t="shared" si="2"/>
        <v/>
      </c>
      <c r="E109" s="41" t="str">
        <f t="shared" si="3"/>
        <v/>
      </c>
    </row>
    <row r="110" spans="4:5" x14ac:dyDescent="0.25">
      <c r="D110" s="39" t="str">
        <f t="shared" si="2"/>
        <v/>
      </c>
      <c r="E110" s="41" t="str">
        <f t="shared" si="3"/>
        <v/>
      </c>
    </row>
    <row r="111" spans="4:5" x14ac:dyDescent="0.25">
      <c r="D111" s="39" t="str">
        <f t="shared" si="2"/>
        <v/>
      </c>
      <c r="E111" s="41" t="str">
        <f t="shared" si="3"/>
        <v/>
      </c>
    </row>
    <row r="112" spans="4:5" x14ac:dyDescent="0.25">
      <c r="D112" s="39" t="str">
        <f t="shared" si="2"/>
        <v/>
      </c>
      <c r="E112" s="41" t="str">
        <f t="shared" si="3"/>
        <v/>
      </c>
    </row>
    <row r="113" spans="4:5" x14ac:dyDescent="0.25">
      <c r="D113" s="39" t="str">
        <f t="shared" si="2"/>
        <v/>
      </c>
      <c r="E113" s="41" t="str">
        <f t="shared" si="3"/>
        <v/>
      </c>
    </row>
    <row r="114" spans="4:5" x14ac:dyDescent="0.25">
      <c r="D114" s="39" t="str">
        <f t="shared" si="2"/>
        <v/>
      </c>
      <c r="E114" s="41" t="str">
        <f t="shared" si="3"/>
        <v/>
      </c>
    </row>
    <row r="115" spans="4:5" x14ac:dyDescent="0.25">
      <c r="D115" s="39" t="str">
        <f t="shared" si="2"/>
        <v/>
      </c>
      <c r="E115" s="41" t="str">
        <f t="shared" si="3"/>
        <v/>
      </c>
    </row>
    <row r="116" spans="4:5" x14ac:dyDescent="0.25">
      <c r="D116" s="39" t="str">
        <f t="shared" si="2"/>
        <v/>
      </c>
      <c r="E116" s="41" t="str">
        <f t="shared" si="3"/>
        <v/>
      </c>
    </row>
    <row r="117" spans="4:5" x14ac:dyDescent="0.25">
      <c r="D117" s="39" t="str">
        <f t="shared" si="2"/>
        <v/>
      </c>
      <c r="E117" s="41" t="str">
        <f t="shared" si="3"/>
        <v/>
      </c>
    </row>
    <row r="118" spans="4:5" x14ac:dyDescent="0.25">
      <c r="D118" s="39" t="str">
        <f t="shared" si="2"/>
        <v/>
      </c>
      <c r="E118" s="41" t="str">
        <f t="shared" si="3"/>
        <v/>
      </c>
    </row>
    <row r="119" spans="4:5" x14ac:dyDescent="0.25">
      <c r="D119" s="39" t="str">
        <f t="shared" si="2"/>
        <v/>
      </c>
      <c r="E119" s="41" t="str">
        <f t="shared" si="3"/>
        <v/>
      </c>
    </row>
    <row r="120" spans="4:5" x14ac:dyDescent="0.25">
      <c r="D120" s="39" t="str">
        <f t="shared" si="2"/>
        <v/>
      </c>
      <c r="E120" s="41" t="str">
        <f t="shared" si="3"/>
        <v/>
      </c>
    </row>
    <row r="121" spans="4:5" x14ac:dyDescent="0.25">
      <c r="D121" s="39" t="str">
        <f t="shared" si="2"/>
        <v/>
      </c>
      <c r="E121" s="41" t="str">
        <f t="shared" si="3"/>
        <v/>
      </c>
    </row>
    <row r="122" spans="4:5" x14ac:dyDescent="0.25">
      <c r="D122" s="39" t="str">
        <f t="shared" si="2"/>
        <v/>
      </c>
      <c r="E122" s="41" t="str">
        <f t="shared" si="3"/>
        <v/>
      </c>
    </row>
    <row r="123" spans="4:5" x14ac:dyDescent="0.25">
      <c r="D123" s="39" t="str">
        <f t="shared" si="2"/>
        <v/>
      </c>
      <c r="E123" s="41" t="str">
        <f t="shared" si="3"/>
        <v/>
      </c>
    </row>
    <row r="124" spans="4:5" x14ac:dyDescent="0.25">
      <c r="D124" s="39" t="str">
        <f t="shared" si="2"/>
        <v/>
      </c>
      <c r="E124" s="41" t="str">
        <f t="shared" si="3"/>
        <v/>
      </c>
    </row>
    <row r="125" spans="4:5" x14ac:dyDescent="0.25">
      <c r="D125" s="39" t="str">
        <f t="shared" si="2"/>
        <v/>
      </c>
      <c r="E125" s="41" t="str">
        <f t="shared" si="3"/>
        <v/>
      </c>
    </row>
    <row r="126" spans="4:5" x14ac:dyDescent="0.25">
      <c r="D126" s="39" t="str">
        <f t="shared" si="2"/>
        <v/>
      </c>
      <c r="E126" s="41" t="str">
        <f t="shared" si="3"/>
        <v/>
      </c>
    </row>
    <row r="127" spans="4:5" x14ac:dyDescent="0.25">
      <c r="D127" s="39" t="str">
        <f t="shared" si="2"/>
        <v/>
      </c>
      <c r="E127" s="41" t="str">
        <f t="shared" si="3"/>
        <v/>
      </c>
    </row>
    <row r="128" spans="4:5" x14ac:dyDescent="0.25">
      <c r="D128" s="39" t="str">
        <f t="shared" si="2"/>
        <v/>
      </c>
      <c r="E128" s="41" t="str">
        <f t="shared" si="3"/>
        <v/>
      </c>
    </row>
    <row r="129" spans="4:5" x14ac:dyDescent="0.25">
      <c r="D129" s="39" t="str">
        <f t="shared" si="2"/>
        <v/>
      </c>
      <c r="E129" s="41" t="str">
        <f t="shared" si="3"/>
        <v/>
      </c>
    </row>
    <row r="130" spans="4:5" x14ac:dyDescent="0.25">
      <c r="D130" s="39" t="str">
        <f t="shared" si="2"/>
        <v/>
      </c>
      <c r="E130" s="41" t="str">
        <f t="shared" si="3"/>
        <v/>
      </c>
    </row>
    <row r="131" spans="4:5" x14ac:dyDescent="0.25">
      <c r="D131" s="39" t="str">
        <f t="shared" si="2"/>
        <v/>
      </c>
      <c r="E131" s="41" t="str">
        <f t="shared" si="3"/>
        <v/>
      </c>
    </row>
    <row r="132" spans="4:5" x14ac:dyDescent="0.25">
      <c r="D132" s="39" t="str">
        <f t="shared" si="2"/>
        <v/>
      </c>
      <c r="E132" s="41" t="str">
        <f t="shared" si="3"/>
        <v/>
      </c>
    </row>
    <row r="133" spans="4:5" x14ac:dyDescent="0.25">
      <c r="D133" s="39" t="str">
        <f t="shared" si="2"/>
        <v/>
      </c>
      <c r="E133" s="41" t="str">
        <f t="shared" si="3"/>
        <v/>
      </c>
    </row>
    <row r="134" spans="4:5" x14ac:dyDescent="0.25">
      <c r="D134" s="39" t="str">
        <f t="shared" si="2"/>
        <v/>
      </c>
      <c r="E134" s="41" t="str">
        <f t="shared" si="3"/>
        <v/>
      </c>
    </row>
    <row r="135" spans="4:5" x14ac:dyDescent="0.25">
      <c r="D135" s="39" t="str">
        <f t="shared" si="2"/>
        <v/>
      </c>
      <c r="E135" s="41" t="str">
        <f t="shared" si="3"/>
        <v/>
      </c>
    </row>
    <row r="136" spans="4:5" x14ac:dyDescent="0.25">
      <c r="D136" s="39" t="str">
        <f t="shared" si="2"/>
        <v/>
      </c>
      <c r="E136" s="41" t="str">
        <f t="shared" si="3"/>
        <v/>
      </c>
    </row>
    <row r="137" spans="4:5" x14ac:dyDescent="0.25">
      <c r="D137" s="39" t="str">
        <f t="shared" si="2"/>
        <v/>
      </c>
      <c r="E137" s="41" t="str">
        <f t="shared" si="3"/>
        <v/>
      </c>
    </row>
    <row r="138" spans="4:5" x14ac:dyDescent="0.25">
      <c r="D138" s="39" t="str">
        <f t="shared" si="2"/>
        <v/>
      </c>
      <c r="E138" s="41" t="str">
        <f t="shared" si="3"/>
        <v/>
      </c>
    </row>
    <row r="139" spans="4:5" x14ac:dyDescent="0.25">
      <c r="D139" s="39" t="str">
        <f t="shared" si="2"/>
        <v/>
      </c>
      <c r="E139" s="41" t="str">
        <f t="shared" si="3"/>
        <v/>
      </c>
    </row>
    <row r="140" spans="4:5" x14ac:dyDescent="0.25">
      <c r="D140" s="39" t="str">
        <f t="shared" si="2"/>
        <v/>
      </c>
      <c r="E140" s="41" t="str">
        <f t="shared" si="3"/>
        <v/>
      </c>
    </row>
    <row r="141" spans="4:5" x14ac:dyDescent="0.25">
      <c r="D141" s="39" t="str">
        <f t="shared" si="2"/>
        <v/>
      </c>
      <c r="E141" s="41" t="str">
        <f t="shared" si="3"/>
        <v/>
      </c>
    </row>
    <row r="142" spans="4:5" x14ac:dyDescent="0.25">
      <c r="D142" s="39" t="str">
        <f t="shared" si="2"/>
        <v/>
      </c>
      <c r="E142" s="41" t="str">
        <f t="shared" si="3"/>
        <v/>
      </c>
    </row>
    <row r="143" spans="4:5" x14ac:dyDescent="0.25">
      <c r="D143" s="39" t="str">
        <f t="shared" si="2"/>
        <v/>
      </c>
      <c r="E143" s="41" t="str">
        <f t="shared" si="3"/>
        <v/>
      </c>
    </row>
    <row r="144" spans="4:5" x14ac:dyDescent="0.25">
      <c r="D144" s="39" t="str">
        <f t="shared" si="2"/>
        <v/>
      </c>
      <c r="E144" s="41" t="str">
        <f t="shared" si="3"/>
        <v/>
      </c>
    </row>
    <row r="145" spans="4:5" x14ac:dyDescent="0.25">
      <c r="D145" s="39" t="str">
        <f t="shared" ref="D145:D208" si="4">IF(A145=0,"","Elastic")</f>
        <v/>
      </c>
      <c r="E145" s="41" t="str">
        <f t="shared" si="3"/>
        <v/>
      </c>
    </row>
    <row r="146" spans="4:5" x14ac:dyDescent="0.25">
      <c r="D146" s="39" t="str">
        <f t="shared" si="4"/>
        <v/>
      </c>
      <c r="E146" s="41" t="str">
        <f t="shared" si="3"/>
        <v/>
      </c>
    </row>
    <row r="147" spans="4:5" x14ac:dyDescent="0.25">
      <c r="D147" s="39" t="str">
        <f t="shared" si="4"/>
        <v/>
      </c>
      <c r="E147" s="41" t="str">
        <f t="shared" ref="E147:E210" si="5">IF(B147=0,"","Elastic")</f>
        <v/>
      </c>
    </row>
    <row r="148" spans="4:5" x14ac:dyDescent="0.25">
      <c r="D148" s="39" t="str">
        <f t="shared" si="4"/>
        <v/>
      </c>
      <c r="E148" s="41" t="str">
        <f t="shared" si="5"/>
        <v/>
      </c>
    </row>
    <row r="149" spans="4:5" x14ac:dyDescent="0.25">
      <c r="D149" s="39" t="str">
        <f t="shared" si="4"/>
        <v/>
      </c>
      <c r="E149" s="41" t="str">
        <f t="shared" si="5"/>
        <v/>
      </c>
    </row>
    <row r="150" spans="4:5" x14ac:dyDescent="0.25">
      <c r="D150" s="39" t="str">
        <f t="shared" si="4"/>
        <v/>
      </c>
      <c r="E150" s="41" t="str">
        <f t="shared" si="5"/>
        <v/>
      </c>
    </row>
    <row r="151" spans="4:5" x14ac:dyDescent="0.25">
      <c r="D151" s="39" t="str">
        <f t="shared" si="4"/>
        <v/>
      </c>
      <c r="E151" s="41" t="str">
        <f t="shared" si="5"/>
        <v/>
      </c>
    </row>
    <row r="152" spans="4:5" x14ac:dyDescent="0.25">
      <c r="D152" s="39" t="str">
        <f t="shared" si="4"/>
        <v/>
      </c>
      <c r="E152" s="41" t="str">
        <f t="shared" si="5"/>
        <v/>
      </c>
    </row>
    <row r="153" spans="4:5" x14ac:dyDescent="0.25">
      <c r="D153" s="39" t="str">
        <f t="shared" si="4"/>
        <v/>
      </c>
      <c r="E153" s="41" t="str">
        <f t="shared" si="5"/>
        <v/>
      </c>
    </row>
    <row r="154" spans="4:5" x14ac:dyDescent="0.25">
      <c r="D154" s="39" t="str">
        <f t="shared" si="4"/>
        <v/>
      </c>
      <c r="E154" s="41" t="str">
        <f t="shared" si="5"/>
        <v/>
      </c>
    </row>
    <row r="155" spans="4:5" x14ac:dyDescent="0.25">
      <c r="D155" s="39" t="str">
        <f t="shared" si="4"/>
        <v/>
      </c>
      <c r="E155" s="41" t="str">
        <f t="shared" si="5"/>
        <v/>
      </c>
    </row>
    <row r="156" spans="4:5" x14ac:dyDescent="0.25">
      <c r="D156" s="39" t="str">
        <f t="shared" si="4"/>
        <v/>
      </c>
      <c r="E156" s="41" t="str">
        <f t="shared" si="5"/>
        <v/>
      </c>
    </row>
    <row r="157" spans="4:5" x14ac:dyDescent="0.25">
      <c r="D157" s="39" t="str">
        <f t="shared" si="4"/>
        <v/>
      </c>
      <c r="E157" s="41" t="str">
        <f t="shared" si="5"/>
        <v/>
      </c>
    </row>
    <row r="158" spans="4:5" x14ac:dyDescent="0.25">
      <c r="D158" s="39" t="str">
        <f t="shared" si="4"/>
        <v/>
      </c>
      <c r="E158" s="41" t="str">
        <f t="shared" si="5"/>
        <v/>
      </c>
    </row>
    <row r="159" spans="4:5" x14ac:dyDescent="0.25">
      <c r="D159" s="39" t="str">
        <f t="shared" si="4"/>
        <v/>
      </c>
      <c r="E159" s="41" t="str">
        <f t="shared" si="5"/>
        <v/>
      </c>
    </row>
    <row r="160" spans="4:5" x14ac:dyDescent="0.25">
      <c r="D160" s="39" t="str">
        <f t="shared" si="4"/>
        <v/>
      </c>
      <c r="E160" s="41" t="str">
        <f t="shared" si="5"/>
        <v/>
      </c>
    </row>
    <row r="161" spans="4:5" x14ac:dyDescent="0.25">
      <c r="D161" s="39" t="str">
        <f t="shared" si="4"/>
        <v/>
      </c>
      <c r="E161" s="41" t="str">
        <f t="shared" si="5"/>
        <v/>
      </c>
    </row>
    <row r="162" spans="4:5" x14ac:dyDescent="0.25">
      <c r="D162" s="39" t="str">
        <f t="shared" si="4"/>
        <v/>
      </c>
      <c r="E162" s="41" t="str">
        <f t="shared" si="5"/>
        <v/>
      </c>
    </row>
    <row r="163" spans="4:5" x14ac:dyDescent="0.25">
      <c r="D163" s="39" t="str">
        <f t="shared" si="4"/>
        <v/>
      </c>
      <c r="E163" s="41" t="str">
        <f t="shared" si="5"/>
        <v/>
      </c>
    </row>
    <row r="164" spans="4:5" x14ac:dyDescent="0.25">
      <c r="D164" s="39" t="str">
        <f t="shared" si="4"/>
        <v/>
      </c>
      <c r="E164" s="41" t="str">
        <f t="shared" si="5"/>
        <v/>
      </c>
    </row>
    <row r="165" spans="4:5" x14ac:dyDescent="0.25">
      <c r="D165" s="39" t="str">
        <f t="shared" si="4"/>
        <v/>
      </c>
      <c r="E165" s="41" t="str">
        <f t="shared" si="5"/>
        <v/>
      </c>
    </row>
    <row r="166" spans="4:5" x14ac:dyDescent="0.25">
      <c r="D166" s="39" t="str">
        <f t="shared" si="4"/>
        <v/>
      </c>
      <c r="E166" s="41" t="str">
        <f t="shared" si="5"/>
        <v/>
      </c>
    </row>
    <row r="167" spans="4:5" x14ac:dyDescent="0.25">
      <c r="D167" s="39" t="str">
        <f t="shared" si="4"/>
        <v/>
      </c>
      <c r="E167" s="41" t="str">
        <f t="shared" si="5"/>
        <v/>
      </c>
    </row>
    <row r="168" spans="4:5" x14ac:dyDescent="0.25">
      <c r="D168" s="39" t="str">
        <f t="shared" si="4"/>
        <v/>
      </c>
      <c r="E168" s="41" t="str">
        <f t="shared" si="5"/>
        <v/>
      </c>
    </row>
    <row r="169" spans="4:5" x14ac:dyDescent="0.25">
      <c r="D169" s="39" t="str">
        <f t="shared" si="4"/>
        <v/>
      </c>
      <c r="E169" s="41" t="str">
        <f t="shared" si="5"/>
        <v/>
      </c>
    </row>
    <row r="170" spans="4:5" x14ac:dyDescent="0.25">
      <c r="D170" s="39" t="str">
        <f t="shared" si="4"/>
        <v/>
      </c>
      <c r="E170" s="41" t="str">
        <f t="shared" si="5"/>
        <v/>
      </c>
    </row>
    <row r="171" spans="4:5" x14ac:dyDescent="0.25">
      <c r="D171" s="39" t="str">
        <f t="shared" si="4"/>
        <v/>
      </c>
      <c r="E171" s="41" t="str">
        <f t="shared" si="5"/>
        <v/>
      </c>
    </row>
    <row r="172" spans="4:5" x14ac:dyDescent="0.25">
      <c r="D172" s="39" t="str">
        <f t="shared" si="4"/>
        <v/>
      </c>
      <c r="E172" s="41" t="str">
        <f t="shared" si="5"/>
        <v/>
      </c>
    </row>
    <row r="173" spans="4:5" x14ac:dyDescent="0.25">
      <c r="D173" s="39" t="str">
        <f t="shared" si="4"/>
        <v/>
      </c>
      <c r="E173" s="41" t="str">
        <f t="shared" si="5"/>
        <v/>
      </c>
    </row>
    <row r="174" spans="4:5" x14ac:dyDescent="0.25">
      <c r="D174" s="39" t="str">
        <f t="shared" si="4"/>
        <v/>
      </c>
      <c r="E174" s="41" t="str">
        <f t="shared" si="5"/>
        <v/>
      </c>
    </row>
    <row r="175" spans="4:5" x14ac:dyDescent="0.25">
      <c r="D175" s="39" t="str">
        <f t="shared" si="4"/>
        <v/>
      </c>
      <c r="E175" s="41" t="str">
        <f t="shared" si="5"/>
        <v/>
      </c>
    </row>
    <row r="176" spans="4:5" x14ac:dyDescent="0.25">
      <c r="D176" s="39" t="str">
        <f t="shared" si="4"/>
        <v/>
      </c>
      <c r="E176" s="41" t="str">
        <f t="shared" si="5"/>
        <v/>
      </c>
    </row>
    <row r="177" spans="4:5" x14ac:dyDescent="0.25">
      <c r="D177" s="39" t="str">
        <f t="shared" si="4"/>
        <v/>
      </c>
      <c r="E177" s="41" t="str">
        <f t="shared" si="5"/>
        <v/>
      </c>
    </row>
    <row r="178" spans="4:5" x14ac:dyDescent="0.25">
      <c r="D178" s="39" t="str">
        <f t="shared" si="4"/>
        <v/>
      </c>
      <c r="E178" s="41" t="str">
        <f t="shared" si="5"/>
        <v/>
      </c>
    </row>
    <row r="179" spans="4:5" x14ac:dyDescent="0.25">
      <c r="D179" s="39" t="str">
        <f t="shared" si="4"/>
        <v/>
      </c>
      <c r="E179" s="41" t="str">
        <f t="shared" si="5"/>
        <v/>
      </c>
    </row>
    <row r="180" spans="4:5" x14ac:dyDescent="0.25">
      <c r="D180" s="39" t="str">
        <f t="shared" si="4"/>
        <v/>
      </c>
      <c r="E180" s="41" t="str">
        <f t="shared" si="5"/>
        <v/>
      </c>
    </row>
    <row r="181" spans="4:5" x14ac:dyDescent="0.25">
      <c r="D181" s="39" t="str">
        <f t="shared" si="4"/>
        <v/>
      </c>
      <c r="E181" s="41" t="str">
        <f t="shared" si="5"/>
        <v/>
      </c>
    </row>
    <row r="182" spans="4:5" x14ac:dyDescent="0.25">
      <c r="D182" s="39" t="str">
        <f t="shared" si="4"/>
        <v/>
      </c>
      <c r="E182" s="41" t="str">
        <f t="shared" si="5"/>
        <v/>
      </c>
    </row>
    <row r="183" spans="4:5" x14ac:dyDescent="0.25">
      <c r="D183" s="39" t="str">
        <f t="shared" si="4"/>
        <v/>
      </c>
      <c r="E183" s="41" t="str">
        <f t="shared" si="5"/>
        <v/>
      </c>
    </row>
    <row r="184" spans="4:5" x14ac:dyDescent="0.25">
      <c r="D184" s="39" t="str">
        <f t="shared" si="4"/>
        <v/>
      </c>
      <c r="E184" s="41" t="str">
        <f t="shared" si="5"/>
        <v/>
      </c>
    </row>
    <row r="185" spans="4:5" x14ac:dyDescent="0.25">
      <c r="D185" s="39" t="str">
        <f t="shared" si="4"/>
        <v/>
      </c>
      <c r="E185" s="41" t="str">
        <f t="shared" si="5"/>
        <v/>
      </c>
    </row>
    <row r="186" spans="4:5" x14ac:dyDescent="0.25">
      <c r="D186" s="39" t="str">
        <f t="shared" si="4"/>
        <v/>
      </c>
      <c r="E186" s="41" t="str">
        <f t="shared" si="5"/>
        <v/>
      </c>
    </row>
    <row r="187" spans="4:5" x14ac:dyDescent="0.25">
      <c r="D187" s="39" t="str">
        <f t="shared" si="4"/>
        <v/>
      </c>
      <c r="E187" s="41" t="str">
        <f t="shared" si="5"/>
        <v/>
      </c>
    </row>
    <row r="188" spans="4:5" x14ac:dyDescent="0.25">
      <c r="D188" s="39" t="str">
        <f t="shared" si="4"/>
        <v/>
      </c>
      <c r="E188" s="41" t="str">
        <f t="shared" si="5"/>
        <v/>
      </c>
    </row>
    <row r="189" spans="4:5" x14ac:dyDescent="0.25">
      <c r="D189" s="39" t="str">
        <f t="shared" si="4"/>
        <v/>
      </c>
      <c r="E189" s="41" t="str">
        <f t="shared" si="5"/>
        <v/>
      </c>
    </row>
    <row r="190" spans="4:5" x14ac:dyDescent="0.25">
      <c r="D190" s="39" t="str">
        <f t="shared" si="4"/>
        <v/>
      </c>
      <c r="E190" s="41" t="str">
        <f t="shared" si="5"/>
        <v/>
      </c>
    </row>
    <row r="191" spans="4:5" x14ac:dyDescent="0.25">
      <c r="D191" s="39" t="str">
        <f t="shared" si="4"/>
        <v/>
      </c>
      <c r="E191" s="41" t="str">
        <f t="shared" si="5"/>
        <v/>
      </c>
    </row>
    <row r="192" spans="4:5" x14ac:dyDescent="0.25">
      <c r="D192" s="39" t="str">
        <f t="shared" si="4"/>
        <v/>
      </c>
      <c r="E192" s="41" t="str">
        <f t="shared" si="5"/>
        <v/>
      </c>
    </row>
    <row r="193" spans="4:5" x14ac:dyDescent="0.25">
      <c r="D193" s="39" t="str">
        <f t="shared" si="4"/>
        <v/>
      </c>
      <c r="E193" s="41" t="str">
        <f t="shared" si="5"/>
        <v/>
      </c>
    </row>
    <row r="194" spans="4:5" x14ac:dyDescent="0.25">
      <c r="D194" s="39" t="str">
        <f t="shared" si="4"/>
        <v/>
      </c>
      <c r="E194" s="41" t="str">
        <f t="shared" si="5"/>
        <v/>
      </c>
    </row>
    <row r="195" spans="4:5" x14ac:dyDescent="0.25">
      <c r="D195" s="39" t="str">
        <f t="shared" si="4"/>
        <v/>
      </c>
      <c r="E195" s="41" t="str">
        <f t="shared" si="5"/>
        <v/>
      </c>
    </row>
    <row r="196" spans="4:5" x14ac:dyDescent="0.25">
      <c r="D196" s="39" t="str">
        <f t="shared" si="4"/>
        <v/>
      </c>
      <c r="E196" s="41" t="str">
        <f t="shared" si="5"/>
        <v/>
      </c>
    </row>
    <row r="197" spans="4:5" x14ac:dyDescent="0.25">
      <c r="D197" s="39" t="str">
        <f t="shared" si="4"/>
        <v/>
      </c>
      <c r="E197" s="41" t="str">
        <f t="shared" si="5"/>
        <v/>
      </c>
    </row>
    <row r="198" spans="4:5" x14ac:dyDescent="0.25">
      <c r="D198" s="39" t="str">
        <f t="shared" si="4"/>
        <v/>
      </c>
      <c r="E198" s="41" t="str">
        <f t="shared" si="5"/>
        <v/>
      </c>
    </row>
    <row r="199" spans="4:5" x14ac:dyDescent="0.25">
      <c r="D199" s="39" t="str">
        <f t="shared" si="4"/>
        <v/>
      </c>
      <c r="E199" s="41" t="str">
        <f t="shared" si="5"/>
        <v/>
      </c>
    </row>
    <row r="200" spans="4:5" x14ac:dyDescent="0.25">
      <c r="D200" s="39" t="str">
        <f t="shared" si="4"/>
        <v/>
      </c>
      <c r="E200" s="41" t="str">
        <f t="shared" si="5"/>
        <v/>
      </c>
    </row>
    <row r="201" spans="4:5" x14ac:dyDescent="0.25">
      <c r="D201" s="39" t="str">
        <f t="shared" si="4"/>
        <v/>
      </c>
      <c r="E201" s="41" t="str">
        <f t="shared" si="5"/>
        <v/>
      </c>
    </row>
    <row r="202" spans="4:5" x14ac:dyDescent="0.25">
      <c r="D202" s="39" t="str">
        <f t="shared" si="4"/>
        <v/>
      </c>
      <c r="E202" s="41" t="str">
        <f t="shared" si="5"/>
        <v/>
      </c>
    </row>
    <row r="203" spans="4:5" x14ac:dyDescent="0.25">
      <c r="D203" s="39" t="str">
        <f t="shared" si="4"/>
        <v/>
      </c>
      <c r="E203" s="41" t="str">
        <f t="shared" si="5"/>
        <v/>
      </c>
    </row>
    <row r="204" spans="4:5" x14ac:dyDescent="0.25">
      <c r="D204" s="39" t="str">
        <f t="shared" si="4"/>
        <v/>
      </c>
      <c r="E204" s="41" t="str">
        <f t="shared" si="5"/>
        <v/>
      </c>
    </row>
    <row r="205" spans="4:5" x14ac:dyDescent="0.25">
      <c r="D205" s="39" t="str">
        <f t="shared" si="4"/>
        <v/>
      </c>
      <c r="E205" s="41" t="str">
        <f t="shared" si="5"/>
        <v/>
      </c>
    </row>
    <row r="206" spans="4:5" x14ac:dyDescent="0.25">
      <c r="D206" s="39" t="str">
        <f t="shared" si="4"/>
        <v/>
      </c>
      <c r="E206" s="41" t="str">
        <f t="shared" si="5"/>
        <v/>
      </c>
    </row>
    <row r="207" spans="4:5" x14ac:dyDescent="0.25">
      <c r="D207" s="39" t="str">
        <f t="shared" si="4"/>
        <v/>
      </c>
      <c r="E207" s="41" t="str">
        <f t="shared" si="5"/>
        <v/>
      </c>
    </row>
    <row r="208" spans="4:5" x14ac:dyDescent="0.25">
      <c r="D208" s="39" t="str">
        <f t="shared" si="4"/>
        <v/>
      </c>
      <c r="E208" s="41" t="str">
        <f t="shared" si="5"/>
        <v/>
      </c>
    </row>
    <row r="209" spans="4:5" x14ac:dyDescent="0.25">
      <c r="D209" s="39" t="str">
        <f t="shared" ref="D209:D272" si="6">IF(A209=0,"","Elastic")</f>
        <v/>
      </c>
      <c r="E209" s="41" t="str">
        <f t="shared" si="5"/>
        <v/>
      </c>
    </row>
    <row r="210" spans="4:5" x14ac:dyDescent="0.25">
      <c r="D210" s="39" t="str">
        <f t="shared" si="6"/>
        <v/>
      </c>
      <c r="E210" s="41" t="str">
        <f t="shared" si="5"/>
        <v/>
      </c>
    </row>
    <row r="211" spans="4:5" x14ac:dyDescent="0.25">
      <c r="D211" s="39" t="str">
        <f t="shared" si="6"/>
        <v/>
      </c>
      <c r="E211" s="41" t="str">
        <f t="shared" ref="E211:E274" si="7">IF(B211=0,"","Elastic")</f>
        <v/>
      </c>
    </row>
    <row r="212" spans="4:5" x14ac:dyDescent="0.25">
      <c r="D212" s="39" t="str">
        <f t="shared" si="6"/>
        <v/>
      </c>
      <c r="E212" s="41" t="str">
        <f t="shared" si="7"/>
        <v/>
      </c>
    </row>
    <row r="213" spans="4:5" x14ac:dyDescent="0.25">
      <c r="D213" s="39" t="str">
        <f t="shared" si="6"/>
        <v/>
      </c>
      <c r="E213" s="41" t="str">
        <f t="shared" si="7"/>
        <v/>
      </c>
    </row>
    <row r="214" spans="4:5" x14ac:dyDescent="0.25">
      <c r="D214" s="39" t="str">
        <f t="shared" si="6"/>
        <v/>
      </c>
      <c r="E214" s="41" t="str">
        <f t="shared" si="7"/>
        <v/>
      </c>
    </row>
    <row r="215" spans="4:5" x14ac:dyDescent="0.25">
      <c r="D215" s="39" t="str">
        <f t="shared" si="6"/>
        <v/>
      </c>
      <c r="E215" s="41" t="str">
        <f t="shared" si="7"/>
        <v/>
      </c>
    </row>
    <row r="216" spans="4:5" x14ac:dyDescent="0.25">
      <c r="D216" s="39" t="str">
        <f t="shared" si="6"/>
        <v/>
      </c>
      <c r="E216" s="41" t="str">
        <f t="shared" si="7"/>
        <v/>
      </c>
    </row>
    <row r="217" spans="4:5" x14ac:dyDescent="0.25">
      <c r="D217" s="39" t="str">
        <f t="shared" si="6"/>
        <v/>
      </c>
      <c r="E217" s="41" t="str">
        <f t="shared" si="7"/>
        <v/>
      </c>
    </row>
    <row r="218" spans="4:5" x14ac:dyDescent="0.25">
      <c r="D218" s="39" t="str">
        <f t="shared" si="6"/>
        <v/>
      </c>
      <c r="E218" s="41" t="str">
        <f t="shared" si="7"/>
        <v/>
      </c>
    </row>
    <row r="219" spans="4:5" x14ac:dyDescent="0.25">
      <c r="D219" s="39" t="str">
        <f t="shared" si="6"/>
        <v/>
      </c>
      <c r="E219" s="41" t="str">
        <f t="shared" si="7"/>
        <v/>
      </c>
    </row>
    <row r="220" spans="4:5" x14ac:dyDescent="0.25">
      <c r="D220" s="39" t="str">
        <f t="shared" si="6"/>
        <v/>
      </c>
      <c r="E220" s="41" t="str">
        <f t="shared" si="7"/>
        <v/>
      </c>
    </row>
    <row r="221" spans="4:5" x14ac:dyDescent="0.25">
      <c r="D221" s="39" t="str">
        <f t="shared" si="6"/>
        <v/>
      </c>
      <c r="E221" s="41" t="str">
        <f t="shared" si="7"/>
        <v/>
      </c>
    </row>
    <row r="222" spans="4:5" x14ac:dyDescent="0.25">
      <c r="D222" s="39" t="str">
        <f t="shared" si="6"/>
        <v/>
      </c>
      <c r="E222" s="41" t="str">
        <f t="shared" si="7"/>
        <v/>
      </c>
    </row>
    <row r="223" spans="4:5" x14ac:dyDescent="0.25">
      <c r="D223" s="39" t="str">
        <f t="shared" si="6"/>
        <v/>
      </c>
      <c r="E223" s="41" t="str">
        <f t="shared" si="7"/>
        <v/>
      </c>
    </row>
    <row r="224" spans="4:5" x14ac:dyDescent="0.25">
      <c r="D224" s="39" t="str">
        <f t="shared" si="6"/>
        <v/>
      </c>
      <c r="E224" s="41" t="str">
        <f t="shared" si="7"/>
        <v/>
      </c>
    </row>
    <row r="225" spans="4:5" x14ac:dyDescent="0.25">
      <c r="D225" s="39" t="str">
        <f t="shared" si="6"/>
        <v/>
      </c>
      <c r="E225" s="41" t="str">
        <f t="shared" si="7"/>
        <v/>
      </c>
    </row>
    <row r="226" spans="4:5" x14ac:dyDescent="0.25">
      <c r="D226" s="39" t="str">
        <f t="shared" si="6"/>
        <v/>
      </c>
      <c r="E226" s="41" t="str">
        <f t="shared" si="7"/>
        <v/>
      </c>
    </row>
    <row r="227" spans="4:5" x14ac:dyDescent="0.25">
      <c r="D227" s="39" t="str">
        <f t="shared" si="6"/>
        <v/>
      </c>
      <c r="E227" s="41" t="str">
        <f t="shared" si="7"/>
        <v/>
      </c>
    </row>
    <row r="228" spans="4:5" x14ac:dyDescent="0.25">
      <c r="D228" s="39" t="str">
        <f t="shared" si="6"/>
        <v/>
      </c>
      <c r="E228" s="41" t="str">
        <f t="shared" si="7"/>
        <v/>
      </c>
    </row>
    <row r="229" spans="4:5" x14ac:dyDescent="0.25">
      <c r="D229" s="39" t="str">
        <f t="shared" si="6"/>
        <v/>
      </c>
      <c r="E229" s="41" t="str">
        <f t="shared" si="7"/>
        <v/>
      </c>
    </row>
    <row r="230" spans="4:5" x14ac:dyDescent="0.25">
      <c r="D230" s="39" t="str">
        <f t="shared" si="6"/>
        <v/>
      </c>
      <c r="E230" s="41" t="str">
        <f t="shared" si="7"/>
        <v/>
      </c>
    </row>
    <row r="231" spans="4:5" x14ac:dyDescent="0.25">
      <c r="D231" s="39" t="str">
        <f t="shared" si="6"/>
        <v/>
      </c>
      <c r="E231" s="41" t="str">
        <f t="shared" si="7"/>
        <v/>
      </c>
    </row>
    <row r="232" spans="4:5" x14ac:dyDescent="0.25">
      <c r="D232" s="39" t="str">
        <f t="shared" si="6"/>
        <v/>
      </c>
      <c r="E232" s="41" t="str">
        <f t="shared" si="7"/>
        <v/>
      </c>
    </row>
    <row r="233" spans="4:5" x14ac:dyDescent="0.25">
      <c r="D233" s="39" t="str">
        <f t="shared" si="6"/>
        <v/>
      </c>
      <c r="E233" s="41" t="str">
        <f t="shared" si="7"/>
        <v/>
      </c>
    </row>
    <row r="234" spans="4:5" x14ac:dyDescent="0.25">
      <c r="D234" s="39" t="str">
        <f t="shared" si="6"/>
        <v/>
      </c>
      <c r="E234" s="41" t="str">
        <f t="shared" si="7"/>
        <v/>
      </c>
    </row>
    <row r="235" spans="4:5" x14ac:dyDescent="0.25">
      <c r="D235" s="39" t="str">
        <f t="shared" si="6"/>
        <v/>
      </c>
      <c r="E235" s="41" t="str">
        <f t="shared" si="7"/>
        <v/>
      </c>
    </row>
    <row r="236" spans="4:5" x14ac:dyDescent="0.25">
      <c r="D236" s="39" t="str">
        <f t="shared" si="6"/>
        <v/>
      </c>
      <c r="E236" s="41" t="str">
        <f t="shared" si="7"/>
        <v/>
      </c>
    </row>
    <row r="237" spans="4:5" x14ac:dyDescent="0.25">
      <c r="D237" s="39" t="str">
        <f t="shared" si="6"/>
        <v/>
      </c>
      <c r="E237" s="41" t="str">
        <f t="shared" si="7"/>
        <v/>
      </c>
    </row>
    <row r="238" spans="4:5" x14ac:dyDescent="0.25">
      <c r="D238" s="39" t="str">
        <f t="shared" si="6"/>
        <v/>
      </c>
      <c r="E238" s="41" t="str">
        <f t="shared" si="7"/>
        <v/>
      </c>
    </row>
    <row r="239" spans="4:5" x14ac:dyDescent="0.25">
      <c r="D239" s="39" t="str">
        <f t="shared" si="6"/>
        <v/>
      </c>
      <c r="E239" s="41" t="str">
        <f t="shared" si="7"/>
        <v/>
      </c>
    </row>
    <row r="240" spans="4:5" x14ac:dyDescent="0.25">
      <c r="D240" s="39" t="str">
        <f t="shared" si="6"/>
        <v/>
      </c>
      <c r="E240" s="41" t="str">
        <f t="shared" si="7"/>
        <v/>
      </c>
    </row>
    <row r="241" spans="4:5" x14ac:dyDescent="0.25">
      <c r="D241" s="39" t="str">
        <f t="shared" si="6"/>
        <v/>
      </c>
      <c r="E241" s="41" t="str">
        <f t="shared" si="7"/>
        <v/>
      </c>
    </row>
    <row r="242" spans="4:5" x14ac:dyDescent="0.25">
      <c r="D242" s="39" t="str">
        <f t="shared" si="6"/>
        <v/>
      </c>
      <c r="E242" s="41" t="str">
        <f t="shared" si="7"/>
        <v/>
      </c>
    </row>
    <row r="243" spans="4:5" x14ac:dyDescent="0.25">
      <c r="D243" s="39" t="str">
        <f t="shared" si="6"/>
        <v/>
      </c>
      <c r="E243" s="41" t="str">
        <f t="shared" si="7"/>
        <v/>
      </c>
    </row>
    <row r="244" spans="4:5" x14ac:dyDescent="0.25">
      <c r="D244" s="39" t="str">
        <f t="shared" si="6"/>
        <v/>
      </c>
      <c r="E244" s="41" t="str">
        <f t="shared" si="7"/>
        <v/>
      </c>
    </row>
    <row r="245" spans="4:5" x14ac:dyDescent="0.25">
      <c r="D245" s="39" t="str">
        <f t="shared" si="6"/>
        <v/>
      </c>
      <c r="E245" s="41" t="str">
        <f t="shared" si="7"/>
        <v/>
      </c>
    </row>
    <row r="246" spans="4:5" x14ac:dyDescent="0.25">
      <c r="D246" s="39" t="str">
        <f t="shared" si="6"/>
        <v/>
      </c>
      <c r="E246" s="41" t="str">
        <f t="shared" si="7"/>
        <v/>
      </c>
    </row>
    <row r="247" spans="4:5" x14ac:dyDescent="0.25">
      <c r="D247" s="39" t="str">
        <f t="shared" si="6"/>
        <v/>
      </c>
      <c r="E247" s="41" t="str">
        <f t="shared" si="7"/>
        <v/>
      </c>
    </row>
    <row r="248" spans="4:5" x14ac:dyDescent="0.25">
      <c r="D248" s="39" t="str">
        <f t="shared" si="6"/>
        <v/>
      </c>
      <c r="E248" s="41" t="str">
        <f t="shared" si="7"/>
        <v/>
      </c>
    </row>
    <row r="249" spans="4:5" x14ac:dyDescent="0.25">
      <c r="D249" s="39" t="str">
        <f t="shared" si="6"/>
        <v/>
      </c>
      <c r="E249" s="41" t="str">
        <f t="shared" si="7"/>
        <v/>
      </c>
    </row>
    <row r="250" spans="4:5" x14ac:dyDescent="0.25">
      <c r="D250" s="39" t="str">
        <f t="shared" si="6"/>
        <v/>
      </c>
      <c r="E250" s="41" t="str">
        <f t="shared" si="7"/>
        <v/>
      </c>
    </row>
    <row r="251" spans="4:5" x14ac:dyDescent="0.25">
      <c r="D251" s="39" t="str">
        <f t="shared" si="6"/>
        <v/>
      </c>
      <c r="E251" s="41" t="str">
        <f t="shared" si="7"/>
        <v/>
      </c>
    </row>
    <row r="252" spans="4:5" x14ac:dyDescent="0.25">
      <c r="D252" s="39" t="str">
        <f t="shared" si="6"/>
        <v/>
      </c>
      <c r="E252" s="41" t="str">
        <f t="shared" si="7"/>
        <v/>
      </c>
    </row>
    <row r="253" spans="4:5" x14ac:dyDescent="0.25">
      <c r="D253" s="39" t="str">
        <f t="shared" si="6"/>
        <v/>
      </c>
      <c r="E253" s="41" t="str">
        <f t="shared" si="7"/>
        <v/>
      </c>
    </row>
    <row r="254" spans="4:5" x14ac:dyDescent="0.25">
      <c r="D254" s="39" t="str">
        <f t="shared" si="6"/>
        <v/>
      </c>
      <c r="E254" s="41" t="str">
        <f t="shared" si="7"/>
        <v/>
      </c>
    </row>
    <row r="255" spans="4:5" x14ac:dyDescent="0.25">
      <c r="D255" s="39" t="str">
        <f t="shared" si="6"/>
        <v/>
      </c>
      <c r="E255" s="41" t="str">
        <f t="shared" si="7"/>
        <v/>
      </c>
    </row>
    <row r="256" spans="4:5" x14ac:dyDescent="0.25">
      <c r="D256" s="39" t="str">
        <f t="shared" si="6"/>
        <v/>
      </c>
      <c r="E256" s="41" t="str">
        <f t="shared" si="7"/>
        <v/>
      </c>
    </row>
    <row r="257" spans="4:5" x14ac:dyDescent="0.25">
      <c r="D257" s="39" t="str">
        <f t="shared" si="6"/>
        <v/>
      </c>
      <c r="E257" s="41" t="str">
        <f t="shared" si="7"/>
        <v/>
      </c>
    </row>
    <row r="258" spans="4:5" x14ac:dyDescent="0.25">
      <c r="D258" s="39" t="str">
        <f t="shared" si="6"/>
        <v/>
      </c>
      <c r="E258" s="41" t="str">
        <f t="shared" si="7"/>
        <v/>
      </c>
    </row>
    <row r="259" spans="4:5" x14ac:dyDescent="0.25">
      <c r="D259" s="39" t="str">
        <f t="shared" si="6"/>
        <v/>
      </c>
      <c r="E259" s="41" t="str">
        <f t="shared" si="7"/>
        <v/>
      </c>
    </row>
    <row r="260" spans="4:5" x14ac:dyDescent="0.25">
      <c r="D260" s="39" t="str">
        <f t="shared" si="6"/>
        <v/>
      </c>
      <c r="E260" s="41" t="str">
        <f t="shared" si="7"/>
        <v/>
      </c>
    </row>
    <row r="261" spans="4:5" x14ac:dyDescent="0.25">
      <c r="D261" s="39" t="str">
        <f t="shared" si="6"/>
        <v/>
      </c>
      <c r="E261" s="41" t="str">
        <f t="shared" si="7"/>
        <v/>
      </c>
    </row>
    <row r="262" spans="4:5" x14ac:dyDescent="0.25">
      <c r="D262" s="39" t="str">
        <f t="shared" si="6"/>
        <v/>
      </c>
      <c r="E262" s="41" t="str">
        <f t="shared" si="7"/>
        <v/>
      </c>
    </row>
    <row r="263" spans="4:5" x14ac:dyDescent="0.25">
      <c r="D263" s="39" t="str">
        <f t="shared" si="6"/>
        <v/>
      </c>
      <c r="E263" s="41" t="str">
        <f t="shared" si="7"/>
        <v/>
      </c>
    </row>
    <row r="264" spans="4:5" x14ac:dyDescent="0.25">
      <c r="D264" s="39" t="str">
        <f t="shared" si="6"/>
        <v/>
      </c>
      <c r="E264" s="41" t="str">
        <f t="shared" si="7"/>
        <v/>
      </c>
    </row>
    <row r="265" spans="4:5" x14ac:dyDescent="0.25">
      <c r="D265" s="39" t="str">
        <f t="shared" si="6"/>
        <v/>
      </c>
      <c r="E265" s="41" t="str">
        <f t="shared" si="7"/>
        <v/>
      </c>
    </row>
    <row r="266" spans="4:5" x14ac:dyDescent="0.25">
      <c r="D266" s="39" t="str">
        <f t="shared" si="6"/>
        <v/>
      </c>
      <c r="E266" s="41" t="str">
        <f t="shared" si="7"/>
        <v/>
      </c>
    </row>
    <row r="267" spans="4:5" x14ac:dyDescent="0.25">
      <c r="D267" s="39" t="str">
        <f t="shared" si="6"/>
        <v/>
      </c>
      <c r="E267" s="41" t="str">
        <f t="shared" si="7"/>
        <v/>
      </c>
    </row>
    <row r="268" spans="4:5" x14ac:dyDescent="0.25">
      <c r="D268" s="39" t="str">
        <f t="shared" si="6"/>
        <v/>
      </c>
      <c r="E268" s="41" t="str">
        <f t="shared" si="7"/>
        <v/>
      </c>
    </row>
    <row r="269" spans="4:5" x14ac:dyDescent="0.25">
      <c r="D269" s="39" t="str">
        <f t="shared" si="6"/>
        <v/>
      </c>
      <c r="E269" s="41" t="str">
        <f t="shared" si="7"/>
        <v/>
      </c>
    </row>
    <row r="270" spans="4:5" x14ac:dyDescent="0.25">
      <c r="D270" s="39" t="str">
        <f t="shared" si="6"/>
        <v/>
      </c>
      <c r="E270" s="41" t="str">
        <f t="shared" si="7"/>
        <v/>
      </c>
    </row>
    <row r="271" spans="4:5" x14ac:dyDescent="0.25">
      <c r="D271" s="39" t="str">
        <f t="shared" si="6"/>
        <v/>
      </c>
      <c r="E271" s="41" t="str">
        <f t="shared" si="7"/>
        <v/>
      </c>
    </row>
    <row r="272" spans="4:5" x14ac:dyDescent="0.25">
      <c r="D272" s="39" t="str">
        <f t="shared" si="6"/>
        <v/>
      </c>
      <c r="E272" s="41" t="str">
        <f t="shared" si="7"/>
        <v/>
      </c>
    </row>
    <row r="273" spans="4:5" x14ac:dyDescent="0.25">
      <c r="D273" s="39" t="str">
        <f t="shared" ref="D273:D336" si="8">IF(A273=0,"","Elastic")</f>
        <v/>
      </c>
      <c r="E273" s="41" t="str">
        <f t="shared" si="7"/>
        <v/>
      </c>
    </row>
    <row r="274" spans="4:5" x14ac:dyDescent="0.25">
      <c r="D274" s="39" t="str">
        <f t="shared" si="8"/>
        <v/>
      </c>
      <c r="E274" s="41" t="str">
        <f t="shared" si="7"/>
        <v/>
      </c>
    </row>
    <row r="275" spans="4:5" x14ac:dyDescent="0.25">
      <c r="D275" s="39" t="str">
        <f t="shared" si="8"/>
        <v/>
      </c>
      <c r="E275" s="41" t="str">
        <f t="shared" ref="E275:E338" si="9">IF(B275=0,"","Elastic")</f>
        <v/>
      </c>
    </row>
    <row r="276" spans="4:5" x14ac:dyDescent="0.25">
      <c r="D276" s="39" t="str">
        <f t="shared" si="8"/>
        <v/>
      </c>
      <c r="E276" s="41" t="str">
        <f t="shared" si="9"/>
        <v/>
      </c>
    </row>
    <row r="277" spans="4:5" x14ac:dyDescent="0.25">
      <c r="D277" s="39" t="str">
        <f t="shared" si="8"/>
        <v/>
      </c>
      <c r="E277" s="41" t="str">
        <f t="shared" si="9"/>
        <v/>
      </c>
    </row>
    <row r="278" spans="4:5" x14ac:dyDescent="0.25">
      <c r="D278" s="39" t="str">
        <f t="shared" si="8"/>
        <v/>
      </c>
      <c r="E278" s="41" t="str">
        <f t="shared" si="9"/>
        <v/>
      </c>
    </row>
    <row r="279" spans="4:5" x14ac:dyDescent="0.25">
      <c r="D279" s="39" t="str">
        <f t="shared" si="8"/>
        <v/>
      </c>
      <c r="E279" s="41" t="str">
        <f t="shared" si="9"/>
        <v/>
      </c>
    </row>
    <row r="280" spans="4:5" x14ac:dyDescent="0.25">
      <c r="D280" s="39" t="str">
        <f t="shared" si="8"/>
        <v/>
      </c>
      <c r="E280" s="41" t="str">
        <f t="shared" si="9"/>
        <v/>
      </c>
    </row>
    <row r="281" spans="4:5" x14ac:dyDescent="0.25">
      <c r="D281" s="39" t="str">
        <f t="shared" si="8"/>
        <v/>
      </c>
      <c r="E281" s="41" t="str">
        <f t="shared" si="9"/>
        <v/>
      </c>
    </row>
    <row r="282" spans="4:5" x14ac:dyDescent="0.25">
      <c r="D282" s="39" t="str">
        <f t="shared" si="8"/>
        <v/>
      </c>
      <c r="E282" s="41" t="str">
        <f t="shared" si="9"/>
        <v/>
      </c>
    </row>
    <row r="283" spans="4:5" x14ac:dyDescent="0.25">
      <c r="D283" s="39" t="str">
        <f t="shared" si="8"/>
        <v/>
      </c>
      <c r="E283" s="41" t="str">
        <f t="shared" si="9"/>
        <v/>
      </c>
    </row>
    <row r="284" spans="4:5" x14ac:dyDescent="0.25">
      <c r="D284" s="39" t="str">
        <f t="shared" si="8"/>
        <v/>
      </c>
      <c r="E284" s="41" t="str">
        <f t="shared" si="9"/>
        <v/>
      </c>
    </row>
    <row r="285" spans="4:5" x14ac:dyDescent="0.25">
      <c r="D285" s="39" t="str">
        <f t="shared" si="8"/>
        <v/>
      </c>
      <c r="E285" s="41" t="str">
        <f t="shared" si="9"/>
        <v/>
      </c>
    </row>
    <row r="286" spans="4:5" x14ac:dyDescent="0.25">
      <c r="D286" s="39" t="str">
        <f t="shared" si="8"/>
        <v/>
      </c>
      <c r="E286" s="41" t="str">
        <f t="shared" si="9"/>
        <v/>
      </c>
    </row>
    <row r="287" spans="4:5" x14ac:dyDescent="0.25">
      <c r="D287" s="39" t="str">
        <f t="shared" si="8"/>
        <v/>
      </c>
      <c r="E287" s="41" t="str">
        <f t="shared" si="9"/>
        <v/>
      </c>
    </row>
    <row r="288" spans="4:5" x14ac:dyDescent="0.25">
      <c r="D288" s="39" t="str">
        <f t="shared" si="8"/>
        <v/>
      </c>
      <c r="E288" s="41" t="str">
        <f t="shared" si="9"/>
        <v/>
      </c>
    </row>
    <row r="289" spans="4:5" x14ac:dyDescent="0.25">
      <c r="D289" s="39" t="str">
        <f t="shared" si="8"/>
        <v/>
      </c>
      <c r="E289" s="41" t="str">
        <f t="shared" si="9"/>
        <v/>
      </c>
    </row>
    <row r="290" spans="4:5" x14ac:dyDescent="0.25">
      <c r="D290" s="39" t="str">
        <f t="shared" si="8"/>
        <v/>
      </c>
      <c r="E290" s="41" t="str">
        <f t="shared" si="9"/>
        <v/>
      </c>
    </row>
    <row r="291" spans="4:5" x14ac:dyDescent="0.25">
      <c r="D291" s="39" t="str">
        <f t="shared" si="8"/>
        <v/>
      </c>
      <c r="E291" s="41" t="str">
        <f t="shared" si="9"/>
        <v/>
      </c>
    </row>
    <row r="292" spans="4:5" x14ac:dyDescent="0.25">
      <c r="D292" s="39" t="str">
        <f t="shared" si="8"/>
        <v/>
      </c>
      <c r="E292" s="41" t="str">
        <f t="shared" si="9"/>
        <v/>
      </c>
    </row>
    <row r="293" spans="4:5" x14ac:dyDescent="0.25">
      <c r="D293" s="39" t="str">
        <f t="shared" si="8"/>
        <v/>
      </c>
      <c r="E293" s="41" t="str">
        <f t="shared" si="9"/>
        <v/>
      </c>
    </row>
    <row r="294" spans="4:5" x14ac:dyDescent="0.25">
      <c r="D294" s="39" t="str">
        <f t="shared" si="8"/>
        <v/>
      </c>
      <c r="E294" s="41" t="str">
        <f t="shared" si="9"/>
        <v/>
      </c>
    </row>
    <row r="295" spans="4:5" x14ac:dyDescent="0.25">
      <c r="D295" s="39" t="str">
        <f t="shared" si="8"/>
        <v/>
      </c>
      <c r="E295" s="41" t="str">
        <f t="shared" si="9"/>
        <v/>
      </c>
    </row>
    <row r="296" spans="4:5" x14ac:dyDescent="0.25">
      <c r="D296" s="39" t="str">
        <f t="shared" si="8"/>
        <v/>
      </c>
      <c r="E296" s="41" t="str">
        <f t="shared" si="9"/>
        <v/>
      </c>
    </row>
    <row r="297" spans="4:5" x14ac:dyDescent="0.25">
      <c r="D297" s="39" t="str">
        <f t="shared" si="8"/>
        <v/>
      </c>
      <c r="E297" s="41" t="str">
        <f t="shared" si="9"/>
        <v/>
      </c>
    </row>
    <row r="298" spans="4:5" x14ac:dyDescent="0.25">
      <c r="D298" s="39" t="str">
        <f t="shared" si="8"/>
        <v/>
      </c>
      <c r="E298" s="41" t="str">
        <f t="shared" si="9"/>
        <v/>
      </c>
    </row>
    <row r="299" spans="4:5" x14ac:dyDescent="0.25">
      <c r="D299" s="39" t="str">
        <f t="shared" si="8"/>
        <v/>
      </c>
      <c r="E299" s="41" t="str">
        <f t="shared" si="9"/>
        <v/>
      </c>
    </row>
    <row r="300" spans="4:5" x14ac:dyDescent="0.25">
      <c r="D300" s="39" t="str">
        <f t="shared" si="8"/>
        <v/>
      </c>
      <c r="E300" s="41" t="str">
        <f t="shared" si="9"/>
        <v/>
      </c>
    </row>
    <row r="301" spans="4:5" x14ac:dyDescent="0.25">
      <c r="D301" s="39" t="str">
        <f t="shared" si="8"/>
        <v/>
      </c>
      <c r="E301" s="41" t="str">
        <f t="shared" si="9"/>
        <v/>
      </c>
    </row>
    <row r="302" spans="4:5" x14ac:dyDescent="0.25">
      <c r="D302" s="39" t="str">
        <f t="shared" si="8"/>
        <v/>
      </c>
      <c r="E302" s="41" t="str">
        <f t="shared" si="9"/>
        <v/>
      </c>
    </row>
    <row r="303" spans="4:5" x14ac:dyDescent="0.25">
      <c r="D303" s="39" t="str">
        <f t="shared" si="8"/>
        <v/>
      </c>
      <c r="E303" s="41" t="str">
        <f t="shared" si="9"/>
        <v/>
      </c>
    </row>
    <row r="304" spans="4:5" x14ac:dyDescent="0.25">
      <c r="D304" s="39" t="str">
        <f t="shared" si="8"/>
        <v/>
      </c>
      <c r="E304" s="41" t="str">
        <f t="shared" si="9"/>
        <v/>
      </c>
    </row>
    <row r="305" spans="4:5" x14ac:dyDescent="0.25">
      <c r="D305" s="39" t="str">
        <f t="shared" si="8"/>
        <v/>
      </c>
      <c r="E305" s="41" t="str">
        <f t="shared" si="9"/>
        <v/>
      </c>
    </row>
    <row r="306" spans="4:5" x14ac:dyDescent="0.25">
      <c r="D306" s="39" t="str">
        <f t="shared" si="8"/>
        <v/>
      </c>
      <c r="E306" s="41" t="str">
        <f t="shared" si="9"/>
        <v/>
      </c>
    </row>
    <row r="307" spans="4:5" x14ac:dyDescent="0.25">
      <c r="D307" s="39" t="str">
        <f t="shared" si="8"/>
        <v/>
      </c>
      <c r="E307" s="41" t="str">
        <f t="shared" si="9"/>
        <v/>
      </c>
    </row>
    <row r="308" spans="4:5" x14ac:dyDescent="0.25">
      <c r="D308" s="39" t="str">
        <f t="shared" si="8"/>
        <v/>
      </c>
      <c r="E308" s="41" t="str">
        <f t="shared" si="9"/>
        <v/>
      </c>
    </row>
    <row r="309" spans="4:5" x14ac:dyDescent="0.25">
      <c r="D309" s="39" t="str">
        <f t="shared" si="8"/>
        <v/>
      </c>
      <c r="E309" s="41" t="str">
        <f t="shared" si="9"/>
        <v/>
      </c>
    </row>
    <row r="310" spans="4:5" x14ac:dyDescent="0.25">
      <c r="D310" s="39" t="str">
        <f t="shared" si="8"/>
        <v/>
      </c>
      <c r="E310" s="41" t="str">
        <f t="shared" si="9"/>
        <v/>
      </c>
    </row>
    <row r="311" spans="4:5" x14ac:dyDescent="0.25">
      <c r="D311" s="39" t="str">
        <f t="shared" si="8"/>
        <v/>
      </c>
      <c r="E311" s="41" t="str">
        <f t="shared" si="9"/>
        <v/>
      </c>
    </row>
    <row r="312" spans="4:5" x14ac:dyDescent="0.25">
      <c r="D312" s="39" t="str">
        <f t="shared" si="8"/>
        <v/>
      </c>
      <c r="E312" s="41" t="str">
        <f t="shared" si="9"/>
        <v/>
      </c>
    </row>
    <row r="313" spans="4:5" x14ac:dyDescent="0.25">
      <c r="D313" s="39" t="str">
        <f t="shared" si="8"/>
        <v/>
      </c>
      <c r="E313" s="41" t="str">
        <f t="shared" si="9"/>
        <v/>
      </c>
    </row>
    <row r="314" spans="4:5" x14ac:dyDescent="0.25">
      <c r="D314" s="39" t="str">
        <f t="shared" si="8"/>
        <v/>
      </c>
      <c r="E314" s="41" t="str">
        <f t="shared" si="9"/>
        <v/>
      </c>
    </row>
    <row r="315" spans="4:5" x14ac:dyDescent="0.25">
      <c r="D315" s="39" t="str">
        <f t="shared" si="8"/>
        <v/>
      </c>
      <c r="E315" s="41" t="str">
        <f t="shared" si="9"/>
        <v/>
      </c>
    </row>
    <row r="316" spans="4:5" x14ac:dyDescent="0.25">
      <c r="D316" s="39" t="str">
        <f t="shared" si="8"/>
        <v/>
      </c>
      <c r="E316" s="41" t="str">
        <f t="shared" si="9"/>
        <v/>
      </c>
    </row>
    <row r="317" spans="4:5" x14ac:dyDescent="0.25">
      <c r="D317" s="39" t="str">
        <f t="shared" si="8"/>
        <v/>
      </c>
      <c r="E317" s="41" t="str">
        <f t="shared" si="9"/>
        <v/>
      </c>
    </row>
    <row r="318" spans="4:5" x14ac:dyDescent="0.25">
      <c r="D318" s="39" t="str">
        <f t="shared" si="8"/>
        <v/>
      </c>
      <c r="E318" s="41" t="str">
        <f t="shared" si="9"/>
        <v/>
      </c>
    </row>
    <row r="319" spans="4:5" x14ac:dyDescent="0.25">
      <c r="D319" s="39" t="str">
        <f t="shared" si="8"/>
        <v/>
      </c>
      <c r="E319" s="41" t="str">
        <f t="shared" si="9"/>
        <v/>
      </c>
    </row>
    <row r="320" spans="4:5" x14ac:dyDescent="0.25">
      <c r="D320" s="39" t="str">
        <f t="shared" si="8"/>
        <v/>
      </c>
      <c r="E320" s="41" t="str">
        <f t="shared" si="9"/>
        <v/>
      </c>
    </row>
    <row r="321" spans="4:5" x14ac:dyDescent="0.25">
      <c r="D321" s="39" t="str">
        <f t="shared" si="8"/>
        <v/>
      </c>
      <c r="E321" s="41" t="str">
        <f t="shared" si="9"/>
        <v/>
      </c>
    </row>
    <row r="322" spans="4:5" x14ac:dyDescent="0.25">
      <c r="D322" s="39" t="str">
        <f t="shared" si="8"/>
        <v/>
      </c>
      <c r="E322" s="41" t="str">
        <f t="shared" si="9"/>
        <v/>
      </c>
    </row>
    <row r="323" spans="4:5" x14ac:dyDescent="0.25">
      <c r="D323" s="39" t="str">
        <f t="shared" si="8"/>
        <v/>
      </c>
      <c r="E323" s="41" t="str">
        <f t="shared" si="9"/>
        <v/>
      </c>
    </row>
    <row r="324" spans="4:5" x14ac:dyDescent="0.25">
      <c r="D324" s="39" t="str">
        <f t="shared" si="8"/>
        <v/>
      </c>
      <c r="E324" s="41" t="str">
        <f t="shared" si="9"/>
        <v/>
      </c>
    </row>
    <row r="325" spans="4:5" x14ac:dyDescent="0.25">
      <c r="D325" s="39" t="str">
        <f t="shared" si="8"/>
        <v/>
      </c>
      <c r="E325" s="41" t="str">
        <f t="shared" si="9"/>
        <v/>
      </c>
    </row>
    <row r="326" spans="4:5" x14ac:dyDescent="0.25">
      <c r="D326" s="39" t="str">
        <f t="shared" si="8"/>
        <v/>
      </c>
      <c r="E326" s="41" t="str">
        <f t="shared" si="9"/>
        <v/>
      </c>
    </row>
    <row r="327" spans="4:5" x14ac:dyDescent="0.25">
      <c r="D327" s="39" t="str">
        <f t="shared" si="8"/>
        <v/>
      </c>
      <c r="E327" s="41" t="str">
        <f t="shared" si="9"/>
        <v/>
      </c>
    </row>
    <row r="328" spans="4:5" x14ac:dyDescent="0.25">
      <c r="D328" s="39" t="str">
        <f t="shared" si="8"/>
        <v/>
      </c>
      <c r="E328" s="41" t="str">
        <f t="shared" si="9"/>
        <v/>
      </c>
    </row>
    <row r="329" spans="4:5" x14ac:dyDescent="0.25">
      <c r="D329" s="39" t="str">
        <f t="shared" si="8"/>
        <v/>
      </c>
      <c r="E329" s="41" t="str">
        <f t="shared" si="9"/>
        <v/>
      </c>
    </row>
    <row r="330" spans="4:5" x14ac:dyDescent="0.25">
      <c r="D330" s="39" t="str">
        <f t="shared" si="8"/>
        <v/>
      </c>
      <c r="E330" s="41" t="str">
        <f t="shared" si="9"/>
        <v/>
      </c>
    </row>
    <row r="331" spans="4:5" x14ac:dyDescent="0.25">
      <c r="D331" s="39" t="str">
        <f t="shared" si="8"/>
        <v/>
      </c>
      <c r="E331" s="41" t="str">
        <f t="shared" si="9"/>
        <v/>
      </c>
    </row>
    <row r="332" spans="4:5" x14ac:dyDescent="0.25">
      <c r="D332" s="39" t="str">
        <f t="shared" si="8"/>
        <v/>
      </c>
      <c r="E332" s="41" t="str">
        <f t="shared" si="9"/>
        <v/>
      </c>
    </row>
    <row r="333" spans="4:5" x14ac:dyDescent="0.25">
      <c r="D333" s="39" t="str">
        <f t="shared" si="8"/>
        <v/>
      </c>
      <c r="E333" s="41" t="str">
        <f t="shared" si="9"/>
        <v/>
      </c>
    </row>
    <row r="334" spans="4:5" x14ac:dyDescent="0.25">
      <c r="D334" s="39" t="str">
        <f t="shared" si="8"/>
        <v/>
      </c>
      <c r="E334" s="41" t="str">
        <f t="shared" si="9"/>
        <v/>
      </c>
    </row>
    <row r="335" spans="4:5" x14ac:dyDescent="0.25">
      <c r="D335" s="39" t="str">
        <f t="shared" si="8"/>
        <v/>
      </c>
      <c r="E335" s="41" t="str">
        <f t="shared" si="9"/>
        <v/>
      </c>
    </row>
    <row r="336" spans="4:5" x14ac:dyDescent="0.25">
      <c r="D336" s="39" t="str">
        <f t="shared" si="8"/>
        <v/>
      </c>
      <c r="E336" s="41" t="str">
        <f t="shared" si="9"/>
        <v/>
      </c>
    </row>
    <row r="337" spans="4:5" x14ac:dyDescent="0.25">
      <c r="D337" s="39" t="str">
        <f t="shared" ref="D337:D400" si="10">IF(A337=0,"","Elastic")</f>
        <v/>
      </c>
      <c r="E337" s="41" t="str">
        <f t="shared" si="9"/>
        <v/>
      </c>
    </row>
    <row r="338" spans="4:5" x14ac:dyDescent="0.25">
      <c r="D338" s="39" t="str">
        <f t="shared" si="10"/>
        <v/>
      </c>
      <c r="E338" s="41" t="str">
        <f t="shared" si="9"/>
        <v/>
      </c>
    </row>
    <row r="339" spans="4:5" x14ac:dyDescent="0.25">
      <c r="D339" s="39" t="str">
        <f t="shared" si="10"/>
        <v/>
      </c>
      <c r="E339" s="41" t="str">
        <f t="shared" ref="E339:E402" si="11">IF(B339=0,"","Elastic")</f>
        <v/>
      </c>
    </row>
    <row r="340" spans="4:5" x14ac:dyDescent="0.25">
      <c r="D340" s="39" t="str">
        <f t="shared" si="10"/>
        <v/>
      </c>
      <c r="E340" s="41" t="str">
        <f t="shared" si="11"/>
        <v/>
      </c>
    </row>
    <row r="341" spans="4:5" x14ac:dyDescent="0.25">
      <c r="D341" s="39" t="str">
        <f t="shared" si="10"/>
        <v/>
      </c>
      <c r="E341" s="41" t="str">
        <f t="shared" si="11"/>
        <v/>
      </c>
    </row>
    <row r="342" spans="4:5" x14ac:dyDescent="0.25">
      <c r="D342" s="39" t="str">
        <f t="shared" si="10"/>
        <v/>
      </c>
      <c r="E342" s="41" t="str">
        <f t="shared" si="11"/>
        <v/>
      </c>
    </row>
    <row r="343" spans="4:5" x14ac:dyDescent="0.25">
      <c r="D343" s="39" t="str">
        <f t="shared" si="10"/>
        <v/>
      </c>
      <c r="E343" s="41" t="str">
        <f t="shared" si="11"/>
        <v/>
      </c>
    </row>
    <row r="344" spans="4:5" x14ac:dyDescent="0.25">
      <c r="D344" s="39" t="str">
        <f t="shared" si="10"/>
        <v/>
      </c>
      <c r="E344" s="41" t="str">
        <f t="shared" si="11"/>
        <v/>
      </c>
    </row>
    <row r="345" spans="4:5" x14ac:dyDescent="0.25">
      <c r="D345" s="39" t="str">
        <f t="shared" si="10"/>
        <v/>
      </c>
      <c r="E345" s="41" t="str">
        <f t="shared" si="11"/>
        <v/>
      </c>
    </row>
    <row r="346" spans="4:5" x14ac:dyDescent="0.25">
      <c r="D346" s="39" t="str">
        <f t="shared" si="10"/>
        <v/>
      </c>
      <c r="E346" s="41" t="str">
        <f t="shared" si="11"/>
        <v/>
      </c>
    </row>
    <row r="347" spans="4:5" x14ac:dyDescent="0.25">
      <c r="D347" s="39" t="str">
        <f t="shared" si="10"/>
        <v/>
      </c>
      <c r="E347" s="41" t="str">
        <f t="shared" si="11"/>
        <v/>
      </c>
    </row>
    <row r="348" spans="4:5" x14ac:dyDescent="0.25">
      <c r="D348" s="39" t="str">
        <f t="shared" si="10"/>
        <v/>
      </c>
      <c r="E348" s="41" t="str">
        <f t="shared" si="11"/>
        <v/>
      </c>
    </row>
    <row r="349" spans="4:5" x14ac:dyDescent="0.25">
      <c r="D349" s="39" t="str">
        <f t="shared" si="10"/>
        <v/>
      </c>
      <c r="E349" s="41" t="str">
        <f t="shared" si="11"/>
        <v/>
      </c>
    </row>
    <row r="350" spans="4:5" x14ac:dyDescent="0.25">
      <c r="D350" s="39" t="str">
        <f t="shared" si="10"/>
        <v/>
      </c>
      <c r="E350" s="41" t="str">
        <f t="shared" si="11"/>
        <v/>
      </c>
    </row>
    <row r="351" spans="4:5" x14ac:dyDescent="0.25">
      <c r="D351" s="39" t="str">
        <f t="shared" si="10"/>
        <v/>
      </c>
      <c r="E351" s="41" t="str">
        <f t="shared" si="11"/>
        <v/>
      </c>
    </row>
    <row r="352" spans="4:5" x14ac:dyDescent="0.25">
      <c r="D352" s="39" t="str">
        <f t="shared" si="10"/>
        <v/>
      </c>
      <c r="E352" s="41" t="str">
        <f t="shared" si="11"/>
        <v/>
      </c>
    </row>
    <row r="353" spans="4:5" x14ac:dyDescent="0.25">
      <c r="D353" s="39" t="str">
        <f t="shared" si="10"/>
        <v/>
      </c>
      <c r="E353" s="41" t="str">
        <f t="shared" si="11"/>
        <v/>
      </c>
    </row>
    <row r="354" spans="4:5" x14ac:dyDescent="0.25">
      <c r="D354" s="39" t="str">
        <f t="shared" si="10"/>
        <v/>
      </c>
      <c r="E354" s="41" t="str">
        <f t="shared" si="11"/>
        <v/>
      </c>
    </row>
    <row r="355" spans="4:5" x14ac:dyDescent="0.25">
      <c r="D355" s="39" t="str">
        <f t="shared" si="10"/>
        <v/>
      </c>
      <c r="E355" s="41" t="str">
        <f t="shared" si="11"/>
        <v/>
      </c>
    </row>
    <row r="356" spans="4:5" x14ac:dyDescent="0.25">
      <c r="D356" s="39" t="str">
        <f t="shared" si="10"/>
        <v/>
      </c>
      <c r="E356" s="41" t="str">
        <f t="shared" si="11"/>
        <v/>
      </c>
    </row>
    <row r="357" spans="4:5" x14ac:dyDescent="0.25">
      <c r="D357" s="39" t="str">
        <f t="shared" si="10"/>
        <v/>
      </c>
      <c r="E357" s="41" t="str">
        <f t="shared" si="11"/>
        <v/>
      </c>
    </row>
    <row r="358" spans="4:5" x14ac:dyDescent="0.25">
      <c r="D358" s="39" t="str">
        <f t="shared" si="10"/>
        <v/>
      </c>
      <c r="E358" s="41" t="str">
        <f t="shared" si="11"/>
        <v/>
      </c>
    </row>
    <row r="359" spans="4:5" x14ac:dyDescent="0.25">
      <c r="D359" s="39" t="str">
        <f t="shared" si="10"/>
        <v/>
      </c>
      <c r="E359" s="41" t="str">
        <f t="shared" si="11"/>
        <v/>
      </c>
    </row>
    <row r="360" spans="4:5" x14ac:dyDescent="0.25">
      <c r="D360" s="39" t="str">
        <f t="shared" si="10"/>
        <v/>
      </c>
      <c r="E360" s="41" t="str">
        <f t="shared" si="11"/>
        <v/>
      </c>
    </row>
    <row r="361" spans="4:5" x14ac:dyDescent="0.25">
      <c r="D361" s="39" t="str">
        <f t="shared" si="10"/>
        <v/>
      </c>
      <c r="E361" s="41" t="str">
        <f t="shared" si="11"/>
        <v/>
      </c>
    </row>
    <row r="362" spans="4:5" x14ac:dyDescent="0.25">
      <c r="D362" s="39" t="str">
        <f t="shared" si="10"/>
        <v/>
      </c>
      <c r="E362" s="41" t="str">
        <f t="shared" si="11"/>
        <v/>
      </c>
    </row>
    <row r="363" spans="4:5" x14ac:dyDescent="0.25">
      <c r="D363" s="39" t="str">
        <f t="shared" si="10"/>
        <v/>
      </c>
      <c r="E363" s="41" t="str">
        <f t="shared" si="11"/>
        <v/>
      </c>
    </row>
    <row r="364" spans="4:5" x14ac:dyDescent="0.25">
      <c r="D364" s="39" t="str">
        <f t="shared" si="10"/>
        <v/>
      </c>
      <c r="E364" s="41" t="str">
        <f t="shared" si="11"/>
        <v/>
      </c>
    </row>
    <row r="365" spans="4:5" x14ac:dyDescent="0.25">
      <c r="D365" s="39" t="str">
        <f t="shared" si="10"/>
        <v/>
      </c>
      <c r="E365" s="41" t="str">
        <f t="shared" si="11"/>
        <v/>
      </c>
    </row>
    <row r="366" spans="4:5" x14ac:dyDescent="0.25">
      <c r="D366" s="39" t="str">
        <f t="shared" si="10"/>
        <v/>
      </c>
      <c r="E366" s="41" t="str">
        <f t="shared" si="11"/>
        <v/>
      </c>
    </row>
    <row r="367" spans="4:5" x14ac:dyDescent="0.25">
      <c r="D367" s="39" t="str">
        <f t="shared" si="10"/>
        <v/>
      </c>
      <c r="E367" s="41" t="str">
        <f t="shared" si="11"/>
        <v/>
      </c>
    </row>
    <row r="368" spans="4:5" x14ac:dyDescent="0.25">
      <c r="D368" s="39" t="str">
        <f t="shared" si="10"/>
        <v/>
      </c>
      <c r="E368" s="41" t="str">
        <f t="shared" si="11"/>
        <v/>
      </c>
    </row>
    <row r="369" spans="4:5" x14ac:dyDescent="0.25">
      <c r="D369" s="39" t="str">
        <f t="shared" si="10"/>
        <v/>
      </c>
      <c r="E369" s="41" t="str">
        <f t="shared" si="11"/>
        <v/>
      </c>
    </row>
    <row r="370" spans="4:5" x14ac:dyDescent="0.25">
      <c r="D370" s="39" t="str">
        <f t="shared" si="10"/>
        <v/>
      </c>
      <c r="E370" s="41" t="str">
        <f t="shared" si="11"/>
        <v/>
      </c>
    </row>
    <row r="371" spans="4:5" x14ac:dyDescent="0.25">
      <c r="D371" s="39" t="str">
        <f t="shared" si="10"/>
        <v/>
      </c>
      <c r="E371" s="41" t="str">
        <f t="shared" si="11"/>
        <v/>
      </c>
    </row>
    <row r="372" spans="4:5" x14ac:dyDescent="0.25">
      <c r="D372" s="39" t="str">
        <f t="shared" si="10"/>
        <v/>
      </c>
      <c r="E372" s="41" t="str">
        <f t="shared" si="11"/>
        <v/>
      </c>
    </row>
    <row r="373" spans="4:5" x14ac:dyDescent="0.25">
      <c r="D373" s="39" t="str">
        <f t="shared" si="10"/>
        <v/>
      </c>
      <c r="E373" s="41" t="str">
        <f t="shared" si="11"/>
        <v/>
      </c>
    </row>
    <row r="374" spans="4:5" x14ac:dyDescent="0.25">
      <c r="D374" s="39" t="str">
        <f t="shared" si="10"/>
        <v/>
      </c>
      <c r="E374" s="41" t="str">
        <f t="shared" si="11"/>
        <v/>
      </c>
    </row>
    <row r="375" spans="4:5" x14ac:dyDescent="0.25">
      <c r="D375" s="39" t="str">
        <f t="shared" si="10"/>
        <v/>
      </c>
      <c r="E375" s="41" t="str">
        <f t="shared" si="11"/>
        <v/>
      </c>
    </row>
    <row r="376" spans="4:5" x14ac:dyDescent="0.25">
      <c r="D376" s="39" t="str">
        <f t="shared" si="10"/>
        <v/>
      </c>
      <c r="E376" s="41" t="str">
        <f t="shared" si="11"/>
        <v/>
      </c>
    </row>
    <row r="377" spans="4:5" x14ac:dyDescent="0.25">
      <c r="D377" s="39" t="str">
        <f t="shared" si="10"/>
        <v/>
      </c>
      <c r="E377" s="41" t="str">
        <f t="shared" si="11"/>
        <v/>
      </c>
    </row>
    <row r="378" spans="4:5" x14ac:dyDescent="0.25">
      <c r="D378" s="39" t="str">
        <f t="shared" si="10"/>
        <v/>
      </c>
      <c r="E378" s="41" t="str">
        <f t="shared" si="11"/>
        <v/>
      </c>
    </row>
    <row r="379" spans="4:5" x14ac:dyDescent="0.25">
      <c r="D379" s="39" t="str">
        <f t="shared" si="10"/>
        <v/>
      </c>
      <c r="E379" s="41" t="str">
        <f t="shared" si="11"/>
        <v/>
      </c>
    </row>
    <row r="380" spans="4:5" x14ac:dyDescent="0.25">
      <c r="D380" s="39" t="str">
        <f t="shared" si="10"/>
        <v/>
      </c>
      <c r="E380" s="41" t="str">
        <f t="shared" si="11"/>
        <v/>
      </c>
    </row>
    <row r="381" spans="4:5" x14ac:dyDescent="0.25">
      <c r="D381" s="39" t="str">
        <f t="shared" si="10"/>
        <v/>
      </c>
      <c r="E381" s="41" t="str">
        <f t="shared" si="11"/>
        <v/>
      </c>
    </row>
    <row r="382" spans="4:5" x14ac:dyDescent="0.25">
      <c r="D382" s="39" t="str">
        <f t="shared" si="10"/>
        <v/>
      </c>
      <c r="E382" s="41" t="str">
        <f t="shared" si="11"/>
        <v/>
      </c>
    </row>
    <row r="383" spans="4:5" x14ac:dyDescent="0.25">
      <c r="D383" s="39" t="str">
        <f t="shared" si="10"/>
        <v/>
      </c>
      <c r="E383" s="41" t="str">
        <f t="shared" si="11"/>
        <v/>
      </c>
    </row>
    <row r="384" spans="4:5" x14ac:dyDescent="0.25">
      <c r="D384" s="39" t="str">
        <f t="shared" si="10"/>
        <v/>
      </c>
      <c r="E384" s="41" t="str">
        <f t="shared" si="11"/>
        <v/>
      </c>
    </row>
    <row r="385" spans="4:5" x14ac:dyDescent="0.25">
      <c r="D385" s="39" t="str">
        <f t="shared" si="10"/>
        <v/>
      </c>
      <c r="E385" s="41" t="str">
        <f t="shared" si="11"/>
        <v/>
      </c>
    </row>
    <row r="386" spans="4:5" x14ac:dyDescent="0.25">
      <c r="D386" s="39" t="str">
        <f t="shared" si="10"/>
        <v/>
      </c>
      <c r="E386" s="41" t="str">
        <f t="shared" si="11"/>
        <v/>
      </c>
    </row>
    <row r="387" spans="4:5" x14ac:dyDescent="0.25">
      <c r="D387" s="39" t="str">
        <f t="shared" si="10"/>
        <v/>
      </c>
      <c r="E387" s="41" t="str">
        <f t="shared" si="11"/>
        <v/>
      </c>
    </row>
    <row r="388" spans="4:5" x14ac:dyDescent="0.25">
      <c r="D388" s="39" t="str">
        <f t="shared" si="10"/>
        <v/>
      </c>
      <c r="E388" s="41" t="str">
        <f t="shared" si="11"/>
        <v/>
      </c>
    </row>
    <row r="389" spans="4:5" x14ac:dyDescent="0.25">
      <c r="D389" s="39" t="str">
        <f t="shared" si="10"/>
        <v/>
      </c>
      <c r="E389" s="41" t="str">
        <f t="shared" si="11"/>
        <v/>
      </c>
    </row>
    <row r="390" spans="4:5" x14ac:dyDescent="0.25">
      <c r="D390" s="39" t="str">
        <f t="shared" si="10"/>
        <v/>
      </c>
      <c r="E390" s="41" t="str">
        <f t="shared" si="11"/>
        <v/>
      </c>
    </row>
    <row r="391" spans="4:5" x14ac:dyDescent="0.25">
      <c r="D391" s="39" t="str">
        <f t="shared" si="10"/>
        <v/>
      </c>
      <c r="E391" s="41" t="str">
        <f t="shared" si="11"/>
        <v/>
      </c>
    </row>
    <row r="392" spans="4:5" x14ac:dyDescent="0.25">
      <c r="D392" s="39" t="str">
        <f t="shared" si="10"/>
        <v/>
      </c>
      <c r="E392" s="41" t="str">
        <f t="shared" si="11"/>
        <v/>
      </c>
    </row>
    <row r="393" spans="4:5" x14ac:dyDescent="0.25">
      <c r="D393" s="39" t="str">
        <f t="shared" si="10"/>
        <v/>
      </c>
      <c r="E393" s="41" t="str">
        <f t="shared" si="11"/>
        <v/>
      </c>
    </row>
    <row r="394" spans="4:5" x14ac:dyDescent="0.25">
      <c r="D394" s="39" t="str">
        <f t="shared" si="10"/>
        <v/>
      </c>
      <c r="E394" s="41" t="str">
        <f t="shared" si="11"/>
        <v/>
      </c>
    </row>
    <row r="395" spans="4:5" x14ac:dyDescent="0.25">
      <c r="D395" s="39" t="str">
        <f t="shared" si="10"/>
        <v/>
      </c>
      <c r="E395" s="41" t="str">
        <f t="shared" si="11"/>
        <v/>
      </c>
    </row>
    <row r="396" spans="4:5" x14ac:dyDescent="0.25">
      <c r="D396" s="39" t="str">
        <f t="shared" si="10"/>
        <v/>
      </c>
      <c r="E396" s="41" t="str">
        <f t="shared" si="11"/>
        <v/>
      </c>
    </row>
    <row r="397" spans="4:5" x14ac:dyDescent="0.25">
      <c r="D397" s="39" t="str">
        <f t="shared" si="10"/>
        <v/>
      </c>
      <c r="E397" s="41" t="str">
        <f t="shared" si="11"/>
        <v/>
      </c>
    </row>
    <row r="398" spans="4:5" x14ac:dyDescent="0.25">
      <c r="D398" s="39" t="str">
        <f t="shared" si="10"/>
        <v/>
      </c>
      <c r="E398" s="41" t="str">
        <f t="shared" si="11"/>
        <v/>
      </c>
    </row>
    <row r="399" spans="4:5" x14ac:dyDescent="0.25">
      <c r="D399" s="39" t="str">
        <f t="shared" si="10"/>
        <v/>
      </c>
      <c r="E399" s="41" t="str">
        <f t="shared" si="11"/>
        <v/>
      </c>
    </row>
    <row r="400" spans="4:5" x14ac:dyDescent="0.25">
      <c r="D400" s="39" t="str">
        <f t="shared" si="10"/>
        <v/>
      </c>
      <c r="E400" s="41" t="str">
        <f t="shared" si="11"/>
        <v/>
      </c>
    </row>
    <row r="401" spans="4:5" x14ac:dyDescent="0.25">
      <c r="D401" s="39" t="str">
        <f t="shared" ref="D401:D464" si="12">IF(A401=0,"","Elastic")</f>
        <v/>
      </c>
      <c r="E401" s="41" t="str">
        <f t="shared" si="11"/>
        <v/>
      </c>
    </row>
    <row r="402" spans="4:5" x14ac:dyDescent="0.25">
      <c r="D402" s="39" t="str">
        <f t="shared" si="12"/>
        <v/>
      </c>
      <c r="E402" s="41" t="str">
        <f t="shared" si="11"/>
        <v/>
      </c>
    </row>
    <row r="403" spans="4:5" x14ac:dyDescent="0.25">
      <c r="D403" s="39" t="str">
        <f t="shared" si="12"/>
        <v/>
      </c>
      <c r="E403" s="41" t="str">
        <f t="shared" ref="E403:E466" si="13">IF(B403=0,"","Elastic")</f>
        <v/>
      </c>
    </row>
    <row r="404" spans="4:5" x14ac:dyDescent="0.25">
      <c r="D404" s="39" t="str">
        <f t="shared" si="12"/>
        <v/>
      </c>
      <c r="E404" s="41" t="str">
        <f t="shared" si="13"/>
        <v/>
      </c>
    </row>
    <row r="405" spans="4:5" x14ac:dyDescent="0.25">
      <c r="D405" s="39" t="str">
        <f t="shared" si="12"/>
        <v/>
      </c>
      <c r="E405" s="41" t="str">
        <f t="shared" si="13"/>
        <v/>
      </c>
    </row>
    <row r="406" spans="4:5" x14ac:dyDescent="0.25">
      <c r="D406" s="39" t="str">
        <f t="shared" si="12"/>
        <v/>
      </c>
      <c r="E406" s="41" t="str">
        <f t="shared" si="13"/>
        <v/>
      </c>
    </row>
    <row r="407" spans="4:5" x14ac:dyDescent="0.25">
      <c r="D407" s="39" t="str">
        <f t="shared" si="12"/>
        <v/>
      </c>
      <c r="E407" s="41" t="str">
        <f t="shared" si="13"/>
        <v/>
      </c>
    </row>
    <row r="408" spans="4:5" x14ac:dyDescent="0.25">
      <c r="D408" s="39" t="str">
        <f t="shared" si="12"/>
        <v/>
      </c>
      <c r="E408" s="41" t="str">
        <f t="shared" si="13"/>
        <v/>
      </c>
    </row>
    <row r="409" spans="4:5" x14ac:dyDescent="0.25">
      <c r="D409" s="39" t="str">
        <f t="shared" si="12"/>
        <v/>
      </c>
      <c r="E409" s="41" t="str">
        <f t="shared" si="13"/>
        <v/>
      </c>
    </row>
    <row r="410" spans="4:5" x14ac:dyDescent="0.25">
      <c r="D410" s="39" t="str">
        <f t="shared" si="12"/>
        <v/>
      </c>
      <c r="E410" s="41" t="str">
        <f t="shared" si="13"/>
        <v/>
      </c>
    </row>
    <row r="411" spans="4:5" x14ac:dyDescent="0.25">
      <c r="D411" s="39" t="str">
        <f t="shared" si="12"/>
        <v/>
      </c>
      <c r="E411" s="41" t="str">
        <f t="shared" si="13"/>
        <v/>
      </c>
    </row>
    <row r="412" spans="4:5" x14ac:dyDescent="0.25">
      <c r="D412" s="39" t="str">
        <f t="shared" si="12"/>
        <v/>
      </c>
      <c r="E412" s="41" t="str">
        <f t="shared" si="13"/>
        <v/>
      </c>
    </row>
    <row r="413" spans="4:5" x14ac:dyDescent="0.25">
      <c r="D413" s="39" t="str">
        <f t="shared" si="12"/>
        <v/>
      </c>
      <c r="E413" s="41" t="str">
        <f t="shared" si="13"/>
        <v/>
      </c>
    </row>
    <row r="414" spans="4:5" x14ac:dyDescent="0.25">
      <c r="D414" s="39" t="str">
        <f t="shared" si="12"/>
        <v/>
      </c>
      <c r="E414" s="41" t="str">
        <f t="shared" si="13"/>
        <v/>
      </c>
    </row>
    <row r="415" spans="4:5" x14ac:dyDescent="0.25">
      <c r="D415" s="39" t="str">
        <f t="shared" si="12"/>
        <v/>
      </c>
      <c r="E415" s="41" t="str">
        <f t="shared" si="13"/>
        <v/>
      </c>
    </row>
    <row r="416" spans="4:5" x14ac:dyDescent="0.25">
      <c r="D416" s="39" t="str">
        <f t="shared" si="12"/>
        <v/>
      </c>
      <c r="E416" s="41" t="str">
        <f t="shared" si="13"/>
        <v/>
      </c>
    </row>
    <row r="417" spans="4:5" x14ac:dyDescent="0.25">
      <c r="D417" s="39" t="str">
        <f t="shared" si="12"/>
        <v/>
      </c>
      <c r="E417" s="41" t="str">
        <f t="shared" si="13"/>
        <v/>
      </c>
    </row>
    <row r="418" spans="4:5" x14ac:dyDescent="0.25">
      <c r="D418" s="39" t="str">
        <f t="shared" si="12"/>
        <v/>
      </c>
      <c r="E418" s="41" t="str">
        <f t="shared" si="13"/>
        <v/>
      </c>
    </row>
    <row r="419" spans="4:5" x14ac:dyDescent="0.25">
      <c r="D419" s="39" t="str">
        <f t="shared" si="12"/>
        <v/>
      </c>
      <c r="E419" s="41" t="str">
        <f t="shared" si="13"/>
        <v/>
      </c>
    </row>
    <row r="420" spans="4:5" x14ac:dyDescent="0.25">
      <c r="D420" s="39" t="str">
        <f t="shared" si="12"/>
        <v/>
      </c>
      <c r="E420" s="41" t="str">
        <f t="shared" si="13"/>
        <v/>
      </c>
    </row>
    <row r="421" spans="4:5" x14ac:dyDescent="0.25">
      <c r="D421" s="39" t="str">
        <f t="shared" si="12"/>
        <v/>
      </c>
      <c r="E421" s="41" t="str">
        <f t="shared" si="13"/>
        <v/>
      </c>
    </row>
    <row r="422" spans="4:5" x14ac:dyDescent="0.25">
      <c r="D422" s="39" t="str">
        <f t="shared" si="12"/>
        <v/>
      </c>
      <c r="E422" s="41" t="str">
        <f t="shared" si="13"/>
        <v/>
      </c>
    </row>
    <row r="423" spans="4:5" x14ac:dyDescent="0.25">
      <c r="D423" s="39" t="str">
        <f t="shared" si="12"/>
        <v/>
      </c>
      <c r="E423" s="41" t="str">
        <f t="shared" si="13"/>
        <v/>
      </c>
    </row>
    <row r="424" spans="4:5" x14ac:dyDescent="0.25">
      <c r="D424" s="39" t="str">
        <f t="shared" si="12"/>
        <v/>
      </c>
      <c r="E424" s="41" t="str">
        <f t="shared" si="13"/>
        <v/>
      </c>
    </row>
    <row r="425" spans="4:5" x14ac:dyDescent="0.25">
      <c r="D425" s="39" t="str">
        <f t="shared" si="12"/>
        <v/>
      </c>
      <c r="E425" s="41" t="str">
        <f t="shared" si="13"/>
        <v/>
      </c>
    </row>
    <row r="426" spans="4:5" x14ac:dyDescent="0.25">
      <c r="D426" s="39" t="str">
        <f t="shared" si="12"/>
        <v/>
      </c>
      <c r="E426" s="41" t="str">
        <f t="shared" si="13"/>
        <v/>
      </c>
    </row>
    <row r="427" spans="4:5" x14ac:dyDescent="0.25">
      <c r="D427" s="39" t="str">
        <f t="shared" si="12"/>
        <v/>
      </c>
      <c r="E427" s="41" t="str">
        <f t="shared" si="13"/>
        <v/>
      </c>
    </row>
    <row r="428" spans="4:5" x14ac:dyDescent="0.25">
      <c r="D428" s="39" t="str">
        <f t="shared" si="12"/>
        <v/>
      </c>
      <c r="E428" s="41" t="str">
        <f t="shared" si="13"/>
        <v/>
      </c>
    </row>
    <row r="429" spans="4:5" x14ac:dyDescent="0.25">
      <c r="D429" s="39" t="str">
        <f t="shared" si="12"/>
        <v/>
      </c>
      <c r="E429" s="41" t="str">
        <f t="shared" si="13"/>
        <v/>
      </c>
    </row>
    <row r="430" spans="4:5" x14ac:dyDescent="0.25">
      <c r="D430" s="39" t="str">
        <f t="shared" si="12"/>
        <v/>
      </c>
      <c r="E430" s="41" t="str">
        <f t="shared" si="13"/>
        <v/>
      </c>
    </row>
    <row r="431" spans="4:5" x14ac:dyDescent="0.25">
      <c r="D431" s="39" t="str">
        <f t="shared" si="12"/>
        <v/>
      </c>
      <c r="E431" s="41" t="str">
        <f t="shared" si="13"/>
        <v/>
      </c>
    </row>
    <row r="432" spans="4:5" x14ac:dyDescent="0.25">
      <c r="D432" s="39" t="str">
        <f t="shared" si="12"/>
        <v/>
      </c>
      <c r="E432" s="41" t="str">
        <f t="shared" si="13"/>
        <v/>
      </c>
    </row>
    <row r="433" spans="4:5" x14ac:dyDescent="0.25">
      <c r="D433" s="39" t="str">
        <f t="shared" si="12"/>
        <v/>
      </c>
      <c r="E433" s="41" t="str">
        <f t="shared" si="13"/>
        <v/>
      </c>
    </row>
    <row r="434" spans="4:5" x14ac:dyDescent="0.25">
      <c r="D434" s="39" t="str">
        <f t="shared" si="12"/>
        <v/>
      </c>
      <c r="E434" s="41" t="str">
        <f t="shared" si="13"/>
        <v/>
      </c>
    </row>
    <row r="435" spans="4:5" x14ac:dyDescent="0.25">
      <c r="D435" s="39" t="str">
        <f t="shared" si="12"/>
        <v/>
      </c>
      <c r="E435" s="41" t="str">
        <f t="shared" si="13"/>
        <v/>
      </c>
    </row>
    <row r="436" spans="4:5" x14ac:dyDescent="0.25">
      <c r="D436" s="39" t="str">
        <f t="shared" si="12"/>
        <v/>
      </c>
      <c r="E436" s="41" t="str">
        <f t="shared" si="13"/>
        <v/>
      </c>
    </row>
    <row r="437" spans="4:5" x14ac:dyDescent="0.25">
      <c r="D437" s="39" t="str">
        <f t="shared" si="12"/>
        <v/>
      </c>
      <c r="E437" s="41" t="str">
        <f t="shared" si="13"/>
        <v/>
      </c>
    </row>
    <row r="438" spans="4:5" x14ac:dyDescent="0.25">
      <c r="D438" s="39" t="str">
        <f t="shared" si="12"/>
        <v/>
      </c>
      <c r="E438" s="41" t="str">
        <f t="shared" si="13"/>
        <v/>
      </c>
    </row>
    <row r="439" spans="4:5" x14ac:dyDescent="0.25">
      <c r="D439" s="39" t="str">
        <f t="shared" si="12"/>
        <v/>
      </c>
      <c r="E439" s="41" t="str">
        <f t="shared" si="13"/>
        <v/>
      </c>
    </row>
    <row r="440" spans="4:5" x14ac:dyDescent="0.25">
      <c r="D440" s="39" t="str">
        <f t="shared" si="12"/>
        <v/>
      </c>
      <c r="E440" s="41" t="str">
        <f t="shared" si="13"/>
        <v/>
      </c>
    </row>
    <row r="441" spans="4:5" x14ac:dyDescent="0.25">
      <c r="D441" s="39" t="str">
        <f t="shared" si="12"/>
        <v/>
      </c>
      <c r="E441" s="41" t="str">
        <f t="shared" si="13"/>
        <v/>
      </c>
    </row>
    <row r="442" spans="4:5" x14ac:dyDescent="0.25">
      <c r="D442" s="39" t="str">
        <f t="shared" si="12"/>
        <v/>
      </c>
      <c r="E442" s="41" t="str">
        <f t="shared" si="13"/>
        <v/>
      </c>
    </row>
    <row r="443" spans="4:5" x14ac:dyDescent="0.25">
      <c r="D443" s="39" t="str">
        <f t="shared" si="12"/>
        <v/>
      </c>
      <c r="E443" s="41" t="str">
        <f t="shared" si="13"/>
        <v/>
      </c>
    </row>
    <row r="444" spans="4:5" x14ac:dyDescent="0.25">
      <c r="D444" s="39" t="str">
        <f t="shared" si="12"/>
        <v/>
      </c>
      <c r="E444" s="41" t="str">
        <f t="shared" si="13"/>
        <v/>
      </c>
    </row>
    <row r="445" spans="4:5" x14ac:dyDescent="0.25">
      <c r="D445" s="39" t="str">
        <f t="shared" si="12"/>
        <v/>
      </c>
      <c r="E445" s="41" t="str">
        <f t="shared" si="13"/>
        <v/>
      </c>
    </row>
    <row r="446" spans="4:5" x14ac:dyDescent="0.25">
      <c r="D446" s="39" t="str">
        <f t="shared" si="12"/>
        <v/>
      </c>
      <c r="E446" s="41" t="str">
        <f t="shared" si="13"/>
        <v/>
      </c>
    </row>
    <row r="447" spans="4:5" x14ac:dyDescent="0.25">
      <c r="D447" s="39" t="str">
        <f t="shared" si="12"/>
        <v/>
      </c>
      <c r="E447" s="41" t="str">
        <f t="shared" si="13"/>
        <v/>
      </c>
    </row>
    <row r="448" spans="4:5" x14ac:dyDescent="0.25">
      <c r="D448" s="39" t="str">
        <f t="shared" si="12"/>
        <v/>
      </c>
      <c r="E448" s="41" t="str">
        <f t="shared" si="13"/>
        <v/>
      </c>
    </row>
    <row r="449" spans="4:5" x14ac:dyDescent="0.25">
      <c r="D449" s="39" t="str">
        <f t="shared" si="12"/>
        <v/>
      </c>
      <c r="E449" s="41" t="str">
        <f t="shared" si="13"/>
        <v/>
      </c>
    </row>
    <row r="450" spans="4:5" x14ac:dyDescent="0.25">
      <c r="D450" s="39" t="str">
        <f t="shared" si="12"/>
        <v/>
      </c>
      <c r="E450" s="41" t="str">
        <f t="shared" si="13"/>
        <v/>
      </c>
    </row>
    <row r="451" spans="4:5" x14ac:dyDescent="0.25">
      <c r="D451" s="39" t="str">
        <f t="shared" si="12"/>
        <v/>
      </c>
      <c r="E451" s="41" t="str">
        <f t="shared" si="13"/>
        <v/>
      </c>
    </row>
    <row r="452" spans="4:5" x14ac:dyDescent="0.25">
      <c r="D452" s="39" t="str">
        <f t="shared" si="12"/>
        <v/>
      </c>
      <c r="E452" s="41" t="str">
        <f t="shared" si="13"/>
        <v/>
      </c>
    </row>
    <row r="453" spans="4:5" x14ac:dyDescent="0.25">
      <c r="D453" s="39" t="str">
        <f t="shared" si="12"/>
        <v/>
      </c>
      <c r="E453" s="41" t="str">
        <f t="shared" si="13"/>
        <v/>
      </c>
    </row>
    <row r="454" spans="4:5" x14ac:dyDescent="0.25">
      <c r="D454" s="39" t="str">
        <f t="shared" si="12"/>
        <v/>
      </c>
      <c r="E454" s="41" t="str">
        <f t="shared" si="13"/>
        <v/>
      </c>
    </row>
    <row r="455" spans="4:5" x14ac:dyDescent="0.25">
      <c r="D455" s="39" t="str">
        <f t="shared" si="12"/>
        <v/>
      </c>
      <c r="E455" s="41" t="str">
        <f t="shared" si="13"/>
        <v/>
      </c>
    </row>
    <row r="456" spans="4:5" x14ac:dyDescent="0.25">
      <c r="D456" s="39" t="str">
        <f t="shared" si="12"/>
        <v/>
      </c>
      <c r="E456" s="41" t="str">
        <f t="shared" si="13"/>
        <v/>
      </c>
    </row>
    <row r="457" spans="4:5" x14ac:dyDescent="0.25">
      <c r="D457" s="39" t="str">
        <f t="shared" si="12"/>
        <v/>
      </c>
      <c r="E457" s="41" t="str">
        <f t="shared" si="13"/>
        <v/>
      </c>
    </row>
    <row r="458" spans="4:5" x14ac:dyDescent="0.25">
      <c r="D458" s="39" t="str">
        <f t="shared" si="12"/>
        <v/>
      </c>
      <c r="E458" s="41" t="str">
        <f t="shared" si="13"/>
        <v/>
      </c>
    </row>
    <row r="459" spans="4:5" x14ac:dyDescent="0.25">
      <c r="D459" s="39" t="str">
        <f t="shared" si="12"/>
        <v/>
      </c>
      <c r="E459" s="41" t="str">
        <f t="shared" si="13"/>
        <v/>
      </c>
    </row>
    <row r="460" spans="4:5" x14ac:dyDescent="0.25">
      <c r="D460" s="39" t="str">
        <f t="shared" si="12"/>
        <v/>
      </c>
      <c r="E460" s="41" t="str">
        <f t="shared" si="13"/>
        <v/>
      </c>
    </row>
    <row r="461" spans="4:5" x14ac:dyDescent="0.25">
      <c r="D461" s="39" t="str">
        <f t="shared" si="12"/>
        <v/>
      </c>
      <c r="E461" s="41" t="str">
        <f t="shared" si="13"/>
        <v/>
      </c>
    </row>
    <row r="462" spans="4:5" x14ac:dyDescent="0.25">
      <c r="D462" s="39" t="str">
        <f t="shared" si="12"/>
        <v/>
      </c>
      <c r="E462" s="41" t="str">
        <f t="shared" si="13"/>
        <v/>
      </c>
    </row>
    <row r="463" spans="4:5" x14ac:dyDescent="0.25">
      <c r="D463" s="39" t="str">
        <f t="shared" si="12"/>
        <v/>
      </c>
      <c r="E463" s="41" t="str">
        <f t="shared" si="13"/>
        <v/>
      </c>
    </row>
    <row r="464" spans="4:5" x14ac:dyDescent="0.25">
      <c r="D464" s="39" t="str">
        <f t="shared" si="12"/>
        <v/>
      </c>
      <c r="E464" s="41" t="str">
        <f t="shared" si="13"/>
        <v/>
      </c>
    </row>
    <row r="465" spans="4:5" x14ac:dyDescent="0.25">
      <c r="D465" s="39" t="str">
        <f t="shared" ref="D465:D528" si="14">IF(A465=0,"","Elastic")</f>
        <v/>
      </c>
      <c r="E465" s="41" t="str">
        <f t="shared" si="13"/>
        <v/>
      </c>
    </row>
    <row r="466" spans="4:5" x14ac:dyDescent="0.25">
      <c r="D466" s="39" t="str">
        <f t="shared" si="14"/>
        <v/>
      </c>
      <c r="E466" s="41" t="str">
        <f t="shared" si="13"/>
        <v/>
      </c>
    </row>
    <row r="467" spans="4:5" x14ac:dyDescent="0.25">
      <c r="D467" s="39" t="str">
        <f t="shared" si="14"/>
        <v/>
      </c>
      <c r="E467" s="41" t="str">
        <f t="shared" ref="E467:E530" si="15">IF(B467=0,"","Elastic")</f>
        <v/>
      </c>
    </row>
    <row r="468" spans="4:5" x14ac:dyDescent="0.25">
      <c r="D468" s="39" t="str">
        <f t="shared" si="14"/>
        <v/>
      </c>
      <c r="E468" s="41" t="str">
        <f t="shared" si="15"/>
        <v/>
      </c>
    </row>
    <row r="469" spans="4:5" x14ac:dyDescent="0.25">
      <c r="D469" s="39" t="str">
        <f t="shared" si="14"/>
        <v/>
      </c>
      <c r="E469" s="41" t="str">
        <f t="shared" si="15"/>
        <v/>
      </c>
    </row>
    <row r="470" spans="4:5" x14ac:dyDescent="0.25">
      <c r="D470" s="39" t="str">
        <f t="shared" si="14"/>
        <v/>
      </c>
      <c r="E470" s="41" t="str">
        <f t="shared" si="15"/>
        <v/>
      </c>
    </row>
    <row r="471" spans="4:5" x14ac:dyDescent="0.25">
      <c r="D471" s="39" t="str">
        <f t="shared" si="14"/>
        <v/>
      </c>
      <c r="E471" s="41" t="str">
        <f t="shared" si="15"/>
        <v/>
      </c>
    </row>
    <row r="472" spans="4:5" x14ac:dyDescent="0.25">
      <c r="D472" s="39" t="str">
        <f t="shared" si="14"/>
        <v/>
      </c>
      <c r="E472" s="41" t="str">
        <f t="shared" si="15"/>
        <v/>
      </c>
    </row>
    <row r="473" spans="4:5" x14ac:dyDescent="0.25">
      <c r="D473" s="39" t="str">
        <f t="shared" si="14"/>
        <v/>
      </c>
      <c r="E473" s="41" t="str">
        <f t="shared" si="15"/>
        <v/>
      </c>
    </row>
    <row r="474" spans="4:5" x14ac:dyDescent="0.25">
      <c r="D474" s="39" t="str">
        <f t="shared" si="14"/>
        <v/>
      </c>
      <c r="E474" s="41" t="str">
        <f t="shared" si="15"/>
        <v/>
      </c>
    </row>
    <row r="475" spans="4:5" x14ac:dyDescent="0.25">
      <c r="D475" s="39" t="str">
        <f t="shared" si="14"/>
        <v/>
      </c>
      <c r="E475" s="41" t="str">
        <f t="shared" si="15"/>
        <v/>
      </c>
    </row>
    <row r="476" spans="4:5" x14ac:dyDescent="0.25">
      <c r="D476" s="39" t="str">
        <f t="shared" si="14"/>
        <v/>
      </c>
      <c r="E476" s="41" t="str">
        <f t="shared" si="15"/>
        <v/>
      </c>
    </row>
    <row r="477" spans="4:5" x14ac:dyDescent="0.25">
      <c r="D477" s="39" t="str">
        <f t="shared" si="14"/>
        <v/>
      </c>
      <c r="E477" s="41" t="str">
        <f t="shared" si="15"/>
        <v/>
      </c>
    </row>
    <row r="478" spans="4:5" x14ac:dyDescent="0.25">
      <c r="D478" s="39" t="str">
        <f t="shared" si="14"/>
        <v/>
      </c>
      <c r="E478" s="41" t="str">
        <f t="shared" si="15"/>
        <v/>
      </c>
    </row>
    <row r="479" spans="4:5" x14ac:dyDescent="0.25">
      <c r="D479" s="39" t="str">
        <f t="shared" si="14"/>
        <v/>
      </c>
      <c r="E479" s="41" t="str">
        <f t="shared" si="15"/>
        <v/>
      </c>
    </row>
    <row r="480" spans="4:5" x14ac:dyDescent="0.25">
      <c r="D480" s="39" t="str">
        <f t="shared" si="14"/>
        <v/>
      </c>
      <c r="E480" s="41" t="str">
        <f t="shared" si="15"/>
        <v/>
      </c>
    </row>
    <row r="481" spans="4:5" x14ac:dyDescent="0.25">
      <c r="D481" s="39" t="str">
        <f t="shared" si="14"/>
        <v/>
      </c>
      <c r="E481" s="41" t="str">
        <f t="shared" si="15"/>
        <v/>
      </c>
    </row>
    <row r="482" spans="4:5" x14ac:dyDescent="0.25">
      <c r="D482" s="39" t="str">
        <f t="shared" si="14"/>
        <v/>
      </c>
      <c r="E482" s="41" t="str">
        <f t="shared" si="15"/>
        <v/>
      </c>
    </row>
    <row r="483" spans="4:5" x14ac:dyDescent="0.25">
      <c r="D483" s="39" t="str">
        <f t="shared" si="14"/>
        <v/>
      </c>
      <c r="E483" s="41" t="str">
        <f t="shared" si="15"/>
        <v/>
      </c>
    </row>
    <row r="484" spans="4:5" x14ac:dyDescent="0.25">
      <c r="D484" s="39" t="str">
        <f t="shared" si="14"/>
        <v/>
      </c>
      <c r="E484" s="41" t="str">
        <f t="shared" si="15"/>
        <v/>
      </c>
    </row>
    <row r="485" spans="4:5" x14ac:dyDescent="0.25">
      <c r="D485" s="39" t="str">
        <f t="shared" si="14"/>
        <v/>
      </c>
      <c r="E485" s="41" t="str">
        <f t="shared" si="15"/>
        <v/>
      </c>
    </row>
    <row r="486" spans="4:5" x14ac:dyDescent="0.25">
      <c r="D486" s="39" t="str">
        <f t="shared" si="14"/>
        <v/>
      </c>
      <c r="E486" s="41" t="str">
        <f t="shared" si="15"/>
        <v/>
      </c>
    </row>
    <row r="487" spans="4:5" x14ac:dyDescent="0.25">
      <c r="D487" s="39" t="str">
        <f t="shared" si="14"/>
        <v/>
      </c>
      <c r="E487" s="41" t="str">
        <f t="shared" si="15"/>
        <v/>
      </c>
    </row>
    <row r="488" spans="4:5" x14ac:dyDescent="0.25">
      <c r="D488" s="39" t="str">
        <f t="shared" si="14"/>
        <v/>
      </c>
      <c r="E488" s="41" t="str">
        <f t="shared" si="15"/>
        <v/>
      </c>
    </row>
    <row r="489" spans="4:5" x14ac:dyDescent="0.25">
      <c r="D489" s="39" t="str">
        <f t="shared" si="14"/>
        <v/>
      </c>
      <c r="E489" s="41" t="str">
        <f t="shared" si="15"/>
        <v/>
      </c>
    </row>
    <row r="490" spans="4:5" x14ac:dyDescent="0.25">
      <c r="D490" s="39" t="str">
        <f t="shared" si="14"/>
        <v/>
      </c>
      <c r="E490" s="41" t="str">
        <f t="shared" si="15"/>
        <v/>
      </c>
    </row>
    <row r="491" spans="4:5" x14ac:dyDescent="0.25">
      <c r="D491" s="39" t="str">
        <f t="shared" si="14"/>
        <v/>
      </c>
      <c r="E491" s="41" t="str">
        <f t="shared" si="15"/>
        <v/>
      </c>
    </row>
    <row r="492" spans="4:5" x14ac:dyDescent="0.25">
      <c r="D492" s="39" t="str">
        <f t="shared" si="14"/>
        <v/>
      </c>
      <c r="E492" s="41" t="str">
        <f t="shared" si="15"/>
        <v/>
      </c>
    </row>
    <row r="493" spans="4:5" x14ac:dyDescent="0.25">
      <c r="D493" s="39" t="str">
        <f t="shared" si="14"/>
        <v/>
      </c>
      <c r="E493" s="41" t="str">
        <f t="shared" si="15"/>
        <v/>
      </c>
    </row>
    <row r="494" spans="4:5" x14ac:dyDescent="0.25">
      <c r="D494" s="39" t="str">
        <f t="shared" si="14"/>
        <v/>
      </c>
      <c r="E494" s="41" t="str">
        <f t="shared" si="15"/>
        <v/>
      </c>
    </row>
    <row r="495" spans="4:5" x14ac:dyDescent="0.25">
      <c r="D495" s="39" t="str">
        <f t="shared" si="14"/>
        <v/>
      </c>
      <c r="E495" s="41" t="str">
        <f t="shared" si="15"/>
        <v/>
      </c>
    </row>
    <row r="496" spans="4:5" x14ac:dyDescent="0.25">
      <c r="D496" s="39" t="str">
        <f t="shared" si="14"/>
        <v/>
      </c>
      <c r="E496" s="41" t="str">
        <f t="shared" si="15"/>
        <v/>
      </c>
    </row>
    <row r="497" spans="4:5" x14ac:dyDescent="0.25">
      <c r="D497" s="39" t="str">
        <f t="shared" si="14"/>
        <v/>
      </c>
      <c r="E497" s="41" t="str">
        <f t="shared" si="15"/>
        <v/>
      </c>
    </row>
    <row r="498" spans="4:5" x14ac:dyDescent="0.25">
      <c r="D498" s="39" t="str">
        <f t="shared" si="14"/>
        <v/>
      </c>
      <c r="E498" s="41" t="str">
        <f t="shared" si="15"/>
        <v/>
      </c>
    </row>
    <row r="499" spans="4:5" x14ac:dyDescent="0.25">
      <c r="D499" s="39" t="str">
        <f t="shared" si="14"/>
        <v/>
      </c>
      <c r="E499" s="41" t="str">
        <f t="shared" si="15"/>
        <v/>
      </c>
    </row>
    <row r="500" spans="4:5" x14ac:dyDescent="0.25">
      <c r="D500" s="39" t="str">
        <f t="shared" si="14"/>
        <v/>
      </c>
      <c r="E500" s="41" t="str">
        <f t="shared" si="15"/>
        <v/>
      </c>
    </row>
    <row r="501" spans="4:5" x14ac:dyDescent="0.25">
      <c r="D501" s="39" t="str">
        <f t="shared" si="14"/>
        <v/>
      </c>
      <c r="E501" s="41" t="str">
        <f t="shared" si="15"/>
        <v/>
      </c>
    </row>
    <row r="502" spans="4:5" x14ac:dyDescent="0.25">
      <c r="D502" s="39" t="str">
        <f t="shared" si="14"/>
        <v/>
      </c>
      <c r="E502" s="41" t="str">
        <f t="shared" si="15"/>
        <v/>
      </c>
    </row>
    <row r="503" spans="4:5" x14ac:dyDescent="0.25">
      <c r="D503" s="39" t="str">
        <f t="shared" si="14"/>
        <v/>
      </c>
      <c r="E503" s="41" t="str">
        <f t="shared" si="15"/>
        <v/>
      </c>
    </row>
    <row r="504" spans="4:5" x14ac:dyDescent="0.25">
      <c r="D504" s="39" t="str">
        <f t="shared" si="14"/>
        <v/>
      </c>
      <c r="E504" s="41" t="str">
        <f t="shared" si="15"/>
        <v/>
      </c>
    </row>
    <row r="505" spans="4:5" x14ac:dyDescent="0.25">
      <c r="D505" s="39" t="str">
        <f t="shared" si="14"/>
        <v/>
      </c>
      <c r="E505" s="41" t="str">
        <f t="shared" si="15"/>
        <v/>
      </c>
    </row>
    <row r="506" spans="4:5" x14ac:dyDescent="0.25">
      <c r="D506" s="39" t="str">
        <f t="shared" si="14"/>
        <v/>
      </c>
      <c r="E506" s="41" t="str">
        <f t="shared" si="15"/>
        <v/>
      </c>
    </row>
    <row r="507" spans="4:5" x14ac:dyDescent="0.25">
      <c r="D507" s="39" t="str">
        <f t="shared" si="14"/>
        <v/>
      </c>
      <c r="E507" s="41" t="str">
        <f t="shared" si="15"/>
        <v/>
      </c>
    </row>
    <row r="508" spans="4:5" x14ac:dyDescent="0.25">
      <c r="D508" s="39" t="str">
        <f t="shared" si="14"/>
        <v/>
      </c>
      <c r="E508" s="41" t="str">
        <f t="shared" si="15"/>
        <v/>
      </c>
    </row>
    <row r="509" spans="4:5" x14ac:dyDescent="0.25">
      <c r="D509" s="39" t="str">
        <f t="shared" si="14"/>
        <v/>
      </c>
      <c r="E509" s="41" t="str">
        <f t="shared" si="15"/>
        <v/>
      </c>
    </row>
    <row r="510" spans="4:5" x14ac:dyDescent="0.25">
      <c r="D510" s="39" t="str">
        <f t="shared" si="14"/>
        <v/>
      </c>
      <c r="E510" s="41" t="str">
        <f t="shared" si="15"/>
        <v/>
      </c>
    </row>
    <row r="511" spans="4:5" x14ac:dyDescent="0.25">
      <c r="D511" s="39" t="str">
        <f t="shared" si="14"/>
        <v/>
      </c>
      <c r="E511" s="41" t="str">
        <f t="shared" si="15"/>
        <v/>
      </c>
    </row>
    <row r="512" spans="4:5" x14ac:dyDescent="0.25">
      <c r="D512" s="39" t="str">
        <f t="shared" si="14"/>
        <v/>
      </c>
      <c r="E512" s="41" t="str">
        <f t="shared" si="15"/>
        <v/>
      </c>
    </row>
    <row r="513" spans="4:5" x14ac:dyDescent="0.25">
      <c r="D513" s="39" t="str">
        <f t="shared" si="14"/>
        <v/>
      </c>
      <c r="E513" s="41" t="str">
        <f t="shared" si="15"/>
        <v/>
      </c>
    </row>
    <row r="514" spans="4:5" x14ac:dyDescent="0.25">
      <c r="D514" s="39" t="str">
        <f t="shared" si="14"/>
        <v/>
      </c>
      <c r="E514" s="41" t="str">
        <f t="shared" si="15"/>
        <v/>
      </c>
    </row>
    <row r="515" spans="4:5" x14ac:dyDescent="0.25">
      <c r="D515" s="39" t="str">
        <f t="shared" si="14"/>
        <v/>
      </c>
      <c r="E515" s="41" t="str">
        <f t="shared" si="15"/>
        <v/>
      </c>
    </row>
    <row r="516" spans="4:5" x14ac:dyDescent="0.25">
      <c r="D516" s="39" t="str">
        <f t="shared" si="14"/>
        <v/>
      </c>
      <c r="E516" s="41" t="str">
        <f t="shared" si="15"/>
        <v/>
      </c>
    </row>
    <row r="517" spans="4:5" x14ac:dyDescent="0.25">
      <c r="D517" s="39" t="str">
        <f t="shared" si="14"/>
        <v/>
      </c>
      <c r="E517" s="41" t="str">
        <f t="shared" si="15"/>
        <v/>
      </c>
    </row>
    <row r="518" spans="4:5" x14ac:dyDescent="0.25">
      <c r="D518" s="39" t="str">
        <f t="shared" si="14"/>
        <v/>
      </c>
      <c r="E518" s="41" t="str">
        <f t="shared" si="15"/>
        <v/>
      </c>
    </row>
    <row r="519" spans="4:5" x14ac:dyDescent="0.25">
      <c r="D519" s="39" t="str">
        <f t="shared" si="14"/>
        <v/>
      </c>
      <c r="E519" s="41" t="str">
        <f t="shared" si="15"/>
        <v/>
      </c>
    </row>
    <row r="520" spans="4:5" x14ac:dyDescent="0.25">
      <c r="D520" s="39" t="str">
        <f t="shared" si="14"/>
        <v/>
      </c>
      <c r="E520" s="41" t="str">
        <f t="shared" si="15"/>
        <v/>
      </c>
    </row>
    <row r="521" spans="4:5" x14ac:dyDescent="0.25">
      <c r="D521" s="39" t="str">
        <f t="shared" si="14"/>
        <v/>
      </c>
      <c r="E521" s="41" t="str">
        <f t="shared" si="15"/>
        <v/>
      </c>
    </row>
    <row r="522" spans="4:5" x14ac:dyDescent="0.25">
      <c r="D522" s="39" t="str">
        <f t="shared" si="14"/>
        <v/>
      </c>
      <c r="E522" s="41" t="str">
        <f t="shared" si="15"/>
        <v/>
      </c>
    </row>
    <row r="523" spans="4:5" x14ac:dyDescent="0.25">
      <c r="D523" s="39" t="str">
        <f t="shared" si="14"/>
        <v/>
      </c>
      <c r="E523" s="41" t="str">
        <f t="shared" si="15"/>
        <v/>
      </c>
    </row>
    <row r="524" spans="4:5" x14ac:dyDescent="0.25">
      <c r="D524" s="39" t="str">
        <f t="shared" si="14"/>
        <v/>
      </c>
      <c r="E524" s="41" t="str">
        <f t="shared" si="15"/>
        <v/>
      </c>
    </row>
    <row r="525" spans="4:5" x14ac:dyDescent="0.25">
      <c r="D525" s="39" t="str">
        <f t="shared" si="14"/>
        <v/>
      </c>
      <c r="E525" s="41" t="str">
        <f t="shared" si="15"/>
        <v/>
      </c>
    </row>
    <row r="526" spans="4:5" x14ac:dyDescent="0.25">
      <c r="D526" s="39" t="str">
        <f t="shared" si="14"/>
        <v/>
      </c>
      <c r="E526" s="41" t="str">
        <f t="shared" si="15"/>
        <v/>
      </c>
    </row>
    <row r="527" spans="4:5" x14ac:dyDescent="0.25">
      <c r="D527" s="39" t="str">
        <f t="shared" si="14"/>
        <v/>
      </c>
      <c r="E527" s="41" t="str">
        <f t="shared" si="15"/>
        <v/>
      </c>
    </row>
    <row r="528" spans="4:5" x14ac:dyDescent="0.25">
      <c r="D528" s="39" t="str">
        <f t="shared" si="14"/>
        <v/>
      </c>
      <c r="E528" s="41" t="str">
        <f t="shared" si="15"/>
        <v/>
      </c>
    </row>
    <row r="529" spans="4:5" x14ac:dyDescent="0.25">
      <c r="D529" s="39" t="str">
        <f t="shared" ref="D529:D592" si="16">IF(A529=0,"","Elastic")</f>
        <v/>
      </c>
      <c r="E529" s="41" t="str">
        <f t="shared" si="15"/>
        <v/>
      </c>
    </row>
    <row r="530" spans="4:5" x14ac:dyDescent="0.25">
      <c r="D530" s="39" t="str">
        <f t="shared" si="16"/>
        <v/>
      </c>
      <c r="E530" s="41" t="str">
        <f t="shared" si="15"/>
        <v/>
      </c>
    </row>
    <row r="531" spans="4:5" x14ac:dyDescent="0.25">
      <c r="D531" s="39" t="str">
        <f t="shared" si="16"/>
        <v/>
      </c>
      <c r="E531" s="41" t="str">
        <f t="shared" ref="E531:E594" si="17">IF(B531=0,"","Elastic")</f>
        <v/>
      </c>
    </row>
    <row r="532" spans="4:5" x14ac:dyDescent="0.25">
      <c r="D532" s="39" t="str">
        <f t="shared" si="16"/>
        <v/>
      </c>
      <c r="E532" s="41" t="str">
        <f t="shared" si="17"/>
        <v/>
      </c>
    </row>
    <row r="533" spans="4:5" x14ac:dyDescent="0.25">
      <c r="D533" s="39" t="str">
        <f t="shared" si="16"/>
        <v/>
      </c>
      <c r="E533" s="41" t="str">
        <f t="shared" si="17"/>
        <v/>
      </c>
    </row>
    <row r="534" spans="4:5" x14ac:dyDescent="0.25">
      <c r="D534" s="39" t="str">
        <f t="shared" si="16"/>
        <v/>
      </c>
      <c r="E534" s="41" t="str">
        <f t="shared" si="17"/>
        <v/>
      </c>
    </row>
    <row r="535" spans="4:5" x14ac:dyDescent="0.25">
      <c r="D535" s="39" t="str">
        <f t="shared" si="16"/>
        <v/>
      </c>
      <c r="E535" s="41" t="str">
        <f t="shared" si="17"/>
        <v/>
      </c>
    </row>
    <row r="536" spans="4:5" x14ac:dyDescent="0.25">
      <c r="D536" s="39" t="str">
        <f t="shared" si="16"/>
        <v/>
      </c>
      <c r="E536" s="41" t="str">
        <f t="shared" si="17"/>
        <v/>
      </c>
    </row>
    <row r="537" spans="4:5" x14ac:dyDescent="0.25">
      <c r="D537" s="39" t="str">
        <f t="shared" si="16"/>
        <v/>
      </c>
      <c r="E537" s="41" t="str">
        <f t="shared" si="17"/>
        <v/>
      </c>
    </row>
    <row r="538" spans="4:5" x14ac:dyDescent="0.25">
      <c r="D538" s="39" t="str">
        <f t="shared" si="16"/>
        <v/>
      </c>
      <c r="E538" s="41" t="str">
        <f t="shared" si="17"/>
        <v/>
      </c>
    </row>
    <row r="539" spans="4:5" x14ac:dyDescent="0.25">
      <c r="D539" s="39" t="str">
        <f t="shared" si="16"/>
        <v/>
      </c>
      <c r="E539" s="41" t="str">
        <f t="shared" si="17"/>
        <v/>
      </c>
    </row>
    <row r="540" spans="4:5" x14ac:dyDescent="0.25">
      <c r="D540" s="39" t="str">
        <f t="shared" si="16"/>
        <v/>
      </c>
      <c r="E540" s="41" t="str">
        <f t="shared" si="17"/>
        <v/>
      </c>
    </row>
    <row r="541" spans="4:5" x14ac:dyDescent="0.25">
      <c r="D541" s="39" t="str">
        <f t="shared" si="16"/>
        <v/>
      </c>
      <c r="E541" s="41" t="str">
        <f t="shared" si="17"/>
        <v/>
      </c>
    </row>
    <row r="542" spans="4:5" x14ac:dyDescent="0.25">
      <c r="D542" s="39" t="str">
        <f t="shared" si="16"/>
        <v/>
      </c>
      <c r="E542" s="41" t="str">
        <f t="shared" si="17"/>
        <v/>
      </c>
    </row>
    <row r="543" spans="4:5" x14ac:dyDescent="0.25">
      <c r="D543" s="39" t="str">
        <f t="shared" si="16"/>
        <v/>
      </c>
      <c r="E543" s="41" t="str">
        <f t="shared" si="17"/>
        <v/>
      </c>
    </row>
    <row r="544" spans="4:5" x14ac:dyDescent="0.25">
      <c r="D544" s="39" t="str">
        <f t="shared" si="16"/>
        <v/>
      </c>
      <c r="E544" s="41" t="str">
        <f t="shared" si="17"/>
        <v/>
      </c>
    </row>
    <row r="545" spans="4:5" x14ac:dyDescent="0.25">
      <c r="D545" s="39" t="str">
        <f t="shared" si="16"/>
        <v/>
      </c>
      <c r="E545" s="41" t="str">
        <f t="shared" si="17"/>
        <v/>
      </c>
    </row>
    <row r="546" spans="4:5" x14ac:dyDescent="0.25">
      <c r="D546" s="39" t="str">
        <f t="shared" si="16"/>
        <v/>
      </c>
      <c r="E546" s="41" t="str">
        <f t="shared" si="17"/>
        <v/>
      </c>
    </row>
    <row r="547" spans="4:5" x14ac:dyDescent="0.25">
      <c r="D547" s="39" t="str">
        <f t="shared" si="16"/>
        <v/>
      </c>
      <c r="E547" s="41" t="str">
        <f t="shared" si="17"/>
        <v/>
      </c>
    </row>
    <row r="548" spans="4:5" x14ac:dyDescent="0.25">
      <c r="D548" s="39" t="str">
        <f t="shared" si="16"/>
        <v/>
      </c>
      <c r="E548" s="41" t="str">
        <f t="shared" si="17"/>
        <v/>
      </c>
    </row>
    <row r="549" spans="4:5" x14ac:dyDescent="0.25">
      <c r="D549" s="39" t="str">
        <f t="shared" si="16"/>
        <v/>
      </c>
      <c r="E549" s="41" t="str">
        <f t="shared" si="17"/>
        <v/>
      </c>
    </row>
    <row r="550" spans="4:5" x14ac:dyDescent="0.25">
      <c r="D550" s="39" t="str">
        <f t="shared" si="16"/>
        <v/>
      </c>
      <c r="E550" s="41" t="str">
        <f t="shared" si="17"/>
        <v/>
      </c>
    </row>
    <row r="551" spans="4:5" x14ac:dyDescent="0.25">
      <c r="D551" s="39" t="str">
        <f t="shared" si="16"/>
        <v/>
      </c>
      <c r="E551" s="41" t="str">
        <f t="shared" si="17"/>
        <v/>
      </c>
    </row>
    <row r="552" spans="4:5" x14ac:dyDescent="0.25">
      <c r="D552" s="39" t="str">
        <f t="shared" si="16"/>
        <v/>
      </c>
      <c r="E552" s="41" t="str">
        <f t="shared" si="17"/>
        <v/>
      </c>
    </row>
    <row r="553" spans="4:5" x14ac:dyDescent="0.25">
      <c r="D553" s="39" t="str">
        <f t="shared" si="16"/>
        <v/>
      </c>
      <c r="E553" s="41" t="str">
        <f t="shared" si="17"/>
        <v/>
      </c>
    </row>
    <row r="554" spans="4:5" x14ac:dyDescent="0.25">
      <c r="D554" s="39" t="str">
        <f t="shared" si="16"/>
        <v/>
      </c>
      <c r="E554" s="41" t="str">
        <f t="shared" si="17"/>
        <v/>
      </c>
    </row>
    <row r="555" spans="4:5" x14ac:dyDescent="0.25">
      <c r="D555" s="39" t="str">
        <f t="shared" si="16"/>
        <v/>
      </c>
      <c r="E555" s="41" t="str">
        <f t="shared" si="17"/>
        <v/>
      </c>
    </row>
    <row r="556" spans="4:5" x14ac:dyDescent="0.25">
      <c r="D556" s="39" t="str">
        <f t="shared" si="16"/>
        <v/>
      </c>
      <c r="E556" s="41" t="str">
        <f t="shared" si="17"/>
        <v/>
      </c>
    </row>
    <row r="557" spans="4:5" x14ac:dyDescent="0.25">
      <c r="D557" s="39" t="str">
        <f t="shared" si="16"/>
        <v/>
      </c>
      <c r="E557" s="41" t="str">
        <f t="shared" si="17"/>
        <v/>
      </c>
    </row>
    <row r="558" spans="4:5" x14ac:dyDescent="0.25">
      <c r="D558" s="39" t="str">
        <f t="shared" si="16"/>
        <v/>
      </c>
      <c r="E558" s="41" t="str">
        <f t="shared" si="17"/>
        <v/>
      </c>
    </row>
    <row r="559" spans="4:5" x14ac:dyDescent="0.25">
      <c r="D559" s="39" t="str">
        <f t="shared" si="16"/>
        <v/>
      </c>
      <c r="E559" s="41" t="str">
        <f t="shared" si="17"/>
        <v/>
      </c>
    </row>
    <row r="560" spans="4:5" x14ac:dyDescent="0.25">
      <c r="D560" s="39" t="str">
        <f t="shared" si="16"/>
        <v/>
      </c>
      <c r="E560" s="41" t="str">
        <f t="shared" si="17"/>
        <v/>
      </c>
    </row>
    <row r="561" spans="4:5" x14ac:dyDescent="0.25">
      <c r="D561" s="39" t="str">
        <f t="shared" si="16"/>
        <v/>
      </c>
      <c r="E561" s="41" t="str">
        <f t="shared" si="17"/>
        <v/>
      </c>
    </row>
    <row r="562" spans="4:5" x14ac:dyDescent="0.25">
      <c r="D562" s="39" t="str">
        <f t="shared" si="16"/>
        <v/>
      </c>
      <c r="E562" s="41" t="str">
        <f t="shared" si="17"/>
        <v/>
      </c>
    </row>
    <row r="563" spans="4:5" x14ac:dyDescent="0.25">
      <c r="D563" s="39" t="str">
        <f t="shared" si="16"/>
        <v/>
      </c>
      <c r="E563" s="41" t="str">
        <f t="shared" si="17"/>
        <v/>
      </c>
    </row>
    <row r="564" spans="4:5" x14ac:dyDescent="0.25">
      <c r="D564" s="39" t="str">
        <f t="shared" si="16"/>
        <v/>
      </c>
      <c r="E564" s="41" t="str">
        <f t="shared" si="17"/>
        <v/>
      </c>
    </row>
    <row r="565" spans="4:5" x14ac:dyDescent="0.25">
      <c r="D565" s="39" t="str">
        <f t="shared" si="16"/>
        <v/>
      </c>
      <c r="E565" s="41" t="str">
        <f t="shared" si="17"/>
        <v/>
      </c>
    </row>
    <row r="566" spans="4:5" x14ac:dyDescent="0.25">
      <c r="D566" s="39" t="str">
        <f t="shared" si="16"/>
        <v/>
      </c>
      <c r="E566" s="41" t="str">
        <f t="shared" si="17"/>
        <v/>
      </c>
    </row>
    <row r="567" spans="4:5" x14ac:dyDescent="0.25">
      <c r="D567" s="39" t="str">
        <f t="shared" si="16"/>
        <v/>
      </c>
      <c r="E567" s="41" t="str">
        <f t="shared" si="17"/>
        <v/>
      </c>
    </row>
    <row r="568" spans="4:5" x14ac:dyDescent="0.25">
      <c r="D568" s="39" t="str">
        <f t="shared" si="16"/>
        <v/>
      </c>
      <c r="E568" s="41" t="str">
        <f t="shared" si="17"/>
        <v/>
      </c>
    </row>
    <row r="569" spans="4:5" x14ac:dyDescent="0.25">
      <c r="D569" s="39" t="str">
        <f t="shared" si="16"/>
        <v/>
      </c>
      <c r="E569" s="41" t="str">
        <f t="shared" si="17"/>
        <v/>
      </c>
    </row>
    <row r="570" spans="4:5" x14ac:dyDescent="0.25">
      <c r="D570" s="39" t="str">
        <f t="shared" si="16"/>
        <v/>
      </c>
      <c r="E570" s="41" t="str">
        <f t="shared" si="17"/>
        <v/>
      </c>
    </row>
    <row r="571" spans="4:5" x14ac:dyDescent="0.25">
      <c r="D571" s="39" t="str">
        <f t="shared" si="16"/>
        <v/>
      </c>
      <c r="E571" s="41" t="str">
        <f t="shared" si="17"/>
        <v/>
      </c>
    </row>
    <row r="572" spans="4:5" x14ac:dyDescent="0.25">
      <c r="D572" s="39" t="str">
        <f t="shared" si="16"/>
        <v/>
      </c>
      <c r="E572" s="41" t="str">
        <f t="shared" si="17"/>
        <v/>
      </c>
    </row>
    <row r="573" spans="4:5" x14ac:dyDescent="0.25">
      <c r="D573" s="39" t="str">
        <f t="shared" si="16"/>
        <v/>
      </c>
      <c r="E573" s="41" t="str">
        <f t="shared" si="17"/>
        <v/>
      </c>
    </row>
    <row r="574" spans="4:5" x14ac:dyDescent="0.25">
      <c r="D574" s="39" t="str">
        <f t="shared" si="16"/>
        <v/>
      </c>
      <c r="E574" s="41" t="str">
        <f t="shared" si="17"/>
        <v/>
      </c>
    </row>
    <row r="575" spans="4:5" x14ac:dyDescent="0.25">
      <c r="D575" s="39" t="str">
        <f t="shared" si="16"/>
        <v/>
      </c>
      <c r="E575" s="41" t="str">
        <f t="shared" si="17"/>
        <v/>
      </c>
    </row>
    <row r="576" spans="4:5" x14ac:dyDescent="0.25">
      <c r="D576" s="39" t="str">
        <f t="shared" si="16"/>
        <v/>
      </c>
      <c r="E576" s="41" t="str">
        <f t="shared" si="17"/>
        <v/>
      </c>
    </row>
    <row r="577" spans="4:5" x14ac:dyDescent="0.25">
      <c r="D577" s="39" t="str">
        <f t="shared" si="16"/>
        <v/>
      </c>
      <c r="E577" s="41" t="str">
        <f t="shared" si="17"/>
        <v/>
      </c>
    </row>
    <row r="578" spans="4:5" x14ac:dyDescent="0.25">
      <c r="D578" s="39" t="str">
        <f t="shared" si="16"/>
        <v/>
      </c>
      <c r="E578" s="41" t="str">
        <f t="shared" si="17"/>
        <v/>
      </c>
    </row>
    <row r="579" spans="4:5" x14ac:dyDescent="0.25">
      <c r="D579" s="39" t="str">
        <f t="shared" si="16"/>
        <v/>
      </c>
      <c r="E579" s="41" t="str">
        <f t="shared" si="17"/>
        <v/>
      </c>
    </row>
    <row r="580" spans="4:5" x14ac:dyDescent="0.25">
      <c r="D580" s="39" t="str">
        <f t="shared" si="16"/>
        <v/>
      </c>
      <c r="E580" s="41" t="str">
        <f t="shared" si="17"/>
        <v/>
      </c>
    </row>
    <row r="581" spans="4:5" x14ac:dyDescent="0.25">
      <c r="D581" s="39" t="str">
        <f t="shared" si="16"/>
        <v/>
      </c>
      <c r="E581" s="41" t="str">
        <f t="shared" si="17"/>
        <v/>
      </c>
    </row>
    <row r="582" spans="4:5" x14ac:dyDescent="0.25">
      <c r="D582" s="39" t="str">
        <f t="shared" si="16"/>
        <v/>
      </c>
      <c r="E582" s="41" t="str">
        <f t="shared" si="17"/>
        <v/>
      </c>
    </row>
    <row r="583" spans="4:5" x14ac:dyDescent="0.25">
      <c r="D583" s="39" t="str">
        <f t="shared" si="16"/>
        <v/>
      </c>
      <c r="E583" s="41" t="str">
        <f t="shared" si="17"/>
        <v/>
      </c>
    </row>
    <row r="584" spans="4:5" x14ac:dyDescent="0.25">
      <c r="D584" s="39" t="str">
        <f t="shared" si="16"/>
        <v/>
      </c>
      <c r="E584" s="41" t="str">
        <f t="shared" si="17"/>
        <v/>
      </c>
    </row>
    <row r="585" spans="4:5" x14ac:dyDescent="0.25">
      <c r="D585" s="39" t="str">
        <f t="shared" si="16"/>
        <v/>
      </c>
      <c r="E585" s="41" t="str">
        <f t="shared" si="17"/>
        <v/>
      </c>
    </row>
    <row r="586" spans="4:5" x14ac:dyDescent="0.25">
      <c r="D586" s="39" t="str">
        <f t="shared" si="16"/>
        <v/>
      </c>
      <c r="E586" s="41" t="str">
        <f t="shared" si="17"/>
        <v/>
      </c>
    </row>
    <row r="587" spans="4:5" x14ac:dyDescent="0.25">
      <c r="D587" s="39" t="str">
        <f t="shared" si="16"/>
        <v/>
      </c>
      <c r="E587" s="41" t="str">
        <f t="shared" si="17"/>
        <v/>
      </c>
    </row>
    <row r="588" spans="4:5" x14ac:dyDescent="0.25">
      <c r="D588" s="39" t="str">
        <f t="shared" si="16"/>
        <v/>
      </c>
      <c r="E588" s="41" t="str">
        <f t="shared" si="17"/>
        <v/>
      </c>
    </row>
    <row r="589" spans="4:5" x14ac:dyDescent="0.25">
      <c r="D589" s="39" t="str">
        <f t="shared" si="16"/>
        <v/>
      </c>
      <c r="E589" s="41" t="str">
        <f t="shared" si="17"/>
        <v/>
      </c>
    </row>
    <row r="590" spans="4:5" x14ac:dyDescent="0.25">
      <c r="D590" s="39" t="str">
        <f t="shared" si="16"/>
        <v/>
      </c>
      <c r="E590" s="41" t="str">
        <f t="shared" si="17"/>
        <v/>
      </c>
    </row>
    <row r="591" spans="4:5" x14ac:dyDescent="0.25">
      <c r="D591" s="39" t="str">
        <f t="shared" si="16"/>
        <v/>
      </c>
      <c r="E591" s="41" t="str">
        <f t="shared" si="17"/>
        <v/>
      </c>
    </row>
    <row r="592" spans="4:5" x14ac:dyDescent="0.25">
      <c r="D592" s="39" t="str">
        <f t="shared" si="16"/>
        <v/>
      </c>
      <c r="E592" s="41" t="str">
        <f t="shared" si="17"/>
        <v/>
      </c>
    </row>
    <row r="593" spans="4:5" x14ac:dyDescent="0.25">
      <c r="D593" s="39" t="str">
        <f t="shared" ref="D593:D656" si="18">IF(A593=0,"","Elastic")</f>
        <v/>
      </c>
      <c r="E593" s="41" t="str">
        <f t="shared" si="17"/>
        <v/>
      </c>
    </row>
    <row r="594" spans="4:5" x14ac:dyDescent="0.25">
      <c r="D594" s="39" t="str">
        <f t="shared" si="18"/>
        <v/>
      </c>
      <c r="E594" s="41" t="str">
        <f t="shared" si="17"/>
        <v/>
      </c>
    </row>
    <row r="595" spans="4:5" x14ac:dyDescent="0.25">
      <c r="D595" s="39" t="str">
        <f t="shared" si="18"/>
        <v/>
      </c>
      <c r="E595" s="41" t="str">
        <f t="shared" ref="E595:E658" si="19">IF(B595=0,"","Elastic")</f>
        <v/>
      </c>
    </row>
    <row r="596" spans="4:5" x14ac:dyDescent="0.25">
      <c r="D596" s="39" t="str">
        <f t="shared" si="18"/>
        <v/>
      </c>
      <c r="E596" s="41" t="str">
        <f t="shared" si="19"/>
        <v/>
      </c>
    </row>
    <row r="597" spans="4:5" x14ac:dyDescent="0.25">
      <c r="D597" s="39" t="str">
        <f t="shared" si="18"/>
        <v/>
      </c>
      <c r="E597" s="41" t="str">
        <f t="shared" si="19"/>
        <v/>
      </c>
    </row>
    <row r="598" spans="4:5" x14ac:dyDescent="0.25">
      <c r="D598" s="39" t="str">
        <f t="shared" si="18"/>
        <v/>
      </c>
      <c r="E598" s="41" t="str">
        <f t="shared" si="19"/>
        <v/>
      </c>
    </row>
    <row r="599" spans="4:5" x14ac:dyDescent="0.25">
      <c r="D599" s="39" t="str">
        <f t="shared" si="18"/>
        <v/>
      </c>
      <c r="E599" s="41" t="str">
        <f t="shared" si="19"/>
        <v/>
      </c>
    </row>
    <row r="600" spans="4:5" x14ac:dyDescent="0.25">
      <c r="D600" s="39" t="str">
        <f t="shared" si="18"/>
        <v/>
      </c>
      <c r="E600" s="41" t="str">
        <f t="shared" si="19"/>
        <v/>
      </c>
    </row>
    <row r="601" spans="4:5" x14ac:dyDescent="0.25">
      <c r="D601" s="39" t="str">
        <f t="shared" si="18"/>
        <v/>
      </c>
      <c r="E601" s="41" t="str">
        <f t="shared" si="19"/>
        <v/>
      </c>
    </row>
    <row r="602" spans="4:5" x14ac:dyDescent="0.25">
      <c r="D602" s="39" t="str">
        <f t="shared" si="18"/>
        <v/>
      </c>
      <c r="E602" s="41" t="str">
        <f t="shared" si="19"/>
        <v/>
      </c>
    </row>
    <row r="603" spans="4:5" x14ac:dyDescent="0.25">
      <c r="D603" s="39" t="str">
        <f t="shared" si="18"/>
        <v/>
      </c>
      <c r="E603" s="41" t="str">
        <f t="shared" si="19"/>
        <v/>
      </c>
    </row>
    <row r="604" spans="4:5" x14ac:dyDescent="0.25">
      <c r="D604" s="39" t="str">
        <f t="shared" si="18"/>
        <v/>
      </c>
      <c r="E604" s="41" t="str">
        <f t="shared" si="19"/>
        <v/>
      </c>
    </row>
    <row r="605" spans="4:5" x14ac:dyDescent="0.25">
      <c r="D605" s="39" t="str">
        <f t="shared" si="18"/>
        <v/>
      </c>
      <c r="E605" s="41" t="str">
        <f t="shared" si="19"/>
        <v/>
      </c>
    </row>
    <row r="606" spans="4:5" x14ac:dyDescent="0.25">
      <c r="D606" s="39" t="str">
        <f t="shared" si="18"/>
        <v/>
      </c>
      <c r="E606" s="41" t="str">
        <f t="shared" si="19"/>
        <v/>
      </c>
    </row>
    <row r="607" spans="4:5" x14ac:dyDescent="0.25">
      <c r="D607" s="39" t="str">
        <f t="shared" si="18"/>
        <v/>
      </c>
      <c r="E607" s="41" t="str">
        <f t="shared" si="19"/>
        <v/>
      </c>
    </row>
    <row r="608" spans="4:5" x14ac:dyDescent="0.25">
      <c r="D608" s="39" t="str">
        <f t="shared" si="18"/>
        <v/>
      </c>
      <c r="E608" s="41" t="str">
        <f t="shared" si="19"/>
        <v/>
      </c>
    </row>
    <row r="609" spans="4:5" x14ac:dyDescent="0.25">
      <c r="D609" s="39" t="str">
        <f t="shared" si="18"/>
        <v/>
      </c>
      <c r="E609" s="41" t="str">
        <f t="shared" si="19"/>
        <v/>
      </c>
    </row>
    <row r="610" spans="4:5" x14ac:dyDescent="0.25">
      <c r="D610" s="39" t="str">
        <f t="shared" si="18"/>
        <v/>
      </c>
      <c r="E610" s="41" t="str">
        <f t="shared" si="19"/>
        <v/>
      </c>
    </row>
    <row r="611" spans="4:5" x14ac:dyDescent="0.25">
      <c r="D611" s="39" t="str">
        <f t="shared" si="18"/>
        <v/>
      </c>
      <c r="E611" s="41" t="str">
        <f t="shared" si="19"/>
        <v/>
      </c>
    </row>
    <row r="612" spans="4:5" x14ac:dyDescent="0.25">
      <c r="D612" s="39" t="str">
        <f t="shared" si="18"/>
        <v/>
      </c>
      <c r="E612" s="41" t="str">
        <f t="shared" si="19"/>
        <v/>
      </c>
    </row>
    <row r="613" spans="4:5" x14ac:dyDescent="0.25">
      <c r="D613" s="39" t="str">
        <f t="shared" si="18"/>
        <v/>
      </c>
      <c r="E613" s="41" t="str">
        <f t="shared" si="19"/>
        <v/>
      </c>
    </row>
    <row r="614" spans="4:5" x14ac:dyDescent="0.25">
      <c r="D614" s="39" t="str">
        <f t="shared" si="18"/>
        <v/>
      </c>
      <c r="E614" s="41" t="str">
        <f t="shared" si="19"/>
        <v/>
      </c>
    </row>
    <row r="615" spans="4:5" x14ac:dyDescent="0.25">
      <c r="D615" s="39" t="str">
        <f t="shared" si="18"/>
        <v/>
      </c>
      <c r="E615" s="41" t="str">
        <f t="shared" si="19"/>
        <v/>
      </c>
    </row>
    <row r="616" spans="4:5" x14ac:dyDescent="0.25">
      <c r="D616" s="39" t="str">
        <f t="shared" si="18"/>
        <v/>
      </c>
      <c r="E616" s="41" t="str">
        <f t="shared" si="19"/>
        <v/>
      </c>
    </row>
    <row r="617" spans="4:5" x14ac:dyDescent="0.25">
      <c r="D617" s="39" t="str">
        <f t="shared" si="18"/>
        <v/>
      </c>
      <c r="E617" s="41" t="str">
        <f t="shared" si="19"/>
        <v/>
      </c>
    </row>
    <row r="618" spans="4:5" x14ac:dyDescent="0.25">
      <c r="D618" s="39" t="str">
        <f t="shared" si="18"/>
        <v/>
      </c>
      <c r="E618" s="41" t="str">
        <f t="shared" si="19"/>
        <v/>
      </c>
    </row>
    <row r="619" spans="4:5" x14ac:dyDescent="0.25">
      <c r="D619" s="39" t="str">
        <f t="shared" si="18"/>
        <v/>
      </c>
      <c r="E619" s="41" t="str">
        <f t="shared" si="19"/>
        <v/>
      </c>
    </row>
    <row r="620" spans="4:5" x14ac:dyDescent="0.25">
      <c r="D620" s="39" t="str">
        <f t="shared" si="18"/>
        <v/>
      </c>
      <c r="E620" s="41" t="str">
        <f t="shared" si="19"/>
        <v/>
      </c>
    </row>
    <row r="621" spans="4:5" x14ac:dyDescent="0.25">
      <c r="D621" s="39" t="str">
        <f t="shared" si="18"/>
        <v/>
      </c>
      <c r="E621" s="41" t="str">
        <f t="shared" si="19"/>
        <v/>
      </c>
    </row>
    <row r="622" spans="4:5" x14ac:dyDescent="0.25">
      <c r="D622" s="39" t="str">
        <f t="shared" si="18"/>
        <v/>
      </c>
      <c r="E622" s="41" t="str">
        <f t="shared" si="19"/>
        <v/>
      </c>
    </row>
    <row r="623" spans="4:5" x14ac:dyDescent="0.25">
      <c r="D623" s="39" t="str">
        <f t="shared" si="18"/>
        <v/>
      </c>
      <c r="E623" s="41" t="str">
        <f t="shared" si="19"/>
        <v/>
      </c>
    </row>
    <row r="624" spans="4:5" x14ac:dyDescent="0.25">
      <c r="D624" s="39" t="str">
        <f t="shared" si="18"/>
        <v/>
      </c>
      <c r="E624" s="41" t="str">
        <f t="shared" si="19"/>
        <v/>
      </c>
    </row>
    <row r="625" spans="4:5" x14ac:dyDescent="0.25">
      <c r="D625" s="39" t="str">
        <f t="shared" si="18"/>
        <v/>
      </c>
      <c r="E625" s="41" t="str">
        <f t="shared" si="19"/>
        <v/>
      </c>
    </row>
    <row r="626" spans="4:5" x14ac:dyDescent="0.25">
      <c r="D626" s="39" t="str">
        <f t="shared" si="18"/>
        <v/>
      </c>
      <c r="E626" s="41" t="str">
        <f t="shared" si="19"/>
        <v/>
      </c>
    </row>
    <row r="627" spans="4:5" x14ac:dyDescent="0.25">
      <c r="D627" s="39" t="str">
        <f t="shared" si="18"/>
        <v/>
      </c>
      <c r="E627" s="41" t="str">
        <f t="shared" si="19"/>
        <v/>
      </c>
    </row>
    <row r="628" spans="4:5" x14ac:dyDescent="0.25">
      <c r="D628" s="39" t="str">
        <f t="shared" si="18"/>
        <v/>
      </c>
      <c r="E628" s="41" t="str">
        <f t="shared" si="19"/>
        <v/>
      </c>
    </row>
    <row r="629" spans="4:5" x14ac:dyDescent="0.25">
      <c r="D629" s="39" t="str">
        <f t="shared" si="18"/>
        <v/>
      </c>
      <c r="E629" s="41" t="str">
        <f t="shared" si="19"/>
        <v/>
      </c>
    </row>
    <row r="630" spans="4:5" x14ac:dyDescent="0.25">
      <c r="D630" s="39" t="str">
        <f t="shared" si="18"/>
        <v/>
      </c>
      <c r="E630" s="41" t="str">
        <f t="shared" si="19"/>
        <v/>
      </c>
    </row>
    <row r="631" spans="4:5" x14ac:dyDescent="0.25">
      <c r="D631" s="39" t="str">
        <f t="shared" si="18"/>
        <v/>
      </c>
      <c r="E631" s="41" t="str">
        <f t="shared" si="19"/>
        <v/>
      </c>
    </row>
    <row r="632" spans="4:5" x14ac:dyDescent="0.25">
      <c r="D632" s="39" t="str">
        <f t="shared" si="18"/>
        <v/>
      </c>
      <c r="E632" s="41" t="str">
        <f t="shared" si="19"/>
        <v/>
      </c>
    </row>
    <row r="633" spans="4:5" x14ac:dyDescent="0.25">
      <c r="D633" s="39" t="str">
        <f t="shared" si="18"/>
        <v/>
      </c>
      <c r="E633" s="41" t="str">
        <f t="shared" si="19"/>
        <v/>
      </c>
    </row>
    <row r="634" spans="4:5" x14ac:dyDescent="0.25">
      <c r="D634" s="39" t="str">
        <f t="shared" si="18"/>
        <v/>
      </c>
      <c r="E634" s="41" t="str">
        <f t="shared" si="19"/>
        <v/>
      </c>
    </row>
    <row r="635" spans="4:5" x14ac:dyDescent="0.25">
      <c r="D635" s="39" t="str">
        <f t="shared" si="18"/>
        <v/>
      </c>
      <c r="E635" s="41" t="str">
        <f t="shared" si="19"/>
        <v/>
      </c>
    </row>
    <row r="636" spans="4:5" x14ac:dyDescent="0.25">
      <c r="D636" s="39" t="str">
        <f t="shared" si="18"/>
        <v/>
      </c>
      <c r="E636" s="41" t="str">
        <f t="shared" si="19"/>
        <v/>
      </c>
    </row>
    <row r="637" spans="4:5" x14ac:dyDescent="0.25">
      <c r="D637" s="39" t="str">
        <f t="shared" si="18"/>
        <v/>
      </c>
      <c r="E637" s="41" t="str">
        <f t="shared" si="19"/>
        <v/>
      </c>
    </row>
    <row r="638" spans="4:5" x14ac:dyDescent="0.25">
      <c r="D638" s="39" t="str">
        <f t="shared" si="18"/>
        <v/>
      </c>
      <c r="E638" s="41" t="str">
        <f t="shared" si="19"/>
        <v/>
      </c>
    </row>
    <row r="639" spans="4:5" x14ac:dyDescent="0.25">
      <c r="D639" s="39" t="str">
        <f t="shared" si="18"/>
        <v/>
      </c>
      <c r="E639" s="41" t="str">
        <f t="shared" si="19"/>
        <v/>
      </c>
    </row>
    <row r="640" spans="4:5" x14ac:dyDescent="0.25">
      <c r="D640" s="39" t="str">
        <f t="shared" si="18"/>
        <v/>
      </c>
      <c r="E640" s="41" t="str">
        <f t="shared" si="19"/>
        <v/>
      </c>
    </row>
    <row r="641" spans="4:5" x14ac:dyDescent="0.25">
      <c r="D641" s="39" t="str">
        <f t="shared" si="18"/>
        <v/>
      </c>
      <c r="E641" s="41" t="str">
        <f t="shared" si="19"/>
        <v/>
      </c>
    </row>
    <row r="642" spans="4:5" x14ac:dyDescent="0.25">
      <c r="D642" s="39" t="str">
        <f t="shared" si="18"/>
        <v/>
      </c>
      <c r="E642" s="41" t="str">
        <f t="shared" si="19"/>
        <v/>
      </c>
    </row>
    <row r="643" spans="4:5" x14ac:dyDescent="0.25">
      <c r="D643" s="39" t="str">
        <f t="shared" si="18"/>
        <v/>
      </c>
      <c r="E643" s="41" t="str">
        <f t="shared" si="19"/>
        <v/>
      </c>
    </row>
    <row r="644" spans="4:5" x14ac:dyDescent="0.25">
      <c r="D644" s="39" t="str">
        <f t="shared" si="18"/>
        <v/>
      </c>
      <c r="E644" s="41" t="str">
        <f t="shared" si="19"/>
        <v/>
      </c>
    </row>
    <row r="645" spans="4:5" x14ac:dyDescent="0.25">
      <c r="D645" s="39" t="str">
        <f t="shared" si="18"/>
        <v/>
      </c>
      <c r="E645" s="41" t="str">
        <f t="shared" si="19"/>
        <v/>
      </c>
    </row>
    <row r="646" spans="4:5" x14ac:dyDescent="0.25">
      <c r="D646" s="39" t="str">
        <f t="shared" si="18"/>
        <v/>
      </c>
      <c r="E646" s="41" t="str">
        <f t="shared" si="19"/>
        <v/>
      </c>
    </row>
    <row r="647" spans="4:5" x14ac:dyDescent="0.25">
      <c r="D647" s="39" t="str">
        <f t="shared" si="18"/>
        <v/>
      </c>
      <c r="E647" s="41" t="str">
        <f t="shared" si="19"/>
        <v/>
      </c>
    </row>
    <row r="648" spans="4:5" x14ac:dyDescent="0.25">
      <c r="D648" s="39" t="str">
        <f t="shared" si="18"/>
        <v/>
      </c>
      <c r="E648" s="41" t="str">
        <f t="shared" si="19"/>
        <v/>
      </c>
    </row>
    <row r="649" spans="4:5" x14ac:dyDescent="0.25">
      <c r="D649" s="39" t="str">
        <f t="shared" si="18"/>
        <v/>
      </c>
      <c r="E649" s="41" t="str">
        <f t="shared" si="19"/>
        <v/>
      </c>
    </row>
    <row r="650" spans="4:5" x14ac:dyDescent="0.25">
      <c r="D650" s="39" t="str">
        <f t="shared" si="18"/>
        <v/>
      </c>
      <c r="E650" s="41" t="str">
        <f t="shared" si="19"/>
        <v/>
      </c>
    </row>
    <row r="651" spans="4:5" x14ac:dyDescent="0.25">
      <c r="D651" s="39" t="str">
        <f t="shared" si="18"/>
        <v/>
      </c>
      <c r="E651" s="41" t="str">
        <f t="shared" si="19"/>
        <v/>
      </c>
    </row>
    <row r="652" spans="4:5" x14ac:dyDescent="0.25">
      <c r="D652" s="39" t="str">
        <f t="shared" si="18"/>
        <v/>
      </c>
      <c r="E652" s="41" t="str">
        <f t="shared" si="19"/>
        <v/>
      </c>
    </row>
    <row r="653" spans="4:5" x14ac:dyDescent="0.25">
      <c r="D653" s="39" t="str">
        <f t="shared" si="18"/>
        <v/>
      </c>
      <c r="E653" s="41" t="str">
        <f t="shared" si="19"/>
        <v/>
      </c>
    </row>
    <row r="654" spans="4:5" x14ac:dyDescent="0.25">
      <c r="D654" s="39" t="str">
        <f t="shared" si="18"/>
        <v/>
      </c>
      <c r="E654" s="41" t="str">
        <f t="shared" si="19"/>
        <v/>
      </c>
    </row>
    <row r="655" spans="4:5" x14ac:dyDescent="0.25">
      <c r="D655" s="39" t="str">
        <f t="shared" si="18"/>
        <v/>
      </c>
      <c r="E655" s="41" t="str">
        <f t="shared" si="19"/>
        <v/>
      </c>
    </row>
    <row r="656" spans="4:5" x14ac:dyDescent="0.25">
      <c r="D656" s="39" t="str">
        <f t="shared" si="18"/>
        <v/>
      </c>
      <c r="E656" s="41" t="str">
        <f t="shared" si="19"/>
        <v/>
      </c>
    </row>
    <row r="657" spans="4:5" x14ac:dyDescent="0.25">
      <c r="D657" s="39" t="str">
        <f t="shared" ref="D657:D720" si="20">IF(A657=0,"","Elastic")</f>
        <v/>
      </c>
      <c r="E657" s="41" t="str">
        <f t="shared" si="19"/>
        <v/>
      </c>
    </row>
    <row r="658" spans="4:5" x14ac:dyDescent="0.25">
      <c r="D658" s="39" t="str">
        <f t="shared" si="20"/>
        <v/>
      </c>
      <c r="E658" s="41" t="str">
        <f t="shared" si="19"/>
        <v/>
      </c>
    </row>
    <row r="659" spans="4:5" x14ac:dyDescent="0.25">
      <c r="D659" s="39" t="str">
        <f t="shared" si="20"/>
        <v/>
      </c>
      <c r="E659" s="41" t="str">
        <f t="shared" ref="E659:E722" si="21">IF(B659=0,"","Elastic")</f>
        <v/>
      </c>
    </row>
    <row r="660" spans="4:5" x14ac:dyDescent="0.25">
      <c r="D660" s="39" t="str">
        <f t="shared" si="20"/>
        <v/>
      </c>
      <c r="E660" s="41" t="str">
        <f t="shared" si="21"/>
        <v/>
      </c>
    </row>
    <row r="661" spans="4:5" x14ac:dyDescent="0.25">
      <c r="D661" s="39" t="str">
        <f t="shared" si="20"/>
        <v/>
      </c>
      <c r="E661" s="41" t="str">
        <f t="shared" si="21"/>
        <v/>
      </c>
    </row>
    <row r="662" spans="4:5" x14ac:dyDescent="0.25">
      <c r="D662" s="39" t="str">
        <f t="shared" si="20"/>
        <v/>
      </c>
      <c r="E662" s="41" t="str">
        <f t="shared" si="21"/>
        <v/>
      </c>
    </row>
    <row r="663" spans="4:5" x14ac:dyDescent="0.25">
      <c r="D663" s="39" t="str">
        <f t="shared" si="20"/>
        <v/>
      </c>
      <c r="E663" s="41" t="str">
        <f t="shared" si="21"/>
        <v/>
      </c>
    </row>
    <row r="664" spans="4:5" x14ac:dyDescent="0.25">
      <c r="D664" s="39" t="str">
        <f t="shared" si="20"/>
        <v/>
      </c>
      <c r="E664" s="41" t="str">
        <f t="shared" si="21"/>
        <v/>
      </c>
    </row>
    <row r="665" spans="4:5" x14ac:dyDescent="0.25">
      <c r="D665" s="39" t="str">
        <f t="shared" si="20"/>
        <v/>
      </c>
      <c r="E665" s="41" t="str">
        <f t="shared" si="21"/>
        <v/>
      </c>
    </row>
    <row r="666" spans="4:5" x14ac:dyDescent="0.25">
      <c r="D666" s="39" t="str">
        <f t="shared" si="20"/>
        <v/>
      </c>
      <c r="E666" s="41" t="str">
        <f t="shared" si="21"/>
        <v/>
      </c>
    </row>
    <row r="667" spans="4:5" x14ac:dyDescent="0.25">
      <c r="D667" s="39" t="str">
        <f t="shared" si="20"/>
        <v/>
      </c>
      <c r="E667" s="41" t="str">
        <f t="shared" si="21"/>
        <v/>
      </c>
    </row>
    <row r="668" spans="4:5" x14ac:dyDescent="0.25">
      <c r="D668" s="39" t="str">
        <f t="shared" si="20"/>
        <v/>
      </c>
      <c r="E668" s="41" t="str">
        <f t="shared" si="21"/>
        <v/>
      </c>
    </row>
    <row r="669" spans="4:5" x14ac:dyDescent="0.25">
      <c r="D669" s="39" t="str">
        <f t="shared" si="20"/>
        <v/>
      </c>
      <c r="E669" s="41" t="str">
        <f t="shared" si="21"/>
        <v/>
      </c>
    </row>
    <row r="670" spans="4:5" x14ac:dyDescent="0.25">
      <c r="D670" s="39" t="str">
        <f t="shared" si="20"/>
        <v/>
      </c>
      <c r="E670" s="41" t="str">
        <f t="shared" si="21"/>
        <v/>
      </c>
    </row>
    <row r="671" spans="4:5" x14ac:dyDescent="0.25">
      <c r="D671" s="39" t="str">
        <f t="shared" si="20"/>
        <v/>
      </c>
      <c r="E671" s="41" t="str">
        <f t="shared" si="21"/>
        <v/>
      </c>
    </row>
    <row r="672" spans="4:5" x14ac:dyDescent="0.25">
      <c r="D672" s="39" t="str">
        <f t="shared" si="20"/>
        <v/>
      </c>
      <c r="E672" s="41" t="str">
        <f t="shared" si="21"/>
        <v/>
      </c>
    </row>
    <row r="673" spans="4:5" x14ac:dyDescent="0.25">
      <c r="D673" s="39" t="str">
        <f t="shared" si="20"/>
        <v/>
      </c>
      <c r="E673" s="41" t="str">
        <f t="shared" si="21"/>
        <v/>
      </c>
    </row>
    <row r="674" spans="4:5" x14ac:dyDescent="0.25">
      <c r="D674" s="39" t="str">
        <f t="shared" si="20"/>
        <v/>
      </c>
      <c r="E674" s="41" t="str">
        <f t="shared" si="21"/>
        <v/>
      </c>
    </row>
    <row r="675" spans="4:5" x14ac:dyDescent="0.25">
      <c r="D675" s="39" t="str">
        <f t="shared" si="20"/>
        <v/>
      </c>
      <c r="E675" s="41" t="str">
        <f t="shared" si="21"/>
        <v/>
      </c>
    </row>
    <row r="676" spans="4:5" x14ac:dyDescent="0.25">
      <c r="D676" s="39" t="str">
        <f t="shared" si="20"/>
        <v/>
      </c>
      <c r="E676" s="41" t="str">
        <f t="shared" si="21"/>
        <v/>
      </c>
    </row>
    <row r="677" spans="4:5" x14ac:dyDescent="0.25">
      <c r="D677" s="39" t="str">
        <f t="shared" si="20"/>
        <v/>
      </c>
      <c r="E677" s="41" t="str">
        <f t="shared" si="21"/>
        <v/>
      </c>
    </row>
    <row r="678" spans="4:5" x14ac:dyDescent="0.25">
      <c r="D678" s="39" t="str">
        <f t="shared" si="20"/>
        <v/>
      </c>
      <c r="E678" s="41" t="str">
        <f t="shared" si="21"/>
        <v/>
      </c>
    </row>
    <row r="679" spans="4:5" x14ac:dyDescent="0.25">
      <c r="D679" s="39" t="str">
        <f t="shared" si="20"/>
        <v/>
      </c>
      <c r="E679" s="41" t="str">
        <f t="shared" si="21"/>
        <v/>
      </c>
    </row>
    <row r="680" spans="4:5" x14ac:dyDescent="0.25">
      <c r="D680" s="39" t="str">
        <f t="shared" si="20"/>
        <v/>
      </c>
      <c r="E680" s="41" t="str">
        <f t="shared" si="21"/>
        <v/>
      </c>
    </row>
    <row r="681" spans="4:5" x14ac:dyDescent="0.25">
      <c r="D681" s="39" t="str">
        <f t="shared" si="20"/>
        <v/>
      </c>
      <c r="E681" s="41" t="str">
        <f t="shared" si="21"/>
        <v/>
      </c>
    </row>
    <row r="682" spans="4:5" x14ac:dyDescent="0.25">
      <c r="D682" s="39" t="str">
        <f t="shared" si="20"/>
        <v/>
      </c>
      <c r="E682" s="41" t="str">
        <f t="shared" si="21"/>
        <v/>
      </c>
    </row>
    <row r="683" spans="4:5" x14ac:dyDescent="0.25">
      <c r="D683" s="39" t="str">
        <f t="shared" si="20"/>
        <v/>
      </c>
      <c r="E683" s="41" t="str">
        <f t="shared" si="21"/>
        <v/>
      </c>
    </row>
    <row r="684" spans="4:5" x14ac:dyDescent="0.25">
      <c r="D684" s="39" t="str">
        <f t="shared" si="20"/>
        <v/>
      </c>
      <c r="E684" s="41" t="str">
        <f t="shared" si="21"/>
        <v/>
      </c>
    </row>
    <row r="685" spans="4:5" x14ac:dyDescent="0.25">
      <c r="D685" s="39" t="str">
        <f t="shared" si="20"/>
        <v/>
      </c>
      <c r="E685" s="41" t="str">
        <f t="shared" si="21"/>
        <v/>
      </c>
    </row>
    <row r="686" spans="4:5" x14ac:dyDescent="0.25">
      <c r="D686" s="39" t="str">
        <f t="shared" si="20"/>
        <v/>
      </c>
      <c r="E686" s="41" t="str">
        <f t="shared" si="21"/>
        <v/>
      </c>
    </row>
    <row r="687" spans="4:5" x14ac:dyDescent="0.25">
      <c r="D687" s="39" t="str">
        <f t="shared" si="20"/>
        <v/>
      </c>
      <c r="E687" s="41" t="str">
        <f t="shared" si="21"/>
        <v/>
      </c>
    </row>
    <row r="688" spans="4:5" x14ac:dyDescent="0.25">
      <c r="D688" s="39" t="str">
        <f t="shared" si="20"/>
        <v/>
      </c>
      <c r="E688" s="41" t="str">
        <f t="shared" si="21"/>
        <v/>
      </c>
    </row>
    <row r="689" spans="4:5" x14ac:dyDescent="0.25">
      <c r="D689" s="39" t="str">
        <f t="shared" si="20"/>
        <v/>
      </c>
      <c r="E689" s="41" t="str">
        <f t="shared" si="21"/>
        <v/>
      </c>
    </row>
    <row r="690" spans="4:5" x14ac:dyDescent="0.25">
      <c r="D690" s="39" t="str">
        <f t="shared" si="20"/>
        <v/>
      </c>
      <c r="E690" s="41" t="str">
        <f t="shared" si="21"/>
        <v/>
      </c>
    </row>
    <row r="691" spans="4:5" x14ac:dyDescent="0.25">
      <c r="D691" s="39" t="str">
        <f t="shared" si="20"/>
        <v/>
      </c>
      <c r="E691" s="41" t="str">
        <f t="shared" si="21"/>
        <v/>
      </c>
    </row>
    <row r="692" spans="4:5" x14ac:dyDescent="0.25">
      <c r="D692" s="39" t="str">
        <f t="shared" si="20"/>
        <v/>
      </c>
      <c r="E692" s="41" t="str">
        <f t="shared" si="21"/>
        <v/>
      </c>
    </row>
    <row r="693" spans="4:5" x14ac:dyDescent="0.25">
      <c r="D693" s="39" t="str">
        <f t="shared" si="20"/>
        <v/>
      </c>
      <c r="E693" s="41" t="str">
        <f t="shared" si="21"/>
        <v/>
      </c>
    </row>
    <row r="694" spans="4:5" x14ac:dyDescent="0.25">
      <c r="D694" s="39" t="str">
        <f t="shared" si="20"/>
        <v/>
      </c>
      <c r="E694" s="41" t="str">
        <f t="shared" si="21"/>
        <v/>
      </c>
    </row>
    <row r="695" spans="4:5" x14ac:dyDescent="0.25">
      <c r="D695" s="39" t="str">
        <f t="shared" si="20"/>
        <v/>
      </c>
      <c r="E695" s="41" t="str">
        <f t="shared" si="21"/>
        <v/>
      </c>
    </row>
    <row r="696" spans="4:5" x14ac:dyDescent="0.25">
      <c r="D696" s="39" t="str">
        <f t="shared" si="20"/>
        <v/>
      </c>
      <c r="E696" s="41" t="str">
        <f t="shared" si="21"/>
        <v/>
      </c>
    </row>
    <row r="697" spans="4:5" x14ac:dyDescent="0.25">
      <c r="D697" s="39" t="str">
        <f t="shared" si="20"/>
        <v/>
      </c>
      <c r="E697" s="41" t="str">
        <f t="shared" si="21"/>
        <v/>
      </c>
    </row>
    <row r="698" spans="4:5" x14ac:dyDescent="0.25">
      <c r="D698" s="39" t="str">
        <f t="shared" si="20"/>
        <v/>
      </c>
      <c r="E698" s="41" t="str">
        <f t="shared" si="21"/>
        <v/>
      </c>
    </row>
    <row r="699" spans="4:5" x14ac:dyDescent="0.25">
      <c r="D699" s="39" t="str">
        <f t="shared" si="20"/>
        <v/>
      </c>
      <c r="E699" s="41" t="str">
        <f t="shared" si="21"/>
        <v/>
      </c>
    </row>
    <row r="700" spans="4:5" x14ac:dyDescent="0.25">
      <c r="D700" s="39" t="str">
        <f t="shared" si="20"/>
        <v/>
      </c>
      <c r="E700" s="41" t="str">
        <f t="shared" si="21"/>
        <v/>
      </c>
    </row>
    <row r="701" spans="4:5" x14ac:dyDescent="0.25">
      <c r="D701" s="39" t="str">
        <f t="shared" si="20"/>
        <v/>
      </c>
      <c r="E701" s="41" t="str">
        <f t="shared" si="21"/>
        <v/>
      </c>
    </row>
    <row r="702" spans="4:5" x14ac:dyDescent="0.25">
      <c r="D702" s="39" t="str">
        <f t="shared" si="20"/>
        <v/>
      </c>
      <c r="E702" s="41" t="str">
        <f t="shared" si="21"/>
        <v/>
      </c>
    </row>
    <row r="703" spans="4:5" x14ac:dyDescent="0.25">
      <c r="D703" s="39" t="str">
        <f t="shared" si="20"/>
        <v/>
      </c>
      <c r="E703" s="41" t="str">
        <f t="shared" si="21"/>
        <v/>
      </c>
    </row>
    <row r="704" spans="4:5" x14ac:dyDescent="0.25">
      <c r="D704" s="39" t="str">
        <f t="shared" si="20"/>
        <v/>
      </c>
      <c r="E704" s="41" t="str">
        <f t="shared" si="21"/>
        <v/>
      </c>
    </row>
    <row r="705" spans="4:5" x14ac:dyDescent="0.25">
      <c r="D705" s="39" t="str">
        <f t="shared" si="20"/>
        <v/>
      </c>
      <c r="E705" s="41" t="str">
        <f t="shared" si="21"/>
        <v/>
      </c>
    </row>
    <row r="706" spans="4:5" x14ac:dyDescent="0.25">
      <c r="D706" s="39" t="str">
        <f t="shared" si="20"/>
        <v/>
      </c>
      <c r="E706" s="41" t="str">
        <f t="shared" si="21"/>
        <v/>
      </c>
    </row>
    <row r="707" spans="4:5" x14ac:dyDescent="0.25">
      <c r="D707" s="39" t="str">
        <f t="shared" si="20"/>
        <v/>
      </c>
      <c r="E707" s="41" t="str">
        <f t="shared" si="21"/>
        <v/>
      </c>
    </row>
    <row r="708" spans="4:5" x14ac:dyDescent="0.25">
      <c r="D708" s="39" t="str">
        <f t="shared" si="20"/>
        <v/>
      </c>
      <c r="E708" s="41" t="str">
        <f t="shared" si="21"/>
        <v/>
      </c>
    </row>
    <row r="709" spans="4:5" x14ac:dyDescent="0.25">
      <c r="D709" s="39" t="str">
        <f t="shared" si="20"/>
        <v/>
      </c>
      <c r="E709" s="41" t="str">
        <f t="shared" si="21"/>
        <v/>
      </c>
    </row>
    <row r="710" spans="4:5" x14ac:dyDescent="0.25">
      <c r="D710" s="39" t="str">
        <f t="shared" si="20"/>
        <v/>
      </c>
      <c r="E710" s="41" t="str">
        <f t="shared" si="21"/>
        <v/>
      </c>
    </row>
    <row r="711" spans="4:5" x14ac:dyDescent="0.25">
      <c r="D711" s="39" t="str">
        <f t="shared" si="20"/>
        <v/>
      </c>
      <c r="E711" s="41" t="str">
        <f t="shared" si="21"/>
        <v/>
      </c>
    </row>
    <row r="712" spans="4:5" x14ac:dyDescent="0.25">
      <c r="D712" s="39" t="str">
        <f t="shared" si="20"/>
        <v/>
      </c>
      <c r="E712" s="41" t="str">
        <f t="shared" si="21"/>
        <v/>
      </c>
    </row>
    <row r="713" spans="4:5" x14ac:dyDescent="0.25">
      <c r="D713" s="39" t="str">
        <f t="shared" si="20"/>
        <v/>
      </c>
      <c r="E713" s="41" t="str">
        <f t="shared" si="21"/>
        <v/>
      </c>
    </row>
    <row r="714" spans="4:5" x14ac:dyDescent="0.25">
      <c r="D714" s="39" t="str">
        <f t="shared" si="20"/>
        <v/>
      </c>
      <c r="E714" s="41" t="str">
        <f t="shared" si="21"/>
        <v/>
      </c>
    </row>
    <row r="715" spans="4:5" x14ac:dyDescent="0.25">
      <c r="D715" s="39" t="str">
        <f t="shared" si="20"/>
        <v/>
      </c>
      <c r="E715" s="41" t="str">
        <f t="shared" si="21"/>
        <v/>
      </c>
    </row>
    <row r="716" spans="4:5" x14ac:dyDescent="0.25">
      <c r="D716" s="39" t="str">
        <f t="shared" si="20"/>
        <v/>
      </c>
      <c r="E716" s="41" t="str">
        <f t="shared" si="21"/>
        <v/>
      </c>
    </row>
    <row r="717" spans="4:5" x14ac:dyDescent="0.25">
      <c r="D717" s="39" t="str">
        <f t="shared" si="20"/>
        <v/>
      </c>
      <c r="E717" s="41" t="str">
        <f t="shared" si="21"/>
        <v/>
      </c>
    </row>
    <row r="718" spans="4:5" x14ac:dyDescent="0.25">
      <c r="D718" s="39" t="str">
        <f t="shared" si="20"/>
        <v/>
      </c>
      <c r="E718" s="41" t="str">
        <f t="shared" si="21"/>
        <v/>
      </c>
    </row>
    <row r="719" spans="4:5" x14ac:dyDescent="0.25">
      <c r="D719" s="39" t="str">
        <f t="shared" si="20"/>
        <v/>
      </c>
      <c r="E719" s="41" t="str">
        <f t="shared" si="21"/>
        <v/>
      </c>
    </row>
    <row r="720" spans="4:5" x14ac:dyDescent="0.25">
      <c r="D720" s="39" t="str">
        <f t="shared" si="20"/>
        <v/>
      </c>
      <c r="E720" s="41" t="str">
        <f t="shared" si="21"/>
        <v/>
      </c>
    </row>
    <row r="721" spans="4:5" x14ac:dyDescent="0.25">
      <c r="D721" s="39" t="str">
        <f t="shared" ref="D721:D784" si="22">IF(A721=0,"","Elastic")</f>
        <v/>
      </c>
      <c r="E721" s="41" t="str">
        <f t="shared" si="21"/>
        <v/>
      </c>
    </row>
    <row r="722" spans="4:5" x14ac:dyDescent="0.25">
      <c r="D722" s="39" t="str">
        <f t="shared" si="22"/>
        <v/>
      </c>
      <c r="E722" s="41" t="str">
        <f t="shared" si="21"/>
        <v/>
      </c>
    </row>
    <row r="723" spans="4:5" x14ac:dyDescent="0.25">
      <c r="D723" s="39" t="str">
        <f t="shared" si="22"/>
        <v/>
      </c>
      <c r="E723" s="41" t="str">
        <f t="shared" ref="E723:E786" si="23">IF(B723=0,"","Elastic")</f>
        <v/>
      </c>
    </row>
    <row r="724" spans="4:5" x14ac:dyDescent="0.25">
      <c r="D724" s="39" t="str">
        <f t="shared" si="22"/>
        <v/>
      </c>
      <c r="E724" s="41" t="str">
        <f t="shared" si="23"/>
        <v/>
      </c>
    </row>
    <row r="725" spans="4:5" x14ac:dyDescent="0.25">
      <c r="D725" s="39" t="str">
        <f t="shared" si="22"/>
        <v/>
      </c>
      <c r="E725" s="41" t="str">
        <f t="shared" si="23"/>
        <v/>
      </c>
    </row>
    <row r="726" spans="4:5" x14ac:dyDescent="0.25">
      <c r="D726" s="39" t="str">
        <f t="shared" si="22"/>
        <v/>
      </c>
      <c r="E726" s="41" t="str">
        <f t="shared" si="23"/>
        <v/>
      </c>
    </row>
    <row r="727" spans="4:5" x14ac:dyDescent="0.25">
      <c r="D727" s="39" t="str">
        <f t="shared" si="22"/>
        <v/>
      </c>
      <c r="E727" s="41" t="str">
        <f t="shared" si="23"/>
        <v/>
      </c>
    </row>
    <row r="728" spans="4:5" x14ac:dyDescent="0.25">
      <c r="D728" s="39" t="str">
        <f t="shared" si="22"/>
        <v/>
      </c>
      <c r="E728" s="41" t="str">
        <f t="shared" si="23"/>
        <v/>
      </c>
    </row>
    <row r="729" spans="4:5" x14ac:dyDescent="0.25">
      <c r="D729" s="39" t="str">
        <f t="shared" si="22"/>
        <v/>
      </c>
      <c r="E729" s="41" t="str">
        <f t="shared" si="23"/>
        <v/>
      </c>
    </row>
    <row r="730" spans="4:5" x14ac:dyDescent="0.25">
      <c r="D730" s="39" t="str">
        <f t="shared" si="22"/>
        <v/>
      </c>
      <c r="E730" s="41" t="str">
        <f t="shared" si="23"/>
        <v/>
      </c>
    </row>
    <row r="731" spans="4:5" x14ac:dyDescent="0.25">
      <c r="D731" s="39" t="str">
        <f t="shared" si="22"/>
        <v/>
      </c>
      <c r="E731" s="41" t="str">
        <f t="shared" si="23"/>
        <v/>
      </c>
    </row>
    <row r="732" spans="4:5" x14ac:dyDescent="0.25">
      <c r="D732" s="39" t="str">
        <f t="shared" si="22"/>
        <v/>
      </c>
      <c r="E732" s="41" t="str">
        <f t="shared" si="23"/>
        <v/>
      </c>
    </row>
    <row r="733" spans="4:5" x14ac:dyDescent="0.25">
      <c r="D733" s="39" t="str">
        <f t="shared" si="22"/>
        <v/>
      </c>
      <c r="E733" s="41" t="str">
        <f t="shared" si="23"/>
        <v/>
      </c>
    </row>
    <row r="734" spans="4:5" x14ac:dyDescent="0.25">
      <c r="D734" s="39" t="str">
        <f t="shared" si="22"/>
        <v/>
      </c>
      <c r="E734" s="41" t="str">
        <f t="shared" si="23"/>
        <v/>
      </c>
    </row>
    <row r="735" spans="4:5" x14ac:dyDescent="0.25">
      <c r="D735" s="39" t="str">
        <f t="shared" si="22"/>
        <v/>
      </c>
      <c r="E735" s="41" t="str">
        <f t="shared" si="23"/>
        <v/>
      </c>
    </row>
    <row r="736" spans="4:5" x14ac:dyDescent="0.25">
      <c r="D736" s="39" t="str">
        <f t="shared" si="22"/>
        <v/>
      </c>
      <c r="E736" s="41" t="str">
        <f t="shared" si="23"/>
        <v/>
      </c>
    </row>
    <row r="737" spans="4:5" x14ac:dyDescent="0.25">
      <c r="D737" s="39" t="str">
        <f t="shared" si="22"/>
        <v/>
      </c>
      <c r="E737" s="41" t="str">
        <f t="shared" si="23"/>
        <v/>
      </c>
    </row>
    <row r="738" spans="4:5" x14ac:dyDescent="0.25">
      <c r="D738" s="39" t="str">
        <f t="shared" si="22"/>
        <v/>
      </c>
      <c r="E738" s="41" t="str">
        <f t="shared" si="23"/>
        <v/>
      </c>
    </row>
    <row r="739" spans="4:5" x14ac:dyDescent="0.25">
      <c r="D739" s="39" t="str">
        <f t="shared" si="22"/>
        <v/>
      </c>
      <c r="E739" s="41" t="str">
        <f t="shared" si="23"/>
        <v/>
      </c>
    </row>
    <row r="740" spans="4:5" x14ac:dyDescent="0.25">
      <c r="D740" s="39" t="str">
        <f t="shared" si="22"/>
        <v/>
      </c>
      <c r="E740" s="41" t="str">
        <f t="shared" si="23"/>
        <v/>
      </c>
    </row>
    <row r="741" spans="4:5" x14ac:dyDescent="0.25">
      <c r="D741" s="39" t="str">
        <f t="shared" si="22"/>
        <v/>
      </c>
      <c r="E741" s="41" t="str">
        <f t="shared" si="23"/>
        <v/>
      </c>
    </row>
    <row r="742" spans="4:5" x14ac:dyDescent="0.25">
      <c r="D742" s="39" t="str">
        <f t="shared" si="22"/>
        <v/>
      </c>
      <c r="E742" s="41" t="str">
        <f t="shared" si="23"/>
        <v/>
      </c>
    </row>
    <row r="743" spans="4:5" x14ac:dyDescent="0.25">
      <c r="D743" s="39" t="str">
        <f t="shared" si="22"/>
        <v/>
      </c>
      <c r="E743" s="41" t="str">
        <f t="shared" si="23"/>
        <v/>
      </c>
    </row>
    <row r="744" spans="4:5" x14ac:dyDescent="0.25">
      <c r="D744" s="39" t="str">
        <f t="shared" si="22"/>
        <v/>
      </c>
      <c r="E744" s="41" t="str">
        <f t="shared" si="23"/>
        <v/>
      </c>
    </row>
    <row r="745" spans="4:5" x14ac:dyDescent="0.25">
      <c r="D745" s="39" t="str">
        <f t="shared" si="22"/>
        <v/>
      </c>
      <c r="E745" s="41" t="str">
        <f t="shared" si="23"/>
        <v/>
      </c>
    </row>
    <row r="746" spans="4:5" x14ac:dyDescent="0.25">
      <c r="D746" s="39" t="str">
        <f t="shared" si="22"/>
        <v/>
      </c>
      <c r="E746" s="41" t="str">
        <f t="shared" si="23"/>
        <v/>
      </c>
    </row>
    <row r="747" spans="4:5" x14ac:dyDescent="0.25">
      <c r="D747" s="39" t="str">
        <f t="shared" si="22"/>
        <v/>
      </c>
      <c r="E747" s="41" t="str">
        <f t="shared" si="23"/>
        <v/>
      </c>
    </row>
    <row r="748" spans="4:5" x14ac:dyDescent="0.25">
      <c r="D748" s="39" t="str">
        <f t="shared" si="22"/>
        <v/>
      </c>
      <c r="E748" s="41" t="str">
        <f t="shared" si="23"/>
        <v/>
      </c>
    </row>
    <row r="749" spans="4:5" x14ac:dyDescent="0.25">
      <c r="D749" s="39" t="str">
        <f t="shared" si="22"/>
        <v/>
      </c>
      <c r="E749" s="41" t="str">
        <f t="shared" si="23"/>
        <v/>
      </c>
    </row>
    <row r="750" spans="4:5" x14ac:dyDescent="0.25">
      <c r="D750" s="39" t="str">
        <f t="shared" si="22"/>
        <v/>
      </c>
      <c r="E750" s="41" t="str">
        <f t="shared" si="23"/>
        <v/>
      </c>
    </row>
    <row r="751" spans="4:5" x14ac:dyDescent="0.25">
      <c r="D751" s="39" t="str">
        <f t="shared" si="22"/>
        <v/>
      </c>
      <c r="E751" s="41" t="str">
        <f t="shared" si="23"/>
        <v/>
      </c>
    </row>
    <row r="752" spans="4:5" x14ac:dyDescent="0.25">
      <c r="D752" s="39" t="str">
        <f t="shared" si="22"/>
        <v/>
      </c>
      <c r="E752" s="41" t="str">
        <f t="shared" si="23"/>
        <v/>
      </c>
    </row>
    <row r="753" spans="4:5" x14ac:dyDescent="0.25">
      <c r="D753" s="39" t="str">
        <f t="shared" si="22"/>
        <v/>
      </c>
      <c r="E753" s="41" t="str">
        <f t="shared" si="23"/>
        <v/>
      </c>
    </row>
    <row r="754" spans="4:5" x14ac:dyDescent="0.25">
      <c r="D754" s="39" t="str">
        <f t="shared" si="22"/>
        <v/>
      </c>
      <c r="E754" s="41" t="str">
        <f t="shared" si="23"/>
        <v/>
      </c>
    </row>
    <row r="755" spans="4:5" x14ac:dyDescent="0.25">
      <c r="D755" s="39" t="str">
        <f t="shared" si="22"/>
        <v/>
      </c>
      <c r="E755" s="41" t="str">
        <f t="shared" si="23"/>
        <v/>
      </c>
    </row>
    <row r="756" spans="4:5" x14ac:dyDescent="0.25">
      <c r="D756" s="39" t="str">
        <f t="shared" si="22"/>
        <v/>
      </c>
      <c r="E756" s="41" t="str">
        <f t="shared" si="23"/>
        <v/>
      </c>
    </row>
    <row r="757" spans="4:5" x14ac:dyDescent="0.25">
      <c r="D757" s="39" t="str">
        <f t="shared" si="22"/>
        <v/>
      </c>
      <c r="E757" s="41" t="str">
        <f t="shared" si="23"/>
        <v/>
      </c>
    </row>
    <row r="758" spans="4:5" x14ac:dyDescent="0.25">
      <c r="D758" s="39" t="str">
        <f t="shared" si="22"/>
        <v/>
      </c>
      <c r="E758" s="41" t="str">
        <f t="shared" si="23"/>
        <v/>
      </c>
    </row>
    <row r="759" spans="4:5" x14ac:dyDescent="0.25">
      <c r="D759" s="39" t="str">
        <f t="shared" si="22"/>
        <v/>
      </c>
      <c r="E759" s="41" t="str">
        <f t="shared" si="23"/>
        <v/>
      </c>
    </row>
    <row r="760" spans="4:5" x14ac:dyDescent="0.25">
      <c r="D760" s="39" t="str">
        <f t="shared" si="22"/>
        <v/>
      </c>
      <c r="E760" s="41" t="str">
        <f t="shared" si="23"/>
        <v/>
      </c>
    </row>
    <row r="761" spans="4:5" x14ac:dyDescent="0.25">
      <c r="D761" s="39" t="str">
        <f t="shared" si="22"/>
        <v/>
      </c>
      <c r="E761" s="41" t="str">
        <f t="shared" si="23"/>
        <v/>
      </c>
    </row>
    <row r="762" spans="4:5" x14ac:dyDescent="0.25">
      <c r="D762" s="39" t="str">
        <f t="shared" si="22"/>
        <v/>
      </c>
      <c r="E762" s="41" t="str">
        <f t="shared" si="23"/>
        <v/>
      </c>
    </row>
    <row r="763" spans="4:5" x14ac:dyDescent="0.25">
      <c r="D763" s="39" t="str">
        <f t="shared" si="22"/>
        <v/>
      </c>
      <c r="E763" s="41" t="str">
        <f t="shared" si="23"/>
        <v/>
      </c>
    </row>
    <row r="764" spans="4:5" x14ac:dyDescent="0.25">
      <c r="D764" s="39" t="str">
        <f t="shared" si="22"/>
        <v/>
      </c>
      <c r="E764" s="41" t="str">
        <f t="shared" si="23"/>
        <v/>
      </c>
    </row>
    <row r="765" spans="4:5" x14ac:dyDescent="0.25">
      <c r="D765" s="39" t="str">
        <f t="shared" si="22"/>
        <v/>
      </c>
      <c r="E765" s="41" t="str">
        <f t="shared" si="23"/>
        <v/>
      </c>
    </row>
    <row r="766" spans="4:5" x14ac:dyDescent="0.25">
      <c r="D766" s="39" t="str">
        <f t="shared" si="22"/>
        <v/>
      </c>
      <c r="E766" s="41" t="str">
        <f t="shared" si="23"/>
        <v/>
      </c>
    </row>
    <row r="767" spans="4:5" x14ac:dyDescent="0.25">
      <c r="D767" s="39" t="str">
        <f t="shared" si="22"/>
        <v/>
      </c>
      <c r="E767" s="41" t="str">
        <f t="shared" si="23"/>
        <v/>
      </c>
    </row>
    <row r="768" spans="4:5" x14ac:dyDescent="0.25">
      <c r="D768" s="39" t="str">
        <f t="shared" si="22"/>
        <v/>
      </c>
      <c r="E768" s="41" t="str">
        <f t="shared" si="23"/>
        <v/>
      </c>
    </row>
    <row r="769" spans="4:5" x14ac:dyDescent="0.25">
      <c r="D769" s="39" t="str">
        <f t="shared" si="22"/>
        <v/>
      </c>
      <c r="E769" s="41" t="str">
        <f t="shared" si="23"/>
        <v/>
      </c>
    </row>
    <row r="770" spans="4:5" x14ac:dyDescent="0.25">
      <c r="D770" s="39" t="str">
        <f t="shared" si="22"/>
        <v/>
      </c>
      <c r="E770" s="41" t="str">
        <f t="shared" si="23"/>
        <v/>
      </c>
    </row>
    <row r="771" spans="4:5" x14ac:dyDescent="0.25">
      <c r="D771" s="39" t="str">
        <f t="shared" si="22"/>
        <v/>
      </c>
      <c r="E771" s="41" t="str">
        <f t="shared" si="23"/>
        <v/>
      </c>
    </row>
    <row r="772" spans="4:5" x14ac:dyDescent="0.25">
      <c r="D772" s="39" t="str">
        <f t="shared" si="22"/>
        <v/>
      </c>
      <c r="E772" s="41" t="str">
        <f t="shared" si="23"/>
        <v/>
      </c>
    </row>
    <row r="773" spans="4:5" x14ac:dyDescent="0.25">
      <c r="D773" s="39" t="str">
        <f t="shared" si="22"/>
        <v/>
      </c>
      <c r="E773" s="41" t="str">
        <f t="shared" si="23"/>
        <v/>
      </c>
    </row>
    <row r="774" spans="4:5" x14ac:dyDescent="0.25">
      <c r="D774" s="39" t="str">
        <f t="shared" si="22"/>
        <v/>
      </c>
      <c r="E774" s="41" t="str">
        <f t="shared" si="23"/>
        <v/>
      </c>
    </row>
    <row r="775" spans="4:5" x14ac:dyDescent="0.25">
      <c r="D775" s="39" t="str">
        <f t="shared" si="22"/>
        <v/>
      </c>
      <c r="E775" s="41" t="str">
        <f t="shared" si="23"/>
        <v/>
      </c>
    </row>
    <row r="776" spans="4:5" x14ac:dyDescent="0.25">
      <c r="D776" s="39" t="str">
        <f t="shared" si="22"/>
        <v/>
      </c>
      <c r="E776" s="41" t="str">
        <f t="shared" si="23"/>
        <v/>
      </c>
    </row>
    <row r="777" spans="4:5" x14ac:dyDescent="0.25">
      <c r="D777" s="39" t="str">
        <f t="shared" si="22"/>
        <v/>
      </c>
      <c r="E777" s="41" t="str">
        <f t="shared" si="23"/>
        <v/>
      </c>
    </row>
    <row r="778" spans="4:5" x14ac:dyDescent="0.25">
      <c r="D778" s="39" t="str">
        <f t="shared" si="22"/>
        <v/>
      </c>
      <c r="E778" s="41" t="str">
        <f t="shared" si="23"/>
        <v/>
      </c>
    </row>
    <row r="779" spans="4:5" x14ac:dyDescent="0.25">
      <c r="D779" s="39" t="str">
        <f t="shared" si="22"/>
        <v/>
      </c>
      <c r="E779" s="41" t="str">
        <f t="shared" si="23"/>
        <v/>
      </c>
    </row>
    <row r="780" spans="4:5" x14ac:dyDescent="0.25">
      <c r="D780" s="39" t="str">
        <f t="shared" si="22"/>
        <v/>
      </c>
      <c r="E780" s="41" t="str">
        <f t="shared" si="23"/>
        <v/>
      </c>
    </row>
    <row r="781" spans="4:5" x14ac:dyDescent="0.25">
      <c r="D781" s="39" t="str">
        <f t="shared" si="22"/>
        <v/>
      </c>
      <c r="E781" s="41" t="str">
        <f t="shared" si="23"/>
        <v/>
      </c>
    </row>
    <row r="782" spans="4:5" x14ac:dyDescent="0.25">
      <c r="D782" s="39" t="str">
        <f t="shared" si="22"/>
        <v/>
      </c>
      <c r="E782" s="41" t="str">
        <f t="shared" si="23"/>
        <v/>
      </c>
    </row>
    <row r="783" spans="4:5" x14ac:dyDescent="0.25">
      <c r="D783" s="39" t="str">
        <f t="shared" si="22"/>
        <v/>
      </c>
      <c r="E783" s="41" t="str">
        <f t="shared" si="23"/>
        <v/>
      </c>
    </row>
    <row r="784" spans="4:5" x14ac:dyDescent="0.25">
      <c r="D784" s="39" t="str">
        <f t="shared" si="22"/>
        <v/>
      </c>
      <c r="E784" s="41" t="str">
        <f t="shared" si="23"/>
        <v/>
      </c>
    </row>
    <row r="785" spans="4:5" x14ac:dyDescent="0.25">
      <c r="D785" s="39" t="str">
        <f t="shared" ref="D785:D848" si="24">IF(A785=0,"","Elastic")</f>
        <v/>
      </c>
      <c r="E785" s="41" t="str">
        <f t="shared" si="23"/>
        <v/>
      </c>
    </row>
    <row r="786" spans="4:5" x14ac:dyDescent="0.25">
      <c r="D786" s="39" t="str">
        <f t="shared" si="24"/>
        <v/>
      </c>
      <c r="E786" s="41" t="str">
        <f t="shared" si="23"/>
        <v/>
      </c>
    </row>
    <row r="787" spans="4:5" x14ac:dyDescent="0.25">
      <c r="D787" s="39" t="str">
        <f t="shared" si="24"/>
        <v/>
      </c>
      <c r="E787" s="41" t="str">
        <f t="shared" ref="E787:E850" si="25">IF(B787=0,"","Elastic")</f>
        <v/>
      </c>
    </row>
    <row r="788" spans="4:5" x14ac:dyDescent="0.25">
      <c r="D788" s="39" t="str">
        <f t="shared" si="24"/>
        <v/>
      </c>
      <c r="E788" s="41" t="str">
        <f t="shared" si="25"/>
        <v/>
      </c>
    </row>
    <row r="789" spans="4:5" x14ac:dyDescent="0.25">
      <c r="D789" s="39" t="str">
        <f t="shared" si="24"/>
        <v/>
      </c>
      <c r="E789" s="41" t="str">
        <f t="shared" si="25"/>
        <v/>
      </c>
    </row>
    <row r="790" spans="4:5" x14ac:dyDescent="0.25">
      <c r="D790" s="39" t="str">
        <f t="shared" si="24"/>
        <v/>
      </c>
      <c r="E790" s="41" t="str">
        <f t="shared" si="25"/>
        <v/>
      </c>
    </row>
    <row r="791" spans="4:5" x14ac:dyDescent="0.25">
      <c r="D791" s="39" t="str">
        <f t="shared" si="24"/>
        <v/>
      </c>
      <c r="E791" s="41" t="str">
        <f t="shared" si="25"/>
        <v/>
      </c>
    </row>
    <row r="792" spans="4:5" x14ac:dyDescent="0.25">
      <c r="D792" s="39" t="str">
        <f t="shared" si="24"/>
        <v/>
      </c>
      <c r="E792" s="41" t="str">
        <f t="shared" si="25"/>
        <v/>
      </c>
    </row>
    <row r="793" spans="4:5" x14ac:dyDescent="0.25">
      <c r="D793" s="39" t="str">
        <f t="shared" si="24"/>
        <v/>
      </c>
      <c r="E793" s="41" t="str">
        <f t="shared" si="25"/>
        <v/>
      </c>
    </row>
    <row r="794" spans="4:5" x14ac:dyDescent="0.25">
      <c r="D794" s="39" t="str">
        <f t="shared" si="24"/>
        <v/>
      </c>
      <c r="E794" s="41" t="str">
        <f t="shared" si="25"/>
        <v/>
      </c>
    </row>
    <row r="795" spans="4:5" x14ac:dyDescent="0.25">
      <c r="D795" s="39" t="str">
        <f t="shared" si="24"/>
        <v/>
      </c>
      <c r="E795" s="41" t="str">
        <f t="shared" si="25"/>
        <v/>
      </c>
    </row>
    <row r="796" spans="4:5" x14ac:dyDescent="0.25">
      <c r="D796" s="39" t="str">
        <f t="shared" si="24"/>
        <v/>
      </c>
      <c r="E796" s="41" t="str">
        <f t="shared" si="25"/>
        <v/>
      </c>
    </row>
    <row r="797" spans="4:5" x14ac:dyDescent="0.25">
      <c r="D797" s="39" t="str">
        <f t="shared" si="24"/>
        <v/>
      </c>
      <c r="E797" s="41" t="str">
        <f t="shared" si="25"/>
        <v/>
      </c>
    </row>
    <row r="798" spans="4:5" x14ac:dyDescent="0.25">
      <c r="D798" s="39" t="str">
        <f t="shared" si="24"/>
        <v/>
      </c>
      <c r="E798" s="41" t="str">
        <f t="shared" si="25"/>
        <v/>
      </c>
    </row>
    <row r="799" spans="4:5" x14ac:dyDescent="0.25">
      <c r="D799" s="39" t="str">
        <f t="shared" si="24"/>
        <v/>
      </c>
      <c r="E799" s="41" t="str">
        <f t="shared" si="25"/>
        <v/>
      </c>
    </row>
    <row r="800" spans="4:5" x14ac:dyDescent="0.25">
      <c r="D800" s="39" t="str">
        <f t="shared" si="24"/>
        <v/>
      </c>
      <c r="E800" s="41" t="str">
        <f t="shared" si="25"/>
        <v/>
      </c>
    </row>
    <row r="801" spans="4:5" x14ac:dyDescent="0.25">
      <c r="D801" s="39" t="str">
        <f t="shared" si="24"/>
        <v/>
      </c>
      <c r="E801" s="41" t="str">
        <f t="shared" si="25"/>
        <v/>
      </c>
    </row>
    <row r="802" spans="4:5" x14ac:dyDescent="0.25">
      <c r="D802" s="39" t="str">
        <f t="shared" si="24"/>
        <v/>
      </c>
      <c r="E802" s="41" t="str">
        <f t="shared" si="25"/>
        <v/>
      </c>
    </row>
    <row r="803" spans="4:5" x14ac:dyDescent="0.25">
      <c r="D803" s="39" t="str">
        <f t="shared" si="24"/>
        <v/>
      </c>
      <c r="E803" s="41" t="str">
        <f t="shared" si="25"/>
        <v/>
      </c>
    </row>
    <row r="804" spans="4:5" x14ac:dyDescent="0.25">
      <c r="D804" s="39" t="str">
        <f t="shared" si="24"/>
        <v/>
      </c>
      <c r="E804" s="41" t="str">
        <f t="shared" si="25"/>
        <v/>
      </c>
    </row>
    <row r="805" spans="4:5" x14ac:dyDescent="0.25">
      <c r="D805" s="39" t="str">
        <f t="shared" si="24"/>
        <v/>
      </c>
      <c r="E805" s="41" t="str">
        <f t="shared" si="25"/>
        <v/>
      </c>
    </row>
    <row r="806" spans="4:5" x14ac:dyDescent="0.25">
      <c r="D806" s="39" t="str">
        <f t="shared" si="24"/>
        <v/>
      </c>
      <c r="E806" s="41" t="str">
        <f t="shared" si="25"/>
        <v/>
      </c>
    </row>
    <row r="807" spans="4:5" x14ac:dyDescent="0.25">
      <c r="D807" s="39" t="str">
        <f t="shared" si="24"/>
        <v/>
      </c>
      <c r="E807" s="41" t="str">
        <f t="shared" si="25"/>
        <v/>
      </c>
    </row>
    <row r="808" spans="4:5" x14ac:dyDescent="0.25">
      <c r="D808" s="39" t="str">
        <f t="shared" si="24"/>
        <v/>
      </c>
      <c r="E808" s="41" t="str">
        <f t="shared" si="25"/>
        <v/>
      </c>
    </row>
    <row r="809" spans="4:5" x14ac:dyDescent="0.25">
      <c r="D809" s="39" t="str">
        <f t="shared" si="24"/>
        <v/>
      </c>
      <c r="E809" s="41" t="str">
        <f t="shared" si="25"/>
        <v/>
      </c>
    </row>
    <row r="810" spans="4:5" x14ac:dyDescent="0.25">
      <c r="D810" s="39" t="str">
        <f t="shared" si="24"/>
        <v/>
      </c>
      <c r="E810" s="41" t="str">
        <f t="shared" si="25"/>
        <v/>
      </c>
    </row>
    <row r="811" spans="4:5" x14ac:dyDescent="0.25">
      <c r="D811" s="39" t="str">
        <f t="shared" si="24"/>
        <v/>
      </c>
      <c r="E811" s="41" t="str">
        <f t="shared" si="25"/>
        <v/>
      </c>
    </row>
    <row r="812" spans="4:5" x14ac:dyDescent="0.25">
      <c r="D812" s="39" t="str">
        <f t="shared" si="24"/>
        <v/>
      </c>
      <c r="E812" s="41" t="str">
        <f t="shared" si="25"/>
        <v/>
      </c>
    </row>
    <row r="813" spans="4:5" x14ac:dyDescent="0.25">
      <c r="D813" s="39" t="str">
        <f t="shared" si="24"/>
        <v/>
      </c>
      <c r="E813" s="41" t="str">
        <f t="shared" si="25"/>
        <v/>
      </c>
    </row>
    <row r="814" spans="4:5" x14ac:dyDescent="0.25">
      <c r="D814" s="39" t="str">
        <f t="shared" si="24"/>
        <v/>
      </c>
      <c r="E814" s="41" t="str">
        <f t="shared" si="25"/>
        <v/>
      </c>
    </row>
    <row r="815" spans="4:5" x14ac:dyDescent="0.25">
      <c r="D815" s="39" t="str">
        <f t="shared" si="24"/>
        <v/>
      </c>
      <c r="E815" s="41" t="str">
        <f t="shared" si="25"/>
        <v/>
      </c>
    </row>
    <row r="816" spans="4:5" x14ac:dyDescent="0.25">
      <c r="D816" s="39" t="str">
        <f t="shared" si="24"/>
        <v/>
      </c>
      <c r="E816" s="41" t="str">
        <f t="shared" si="25"/>
        <v/>
      </c>
    </row>
    <row r="817" spans="4:5" x14ac:dyDescent="0.25">
      <c r="D817" s="39" t="str">
        <f t="shared" si="24"/>
        <v/>
      </c>
      <c r="E817" s="41" t="str">
        <f t="shared" si="25"/>
        <v/>
      </c>
    </row>
    <row r="818" spans="4:5" x14ac:dyDescent="0.25">
      <c r="D818" s="39" t="str">
        <f t="shared" si="24"/>
        <v/>
      </c>
      <c r="E818" s="41" t="str">
        <f t="shared" si="25"/>
        <v/>
      </c>
    </row>
    <row r="819" spans="4:5" x14ac:dyDescent="0.25">
      <c r="D819" s="39" t="str">
        <f t="shared" si="24"/>
        <v/>
      </c>
      <c r="E819" s="41" t="str">
        <f t="shared" si="25"/>
        <v/>
      </c>
    </row>
    <row r="820" spans="4:5" x14ac:dyDescent="0.25">
      <c r="D820" s="39" t="str">
        <f t="shared" si="24"/>
        <v/>
      </c>
      <c r="E820" s="41" t="str">
        <f t="shared" si="25"/>
        <v/>
      </c>
    </row>
    <row r="821" spans="4:5" x14ac:dyDescent="0.25">
      <c r="D821" s="39" t="str">
        <f t="shared" si="24"/>
        <v/>
      </c>
      <c r="E821" s="41" t="str">
        <f t="shared" si="25"/>
        <v/>
      </c>
    </row>
    <row r="822" spans="4:5" x14ac:dyDescent="0.25">
      <c r="D822" s="39" t="str">
        <f t="shared" si="24"/>
        <v/>
      </c>
      <c r="E822" s="41" t="str">
        <f t="shared" si="25"/>
        <v/>
      </c>
    </row>
    <row r="823" spans="4:5" x14ac:dyDescent="0.25">
      <c r="D823" s="39" t="str">
        <f t="shared" si="24"/>
        <v/>
      </c>
      <c r="E823" s="41" t="str">
        <f t="shared" si="25"/>
        <v/>
      </c>
    </row>
    <row r="824" spans="4:5" x14ac:dyDescent="0.25">
      <c r="D824" s="39" t="str">
        <f t="shared" si="24"/>
        <v/>
      </c>
      <c r="E824" s="41" t="str">
        <f t="shared" si="25"/>
        <v/>
      </c>
    </row>
    <row r="825" spans="4:5" x14ac:dyDescent="0.25">
      <c r="D825" s="39" t="str">
        <f t="shared" si="24"/>
        <v/>
      </c>
      <c r="E825" s="41" t="str">
        <f t="shared" si="25"/>
        <v/>
      </c>
    </row>
    <row r="826" spans="4:5" x14ac:dyDescent="0.25">
      <c r="D826" s="39" t="str">
        <f t="shared" si="24"/>
        <v/>
      </c>
      <c r="E826" s="41" t="str">
        <f t="shared" si="25"/>
        <v/>
      </c>
    </row>
    <row r="827" spans="4:5" x14ac:dyDescent="0.25">
      <c r="D827" s="39" t="str">
        <f t="shared" si="24"/>
        <v/>
      </c>
      <c r="E827" s="41" t="str">
        <f t="shared" si="25"/>
        <v/>
      </c>
    </row>
    <row r="828" spans="4:5" x14ac:dyDescent="0.25">
      <c r="D828" s="39" t="str">
        <f t="shared" si="24"/>
        <v/>
      </c>
      <c r="E828" s="41" t="str">
        <f t="shared" si="25"/>
        <v/>
      </c>
    </row>
    <row r="829" spans="4:5" x14ac:dyDescent="0.25">
      <c r="D829" s="39" t="str">
        <f t="shared" si="24"/>
        <v/>
      </c>
      <c r="E829" s="41" t="str">
        <f t="shared" si="25"/>
        <v/>
      </c>
    </row>
    <row r="830" spans="4:5" x14ac:dyDescent="0.25">
      <c r="D830" s="39" t="str">
        <f t="shared" si="24"/>
        <v/>
      </c>
      <c r="E830" s="41" t="str">
        <f t="shared" si="25"/>
        <v/>
      </c>
    </row>
    <row r="831" spans="4:5" x14ac:dyDescent="0.25">
      <c r="D831" s="39" t="str">
        <f t="shared" si="24"/>
        <v/>
      </c>
      <c r="E831" s="41" t="str">
        <f t="shared" si="25"/>
        <v/>
      </c>
    </row>
    <row r="832" spans="4:5" x14ac:dyDescent="0.25">
      <c r="D832" s="39" t="str">
        <f t="shared" si="24"/>
        <v/>
      </c>
      <c r="E832" s="41" t="str">
        <f t="shared" si="25"/>
        <v/>
      </c>
    </row>
    <row r="833" spans="4:5" x14ac:dyDescent="0.25">
      <c r="D833" s="39" t="str">
        <f t="shared" si="24"/>
        <v/>
      </c>
      <c r="E833" s="41" t="str">
        <f t="shared" si="25"/>
        <v/>
      </c>
    </row>
    <row r="834" spans="4:5" x14ac:dyDescent="0.25">
      <c r="D834" s="39" t="str">
        <f t="shared" si="24"/>
        <v/>
      </c>
      <c r="E834" s="41" t="str">
        <f t="shared" si="25"/>
        <v/>
      </c>
    </row>
    <row r="835" spans="4:5" x14ac:dyDescent="0.25">
      <c r="D835" s="39" t="str">
        <f t="shared" si="24"/>
        <v/>
      </c>
      <c r="E835" s="41" t="str">
        <f t="shared" si="25"/>
        <v/>
      </c>
    </row>
    <row r="836" spans="4:5" x14ac:dyDescent="0.25">
      <c r="D836" s="39" t="str">
        <f t="shared" si="24"/>
        <v/>
      </c>
      <c r="E836" s="41" t="str">
        <f t="shared" si="25"/>
        <v/>
      </c>
    </row>
    <row r="837" spans="4:5" x14ac:dyDescent="0.25">
      <c r="D837" s="39" t="str">
        <f t="shared" si="24"/>
        <v/>
      </c>
      <c r="E837" s="41" t="str">
        <f t="shared" si="25"/>
        <v/>
      </c>
    </row>
    <row r="838" spans="4:5" x14ac:dyDescent="0.25">
      <c r="D838" s="39" t="str">
        <f t="shared" si="24"/>
        <v/>
      </c>
      <c r="E838" s="41" t="str">
        <f t="shared" si="25"/>
        <v/>
      </c>
    </row>
    <row r="839" spans="4:5" x14ac:dyDescent="0.25">
      <c r="D839" s="39" t="str">
        <f t="shared" si="24"/>
        <v/>
      </c>
      <c r="E839" s="41" t="str">
        <f t="shared" si="25"/>
        <v/>
      </c>
    </row>
    <row r="840" spans="4:5" x14ac:dyDescent="0.25">
      <c r="D840" s="39" t="str">
        <f t="shared" si="24"/>
        <v/>
      </c>
      <c r="E840" s="41" t="str">
        <f t="shared" si="25"/>
        <v/>
      </c>
    </row>
    <row r="841" spans="4:5" x14ac:dyDescent="0.25">
      <c r="D841" s="39" t="str">
        <f t="shared" si="24"/>
        <v/>
      </c>
      <c r="E841" s="41" t="str">
        <f t="shared" si="25"/>
        <v/>
      </c>
    </row>
    <row r="842" spans="4:5" x14ac:dyDescent="0.25">
      <c r="D842" s="39" t="str">
        <f t="shared" si="24"/>
        <v/>
      </c>
      <c r="E842" s="41" t="str">
        <f t="shared" si="25"/>
        <v/>
      </c>
    </row>
    <row r="843" spans="4:5" x14ac:dyDescent="0.25">
      <c r="D843" s="39" t="str">
        <f t="shared" si="24"/>
        <v/>
      </c>
      <c r="E843" s="41" t="str">
        <f t="shared" si="25"/>
        <v/>
      </c>
    </row>
    <row r="844" spans="4:5" x14ac:dyDescent="0.25">
      <c r="D844" s="39" t="str">
        <f t="shared" si="24"/>
        <v/>
      </c>
      <c r="E844" s="41" t="str">
        <f t="shared" si="25"/>
        <v/>
      </c>
    </row>
    <row r="845" spans="4:5" x14ac:dyDescent="0.25">
      <c r="D845" s="39" t="str">
        <f t="shared" si="24"/>
        <v/>
      </c>
      <c r="E845" s="41" t="str">
        <f t="shared" si="25"/>
        <v/>
      </c>
    </row>
    <row r="846" spans="4:5" x14ac:dyDescent="0.25">
      <c r="D846" s="39" t="str">
        <f t="shared" si="24"/>
        <v/>
      </c>
      <c r="E846" s="41" t="str">
        <f t="shared" si="25"/>
        <v/>
      </c>
    </row>
    <row r="847" spans="4:5" x14ac:dyDescent="0.25">
      <c r="D847" s="39" t="str">
        <f t="shared" si="24"/>
        <v/>
      </c>
      <c r="E847" s="41" t="str">
        <f t="shared" si="25"/>
        <v/>
      </c>
    </row>
    <row r="848" spans="4:5" x14ac:dyDescent="0.25">
      <c r="D848" s="39" t="str">
        <f t="shared" si="24"/>
        <v/>
      </c>
      <c r="E848" s="41" t="str">
        <f t="shared" si="25"/>
        <v/>
      </c>
    </row>
    <row r="849" spans="4:5" x14ac:dyDescent="0.25">
      <c r="D849" s="39" t="str">
        <f t="shared" ref="D849:D912" si="26">IF(A849=0,"","Elastic")</f>
        <v/>
      </c>
      <c r="E849" s="41" t="str">
        <f t="shared" si="25"/>
        <v/>
      </c>
    </row>
    <row r="850" spans="4:5" x14ac:dyDescent="0.25">
      <c r="D850" s="39" t="str">
        <f t="shared" si="26"/>
        <v/>
      </c>
      <c r="E850" s="41" t="str">
        <f t="shared" si="25"/>
        <v/>
      </c>
    </row>
    <row r="851" spans="4:5" x14ac:dyDescent="0.25">
      <c r="D851" s="39" t="str">
        <f t="shared" si="26"/>
        <v/>
      </c>
      <c r="E851" s="41" t="str">
        <f t="shared" ref="E851:E914" si="27">IF(B851=0,"","Elastic")</f>
        <v/>
      </c>
    </row>
    <row r="852" spans="4:5" x14ac:dyDescent="0.25">
      <c r="D852" s="39" t="str">
        <f t="shared" si="26"/>
        <v/>
      </c>
      <c r="E852" s="41" t="str">
        <f t="shared" si="27"/>
        <v/>
      </c>
    </row>
    <row r="853" spans="4:5" x14ac:dyDescent="0.25">
      <c r="D853" s="39" t="str">
        <f t="shared" si="26"/>
        <v/>
      </c>
      <c r="E853" s="41" t="str">
        <f t="shared" si="27"/>
        <v/>
      </c>
    </row>
    <row r="854" spans="4:5" x14ac:dyDescent="0.25">
      <c r="D854" s="39" t="str">
        <f t="shared" si="26"/>
        <v/>
      </c>
      <c r="E854" s="41" t="str">
        <f t="shared" si="27"/>
        <v/>
      </c>
    </row>
    <row r="855" spans="4:5" x14ac:dyDescent="0.25">
      <c r="D855" s="39" t="str">
        <f t="shared" si="26"/>
        <v/>
      </c>
      <c r="E855" s="41" t="str">
        <f t="shared" si="27"/>
        <v/>
      </c>
    </row>
    <row r="856" spans="4:5" x14ac:dyDescent="0.25">
      <c r="D856" s="39" t="str">
        <f t="shared" si="26"/>
        <v/>
      </c>
      <c r="E856" s="41" t="str">
        <f t="shared" si="27"/>
        <v/>
      </c>
    </row>
    <row r="857" spans="4:5" x14ac:dyDescent="0.25">
      <c r="D857" s="39" t="str">
        <f t="shared" si="26"/>
        <v/>
      </c>
      <c r="E857" s="41" t="str">
        <f t="shared" si="27"/>
        <v/>
      </c>
    </row>
    <row r="858" spans="4:5" x14ac:dyDescent="0.25">
      <c r="D858" s="39" t="str">
        <f t="shared" si="26"/>
        <v/>
      </c>
      <c r="E858" s="41" t="str">
        <f t="shared" si="27"/>
        <v/>
      </c>
    </row>
    <row r="859" spans="4:5" x14ac:dyDescent="0.25">
      <c r="D859" s="39" t="str">
        <f t="shared" si="26"/>
        <v/>
      </c>
      <c r="E859" s="41" t="str">
        <f t="shared" si="27"/>
        <v/>
      </c>
    </row>
    <row r="860" spans="4:5" x14ac:dyDescent="0.25">
      <c r="D860" s="39" t="str">
        <f t="shared" si="26"/>
        <v/>
      </c>
      <c r="E860" s="41" t="str">
        <f t="shared" si="27"/>
        <v/>
      </c>
    </row>
    <row r="861" spans="4:5" x14ac:dyDescent="0.25">
      <c r="D861" s="39" t="str">
        <f t="shared" si="26"/>
        <v/>
      </c>
      <c r="E861" s="41" t="str">
        <f t="shared" si="27"/>
        <v/>
      </c>
    </row>
    <row r="862" spans="4:5" x14ac:dyDescent="0.25">
      <c r="D862" s="39" t="str">
        <f t="shared" si="26"/>
        <v/>
      </c>
      <c r="E862" s="41" t="str">
        <f t="shared" si="27"/>
        <v/>
      </c>
    </row>
    <row r="863" spans="4:5" x14ac:dyDescent="0.25">
      <c r="D863" s="39" t="str">
        <f t="shared" si="26"/>
        <v/>
      </c>
      <c r="E863" s="41" t="str">
        <f t="shared" si="27"/>
        <v/>
      </c>
    </row>
    <row r="864" spans="4:5" x14ac:dyDescent="0.25">
      <c r="D864" s="39" t="str">
        <f t="shared" si="26"/>
        <v/>
      </c>
      <c r="E864" s="41" t="str">
        <f t="shared" si="27"/>
        <v/>
      </c>
    </row>
    <row r="865" spans="4:5" x14ac:dyDescent="0.25">
      <c r="D865" s="39" t="str">
        <f t="shared" si="26"/>
        <v/>
      </c>
      <c r="E865" s="41" t="str">
        <f t="shared" si="27"/>
        <v/>
      </c>
    </row>
    <row r="866" spans="4:5" x14ac:dyDescent="0.25">
      <c r="D866" s="39" t="str">
        <f t="shared" si="26"/>
        <v/>
      </c>
      <c r="E866" s="41" t="str">
        <f t="shared" si="27"/>
        <v/>
      </c>
    </row>
    <row r="867" spans="4:5" x14ac:dyDescent="0.25">
      <c r="D867" s="39" t="str">
        <f t="shared" si="26"/>
        <v/>
      </c>
      <c r="E867" s="41" t="str">
        <f t="shared" si="27"/>
        <v/>
      </c>
    </row>
    <row r="868" spans="4:5" x14ac:dyDescent="0.25">
      <c r="D868" s="39" t="str">
        <f t="shared" si="26"/>
        <v/>
      </c>
      <c r="E868" s="41" t="str">
        <f t="shared" si="27"/>
        <v/>
      </c>
    </row>
    <row r="869" spans="4:5" x14ac:dyDescent="0.25">
      <c r="D869" s="39" t="str">
        <f t="shared" si="26"/>
        <v/>
      </c>
      <c r="E869" s="41" t="str">
        <f t="shared" si="27"/>
        <v/>
      </c>
    </row>
    <row r="870" spans="4:5" x14ac:dyDescent="0.25">
      <c r="D870" s="39" t="str">
        <f t="shared" si="26"/>
        <v/>
      </c>
      <c r="E870" s="41" t="str">
        <f t="shared" si="27"/>
        <v/>
      </c>
    </row>
    <row r="871" spans="4:5" x14ac:dyDescent="0.25">
      <c r="D871" s="39" t="str">
        <f t="shared" si="26"/>
        <v/>
      </c>
      <c r="E871" s="41" t="str">
        <f t="shared" si="27"/>
        <v/>
      </c>
    </row>
    <row r="872" spans="4:5" x14ac:dyDescent="0.25">
      <c r="D872" s="39" t="str">
        <f t="shared" si="26"/>
        <v/>
      </c>
      <c r="E872" s="41" t="str">
        <f t="shared" si="27"/>
        <v/>
      </c>
    </row>
    <row r="873" spans="4:5" x14ac:dyDescent="0.25">
      <c r="D873" s="39" t="str">
        <f t="shared" si="26"/>
        <v/>
      </c>
      <c r="E873" s="41" t="str">
        <f t="shared" si="27"/>
        <v/>
      </c>
    </row>
    <row r="874" spans="4:5" x14ac:dyDescent="0.25">
      <c r="D874" s="39" t="str">
        <f t="shared" si="26"/>
        <v/>
      </c>
      <c r="E874" s="41" t="str">
        <f t="shared" si="27"/>
        <v/>
      </c>
    </row>
    <row r="875" spans="4:5" x14ac:dyDescent="0.25">
      <c r="D875" s="39" t="str">
        <f t="shared" si="26"/>
        <v/>
      </c>
      <c r="E875" s="41" t="str">
        <f t="shared" si="27"/>
        <v/>
      </c>
    </row>
    <row r="876" spans="4:5" x14ac:dyDescent="0.25">
      <c r="D876" s="39" t="str">
        <f t="shared" si="26"/>
        <v/>
      </c>
      <c r="E876" s="41" t="str">
        <f t="shared" si="27"/>
        <v/>
      </c>
    </row>
    <row r="877" spans="4:5" x14ac:dyDescent="0.25">
      <c r="D877" s="39" t="str">
        <f t="shared" si="26"/>
        <v/>
      </c>
      <c r="E877" s="41" t="str">
        <f t="shared" si="27"/>
        <v/>
      </c>
    </row>
    <row r="878" spans="4:5" x14ac:dyDescent="0.25">
      <c r="D878" s="39" t="str">
        <f t="shared" si="26"/>
        <v/>
      </c>
      <c r="E878" s="41" t="str">
        <f t="shared" si="27"/>
        <v/>
      </c>
    </row>
    <row r="879" spans="4:5" x14ac:dyDescent="0.25">
      <c r="D879" s="39" t="str">
        <f t="shared" si="26"/>
        <v/>
      </c>
      <c r="E879" s="41" t="str">
        <f t="shared" si="27"/>
        <v/>
      </c>
    </row>
    <row r="880" spans="4:5" x14ac:dyDescent="0.25">
      <c r="D880" s="39" t="str">
        <f t="shared" si="26"/>
        <v/>
      </c>
      <c r="E880" s="41" t="str">
        <f t="shared" si="27"/>
        <v/>
      </c>
    </row>
    <row r="881" spans="4:5" x14ac:dyDescent="0.25">
      <c r="D881" s="39" t="str">
        <f t="shared" si="26"/>
        <v/>
      </c>
      <c r="E881" s="41" t="str">
        <f t="shared" si="27"/>
        <v/>
      </c>
    </row>
    <row r="882" spans="4:5" x14ac:dyDescent="0.25">
      <c r="D882" s="39" t="str">
        <f t="shared" si="26"/>
        <v/>
      </c>
      <c r="E882" s="41" t="str">
        <f t="shared" si="27"/>
        <v/>
      </c>
    </row>
    <row r="883" spans="4:5" x14ac:dyDescent="0.25">
      <c r="D883" s="39" t="str">
        <f t="shared" si="26"/>
        <v/>
      </c>
      <c r="E883" s="41" t="str">
        <f t="shared" si="27"/>
        <v/>
      </c>
    </row>
    <row r="884" spans="4:5" x14ac:dyDescent="0.25">
      <c r="D884" s="39" t="str">
        <f t="shared" si="26"/>
        <v/>
      </c>
      <c r="E884" s="41" t="str">
        <f t="shared" si="27"/>
        <v/>
      </c>
    </row>
    <row r="885" spans="4:5" x14ac:dyDescent="0.25">
      <c r="D885" s="39" t="str">
        <f t="shared" si="26"/>
        <v/>
      </c>
      <c r="E885" s="41" t="str">
        <f t="shared" si="27"/>
        <v/>
      </c>
    </row>
    <row r="886" spans="4:5" x14ac:dyDescent="0.25">
      <c r="D886" s="39" t="str">
        <f t="shared" si="26"/>
        <v/>
      </c>
      <c r="E886" s="41" t="str">
        <f t="shared" si="27"/>
        <v/>
      </c>
    </row>
    <row r="887" spans="4:5" x14ac:dyDescent="0.25">
      <c r="D887" s="39" t="str">
        <f t="shared" si="26"/>
        <v/>
      </c>
      <c r="E887" s="41" t="str">
        <f t="shared" si="27"/>
        <v/>
      </c>
    </row>
    <row r="888" spans="4:5" x14ac:dyDescent="0.25">
      <c r="D888" s="39" t="str">
        <f t="shared" si="26"/>
        <v/>
      </c>
      <c r="E888" s="41" t="str">
        <f t="shared" si="27"/>
        <v/>
      </c>
    </row>
    <row r="889" spans="4:5" x14ac:dyDescent="0.25">
      <c r="D889" s="39" t="str">
        <f t="shared" si="26"/>
        <v/>
      </c>
      <c r="E889" s="41" t="str">
        <f t="shared" si="27"/>
        <v/>
      </c>
    </row>
    <row r="890" spans="4:5" x14ac:dyDescent="0.25">
      <c r="D890" s="39" t="str">
        <f t="shared" si="26"/>
        <v/>
      </c>
      <c r="E890" s="41" t="str">
        <f t="shared" si="27"/>
        <v/>
      </c>
    </row>
    <row r="891" spans="4:5" x14ac:dyDescent="0.25">
      <c r="D891" s="39" t="str">
        <f t="shared" si="26"/>
        <v/>
      </c>
      <c r="E891" s="41" t="str">
        <f t="shared" si="27"/>
        <v/>
      </c>
    </row>
    <row r="892" spans="4:5" x14ac:dyDescent="0.25">
      <c r="D892" s="39" t="str">
        <f t="shared" si="26"/>
        <v/>
      </c>
      <c r="E892" s="41" t="str">
        <f t="shared" si="27"/>
        <v/>
      </c>
    </row>
    <row r="893" spans="4:5" x14ac:dyDescent="0.25">
      <c r="D893" s="39" t="str">
        <f t="shared" si="26"/>
        <v/>
      </c>
      <c r="E893" s="41" t="str">
        <f t="shared" si="27"/>
        <v/>
      </c>
    </row>
    <row r="894" spans="4:5" x14ac:dyDescent="0.25">
      <c r="D894" s="39" t="str">
        <f t="shared" si="26"/>
        <v/>
      </c>
      <c r="E894" s="41" t="str">
        <f t="shared" si="27"/>
        <v/>
      </c>
    </row>
    <row r="895" spans="4:5" x14ac:dyDescent="0.25">
      <c r="D895" s="39" t="str">
        <f t="shared" si="26"/>
        <v/>
      </c>
      <c r="E895" s="41" t="str">
        <f t="shared" si="27"/>
        <v/>
      </c>
    </row>
    <row r="896" spans="4:5" x14ac:dyDescent="0.25">
      <c r="D896" s="39" t="str">
        <f t="shared" si="26"/>
        <v/>
      </c>
      <c r="E896" s="41" t="str">
        <f t="shared" si="27"/>
        <v/>
      </c>
    </row>
    <row r="897" spans="4:5" x14ac:dyDescent="0.25">
      <c r="D897" s="39" t="str">
        <f t="shared" si="26"/>
        <v/>
      </c>
      <c r="E897" s="41" t="str">
        <f t="shared" si="27"/>
        <v/>
      </c>
    </row>
    <row r="898" spans="4:5" x14ac:dyDescent="0.25">
      <c r="D898" s="39" t="str">
        <f t="shared" si="26"/>
        <v/>
      </c>
      <c r="E898" s="41" t="str">
        <f t="shared" si="27"/>
        <v/>
      </c>
    </row>
    <row r="899" spans="4:5" x14ac:dyDescent="0.25">
      <c r="D899" s="39" t="str">
        <f t="shared" si="26"/>
        <v/>
      </c>
      <c r="E899" s="41" t="str">
        <f t="shared" si="27"/>
        <v/>
      </c>
    </row>
    <row r="900" spans="4:5" x14ac:dyDescent="0.25">
      <c r="D900" s="39" t="str">
        <f t="shared" si="26"/>
        <v/>
      </c>
      <c r="E900" s="41" t="str">
        <f t="shared" si="27"/>
        <v/>
      </c>
    </row>
    <row r="901" spans="4:5" x14ac:dyDescent="0.25">
      <c r="D901" s="39" t="str">
        <f t="shared" si="26"/>
        <v/>
      </c>
      <c r="E901" s="41" t="str">
        <f t="shared" si="27"/>
        <v/>
      </c>
    </row>
    <row r="902" spans="4:5" x14ac:dyDescent="0.25">
      <c r="D902" s="39" t="str">
        <f t="shared" si="26"/>
        <v/>
      </c>
      <c r="E902" s="41" t="str">
        <f t="shared" si="27"/>
        <v/>
      </c>
    </row>
    <row r="903" spans="4:5" x14ac:dyDescent="0.25">
      <c r="D903" s="39" t="str">
        <f t="shared" si="26"/>
        <v/>
      </c>
      <c r="E903" s="41" t="str">
        <f t="shared" si="27"/>
        <v/>
      </c>
    </row>
    <row r="904" spans="4:5" x14ac:dyDescent="0.25">
      <c r="D904" s="39" t="str">
        <f t="shared" si="26"/>
        <v/>
      </c>
      <c r="E904" s="41" t="str">
        <f t="shared" si="27"/>
        <v/>
      </c>
    </row>
    <row r="905" spans="4:5" x14ac:dyDescent="0.25">
      <c r="D905" s="39" t="str">
        <f t="shared" si="26"/>
        <v/>
      </c>
      <c r="E905" s="41" t="str">
        <f t="shared" si="27"/>
        <v/>
      </c>
    </row>
    <row r="906" spans="4:5" x14ac:dyDescent="0.25">
      <c r="D906" s="39" t="str">
        <f t="shared" si="26"/>
        <v/>
      </c>
      <c r="E906" s="41" t="str">
        <f t="shared" si="27"/>
        <v/>
      </c>
    </row>
    <row r="907" spans="4:5" x14ac:dyDescent="0.25">
      <c r="D907" s="39" t="str">
        <f t="shared" si="26"/>
        <v/>
      </c>
      <c r="E907" s="41" t="str">
        <f t="shared" si="27"/>
        <v/>
      </c>
    </row>
    <row r="908" spans="4:5" x14ac:dyDescent="0.25">
      <c r="D908" s="39" t="str">
        <f t="shared" si="26"/>
        <v/>
      </c>
      <c r="E908" s="41" t="str">
        <f t="shared" si="27"/>
        <v/>
      </c>
    </row>
    <row r="909" spans="4:5" x14ac:dyDescent="0.25">
      <c r="D909" s="39" t="str">
        <f t="shared" si="26"/>
        <v/>
      </c>
      <c r="E909" s="41" t="str">
        <f t="shared" si="27"/>
        <v/>
      </c>
    </row>
    <row r="910" spans="4:5" x14ac:dyDescent="0.25">
      <c r="D910" s="39" t="str">
        <f t="shared" si="26"/>
        <v/>
      </c>
      <c r="E910" s="41" t="str">
        <f t="shared" si="27"/>
        <v/>
      </c>
    </row>
    <row r="911" spans="4:5" x14ac:dyDescent="0.25">
      <c r="D911" s="39" t="str">
        <f t="shared" si="26"/>
        <v/>
      </c>
      <c r="E911" s="41" t="str">
        <f t="shared" si="27"/>
        <v/>
      </c>
    </row>
    <row r="912" spans="4:5" x14ac:dyDescent="0.25">
      <c r="D912" s="39" t="str">
        <f t="shared" si="26"/>
        <v/>
      </c>
      <c r="E912" s="41" t="str">
        <f t="shared" si="27"/>
        <v/>
      </c>
    </row>
    <row r="913" spans="4:5" x14ac:dyDescent="0.25">
      <c r="D913" s="39" t="str">
        <f t="shared" ref="D913:D976" si="28">IF(A913=0,"","Elastic")</f>
        <v/>
      </c>
      <c r="E913" s="41" t="str">
        <f t="shared" si="27"/>
        <v/>
      </c>
    </row>
    <row r="914" spans="4:5" x14ac:dyDescent="0.25">
      <c r="D914" s="39" t="str">
        <f t="shared" si="28"/>
        <v/>
      </c>
      <c r="E914" s="41" t="str">
        <f t="shared" si="27"/>
        <v/>
      </c>
    </row>
    <row r="915" spans="4:5" x14ac:dyDescent="0.25">
      <c r="D915" s="39" t="str">
        <f t="shared" si="28"/>
        <v/>
      </c>
      <c r="E915" s="41" t="str">
        <f t="shared" ref="E915:E978" si="29">IF(B915=0,"","Elastic")</f>
        <v/>
      </c>
    </row>
    <row r="916" spans="4:5" x14ac:dyDescent="0.25">
      <c r="D916" s="39" t="str">
        <f t="shared" si="28"/>
        <v/>
      </c>
      <c r="E916" s="41" t="str">
        <f t="shared" si="29"/>
        <v/>
      </c>
    </row>
    <row r="917" spans="4:5" x14ac:dyDescent="0.25">
      <c r="D917" s="39" t="str">
        <f t="shared" si="28"/>
        <v/>
      </c>
      <c r="E917" s="41" t="str">
        <f t="shared" si="29"/>
        <v/>
      </c>
    </row>
    <row r="918" spans="4:5" x14ac:dyDescent="0.25">
      <c r="D918" s="39" t="str">
        <f t="shared" si="28"/>
        <v/>
      </c>
      <c r="E918" s="41" t="str">
        <f t="shared" si="29"/>
        <v/>
      </c>
    </row>
    <row r="919" spans="4:5" x14ac:dyDescent="0.25">
      <c r="D919" s="39" t="str">
        <f t="shared" si="28"/>
        <v/>
      </c>
      <c r="E919" s="41" t="str">
        <f t="shared" si="29"/>
        <v/>
      </c>
    </row>
    <row r="920" spans="4:5" x14ac:dyDescent="0.25">
      <c r="D920" s="39" t="str">
        <f t="shared" si="28"/>
        <v/>
      </c>
      <c r="E920" s="41" t="str">
        <f t="shared" si="29"/>
        <v/>
      </c>
    </row>
    <row r="921" spans="4:5" x14ac:dyDescent="0.25">
      <c r="D921" s="39" t="str">
        <f t="shared" si="28"/>
        <v/>
      </c>
      <c r="E921" s="41" t="str">
        <f t="shared" si="29"/>
        <v/>
      </c>
    </row>
    <row r="922" spans="4:5" x14ac:dyDescent="0.25">
      <c r="D922" s="39" t="str">
        <f t="shared" si="28"/>
        <v/>
      </c>
      <c r="E922" s="41" t="str">
        <f t="shared" si="29"/>
        <v/>
      </c>
    </row>
    <row r="923" spans="4:5" x14ac:dyDescent="0.25">
      <c r="D923" s="39" t="str">
        <f t="shared" si="28"/>
        <v/>
      </c>
      <c r="E923" s="41" t="str">
        <f t="shared" si="29"/>
        <v/>
      </c>
    </row>
    <row r="924" spans="4:5" x14ac:dyDescent="0.25">
      <c r="D924" s="39" t="str">
        <f t="shared" si="28"/>
        <v/>
      </c>
      <c r="E924" s="41" t="str">
        <f t="shared" si="29"/>
        <v/>
      </c>
    </row>
    <row r="925" spans="4:5" x14ac:dyDescent="0.25">
      <c r="D925" s="39" t="str">
        <f t="shared" si="28"/>
        <v/>
      </c>
      <c r="E925" s="41" t="str">
        <f t="shared" si="29"/>
        <v/>
      </c>
    </row>
    <row r="926" spans="4:5" x14ac:dyDescent="0.25">
      <c r="D926" s="39" t="str">
        <f t="shared" si="28"/>
        <v/>
      </c>
      <c r="E926" s="41" t="str">
        <f t="shared" si="29"/>
        <v/>
      </c>
    </row>
    <row r="927" spans="4:5" x14ac:dyDescent="0.25">
      <c r="D927" s="39" t="str">
        <f t="shared" si="28"/>
        <v/>
      </c>
      <c r="E927" s="41" t="str">
        <f t="shared" si="29"/>
        <v/>
      </c>
    </row>
    <row r="928" spans="4:5" x14ac:dyDescent="0.25">
      <c r="D928" s="39" t="str">
        <f t="shared" si="28"/>
        <v/>
      </c>
      <c r="E928" s="41" t="str">
        <f t="shared" si="29"/>
        <v/>
      </c>
    </row>
    <row r="929" spans="4:5" x14ac:dyDescent="0.25">
      <c r="D929" s="39" t="str">
        <f t="shared" si="28"/>
        <v/>
      </c>
      <c r="E929" s="41" t="str">
        <f t="shared" si="29"/>
        <v/>
      </c>
    </row>
    <row r="930" spans="4:5" x14ac:dyDescent="0.25">
      <c r="D930" s="39" t="str">
        <f t="shared" si="28"/>
        <v/>
      </c>
      <c r="E930" s="41" t="str">
        <f t="shared" si="29"/>
        <v/>
      </c>
    </row>
    <row r="931" spans="4:5" x14ac:dyDescent="0.25">
      <c r="D931" s="39" t="str">
        <f t="shared" si="28"/>
        <v/>
      </c>
      <c r="E931" s="41" t="str">
        <f t="shared" si="29"/>
        <v/>
      </c>
    </row>
    <row r="932" spans="4:5" x14ac:dyDescent="0.25">
      <c r="D932" s="39" t="str">
        <f t="shared" si="28"/>
        <v/>
      </c>
      <c r="E932" s="41" t="str">
        <f t="shared" si="29"/>
        <v/>
      </c>
    </row>
    <row r="933" spans="4:5" x14ac:dyDescent="0.25">
      <c r="D933" s="39" t="str">
        <f t="shared" si="28"/>
        <v/>
      </c>
      <c r="E933" s="41" t="str">
        <f t="shared" si="29"/>
        <v/>
      </c>
    </row>
    <row r="934" spans="4:5" x14ac:dyDescent="0.25">
      <c r="D934" s="39" t="str">
        <f t="shared" si="28"/>
        <v/>
      </c>
      <c r="E934" s="41" t="str">
        <f t="shared" si="29"/>
        <v/>
      </c>
    </row>
    <row r="935" spans="4:5" x14ac:dyDescent="0.25">
      <c r="D935" s="39" t="str">
        <f t="shared" si="28"/>
        <v/>
      </c>
      <c r="E935" s="41" t="str">
        <f t="shared" si="29"/>
        <v/>
      </c>
    </row>
    <row r="936" spans="4:5" x14ac:dyDescent="0.25">
      <c r="D936" s="39" t="str">
        <f t="shared" si="28"/>
        <v/>
      </c>
      <c r="E936" s="41" t="str">
        <f t="shared" si="29"/>
        <v/>
      </c>
    </row>
    <row r="937" spans="4:5" x14ac:dyDescent="0.25">
      <c r="D937" s="39" t="str">
        <f t="shared" si="28"/>
        <v/>
      </c>
      <c r="E937" s="41" t="str">
        <f t="shared" si="29"/>
        <v/>
      </c>
    </row>
    <row r="938" spans="4:5" x14ac:dyDescent="0.25">
      <c r="D938" s="39" t="str">
        <f t="shared" si="28"/>
        <v/>
      </c>
      <c r="E938" s="41" t="str">
        <f t="shared" si="29"/>
        <v/>
      </c>
    </row>
    <row r="939" spans="4:5" x14ac:dyDescent="0.25">
      <c r="D939" s="39" t="str">
        <f t="shared" si="28"/>
        <v/>
      </c>
      <c r="E939" s="41" t="str">
        <f t="shared" si="29"/>
        <v/>
      </c>
    </row>
    <row r="940" spans="4:5" x14ac:dyDescent="0.25">
      <c r="D940" s="39" t="str">
        <f t="shared" si="28"/>
        <v/>
      </c>
      <c r="E940" s="41" t="str">
        <f t="shared" si="29"/>
        <v/>
      </c>
    </row>
    <row r="941" spans="4:5" x14ac:dyDescent="0.25">
      <c r="D941" s="39" t="str">
        <f t="shared" si="28"/>
        <v/>
      </c>
      <c r="E941" s="41" t="str">
        <f t="shared" si="29"/>
        <v/>
      </c>
    </row>
    <row r="942" spans="4:5" x14ac:dyDescent="0.25">
      <c r="D942" s="39" t="str">
        <f t="shared" si="28"/>
        <v/>
      </c>
      <c r="E942" s="41" t="str">
        <f t="shared" si="29"/>
        <v/>
      </c>
    </row>
    <row r="943" spans="4:5" x14ac:dyDescent="0.25">
      <c r="D943" s="39" t="str">
        <f t="shared" si="28"/>
        <v/>
      </c>
      <c r="E943" s="41" t="str">
        <f t="shared" si="29"/>
        <v/>
      </c>
    </row>
    <row r="944" spans="4:5" x14ac:dyDescent="0.25">
      <c r="D944" s="39" t="str">
        <f t="shared" si="28"/>
        <v/>
      </c>
      <c r="E944" s="41" t="str">
        <f t="shared" si="29"/>
        <v/>
      </c>
    </row>
    <row r="945" spans="4:5" x14ac:dyDescent="0.25">
      <c r="D945" s="39" t="str">
        <f t="shared" si="28"/>
        <v/>
      </c>
      <c r="E945" s="41" t="str">
        <f t="shared" si="29"/>
        <v/>
      </c>
    </row>
    <row r="946" spans="4:5" x14ac:dyDescent="0.25">
      <c r="D946" s="39" t="str">
        <f t="shared" si="28"/>
        <v/>
      </c>
      <c r="E946" s="41" t="str">
        <f t="shared" si="29"/>
        <v/>
      </c>
    </row>
    <row r="947" spans="4:5" x14ac:dyDescent="0.25">
      <c r="D947" s="39" t="str">
        <f t="shared" si="28"/>
        <v/>
      </c>
      <c r="E947" s="41" t="str">
        <f t="shared" si="29"/>
        <v/>
      </c>
    </row>
    <row r="948" spans="4:5" x14ac:dyDescent="0.25">
      <c r="D948" s="39" t="str">
        <f t="shared" si="28"/>
        <v/>
      </c>
      <c r="E948" s="41" t="str">
        <f t="shared" si="29"/>
        <v/>
      </c>
    </row>
    <row r="949" spans="4:5" x14ac:dyDescent="0.25">
      <c r="D949" s="39" t="str">
        <f t="shared" si="28"/>
        <v/>
      </c>
      <c r="E949" s="41" t="str">
        <f t="shared" si="29"/>
        <v/>
      </c>
    </row>
    <row r="950" spans="4:5" x14ac:dyDescent="0.25">
      <c r="D950" s="39" t="str">
        <f t="shared" si="28"/>
        <v/>
      </c>
      <c r="E950" s="41" t="str">
        <f t="shared" si="29"/>
        <v/>
      </c>
    </row>
    <row r="951" spans="4:5" x14ac:dyDescent="0.25">
      <c r="D951" s="39" t="str">
        <f t="shared" si="28"/>
        <v/>
      </c>
      <c r="E951" s="41" t="str">
        <f t="shared" si="29"/>
        <v/>
      </c>
    </row>
    <row r="952" spans="4:5" x14ac:dyDescent="0.25">
      <c r="D952" s="39" t="str">
        <f t="shared" si="28"/>
        <v/>
      </c>
      <c r="E952" s="41" t="str">
        <f t="shared" si="29"/>
        <v/>
      </c>
    </row>
    <row r="953" spans="4:5" x14ac:dyDescent="0.25">
      <c r="D953" s="39" t="str">
        <f t="shared" si="28"/>
        <v/>
      </c>
      <c r="E953" s="41" t="str">
        <f t="shared" si="29"/>
        <v/>
      </c>
    </row>
    <row r="954" spans="4:5" x14ac:dyDescent="0.25">
      <c r="D954" s="39" t="str">
        <f t="shared" si="28"/>
        <v/>
      </c>
      <c r="E954" s="41" t="str">
        <f t="shared" si="29"/>
        <v/>
      </c>
    </row>
    <row r="955" spans="4:5" x14ac:dyDescent="0.25">
      <c r="D955" s="39" t="str">
        <f t="shared" si="28"/>
        <v/>
      </c>
      <c r="E955" s="41" t="str">
        <f t="shared" si="29"/>
        <v/>
      </c>
    </row>
    <row r="956" spans="4:5" x14ac:dyDescent="0.25">
      <c r="D956" s="39" t="str">
        <f t="shared" si="28"/>
        <v/>
      </c>
      <c r="E956" s="41" t="str">
        <f t="shared" si="29"/>
        <v/>
      </c>
    </row>
    <row r="957" spans="4:5" x14ac:dyDescent="0.25">
      <c r="D957" s="39" t="str">
        <f t="shared" si="28"/>
        <v/>
      </c>
      <c r="E957" s="41" t="str">
        <f t="shared" si="29"/>
        <v/>
      </c>
    </row>
    <row r="958" spans="4:5" x14ac:dyDescent="0.25">
      <c r="D958" s="39" t="str">
        <f t="shared" si="28"/>
        <v/>
      </c>
      <c r="E958" s="41" t="str">
        <f t="shared" si="29"/>
        <v/>
      </c>
    </row>
    <row r="959" spans="4:5" x14ac:dyDescent="0.25">
      <c r="D959" s="39" t="str">
        <f t="shared" si="28"/>
        <v/>
      </c>
      <c r="E959" s="41" t="str">
        <f t="shared" si="29"/>
        <v/>
      </c>
    </row>
    <row r="960" spans="4:5" x14ac:dyDescent="0.25">
      <c r="D960" s="39" t="str">
        <f t="shared" si="28"/>
        <v/>
      </c>
      <c r="E960" s="41" t="str">
        <f t="shared" si="29"/>
        <v/>
      </c>
    </row>
    <row r="961" spans="4:5" x14ac:dyDescent="0.25">
      <c r="D961" s="39" t="str">
        <f t="shared" si="28"/>
        <v/>
      </c>
      <c r="E961" s="41" t="str">
        <f t="shared" si="29"/>
        <v/>
      </c>
    </row>
    <row r="962" spans="4:5" x14ac:dyDescent="0.25">
      <c r="D962" s="39" t="str">
        <f t="shared" si="28"/>
        <v/>
      </c>
      <c r="E962" s="41" t="str">
        <f t="shared" si="29"/>
        <v/>
      </c>
    </row>
    <row r="963" spans="4:5" x14ac:dyDescent="0.25">
      <c r="D963" s="39" t="str">
        <f t="shared" si="28"/>
        <v/>
      </c>
      <c r="E963" s="41" t="str">
        <f t="shared" si="29"/>
        <v/>
      </c>
    </row>
    <row r="964" spans="4:5" x14ac:dyDescent="0.25">
      <c r="D964" s="39" t="str">
        <f t="shared" si="28"/>
        <v/>
      </c>
      <c r="E964" s="41" t="str">
        <f t="shared" si="29"/>
        <v/>
      </c>
    </row>
    <row r="965" spans="4:5" x14ac:dyDescent="0.25">
      <c r="D965" s="39" t="str">
        <f t="shared" si="28"/>
        <v/>
      </c>
      <c r="E965" s="41" t="str">
        <f t="shared" si="29"/>
        <v/>
      </c>
    </row>
    <row r="966" spans="4:5" x14ac:dyDescent="0.25">
      <c r="D966" s="39" t="str">
        <f t="shared" si="28"/>
        <v/>
      </c>
      <c r="E966" s="41" t="str">
        <f t="shared" si="29"/>
        <v/>
      </c>
    </row>
    <row r="967" spans="4:5" x14ac:dyDescent="0.25">
      <c r="D967" s="39" t="str">
        <f t="shared" si="28"/>
        <v/>
      </c>
      <c r="E967" s="41" t="str">
        <f t="shared" si="29"/>
        <v/>
      </c>
    </row>
    <row r="968" spans="4:5" x14ac:dyDescent="0.25">
      <c r="D968" s="39" t="str">
        <f t="shared" si="28"/>
        <v/>
      </c>
      <c r="E968" s="41" t="str">
        <f t="shared" si="29"/>
        <v/>
      </c>
    </row>
    <row r="969" spans="4:5" x14ac:dyDescent="0.25">
      <c r="D969" s="39" t="str">
        <f t="shared" si="28"/>
        <v/>
      </c>
      <c r="E969" s="41" t="str">
        <f t="shared" si="29"/>
        <v/>
      </c>
    </row>
    <row r="970" spans="4:5" x14ac:dyDescent="0.25">
      <c r="D970" s="39" t="str">
        <f t="shared" si="28"/>
        <v/>
      </c>
      <c r="E970" s="41" t="str">
        <f t="shared" si="29"/>
        <v/>
      </c>
    </row>
    <row r="971" spans="4:5" x14ac:dyDescent="0.25">
      <c r="D971" s="39" t="str">
        <f t="shared" si="28"/>
        <v/>
      </c>
      <c r="E971" s="41" t="str">
        <f t="shared" si="29"/>
        <v/>
      </c>
    </row>
    <row r="972" spans="4:5" x14ac:dyDescent="0.25">
      <c r="D972" s="39" t="str">
        <f t="shared" si="28"/>
        <v/>
      </c>
      <c r="E972" s="41" t="str">
        <f t="shared" si="29"/>
        <v/>
      </c>
    </row>
    <row r="973" spans="4:5" x14ac:dyDescent="0.25">
      <c r="D973" s="39" t="str">
        <f t="shared" si="28"/>
        <v/>
      </c>
      <c r="E973" s="41" t="str">
        <f t="shared" si="29"/>
        <v/>
      </c>
    </row>
    <row r="974" spans="4:5" x14ac:dyDescent="0.25">
      <c r="D974" s="39" t="str">
        <f t="shared" si="28"/>
        <v/>
      </c>
      <c r="E974" s="41" t="str">
        <f t="shared" si="29"/>
        <v/>
      </c>
    </row>
    <row r="975" spans="4:5" x14ac:dyDescent="0.25">
      <c r="D975" s="39" t="str">
        <f t="shared" si="28"/>
        <v/>
      </c>
      <c r="E975" s="41" t="str">
        <f t="shared" si="29"/>
        <v/>
      </c>
    </row>
    <row r="976" spans="4:5" x14ac:dyDescent="0.25">
      <c r="D976" s="39" t="str">
        <f t="shared" si="28"/>
        <v/>
      </c>
      <c r="E976" s="41" t="str">
        <f t="shared" si="29"/>
        <v/>
      </c>
    </row>
    <row r="977" spans="4:5" x14ac:dyDescent="0.25">
      <c r="D977" s="39" t="str">
        <f t="shared" ref="D977:D1016" si="30">IF(A977=0,"","Elastic")</f>
        <v/>
      </c>
      <c r="E977" s="41" t="str">
        <f t="shared" si="29"/>
        <v/>
      </c>
    </row>
    <row r="978" spans="4:5" x14ac:dyDescent="0.25">
      <c r="D978" s="39" t="str">
        <f t="shared" si="30"/>
        <v/>
      </c>
      <c r="E978" s="41" t="str">
        <f t="shared" si="29"/>
        <v/>
      </c>
    </row>
    <row r="979" spans="4:5" x14ac:dyDescent="0.25">
      <c r="D979" s="39" t="str">
        <f t="shared" si="30"/>
        <v/>
      </c>
      <c r="E979" s="41" t="str">
        <f t="shared" ref="E979:E1016" si="31">IF(B979=0,"","Elastic")</f>
        <v/>
      </c>
    </row>
    <row r="980" spans="4:5" x14ac:dyDescent="0.25">
      <c r="D980" s="39" t="str">
        <f t="shared" si="30"/>
        <v/>
      </c>
      <c r="E980" s="41" t="str">
        <f t="shared" si="31"/>
        <v/>
      </c>
    </row>
    <row r="981" spans="4:5" x14ac:dyDescent="0.25">
      <c r="D981" s="39" t="str">
        <f t="shared" si="30"/>
        <v/>
      </c>
      <c r="E981" s="41" t="str">
        <f t="shared" si="31"/>
        <v/>
      </c>
    </row>
    <row r="982" spans="4:5" x14ac:dyDescent="0.25">
      <c r="D982" s="39" t="str">
        <f t="shared" si="30"/>
        <v/>
      </c>
      <c r="E982" s="41" t="str">
        <f t="shared" si="31"/>
        <v/>
      </c>
    </row>
    <row r="983" spans="4:5" x14ac:dyDescent="0.25">
      <c r="D983" s="39" t="str">
        <f t="shared" si="30"/>
        <v/>
      </c>
      <c r="E983" s="41" t="str">
        <f t="shared" si="31"/>
        <v/>
      </c>
    </row>
    <row r="984" spans="4:5" x14ac:dyDescent="0.25">
      <c r="D984" s="39" t="str">
        <f t="shared" si="30"/>
        <v/>
      </c>
      <c r="E984" s="41" t="str">
        <f t="shared" si="31"/>
        <v/>
      </c>
    </row>
    <row r="985" spans="4:5" x14ac:dyDescent="0.25">
      <c r="D985" s="39" t="str">
        <f t="shared" si="30"/>
        <v/>
      </c>
      <c r="E985" s="41" t="str">
        <f t="shared" si="31"/>
        <v/>
      </c>
    </row>
    <row r="986" spans="4:5" x14ac:dyDescent="0.25">
      <c r="D986" s="39" t="str">
        <f t="shared" si="30"/>
        <v/>
      </c>
      <c r="E986" s="41" t="str">
        <f t="shared" si="31"/>
        <v/>
      </c>
    </row>
    <row r="987" spans="4:5" x14ac:dyDescent="0.25">
      <c r="D987" s="39" t="str">
        <f t="shared" si="30"/>
        <v/>
      </c>
      <c r="E987" s="41" t="str">
        <f t="shared" si="31"/>
        <v/>
      </c>
    </row>
    <row r="988" spans="4:5" x14ac:dyDescent="0.25">
      <c r="D988" s="39" t="str">
        <f t="shared" si="30"/>
        <v/>
      </c>
      <c r="E988" s="41" t="str">
        <f t="shared" si="31"/>
        <v/>
      </c>
    </row>
    <row r="989" spans="4:5" x14ac:dyDescent="0.25">
      <c r="D989" s="39" t="str">
        <f t="shared" si="30"/>
        <v/>
      </c>
      <c r="E989" s="41" t="str">
        <f t="shared" si="31"/>
        <v/>
      </c>
    </row>
    <row r="990" spans="4:5" x14ac:dyDescent="0.25">
      <c r="D990" s="39" t="str">
        <f t="shared" si="30"/>
        <v/>
      </c>
      <c r="E990" s="41" t="str">
        <f t="shared" si="31"/>
        <v/>
      </c>
    </row>
    <row r="991" spans="4:5" x14ac:dyDescent="0.25">
      <c r="D991" s="39" t="str">
        <f t="shared" si="30"/>
        <v/>
      </c>
      <c r="E991" s="41" t="str">
        <f t="shared" si="31"/>
        <v/>
      </c>
    </row>
    <row r="992" spans="4:5" x14ac:dyDescent="0.25">
      <c r="D992" s="39" t="str">
        <f t="shared" si="30"/>
        <v/>
      </c>
      <c r="E992" s="41" t="str">
        <f t="shared" si="31"/>
        <v/>
      </c>
    </row>
    <row r="993" spans="4:5" x14ac:dyDescent="0.25">
      <c r="D993" s="39" t="str">
        <f t="shared" si="30"/>
        <v/>
      </c>
      <c r="E993" s="41" t="str">
        <f t="shared" si="31"/>
        <v/>
      </c>
    </row>
    <row r="994" spans="4:5" x14ac:dyDescent="0.25">
      <c r="D994" s="39" t="str">
        <f t="shared" si="30"/>
        <v/>
      </c>
      <c r="E994" s="41" t="str">
        <f t="shared" si="31"/>
        <v/>
      </c>
    </row>
    <row r="995" spans="4:5" x14ac:dyDescent="0.25">
      <c r="D995" s="39" t="str">
        <f t="shared" si="30"/>
        <v/>
      </c>
      <c r="E995" s="41" t="str">
        <f t="shared" si="31"/>
        <v/>
      </c>
    </row>
    <row r="996" spans="4:5" x14ac:dyDescent="0.25">
      <c r="D996" s="39" t="str">
        <f t="shared" si="30"/>
        <v/>
      </c>
      <c r="E996" s="41" t="str">
        <f t="shared" si="31"/>
        <v/>
      </c>
    </row>
    <row r="997" spans="4:5" x14ac:dyDescent="0.25">
      <c r="D997" s="39" t="str">
        <f t="shared" si="30"/>
        <v/>
      </c>
      <c r="E997" s="41" t="str">
        <f t="shared" si="31"/>
        <v/>
      </c>
    </row>
    <row r="998" spans="4:5" x14ac:dyDescent="0.25">
      <c r="D998" s="39" t="str">
        <f t="shared" si="30"/>
        <v/>
      </c>
      <c r="E998" s="41" t="str">
        <f t="shared" si="31"/>
        <v/>
      </c>
    </row>
    <row r="999" spans="4:5" x14ac:dyDescent="0.25">
      <c r="D999" s="39" t="str">
        <f t="shared" si="30"/>
        <v/>
      </c>
      <c r="E999" s="41" t="str">
        <f t="shared" si="31"/>
        <v/>
      </c>
    </row>
    <row r="1000" spans="4:5" x14ac:dyDescent="0.25">
      <c r="D1000" s="39" t="str">
        <f t="shared" si="30"/>
        <v/>
      </c>
      <c r="E1000" s="41" t="str">
        <f t="shared" si="31"/>
        <v/>
      </c>
    </row>
    <row r="1001" spans="4:5" x14ac:dyDescent="0.25">
      <c r="D1001" s="39" t="str">
        <f t="shared" si="30"/>
        <v/>
      </c>
      <c r="E1001" s="41" t="str">
        <f t="shared" si="31"/>
        <v/>
      </c>
    </row>
    <row r="1002" spans="4:5" x14ac:dyDescent="0.25">
      <c r="D1002" s="39" t="str">
        <f t="shared" si="30"/>
        <v/>
      </c>
      <c r="E1002" s="41" t="str">
        <f t="shared" si="31"/>
        <v/>
      </c>
    </row>
    <row r="1003" spans="4:5" x14ac:dyDescent="0.25">
      <c r="D1003" s="39" t="str">
        <f t="shared" si="30"/>
        <v/>
      </c>
      <c r="E1003" s="41" t="str">
        <f t="shared" si="31"/>
        <v/>
      </c>
    </row>
    <row r="1004" spans="4:5" x14ac:dyDescent="0.25">
      <c r="D1004" s="39" t="str">
        <f t="shared" si="30"/>
        <v/>
      </c>
      <c r="E1004" s="41" t="str">
        <f t="shared" si="31"/>
        <v/>
      </c>
    </row>
    <row r="1005" spans="4:5" x14ac:dyDescent="0.25">
      <c r="D1005" s="39" t="str">
        <f t="shared" si="30"/>
        <v/>
      </c>
      <c r="E1005" s="41" t="str">
        <f t="shared" si="31"/>
        <v/>
      </c>
    </row>
    <row r="1006" spans="4:5" x14ac:dyDescent="0.25">
      <c r="D1006" s="39" t="str">
        <f t="shared" si="30"/>
        <v/>
      </c>
      <c r="E1006" s="41" t="str">
        <f t="shared" si="31"/>
        <v/>
      </c>
    </row>
    <row r="1007" spans="4:5" x14ac:dyDescent="0.25">
      <c r="D1007" s="39" t="str">
        <f t="shared" si="30"/>
        <v/>
      </c>
      <c r="E1007" s="41" t="str">
        <f t="shared" si="31"/>
        <v/>
      </c>
    </row>
    <row r="1008" spans="4:5" x14ac:dyDescent="0.25">
      <c r="D1008" s="39" t="str">
        <f t="shared" si="30"/>
        <v/>
      </c>
      <c r="E1008" s="41" t="str">
        <f t="shared" si="31"/>
        <v/>
      </c>
    </row>
    <row r="1009" spans="4:5" x14ac:dyDescent="0.25">
      <c r="D1009" s="39" t="str">
        <f t="shared" si="30"/>
        <v/>
      </c>
      <c r="E1009" s="41" t="str">
        <f t="shared" si="31"/>
        <v/>
      </c>
    </row>
    <row r="1010" spans="4:5" x14ac:dyDescent="0.25">
      <c r="D1010" s="39" t="str">
        <f t="shared" si="30"/>
        <v/>
      </c>
      <c r="E1010" s="41" t="str">
        <f t="shared" si="31"/>
        <v/>
      </c>
    </row>
    <row r="1011" spans="4:5" x14ac:dyDescent="0.25">
      <c r="D1011" s="39" t="str">
        <f t="shared" si="30"/>
        <v/>
      </c>
      <c r="E1011" s="41" t="str">
        <f t="shared" si="31"/>
        <v/>
      </c>
    </row>
    <row r="1012" spans="4:5" x14ac:dyDescent="0.25">
      <c r="D1012" s="39" t="str">
        <f t="shared" si="30"/>
        <v/>
      </c>
      <c r="E1012" s="41" t="str">
        <f t="shared" si="31"/>
        <v/>
      </c>
    </row>
    <row r="1013" spans="4:5" x14ac:dyDescent="0.25">
      <c r="D1013" s="39" t="str">
        <f t="shared" si="30"/>
        <v/>
      </c>
      <c r="E1013" s="41" t="str">
        <f t="shared" si="31"/>
        <v/>
      </c>
    </row>
    <row r="1014" spans="4:5" x14ac:dyDescent="0.25">
      <c r="D1014" s="39" t="str">
        <f t="shared" si="30"/>
        <v/>
      </c>
      <c r="E1014" s="41" t="str">
        <f t="shared" si="31"/>
        <v/>
      </c>
    </row>
    <row r="1015" spans="4:5" x14ac:dyDescent="0.25">
      <c r="D1015" s="39" t="str">
        <f t="shared" si="30"/>
        <v/>
      </c>
      <c r="E1015" s="41" t="str">
        <f t="shared" si="31"/>
        <v/>
      </c>
    </row>
    <row r="1016" spans="4:5" x14ac:dyDescent="0.25">
      <c r="D1016" s="39" t="str">
        <f t="shared" si="30"/>
        <v/>
      </c>
      <c r="E1016" s="41" t="str">
        <f t="shared" si="31"/>
        <v/>
      </c>
    </row>
  </sheetData>
  <dataValidations count="5">
    <dataValidation type="custom" allowBlank="1" showInputMessage="1" showErrorMessage="1" errorTitle="Invalid Input" error="Please enter a text/string value only." sqref="A17:A1048576" xr:uid="{A6951AF9-403B-4235-97E8-ED51DE5D0D5B}">
      <formula1>ISTEXT(A17)</formula1>
    </dataValidation>
    <dataValidation type="list" allowBlank="1" showInputMessage="1" showErrorMessage="1" errorTitle="Invalid Input" error="Choose from the list" sqref="B17:B1048576" xr:uid="{4EF50105-085C-447C-A0CE-688E34E28766}">
      <formula1>Sec_Shape</formula1>
    </dataValidation>
    <dataValidation type="list" allowBlank="1" showInputMessage="1" showErrorMessage="1" errorTitle="Invalid Input" error="Choose from the list" sqref="C17:C1048576" xr:uid="{A8355B54-42F1-4EFA-9077-D2579C7DD321}">
      <formula1>Base_Mat</formula1>
    </dataValidation>
    <dataValidation type="list" allowBlank="1" showInputMessage="1" showErrorMessage="1" errorTitle="Invalid Input" error="Choose from the list" sqref="E17:E1048576" xr:uid="{8FFF8FA0-B13C-1843-8905-149E9ADC17D0}">
      <formula1>"Column, Beam"</formula1>
    </dataValidation>
    <dataValidation type="decimal" allowBlank="1" showInputMessage="1" showErrorMessage="1" errorTitle="Invalid Input" error="Please enter a float value only." sqref="F17:M1048576" xr:uid="{86CFDFF3-56AA-47EF-8107-3860F2D02E07}">
      <formula1>0</formula1>
      <formula2>1000000000000</formula2>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DB01F6-F9F4-47E7-AC86-EAACFBC8E9C9}">
  <sheetPr codeName="Sheet11"/>
  <dimension ref="A1:O1018"/>
  <sheetViews>
    <sheetView zoomScale="130" zoomScaleNormal="130" workbookViewId="0">
      <selection activeCell="A19" sqref="A19"/>
    </sheetView>
  </sheetViews>
  <sheetFormatPr defaultColWidth="10.85546875" defaultRowHeight="15.75" x14ac:dyDescent="0.25"/>
  <cols>
    <col min="1" max="6" width="20.7109375" style="41" customWidth="1"/>
    <col min="7" max="7" width="20.7109375" style="39" customWidth="1"/>
    <col min="8" max="8" width="10.7109375" style="48" customWidth="1"/>
    <col min="9" max="11" width="10.7109375" style="178" customWidth="1"/>
    <col min="12" max="15" width="15.7109375" style="56" customWidth="1"/>
    <col min="16" max="16384" width="10.85546875" style="3"/>
  </cols>
  <sheetData>
    <row r="1" spans="1:15" x14ac:dyDescent="0.25">
      <c r="A1" s="32" t="s">
        <v>200</v>
      </c>
      <c r="B1" s="38"/>
      <c r="C1" s="38"/>
      <c r="D1" s="38"/>
      <c r="E1" s="38"/>
      <c r="F1" s="38"/>
      <c r="G1" s="38"/>
      <c r="H1" s="42"/>
      <c r="I1" s="169"/>
      <c r="J1" s="169"/>
      <c r="K1" s="169"/>
      <c r="L1" s="170"/>
      <c r="M1" s="170"/>
      <c r="N1" s="170"/>
      <c r="O1" s="171"/>
    </row>
    <row r="2" spans="1:15" x14ac:dyDescent="0.25">
      <c r="A2" s="44" t="s">
        <v>331</v>
      </c>
      <c r="B2" s="54"/>
      <c r="C2" s="54"/>
      <c r="D2" s="54"/>
      <c r="E2" s="54"/>
      <c r="F2" s="54"/>
      <c r="G2" s="54"/>
      <c r="H2" s="55"/>
      <c r="I2" s="172"/>
      <c r="J2" s="172"/>
      <c r="K2" s="172"/>
      <c r="L2" s="173"/>
      <c r="M2" s="173"/>
      <c r="N2" s="173"/>
      <c r="O2" s="174"/>
    </row>
    <row r="3" spans="1:15" x14ac:dyDescent="0.25">
      <c r="A3" s="44" t="s">
        <v>332</v>
      </c>
      <c r="B3" s="54"/>
      <c r="C3" s="54"/>
      <c r="D3" s="54"/>
      <c r="E3" s="54"/>
      <c r="F3" s="54"/>
      <c r="G3" s="54"/>
      <c r="H3" s="55"/>
      <c r="I3" s="172"/>
      <c r="J3" s="172"/>
      <c r="K3" s="172"/>
      <c r="L3" s="173"/>
      <c r="M3" s="173"/>
      <c r="N3" s="173"/>
      <c r="O3" s="174"/>
    </row>
    <row r="4" spans="1:15" x14ac:dyDescent="0.25">
      <c r="A4" s="44" t="s">
        <v>333</v>
      </c>
      <c r="B4" s="54"/>
      <c r="C4" s="54"/>
      <c r="D4" s="54"/>
      <c r="E4" s="54"/>
      <c r="F4" s="54"/>
      <c r="G4" s="54"/>
      <c r="H4" s="55"/>
      <c r="I4" s="172"/>
      <c r="J4" s="172"/>
      <c r="K4" s="172"/>
      <c r="L4" s="173"/>
      <c r="M4" s="173"/>
      <c r="N4" s="173"/>
      <c r="O4" s="174"/>
    </row>
    <row r="5" spans="1:15" x14ac:dyDescent="0.25">
      <c r="A5" s="44" t="s">
        <v>334</v>
      </c>
      <c r="B5" s="54"/>
      <c r="C5" s="54"/>
      <c r="D5" s="54"/>
      <c r="E5" s="54"/>
      <c r="F5" s="54"/>
      <c r="G5" s="54"/>
      <c r="H5" s="55"/>
      <c r="I5" s="172"/>
      <c r="J5" s="172"/>
      <c r="K5" s="172"/>
      <c r="L5" s="173"/>
      <c r="M5" s="173"/>
      <c r="N5" s="173"/>
      <c r="O5" s="174"/>
    </row>
    <row r="6" spans="1:15" x14ac:dyDescent="0.25">
      <c r="A6" s="44" t="s">
        <v>335</v>
      </c>
      <c r="B6" s="54"/>
      <c r="C6" s="54"/>
      <c r="D6" s="54"/>
      <c r="E6" s="54"/>
      <c r="F6" s="54"/>
      <c r="G6" s="54"/>
      <c r="H6" s="55"/>
      <c r="I6" s="172"/>
      <c r="J6" s="172"/>
      <c r="K6" s="172"/>
      <c r="L6" s="173"/>
      <c r="M6" s="173"/>
      <c r="N6" s="173"/>
      <c r="O6" s="174"/>
    </row>
    <row r="7" spans="1:15" x14ac:dyDescent="0.25">
      <c r="A7" s="44" t="s">
        <v>336</v>
      </c>
      <c r="B7" s="54"/>
      <c r="C7" s="54"/>
      <c r="D7" s="54"/>
      <c r="E7" s="54"/>
      <c r="F7" s="54"/>
      <c r="G7" s="54"/>
      <c r="H7" s="55"/>
      <c r="I7" s="172"/>
      <c r="J7" s="172"/>
      <c r="K7" s="172"/>
      <c r="L7" s="173"/>
      <c r="M7" s="173"/>
      <c r="N7" s="173"/>
      <c r="O7" s="174"/>
    </row>
    <row r="8" spans="1:15" x14ac:dyDescent="0.25">
      <c r="A8" s="44" t="s">
        <v>321</v>
      </c>
      <c r="B8" s="54"/>
      <c r="C8" s="54"/>
      <c r="D8" s="54"/>
      <c r="E8" s="54"/>
      <c r="F8" s="54"/>
      <c r="G8" s="54"/>
      <c r="H8" s="55"/>
      <c r="I8" s="172"/>
      <c r="J8" s="172"/>
      <c r="K8" s="172"/>
      <c r="L8" s="173"/>
      <c r="M8" s="173"/>
      <c r="N8" s="173"/>
      <c r="O8" s="174"/>
    </row>
    <row r="9" spans="1:15" x14ac:dyDescent="0.25">
      <c r="A9" s="44" t="s">
        <v>337</v>
      </c>
      <c r="B9" s="54"/>
      <c r="C9" s="54"/>
      <c r="D9" s="54"/>
      <c r="E9" s="54"/>
      <c r="F9" s="54"/>
      <c r="G9" s="54"/>
      <c r="H9" s="55"/>
      <c r="I9" s="172"/>
      <c r="J9" s="172"/>
      <c r="K9" s="172"/>
      <c r="L9" s="173"/>
      <c r="M9" s="173"/>
      <c r="N9" s="173"/>
      <c r="O9" s="174"/>
    </row>
    <row r="10" spans="1:15" x14ac:dyDescent="0.25">
      <c r="A10" s="44" t="s">
        <v>338</v>
      </c>
      <c r="B10" s="54"/>
      <c r="C10" s="54"/>
      <c r="D10" s="54"/>
      <c r="E10" s="54"/>
      <c r="F10" s="54"/>
      <c r="G10" s="54"/>
      <c r="H10" s="55"/>
      <c r="I10" s="172"/>
      <c r="J10" s="172"/>
      <c r="K10" s="172"/>
      <c r="L10" s="173"/>
      <c r="M10" s="173"/>
      <c r="N10" s="173"/>
      <c r="O10" s="174"/>
    </row>
    <row r="11" spans="1:15" x14ac:dyDescent="0.25">
      <c r="A11" s="44" t="s">
        <v>339</v>
      </c>
      <c r="B11" s="54"/>
      <c r="C11" s="54"/>
      <c r="D11" s="54"/>
      <c r="E11" s="54"/>
      <c r="F11" s="54"/>
      <c r="G11" s="54"/>
      <c r="H11" s="55"/>
      <c r="I11" s="172"/>
      <c r="J11" s="172"/>
      <c r="K11" s="172"/>
      <c r="L11" s="173"/>
      <c r="M11" s="173"/>
      <c r="N11" s="173"/>
      <c r="O11" s="174"/>
    </row>
    <row r="12" spans="1:15" x14ac:dyDescent="0.25">
      <c r="A12" s="44" t="s">
        <v>340</v>
      </c>
      <c r="B12" s="54"/>
      <c r="C12" s="54"/>
      <c r="D12" s="54"/>
      <c r="E12" s="54"/>
      <c r="F12" s="54"/>
      <c r="G12" s="54"/>
      <c r="H12" s="55"/>
      <c r="I12" s="172"/>
      <c r="J12" s="172"/>
      <c r="K12" s="172"/>
      <c r="L12" s="173"/>
      <c r="M12" s="173"/>
      <c r="N12" s="173"/>
      <c r="O12" s="174"/>
    </row>
    <row r="13" spans="1:15" x14ac:dyDescent="0.25">
      <c r="A13" s="44" t="s">
        <v>341</v>
      </c>
      <c r="B13" s="54"/>
      <c r="C13" s="54"/>
      <c r="D13" s="54"/>
      <c r="E13" s="54"/>
      <c r="F13" s="54"/>
      <c r="G13" s="54"/>
      <c r="H13" s="55"/>
      <c r="I13" s="172"/>
      <c r="J13" s="172"/>
      <c r="K13" s="172"/>
      <c r="L13" s="173"/>
      <c r="M13" s="173"/>
      <c r="N13" s="173"/>
      <c r="O13" s="174"/>
    </row>
    <row r="14" spans="1:15" x14ac:dyDescent="0.25">
      <c r="A14" s="44" t="s">
        <v>342</v>
      </c>
      <c r="B14" s="54"/>
      <c r="C14" s="54"/>
      <c r="D14" s="54"/>
      <c r="E14" s="54"/>
      <c r="F14" s="54"/>
      <c r="G14" s="54"/>
      <c r="H14" s="55"/>
      <c r="I14" s="172"/>
      <c r="J14" s="172"/>
      <c r="K14" s="172"/>
      <c r="L14" s="173"/>
      <c r="M14" s="173"/>
      <c r="N14" s="173"/>
      <c r="O14" s="174"/>
    </row>
    <row r="15" spans="1:15" x14ac:dyDescent="0.25">
      <c r="A15" s="44" t="s">
        <v>343</v>
      </c>
      <c r="B15" s="54"/>
      <c r="C15" s="54"/>
      <c r="D15" s="54"/>
      <c r="E15" s="54"/>
      <c r="F15" s="54"/>
      <c r="G15" s="54"/>
      <c r="H15" s="55"/>
      <c r="I15" s="172"/>
      <c r="J15" s="172"/>
      <c r="K15" s="172"/>
      <c r="L15" s="173"/>
      <c r="M15" s="173"/>
      <c r="N15" s="173"/>
      <c r="O15" s="174"/>
    </row>
    <row r="16" spans="1:15" x14ac:dyDescent="0.25">
      <c r="A16" s="49" t="s">
        <v>344</v>
      </c>
      <c r="B16" s="40"/>
      <c r="C16" s="40"/>
      <c r="D16" s="40"/>
      <c r="E16" s="40"/>
      <c r="F16" s="40"/>
      <c r="G16" s="40"/>
      <c r="H16" s="46"/>
      <c r="I16" s="175"/>
      <c r="J16" s="175"/>
      <c r="K16" s="175"/>
      <c r="L16" s="176"/>
      <c r="M16" s="176"/>
      <c r="N16" s="176"/>
      <c r="O16" s="177"/>
    </row>
    <row r="17" spans="1:15" x14ac:dyDescent="0.25">
      <c r="A17" s="33"/>
      <c r="B17" s="1"/>
      <c r="C17" s="1"/>
      <c r="D17" s="1"/>
      <c r="E17" s="1"/>
      <c r="F17" s="1"/>
      <c r="G17" s="1"/>
      <c r="H17" s="4"/>
      <c r="I17" s="6"/>
      <c r="J17" s="6"/>
      <c r="K17" s="6"/>
      <c r="L17" s="5"/>
      <c r="M17" s="5"/>
      <c r="N17" s="5"/>
      <c r="O17" s="5"/>
    </row>
    <row r="18" spans="1:15" s="2" customFormat="1" x14ac:dyDescent="0.25">
      <c r="A18" s="31" t="s">
        <v>72</v>
      </c>
      <c r="B18" s="31" t="s">
        <v>89</v>
      </c>
      <c r="C18" s="31" t="s">
        <v>90</v>
      </c>
      <c r="D18" s="31" t="s">
        <v>91</v>
      </c>
      <c r="E18" s="31" t="s">
        <v>92</v>
      </c>
      <c r="F18" s="31" t="s">
        <v>93</v>
      </c>
      <c r="G18" s="31" t="s">
        <v>79</v>
      </c>
      <c r="H18" s="31" t="s">
        <v>94</v>
      </c>
      <c r="I18" s="31" t="s">
        <v>95</v>
      </c>
      <c r="J18" s="31" t="s">
        <v>96</v>
      </c>
      <c r="K18" s="31" t="s">
        <v>97</v>
      </c>
      <c r="L18" s="31" t="s">
        <v>98</v>
      </c>
      <c r="M18" s="31" t="s">
        <v>99</v>
      </c>
      <c r="N18" s="31" t="s">
        <v>100</v>
      </c>
      <c r="O18" s="31" t="s">
        <v>101</v>
      </c>
    </row>
    <row r="19" spans="1:15" x14ac:dyDescent="0.25">
      <c r="A19" s="41" t="s">
        <v>102</v>
      </c>
      <c r="B19" s="41" t="s">
        <v>87</v>
      </c>
      <c r="C19" s="41" t="s">
        <v>69</v>
      </c>
      <c r="D19" s="41" t="s">
        <v>25</v>
      </c>
      <c r="E19" s="41" t="s">
        <v>26</v>
      </c>
      <c r="F19" s="41" t="s">
        <v>32</v>
      </c>
      <c r="G19" s="39" t="str">
        <f t="shared" ref="G19:G82" si="0">IF(A19=0,"","Fiber")</f>
        <v>Fiber</v>
      </c>
      <c r="H19" s="48">
        <f>40/1000</f>
        <v>0.04</v>
      </c>
      <c r="I19" s="178">
        <v>7</v>
      </c>
      <c r="J19" s="178">
        <v>7</v>
      </c>
      <c r="K19" s="178">
        <v>10</v>
      </c>
      <c r="L19" s="56">
        <f>13/1000</f>
        <v>1.2999999999999999E-2</v>
      </c>
      <c r="M19" s="56">
        <f>22/1000</f>
        <v>2.1999999999999999E-2</v>
      </c>
      <c r="N19" s="56">
        <f>22/1000</f>
        <v>2.1999999999999999E-2</v>
      </c>
      <c r="O19" s="56">
        <f>22/1000</f>
        <v>2.1999999999999999E-2</v>
      </c>
    </row>
    <row r="20" spans="1:15" x14ac:dyDescent="0.25">
      <c r="G20" s="39" t="str">
        <f t="shared" si="0"/>
        <v/>
      </c>
    </row>
    <row r="21" spans="1:15" x14ac:dyDescent="0.25">
      <c r="G21" s="39" t="str">
        <f t="shared" si="0"/>
        <v/>
      </c>
    </row>
    <row r="22" spans="1:15" x14ac:dyDescent="0.25">
      <c r="G22" s="39" t="str">
        <f t="shared" si="0"/>
        <v/>
      </c>
    </row>
    <row r="23" spans="1:15" x14ac:dyDescent="0.25">
      <c r="G23" s="39" t="str">
        <f t="shared" si="0"/>
        <v/>
      </c>
    </row>
    <row r="24" spans="1:15" x14ac:dyDescent="0.25">
      <c r="G24" s="39" t="str">
        <f t="shared" si="0"/>
        <v/>
      </c>
    </row>
    <row r="25" spans="1:15" x14ac:dyDescent="0.25">
      <c r="G25" s="39" t="str">
        <f t="shared" si="0"/>
        <v/>
      </c>
    </row>
    <row r="26" spans="1:15" x14ac:dyDescent="0.25">
      <c r="G26" s="39" t="str">
        <f t="shared" si="0"/>
        <v/>
      </c>
    </row>
    <row r="27" spans="1:15" x14ac:dyDescent="0.25">
      <c r="G27" s="39" t="str">
        <f t="shared" si="0"/>
        <v/>
      </c>
    </row>
    <row r="28" spans="1:15" x14ac:dyDescent="0.25">
      <c r="G28" s="39" t="str">
        <f t="shared" si="0"/>
        <v/>
      </c>
    </row>
    <row r="29" spans="1:15" x14ac:dyDescent="0.25">
      <c r="G29" s="39" t="str">
        <f t="shared" si="0"/>
        <v/>
      </c>
    </row>
    <row r="30" spans="1:15" x14ac:dyDescent="0.25">
      <c r="G30" s="39" t="str">
        <f t="shared" si="0"/>
        <v/>
      </c>
    </row>
    <row r="31" spans="1:15" x14ac:dyDescent="0.25">
      <c r="G31" s="39" t="str">
        <f t="shared" si="0"/>
        <v/>
      </c>
    </row>
    <row r="32" spans="1:15" x14ac:dyDescent="0.25">
      <c r="G32" s="39" t="str">
        <f t="shared" si="0"/>
        <v/>
      </c>
    </row>
    <row r="33" spans="7:7" x14ac:dyDescent="0.25">
      <c r="G33" s="39" t="str">
        <f t="shared" si="0"/>
        <v/>
      </c>
    </row>
    <row r="34" spans="7:7" x14ac:dyDescent="0.25">
      <c r="G34" s="39" t="str">
        <f t="shared" si="0"/>
        <v/>
      </c>
    </row>
    <row r="35" spans="7:7" x14ac:dyDescent="0.25">
      <c r="G35" s="39" t="str">
        <f t="shared" si="0"/>
        <v/>
      </c>
    </row>
    <row r="36" spans="7:7" x14ac:dyDescent="0.25">
      <c r="G36" s="39" t="str">
        <f t="shared" si="0"/>
        <v/>
      </c>
    </row>
    <row r="37" spans="7:7" x14ac:dyDescent="0.25">
      <c r="G37" s="39" t="str">
        <f t="shared" si="0"/>
        <v/>
      </c>
    </row>
    <row r="38" spans="7:7" x14ac:dyDescent="0.25">
      <c r="G38" s="39" t="str">
        <f t="shared" si="0"/>
        <v/>
      </c>
    </row>
    <row r="39" spans="7:7" x14ac:dyDescent="0.25">
      <c r="G39" s="39" t="str">
        <f t="shared" si="0"/>
        <v/>
      </c>
    </row>
    <row r="40" spans="7:7" x14ac:dyDescent="0.25">
      <c r="G40" s="39" t="str">
        <f t="shared" si="0"/>
        <v/>
      </c>
    </row>
    <row r="41" spans="7:7" x14ac:dyDescent="0.25">
      <c r="G41" s="39" t="str">
        <f t="shared" si="0"/>
        <v/>
      </c>
    </row>
    <row r="42" spans="7:7" x14ac:dyDescent="0.25">
      <c r="G42" s="39" t="str">
        <f t="shared" si="0"/>
        <v/>
      </c>
    </row>
    <row r="43" spans="7:7" x14ac:dyDescent="0.25">
      <c r="G43" s="39" t="str">
        <f t="shared" si="0"/>
        <v/>
      </c>
    </row>
    <row r="44" spans="7:7" x14ac:dyDescent="0.25">
      <c r="G44" s="39" t="str">
        <f t="shared" si="0"/>
        <v/>
      </c>
    </row>
    <row r="45" spans="7:7" x14ac:dyDescent="0.25">
      <c r="G45" s="39" t="str">
        <f t="shared" si="0"/>
        <v/>
      </c>
    </row>
    <row r="46" spans="7:7" x14ac:dyDescent="0.25">
      <c r="G46" s="39" t="str">
        <f t="shared" si="0"/>
        <v/>
      </c>
    </row>
    <row r="47" spans="7:7" x14ac:dyDescent="0.25">
      <c r="G47" s="39" t="str">
        <f t="shared" si="0"/>
        <v/>
      </c>
    </row>
    <row r="48" spans="7:7" x14ac:dyDescent="0.25">
      <c r="G48" s="39" t="str">
        <f t="shared" si="0"/>
        <v/>
      </c>
    </row>
    <row r="49" spans="7:7" x14ac:dyDescent="0.25">
      <c r="G49" s="39" t="str">
        <f t="shared" si="0"/>
        <v/>
      </c>
    </row>
    <row r="50" spans="7:7" x14ac:dyDescent="0.25">
      <c r="G50" s="39" t="str">
        <f t="shared" si="0"/>
        <v/>
      </c>
    </row>
    <row r="51" spans="7:7" x14ac:dyDescent="0.25">
      <c r="G51" s="39" t="str">
        <f t="shared" si="0"/>
        <v/>
      </c>
    </row>
    <row r="52" spans="7:7" x14ac:dyDescent="0.25">
      <c r="G52" s="39" t="str">
        <f t="shared" si="0"/>
        <v/>
      </c>
    </row>
    <row r="53" spans="7:7" x14ac:dyDescent="0.25">
      <c r="G53" s="39" t="str">
        <f t="shared" si="0"/>
        <v/>
      </c>
    </row>
    <row r="54" spans="7:7" x14ac:dyDescent="0.25">
      <c r="G54" s="39" t="str">
        <f t="shared" si="0"/>
        <v/>
      </c>
    </row>
    <row r="55" spans="7:7" x14ac:dyDescent="0.25">
      <c r="G55" s="39" t="str">
        <f t="shared" si="0"/>
        <v/>
      </c>
    </row>
    <row r="56" spans="7:7" x14ac:dyDescent="0.25">
      <c r="G56" s="39" t="str">
        <f t="shared" si="0"/>
        <v/>
      </c>
    </row>
    <row r="57" spans="7:7" x14ac:dyDescent="0.25">
      <c r="G57" s="39" t="str">
        <f t="shared" si="0"/>
        <v/>
      </c>
    </row>
    <row r="58" spans="7:7" x14ac:dyDescent="0.25">
      <c r="G58" s="39" t="str">
        <f t="shared" si="0"/>
        <v/>
      </c>
    </row>
    <row r="59" spans="7:7" x14ac:dyDescent="0.25">
      <c r="G59" s="39" t="str">
        <f t="shared" si="0"/>
        <v/>
      </c>
    </row>
    <row r="60" spans="7:7" x14ac:dyDescent="0.25">
      <c r="G60" s="39" t="str">
        <f t="shared" si="0"/>
        <v/>
      </c>
    </row>
    <row r="61" spans="7:7" x14ac:dyDescent="0.25">
      <c r="G61" s="39" t="str">
        <f t="shared" si="0"/>
        <v/>
      </c>
    </row>
    <row r="62" spans="7:7" x14ac:dyDescent="0.25">
      <c r="G62" s="39" t="str">
        <f t="shared" si="0"/>
        <v/>
      </c>
    </row>
    <row r="63" spans="7:7" x14ac:dyDescent="0.25">
      <c r="G63" s="39" t="str">
        <f t="shared" si="0"/>
        <v/>
      </c>
    </row>
    <row r="64" spans="7:7" x14ac:dyDescent="0.25">
      <c r="G64" s="39" t="str">
        <f t="shared" si="0"/>
        <v/>
      </c>
    </row>
    <row r="65" spans="7:7" x14ac:dyDescent="0.25">
      <c r="G65" s="39" t="str">
        <f t="shared" si="0"/>
        <v/>
      </c>
    </row>
    <row r="66" spans="7:7" x14ac:dyDescent="0.25">
      <c r="G66" s="39" t="str">
        <f t="shared" si="0"/>
        <v/>
      </c>
    </row>
    <row r="67" spans="7:7" x14ac:dyDescent="0.25">
      <c r="G67" s="39" t="str">
        <f t="shared" si="0"/>
        <v/>
      </c>
    </row>
    <row r="68" spans="7:7" x14ac:dyDescent="0.25">
      <c r="G68" s="39" t="str">
        <f t="shared" si="0"/>
        <v/>
      </c>
    </row>
    <row r="69" spans="7:7" x14ac:dyDescent="0.25">
      <c r="G69" s="39" t="str">
        <f t="shared" si="0"/>
        <v/>
      </c>
    </row>
    <row r="70" spans="7:7" x14ac:dyDescent="0.25">
      <c r="G70" s="39" t="str">
        <f t="shared" si="0"/>
        <v/>
      </c>
    </row>
    <row r="71" spans="7:7" x14ac:dyDescent="0.25">
      <c r="G71" s="39" t="str">
        <f t="shared" si="0"/>
        <v/>
      </c>
    </row>
    <row r="72" spans="7:7" x14ac:dyDescent="0.25">
      <c r="G72" s="39" t="str">
        <f t="shared" si="0"/>
        <v/>
      </c>
    </row>
    <row r="73" spans="7:7" x14ac:dyDescent="0.25">
      <c r="G73" s="39" t="str">
        <f t="shared" si="0"/>
        <v/>
      </c>
    </row>
    <row r="74" spans="7:7" x14ac:dyDescent="0.25">
      <c r="G74" s="39" t="str">
        <f t="shared" si="0"/>
        <v/>
      </c>
    </row>
    <row r="75" spans="7:7" x14ac:dyDescent="0.25">
      <c r="G75" s="39" t="str">
        <f t="shared" si="0"/>
        <v/>
      </c>
    </row>
    <row r="76" spans="7:7" x14ac:dyDescent="0.25">
      <c r="G76" s="39" t="str">
        <f t="shared" si="0"/>
        <v/>
      </c>
    </row>
    <row r="77" spans="7:7" x14ac:dyDescent="0.25">
      <c r="G77" s="39" t="str">
        <f t="shared" si="0"/>
        <v/>
      </c>
    </row>
    <row r="78" spans="7:7" x14ac:dyDescent="0.25">
      <c r="G78" s="39" t="str">
        <f t="shared" si="0"/>
        <v/>
      </c>
    </row>
    <row r="79" spans="7:7" x14ac:dyDescent="0.25">
      <c r="G79" s="39" t="str">
        <f t="shared" si="0"/>
        <v/>
      </c>
    </row>
    <row r="80" spans="7:7" x14ac:dyDescent="0.25">
      <c r="G80" s="39" t="str">
        <f t="shared" si="0"/>
        <v/>
      </c>
    </row>
    <row r="81" spans="7:7" x14ac:dyDescent="0.25">
      <c r="G81" s="39" t="str">
        <f t="shared" si="0"/>
        <v/>
      </c>
    </row>
    <row r="82" spans="7:7" x14ac:dyDescent="0.25">
      <c r="G82" s="39" t="str">
        <f t="shared" si="0"/>
        <v/>
      </c>
    </row>
    <row r="83" spans="7:7" x14ac:dyDescent="0.25">
      <c r="G83" s="39" t="str">
        <f t="shared" ref="G83:G146" si="1">IF(A83=0,"","Fiber")</f>
        <v/>
      </c>
    </row>
    <row r="84" spans="7:7" x14ac:dyDescent="0.25">
      <c r="G84" s="39" t="str">
        <f t="shared" si="1"/>
        <v/>
      </c>
    </row>
    <row r="85" spans="7:7" x14ac:dyDescent="0.25">
      <c r="G85" s="39" t="str">
        <f t="shared" si="1"/>
        <v/>
      </c>
    </row>
    <row r="86" spans="7:7" x14ac:dyDescent="0.25">
      <c r="G86" s="39" t="str">
        <f t="shared" si="1"/>
        <v/>
      </c>
    </row>
    <row r="87" spans="7:7" x14ac:dyDescent="0.25">
      <c r="G87" s="39" t="str">
        <f t="shared" si="1"/>
        <v/>
      </c>
    </row>
    <row r="88" spans="7:7" x14ac:dyDescent="0.25">
      <c r="G88" s="39" t="str">
        <f t="shared" si="1"/>
        <v/>
      </c>
    </row>
    <row r="89" spans="7:7" x14ac:dyDescent="0.25">
      <c r="G89" s="39" t="str">
        <f t="shared" si="1"/>
        <v/>
      </c>
    </row>
    <row r="90" spans="7:7" x14ac:dyDescent="0.25">
      <c r="G90" s="39" t="str">
        <f t="shared" si="1"/>
        <v/>
      </c>
    </row>
    <row r="91" spans="7:7" x14ac:dyDescent="0.25">
      <c r="G91" s="39" t="str">
        <f t="shared" si="1"/>
        <v/>
      </c>
    </row>
    <row r="92" spans="7:7" x14ac:dyDescent="0.25">
      <c r="G92" s="39" t="str">
        <f t="shared" si="1"/>
        <v/>
      </c>
    </row>
    <row r="93" spans="7:7" x14ac:dyDescent="0.25">
      <c r="G93" s="39" t="str">
        <f t="shared" si="1"/>
        <v/>
      </c>
    </row>
    <row r="94" spans="7:7" x14ac:dyDescent="0.25">
      <c r="G94" s="39" t="str">
        <f t="shared" si="1"/>
        <v/>
      </c>
    </row>
    <row r="95" spans="7:7" x14ac:dyDescent="0.25">
      <c r="G95" s="39" t="str">
        <f t="shared" si="1"/>
        <v/>
      </c>
    </row>
    <row r="96" spans="7:7" x14ac:dyDescent="0.25">
      <c r="G96" s="39" t="str">
        <f t="shared" si="1"/>
        <v/>
      </c>
    </row>
    <row r="97" spans="7:7" x14ac:dyDescent="0.25">
      <c r="G97" s="39" t="str">
        <f t="shared" si="1"/>
        <v/>
      </c>
    </row>
    <row r="98" spans="7:7" x14ac:dyDescent="0.25">
      <c r="G98" s="39" t="str">
        <f t="shared" si="1"/>
        <v/>
      </c>
    </row>
    <row r="99" spans="7:7" x14ac:dyDescent="0.25">
      <c r="G99" s="39" t="str">
        <f t="shared" si="1"/>
        <v/>
      </c>
    </row>
    <row r="100" spans="7:7" x14ac:dyDescent="0.25">
      <c r="G100" s="39" t="str">
        <f t="shared" si="1"/>
        <v/>
      </c>
    </row>
    <row r="101" spans="7:7" x14ac:dyDescent="0.25">
      <c r="G101" s="39" t="str">
        <f t="shared" si="1"/>
        <v/>
      </c>
    </row>
    <row r="102" spans="7:7" x14ac:dyDescent="0.25">
      <c r="G102" s="39" t="str">
        <f t="shared" si="1"/>
        <v/>
      </c>
    </row>
    <row r="103" spans="7:7" x14ac:dyDescent="0.25">
      <c r="G103" s="39" t="str">
        <f t="shared" si="1"/>
        <v/>
      </c>
    </row>
    <row r="104" spans="7:7" x14ac:dyDescent="0.25">
      <c r="G104" s="39" t="str">
        <f t="shared" si="1"/>
        <v/>
      </c>
    </row>
    <row r="105" spans="7:7" x14ac:dyDescent="0.25">
      <c r="G105" s="39" t="str">
        <f t="shared" si="1"/>
        <v/>
      </c>
    </row>
    <row r="106" spans="7:7" x14ac:dyDescent="0.25">
      <c r="G106" s="39" t="str">
        <f t="shared" si="1"/>
        <v/>
      </c>
    </row>
    <row r="107" spans="7:7" x14ac:dyDescent="0.25">
      <c r="G107" s="39" t="str">
        <f t="shared" si="1"/>
        <v/>
      </c>
    </row>
    <row r="108" spans="7:7" x14ac:dyDescent="0.25">
      <c r="G108" s="39" t="str">
        <f t="shared" si="1"/>
        <v/>
      </c>
    </row>
    <row r="109" spans="7:7" x14ac:dyDescent="0.25">
      <c r="G109" s="39" t="str">
        <f t="shared" si="1"/>
        <v/>
      </c>
    </row>
    <row r="110" spans="7:7" x14ac:dyDescent="0.25">
      <c r="G110" s="39" t="str">
        <f t="shared" si="1"/>
        <v/>
      </c>
    </row>
    <row r="111" spans="7:7" x14ac:dyDescent="0.25">
      <c r="G111" s="39" t="str">
        <f t="shared" si="1"/>
        <v/>
      </c>
    </row>
    <row r="112" spans="7:7" x14ac:dyDescent="0.25">
      <c r="G112" s="39" t="str">
        <f t="shared" si="1"/>
        <v/>
      </c>
    </row>
    <row r="113" spans="7:7" x14ac:dyDescent="0.25">
      <c r="G113" s="39" t="str">
        <f t="shared" si="1"/>
        <v/>
      </c>
    </row>
    <row r="114" spans="7:7" x14ac:dyDescent="0.25">
      <c r="G114" s="39" t="str">
        <f t="shared" si="1"/>
        <v/>
      </c>
    </row>
    <row r="115" spans="7:7" x14ac:dyDescent="0.25">
      <c r="G115" s="39" t="str">
        <f t="shared" si="1"/>
        <v/>
      </c>
    </row>
    <row r="116" spans="7:7" x14ac:dyDescent="0.25">
      <c r="G116" s="39" t="str">
        <f t="shared" si="1"/>
        <v/>
      </c>
    </row>
    <row r="117" spans="7:7" x14ac:dyDescent="0.25">
      <c r="G117" s="39" t="str">
        <f t="shared" si="1"/>
        <v/>
      </c>
    </row>
    <row r="118" spans="7:7" x14ac:dyDescent="0.25">
      <c r="G118" s="39" t="str">
        <f t="shared" si="1"/>
        <v/>
      </c>
    </row>
    <row r="119" spans="7:7" x14ac:dyDescent="0.25">
      <c r="G119" s="39" t="str">
        <f t="shared" si="1"/>
        <v/>
      </c>
    </row>
    <row r="120" spans="7:7" x14ac:dyDescent="0.25">
      <c r="G120" s="39" t="str">
        <f t="shared" si="1"/>
        <v/>
      </c>
    </row>
    <row r="121" spans="7:7" x14ac:dyDescent="0.25">
      <c r="G121" s="39" t="str">
        <f t="shared" si="1"/>
        <v/>
      </c>
    </row>
    <row r="122" spans="7:7" x14ac:dyDescent="0.25">
      <c r="G122" s="39" t="str">
        <f t="shared" si="1"/>
        <v/>
      </c>
    </row>
    <row r="123" spans="7:7" x14ac:dyDescent="0.25">
      <c r="G123" s="39" t="str">
        <f t="shared" si="1"/>
        <v/>
      </c>
    </row>
    <row r="124" spans="7:7" x14ac:dyDescent="0.25">
      <c r="G124" s="39" t="str">
        <f t="shared" si="1"/>
        <v/>
      </c>
    </row>
    <row r="125" spans="7:7" x14ac:dyDescent="0.25">
      <c r="G125" s="39" t="str">
        <f t="shared" si="1"/>
        <v/>
      </c>
    </row>
    <row r="126" spans="7:7" x14ac:dyDescent="0.25">
      <c r="G126" s="39" t="str">
        <f t="shared" si="1"/>
        <v/>
      </c>
    </row>
    <row r="127" spans="7:7" x14ac:dyDescent="0.25">
      <c r="G127" s="39" t="str">
        <f t="shared" si="1"/>
        <v/>
      </c>
    </row>
    <row r="128" spans="7:7" x14ac:dyDescent="0.25">
      <c r="G128" s="39" t="str">
        <f t="shared" si="1"/>
        <v/>
      </c>
    </row>
    <row r="129" spans="7:7" x14ac:dyDescent="0.25">
      <c r="G129" s="39" t="str">
        <f t="shared" si="1"/>
        <v/>
      </c>
    </row>
    <row r="130" spans="7:7" x14ac:dyDescent="0.25">
      <c r="G130" s="39" t="str">
        <f t="shared" si="1"/>
        <v/>
      </c>
    </row>
    <row r="131" spans="7:7" x14ac:dyDescent="0.25">
      <c r="G131" s="39" t="str">
        <f t="shared" si="1"/>
        <v/>
      </c>
    </row>
    <row r="132" spans="7:7" x14ac:dyDescent="0.25">
      <c r="G132" s="39" t="str">
        <f t="shared" si="1"/>
        <v/>
      </c>
    </row>
    <row r="133" spans="7:7" x14ac:dyDescent="0.25">
      <c r="G133" s="39" t="str">
        <f t="shared" si="1"/>
        <v/>
      </c>
    </row>
    <row r="134" spans="7:7" x14ac:dyDescent="0.25">
      <c r="G134" s="39" t="str">
        <f t="shared" si="1"/>
        <v/>
      </c>
    </row>
    <row r="135" spans="7:7" x14ac:dyDescent="0.25">
      <c r="G135" s="39" t="str">
        <f t="shared" si="1"/>
        <v/>
      </c>
    </row>
    <row r="136" spans="7:7" x14ac:dyDescent="0.25">
      <c r="G136" s="39" t="str">
        <f t="shared" si="1"/>
        <v/>
      </c>
    </row>
    <row r="137" spans="7:7" x14ac:dyDescent="0.25">
      <c r="G137" s="39" t="str">
        <f t="shared" si="1"/>
        <v/>
      </c>
    </row>
    <row r="138" spans="7:7" x14ac:dyDescent="0.25">
      <c r="G138" s="39" t="str">
        <f t="shared" si="1"/>
        <v/>
      </c>
    </row>
    <row r="139" spans="7:7" x14ac:dyDescent="0.25">
      <c r="G139" s="39" t="str">
        <f t="shared" si="1"/>
        <v/>
      </c>
    </row>
    <row r="140" spans="7:7" x14ac:dyDescent="0.25">
      <c r="G140" s="39" t="str">
        <f t="shared" si="1"/>
        <v/>
      </c>
    </row>
    <row r="141" spans="7:7" x14ac:dyDescent="0.25">
      <c r="G141" s="39" t="str">
        <f t="shared" si="1"/>
        <v/>
      </c>
    </row>
    <row r="142" spans="7:7" x14ac:dyDescent="0.25">
      <c r="G142" s="39" t="str">
        <f t="shared" si="1"/>
        <v/>
      </c>
    </row>
    <row r="143" spans="7:7" x14ac:dyDescent="0.25">
      <c r="G143" s="39" t="str">
        <f t="shared" si="1"/>
        <v/>
      </c>
    </row>
    <row r="144" spans="7:7" x14ac:dyDescent="0.25">
      <c r="G144" s="39" t="str">
        <f t="shared" si="1"/>
        <v/>
      </c>
    </row>
    <row r="145" spans="7:7" x14ac:dyDescent="0.25">
      <c r="G145" s="39" t="str">
        <f t="shared" si="1"/>
        <v/>
      </c>
    </row>
    <row r="146" spans="7:7" x14ac:dyDescent="0.25">
      <c r="G146" s="39" t="str">
        <f t="shared" si="1"/>
        <v/>
      </c>
    </row>
    <row r="147" spans="7:7" x14ac:dyDescent="0.25">
      <c r="G147" s="39" t="str">
        <f t="shared" ref="G147:G210" si="2">IF(A147=0,"","Fiber")</f>
        <v/>
      </c>
    </row>
    <row r="148" spans="7:7" x14ac:dyDescent="0.25">
      <c r="G148" s="39" t="str">
        <f t="shared" si="2"/>
        <v/>
      </c>
    </row>
    <row r="149" spans="7:7" x14ac:dyDescent="0.25">
      <c r="G149" s="39" t="str">
        <f t="shared" si="2"/>
        <v/>
      </c>
    </row>
    <row r="150" spans="7:7" x14ac:dyDescent="0.25">
      <c r="G150" s="39" t="str">
        <f t="shared" si="2"/>
        <v/>
      </c>
    </row>
    <row r="151" spans="7:7" x14ac:dyDescent="0.25">
      <c r="G151" s="39" t="str">
        <f t="shared" si="2"/>
        <v/>
      </c>
    </row>
    <row r="152" spans="7:7" x14ac:dyDescent="0.25">
      <c r="G152" s="39" t="str">
        <f t="shared" si="2"/>
        <v/>
      </c>
    </row>
    <row r="153" spans="7:7" x14ac:dyDescent="0.25">
      <c r="G153" s="39" t="str">
        <f t="shared" si="2"/>
        <v/>
      </c>
    </row>
    <row r="154" spans="7:7" x14ac:dyDescent="0.25">
      <c r="G154" s="39" t="str">
        <f t="shared" si="2"/>
        <v/>
      </c>
    </row>
    <row r="155" spans="7:7" x14ac:dyDescent="0.25">
      <c r="G155" s="39" t="str">
        <f t="shared" si="2"/>
        <v/>
      </c>
    </row>
    <row r="156" spans="7:7" x14ac:dyDescent="0.25">
      <c r="G156" s="39" t="str">
        <f t="shared" si="2"/>
        <v/>
      </c>
    </row>
    <row r="157" spans="7:7" x14ac:dyDescent="0.25">
      <c r="G157" s="39" t="str">
        <f t="shared" si="2"/>
        <v/>
      </c>
    </row>
    <row r="158" spans="7:7" x14ac:dyDescent="0.25">
      <c r="G158" s="39" t="str">
        <f t="shared" si="2"/>
        <v/>
      </c>
    </row>
    <row r="159" spans="7:7" x14ac:dyDescent="0.25">
      <c r="G159" s="39" t="str">
        <f t="shared" si="2"/>
        <v/>
      </c>
    </row>
    <row r="160" spans="7:7" x14ac:dyDescent="0.25">
      <c r="G160" s="39" t="str">
        <f t="shared" si="2"/>
        <v/>
      </c>
    </row>
    <row r="161" spans="7:7" x14ac:dyDescent="0.25">
      <c r="G161" s="39" t="str">
        <f t="shared" si="2"/>
        <v/>
      </c>
    </row>
    <row r="162" spans="7:7" x14ac:dyDescent="0.25">
      <c r="G162" s="39" t="str">
        <f t="shared" si="2"/>
        <v/>
      </c>
    </row>
    <row r="163" spans="7:7" x14ac:dyDescent="0.25">
      <c r="G163" s="39" t="str">
        <f t="shared" si="2"/>
        <v/>
      </c>
    </row>
    <row r="164" spans="7:7" x14ac:dyDescent="0.25">
      <c r="G164" s="39" t="str">
        <f t="shared" si="2"/>
        <v/>
      </c>
    </row>
    <row r="165" spans="7:7" x14ac:dyDescent="0.25">
      <c r="G165" s="39" t="str">
        <f t="shared" si="2"/>
        <v/>
      </c>
    </row>
    <row r="166" spans="7:7" x14ac:dyDescent="0.25">
      <c r="G166" s="39" t="str">
        <f t="shared" si="2"/>
        <v/>
      </c>
    </row>
    <row r="167" spans="7:7" x14ac:dyDescent="0.25">
      <c r="G167" s="39" t="str">
        <f t="shared" si="2"/>
        <v/>
      </c>
    </row>
    <row r="168" spans="7:7" x14ac:dyDescent="0.25">
      <c r="G168" s="39" t="str">
        <f t="shared" si="2"/>
        <v/>
      </c>
    </row>
    <row r="169" spans="7:7" x14ac:dyDescent="0.25">
      <c r="G169" s="39" t="str">
        <f t="shared" si="2"/>
        <v/>
      </c>
    </row>
    <row r="170" spans="7:7" x14ac:dyDescent="0.25">
      <c r="G170" s="39" t="str">
        <f t="shared" si="2"/>
        <v/>
      </c>
    </row>
    <row r="171" spans="7:7" x14ac:dyDescent="0.25">
      <c r="G171" s="39" t="str">
        <f t="shared" si="2"/>
        <v/>
      </c>
    </row>
    <row r="172" spans="7:7" x14ac:dyDescent="0.25">
      <c r="G172" s="39" t="str">
        <f t="shared" si="2"/>
        <v/>
      </c>
    </row>
    <row r="173" spans="7:7" x14ac:dyDescent="0.25">
      <c r="G173" s="39" t="str">
        <f t="shared" si="2"/>
        <v/>
      </c>
    </row>
    <row r="174" spans="7:7" x14ac:dyDescent="0.25">
      <c r="G174" s="39" t="str">
        <f t="shared" si="2"/>
        <v/>
      </c>
    </row>
    <row r="175" spans="7:7" x14ac:dyDescent="0.25">
      <c r="G175" s="39" t="str">
        <f t="shared" si="2"/>
        <v/>
      </c>
    </row>
    <row r="176" spans="7:7" x14ac:dyDescent="0.25">
      <c r="G176" s="39" t="str">
        <f t="shared" si="2"/>
        <v/>
      </c>
    </row>
    <row r="177" spans="7:7" x14ac:dyDescent="0.25">
      <c r="G177" s="39" t="str">
        <f t="shared" si="2"/>
        <v/>
      </c>
    </row>
    <row r="178" spans="7:7" x14ac:dyDescent="0.25">
      <c r="G178" s="39" t="str">
        <f t="shared" si="2"/>
        <v/>
      </c>
    </row>
    <row r="179" spans="7:7" x14ac:dyDescent="0.25">
      <c r="G179" s="39" t="str">
        <f t="shared" si="2"/>
        <v/>
      </c>
    </row>
    <row r="180" spans="7:7" x14ac:dyDescent="0.25">
      <c r="G180" s="39" t="str">
        <f t="shared" si="2"/>
        <v/>
      </c>
    </row>
    <row r="181" spans="7:7" x14ac:dyDescent="0.25">
      <c r="G181" s="39" t="str">
        <f t="shared" si="2"/>
        <v/>
      </c>
    </row>
    <row r="182" spans="7:7" x14ac:dyDescent="0.25">
      <c r="G182" s="39" t="str">
        <f t="shared" si="2"/>
        <v/>
      </c>
    </row>
    <row r="183" spans="7:7" x14ac:dyDescent="0.25">
      <c r="G183" s="39" t="str">
        <f t="shared" si="2"/>
        <v/>
      </c>
    </row>
    <row r="184" spans="7:7" x14ac:dyDescent="0.25">
      <c r="G184" s="39" t="str">
        <f t="shared" si="2"/>
        <v/>
      </c>
    </row>
    <row r="185" spans="7:7" x14ac:dyDescent="0.25">
      <c r="G185" s="39" t="str">
        <f t="shared" si="2"/>
        <v/>
      </c>
    </row>
    <row r="186" spans="7:7" x14ac:dyDescent="0.25">
      <c r="G186" s="39" t="str">
        <f t="shared" si="2"/>
        <v/>
      </c>
    </row>
    <row r="187" spans="7:7" x14ac:dyDescent="0.25">
      <c r="G187" s="39" t="str">
        <f t="shared" si="2"/>
        <v/>
      </c>
    </row>
    <row r="188" spans="7:7" x14ac:dyDescent="0.25">
      <c r="G188" s="39" t="str">
        <f t="shared" si="2"/>
        <v/>
      </c>
    </row>
    <row r="189" spans="7:7" x14ac:dyDescent="0.25">
      <c r="G189" s="39" t="str">
        <f t="shared" si="2"/>
        <v/>
      </c>
    </row>
    <row r="190" spans="7:7" x14ac:dyDescent="0.25">
      <c r="G190" s="39" t="str">
        <f t="shared" si="2"/>
        <v/>
      </c>
    </row>
    <row r="191" spans="7:7" x14ac:dyDescent="0.25">
      <c r="G191" s="39" t="str">
        <f t="shared" si="2"/>
        <v/>
      </c>
    </row>
    <row r="192" spans="7:7" x14ac:dyDescent="0.25">
      <c r="G192" s="39" t="str">
        <f t="shared" si="2"/>
        <v/>
      </c>
    </row>
    <row r="193" spans="7:7" x14ac:dyDescent="0.25">
      <c r="G193" s="39" t="str">
        <f t="shared" si="2"/>
        <v/>
      </c>
    </row>
    <row r="194" spans="7:7" x14ac:dyDescent="0.25">
      <c r="G194" s="39" t="str">
        <f t="shared" si="2"/>
        <v/>
      </c>
    </row>
    <row r="195" spans="7:7" x14ac:dyDescent="0.25">
      <c r="G195" s="39" t="str">
        <f t="shared" si="2"/>
        <v/>
      </c>
    </row>
    <row r="196" spans="7:7" x14ac:dyDescent="0.25">
      <c r="G196" s="39" t="str">
        <f t="shared" si="2"/>
        <v/>
      </c>
    </row>
    <row r="197" spans="7:7" x14ac:dyDescent="0.25">
      <c r="G197" s="39" t="str">
        <f t="shared" si="2"/>
        <v/>
      </c>
    </row>
    <row r="198" spans="7:7" x14ac:dyDescent="0.25">
      <c r="G198" s="39" t="str">
        <f t="shared" si="2"/>
        <v/>
      </c>
    </row>
    <row r="199" spans="7:7" x14ac:dyDescent="0.25">
      <c r="G199" s="39" t="str">
        <f t="shared" si="2"/>
        <v/>
      </c>
    </row>
    <row r="200" spans="7:7" x14ac:dyDescent="0.25">
      <c r="G200" s="39" t="str">
        <f t="shared" si="2"/>
        <v/>
      </c>
    </row>
    <row r="201" spans="7:7" x14ac:dyDescent="0.25">
      <c r="G201" s="39" t="str">
        <f t="shared" si="2"/>
        <v/>
      </c>
    </row>
    <row r="202" spans="7:7" x14ac:dyDescent="0.25">
      <c r="G202" s="39" t="str">
        <f t="shared" si="2"/>
        <v/>
      </c>
    </row>
    <row r="203" spans="7:7" x14ac:dyDescent="0.25">
      <c r="G203" s="39" t="str">
        <f t="shared" si="2"/>
        <v/>
      </c>
    </row>
    <row r="204" spans="7:7" x14ac:dyDescent="0.25">
      <c r="G204" s="39" t="str">
        <f t="shared" si="2"/>
        <v/>
      </c>
    </row>
    <row r="205" spans="7:7" x14ac:dyDescent="0.25">
      <c r="G205" s="39" t="str">
        <f t="shared" si="2"/>
        <v/>
      </c>
    </row>
    <row r="206" spans="7:7" x14ac:dyDescent="0.25">
      <c r="G206" s="39" t="str">
        <f t="shared" si="2"/>
        <v/>
      </c>
    </row>
    <row r="207" spans="7:7" x14ac:dyDescent="0.25">
      <c r="G207" s="39" t="str">
        <f t="shared" si="2"/>
        <v/>
      </c>
    </row>
    <row r="208" spans="7:7" x14ac:dyDescent="0.25">
      <c r="G208" s="39" t="str">
        <f t="shared" si="2"/>
        <v/>
      </c>
    </row>
    <row r="209" spans="7:7" x14ac:dyDescent="0.25">
      <c r="G209" s="39" t="str">
        <f t="shared" si="2"/>
        <v/>
      </c>
    </row>
    <row r="210" spans="7:7" x14ac:dyDescent="0.25">
      <c r="G210" s="39" t="str">
        <f t="shared" si="2"/>
        <v/>
      </c>
    </row>
    <row r="211" spans="7:7" x14ac:dyDescent="0.25">
      <c r="G211" s="39" t="str">
        <f t="shared" ref="G211:G274" si="3">IF(A211=0,"","Fiber")</f>
        <v/>
      </c>
    </row>
    <row r="212" spans="7:7" x14ac:dyDescent="0.25">
      <c r="G212" s="39" t="str">
        <f t="shared" si="3"/>
        <v/>
      </c>
    </row>
    <row r="213" spans="7:7" x14ac:dyDescent="0.25">
      <c r="G213" s="39" t="str">
        <f t="shared" si="3"/>
        <v/>
      </c>
    </row>
    <row r="214" spans="7:7" x14ac:dyDescent="0.25">
      <c r="G214" s="39" t="str">
        <f t="shared" si="3"/>
        <v/>
      </c>
    </row>
    <row r="215" spans="7:7" x14ac:dyDescent="0.25">
      <c r="G215" s="39" t="str">
        <f t="shared" si="3"/>
        <v/>
      </c>
    </row>
    <row r="216" spans="7:7" x14ac:dyDescent="0.25">
      <c r="G216" s="39" t="str">
        <f t="shared" si="3"/>
        <v/>
      </c>
    </row>
    <row r="217" spans="7:7" x14ac:dyDescent="0.25">
      <c r="G217" s="39" t="str">
        <f t="shared" si="3"/>
        <v/>
      </c>
    </row>
    <row r="218" spans="7:7" x14ac:dyDescent="0.25">
      <c r="G218" s="39" t="str">
        <f t="shared" si="3"/>
        <v/>
      </c>
    </row>
    <row r="219" spans="7:7" x14ac:dyDescent="0.25">
      <c r="G219" s="39" t="str">
        <f t="shared" si="3"/>
        <v/>
      </c>
    </row>
    <row r="220" spans="7:7" x14ac:dyDescent="0.25">
      <c r="G220" s="39" t="str">
        <f t="shared" si="3"/>
        <v/>
      </c>
    </row>
    <row r="221" spans="7:7" x14ac:dyDescent="0.25">
      <c r="G221" s="39" t="str">
        <f t="shared" si="3"/>
        <v/>
      </c>
    </row>
    <row r="222" spans="7:7" x14ac:dyDescent="0.25">
      <c r="G222" s="39" t="str">
        <f t="shared" si="3"/>
        <v/>
      </c>
    </row>
    <row r="223" spans="7:7" x14ac:dyDescent="0.25">
      <c r="G223" s="39" t="str">
        <f t="shared" si="3"/>
        <v/>
      </c>
    </row>
    <row r="224" spans="7:7" x14ac:dyDescent="0.25">
      <c r="G224" s="39" t="str">
        <f t="shared" si="3"/>
        <v/>
      </c>
    </row>
    <row r="225" spans="7:7" x14ac:dyDescent="0.25">
      <c r="G225" s="39" t="str">
        <f t="shared" si="3"/>
        <v/>
      </c>
    </row>
    <row r="226" spans="7:7" x14ac:dyDescent="0.25">
      <c r="G226" s="39" t="str">
        <f t="shared" si="3"/>
        <v/>
      </c>
    </row>
    <row r="227" spans="7:7" x14ac:dyDescent="0.25">
      <c r="G227" s="39" t="str">
        <f t="shared" si="3"/>
        <v/>
      </c>
    </row>
    <row r="228" spans="7:7" x14ac:dyDescent="0.25">
      <c r="G228" s="39" t="str">
        <f t="shared" si="3"/>
        <v/>
      </c>
    </row>
    <row r="229" spans="7:7" x14ac:dyDescent="0.25">
      <c r="G229" s="39" t="str">
        <f t="shared" si="3"/>
        <v/>
      </c>
    </row>
    <row r="230" spans="7:7" x14ac:dyDescent="0.25">
      <c r="G230" s="39" t="str">
        <f t="shared" si="3"/>
        <v/>
      </c>
    </row>
    <row r="231" spans="7:7" x14ac:dyDescent="0.25">
      <c r="G231" s="39" t="str">
        <f t="shared" si="3"/>
        <v/>
      </c>
    </row>
    <row r="232" spans="7:7" x14ac:dyDescent="0.25">
      <c r="G232" s="39" t="str">
        <f t="shared" si="3"/>
        <v/>
      </c>
    </row>
    <row r="233" spans="7:7" x14ac:dyDescent="0.25">
      <c r="G233" s="39" t="str">
        <f t="shared" si="3"/>
        <v/>
      </c>
    </row>
    <row r="234" spans="7:7" x14ac:dyDescent="0.25">
      <c r="G234" s="39" t="str">
        <f t="shared" si="3"/>
        <v/>
      </c>
    </row>
    <row r="235" spans="7:7" x14ac:dyDescent="0.25">
      <c r="G235" s="39" t="str">
        <f t="shared" si="3"/>
        <v/>
      </c>
    </row>
    <row r="236" spans="7:7" x14ac:dyDescent="0.25">
      <c r="G236" s="39" t="str">
        <f t="shared" si="3"/>
        <v/>
      </c>
    </row>
    <row r="237" spans="7:7" x14ac:dyDescent="0.25">
      <c r="G237" s="39" t="str">
        <f t="shared" si="3"/>
        <v/>
      </c>
    </row>
    <row r="238" spans="7:7" x14ac:dyDescent="0.25">
      <c r="G238" s="39" t="str">
        <f t="shared" si="3"/>
        <v/>
      </c>
    </row>
    <row r="239" spans="7:7" x14ac:dyDescent="0.25">
      <c r="G239" s="39" t="str">
        <f t="shared" si="3"/>
        <v/>
      </c>
    </row>
    <row r="240" spans="7:7" x14ac:dyDescent="0.25">
      <c r="G240" s="39" t="str">
        <f t="shared" si="3"/>
        <v/>
      </c>
    </row>
    <row r="241" spans="7:7" x14ac:dyDescent="0.25">
      <c r="G241" s="39" t="str">
        <f t="shared" si="3"/>
        <v/>
      </c>
    </row>
    <row r="242" spans="7:7" x14ac:dyDescent="0.25">
      <c r="G242" s="39" t="str">
        <f t="shared" si="3"/>
        <v/>
      </c>
    </row>
    <row r="243" spans="7:7" x14ac:dyDescent="0.25">
      <c r="G243" s="39" t="str">
        <f t="shared" si="3"/>
        <v/>
      </c>
    </row>
    <row r="244" spans="7:7" x14ac:dyDescent="0.25">
      <c r="G244" s="39" t="str">
        <f t="shared" si="3"/>
        <v/>
      </c>
    </row>
    <row r="245" spans="7:7" x14ac:dyDescent="0.25">
      <c r="G245" s="39" t="str">
        <f t="shared" si="3"/>
        <v/>
      </c>
    </row>
    <row r="246" spans="7:7" x14ac:dyDescent="0.25">
      <c r="G246" s="39" t="str">
        <f t="shared" si="3"/>
        <v/>
      </c>
    </row>
    <row r="247" spans="7:7" x14ac:dyDescent="0.25">
      <c r="G247" s="39" t="str">
        <f t="shared" si="3"/>
        <v/>
      </c>
    </row>
    <row r="248" spans="7:7" x14ac:dyDescent="0.25">
      <c r="G248" s="39" t="str">
        <f t="shared" si="3"/>
        <v/>
      </c>
    </row>
    <row r="249" spans="7:7" x14ac:dyDescent="0.25">
      <c r="G249" s="39" t="str">
        <f t="shared" si="3"/>
        <v/>
      </c>
    </row>
    <row r="250" spans="7:7" x14ac:dyDescent="0.25">
      <c r="G250" s="39" t="str">
        <f t="shared" si="3"/>
        <v/>
      </c>
    </row>
    <row r="251" spans="7:7" x14ac:dyDescent="0.25">
      <c r="G251" s="39" t="str">
        <f t="shared" si="3"/>
        <v/>
      </c>
    </row>
    <row r="252" spans="7:7" x14ac:dyDescent="0.25">
      <c r="G252" s="39" t="str">
        <f t="shared" si="3"/>
        <v/>
      </c>
    </row>
    <row r="253" spans="7:7" x14ac:dyDescent="0.25">
      <c r="G253" s="39" t="str">
        <f t="shared" si="3"/>
        <v/>
      </c>
    </row>
    <row r="254" spans="7:7" x14ac:dyDescent="0.25">
      <c r="G254" s="39" t="str">
        <f t="shared" si="3"/>
        <v/>
      </c>
    </row>
    <row r="255" spans="7:7" x14ac:dyDescent="0.25">
      <c r="G255" s="39" t="str">
        <f t="shared" si="3"/>
        <v/>
      </c>
    </row>
    <row r="256" spans="7:7" x14ac:dyDescent="0.25">
      <c r="G256" s="39" t="str">
        <f t="shared" si="3"/>
        <v/>
      </c>
    </row>
    <row r="257" spans="7:7" x14ac:dyDescent="0.25">
      <c r="G257" s="39" t="str">
        <f t="shared" si="3"/>
        <v/>
      </c>
    </row>
    <row r="258" spans="7:7" x14ac:dyDescent="0.25">
      <c r="G258" s="39" t="str">
        <f t="shared" si="3"/>
        <v/>
      </c>
    </row>
    <row r="259" spans="7:7" x14ac:dyDescent="0.25">
      <c r="G259" s="39" t="str">
        <f t="shared" si="3"/>
        <v/>
      </c>
    </row>
    <row r="260" spans="7:7" x14ac:dyDescent="0.25">
      <c r="G260" s="39" t="str">
        <f t="shared" si="3"/>
        <v/>
      </c>
    </row>
    <row r="261" spans="7:7" x14ac:dyDescent="0.25">
      <c r="G261" s="39" t="str">
        <f t="shared" si="3"/>
        <v/>
      </c>
    </row>
    <row r="262" spans="7:7" x14ac:dyDescent="0.25">
      <c r="G262" s="39" t="str">
        <f t="shared" si="3"/>
        <v/>
      </c>
    </row>
    <row r="263" spans="7:7" x14ac:dyDescent="0.25">
      <c r="G263" s="39" t="str">
        <f t="shared" si="3"/>
        <v/>
      </c>
    </row>
    <row r="264" spans="7:7" x14ac:dyDescent="0.25">
      <c r="G264" s="39" t="str">
        <f t="shared" si="3"/>
        <v/>
      </c>
    </row>
    <row r="265" spans="7:7" x14ac:dyDescent="0.25">
      <c r="G265" s="39" t="str">
        <f t="shared" si="3"/>
        <v/>
      </c>
    </row>
    <row r="266" spans="7:7" x14ac:dyDescent="0.25">
      <c r="G266" s="39" t="str">
        <f t="shared" si="3"/>
        <v/>
      </c>
    </row>
    <row r="267" spans="7:7" x14ac:dyDescent="0.25">
      <c r="G267" s="39" t="str">
        <f t="shared" si="3"/>
        <v/>
      </c>
    </row>
    <row r="268" spans="7:7" x14ac:dyDescent="0.25">
      <c r="G268" s="39" t="str">
        <f t="shared" si="3"/>
        <v/>
      </c>
    </row>
    <row r="269" spans="7:7" x14ac:dyDescent="0.25">
      <c r="G269" s="39" t="str">
        <f t="shared" si="3"/>
        <v/>
      </c>
    </row>
    <row r="270" spans="7:7" x14ac:dyDescent="0.25">
      <c r="G270" s="39" t="str">
        <f t="shared" si="3"/>
        <v/>
      </c>
    </row>
    <row r="271" spans="7:7" x14ac:dyDescent="0.25">
      <c r="G271" s="39" t="str">
        <f t="shared" si="3"/>
        <v/>
      </c>
    </row>
    <row r="272" spans="7:7" x14ac:dyDescent="0.25">
      <c r="G272" s="39" t="str">
        <f t="shared" si="3"/>
        <v/>
      </c>
    </row>
    <row r="273" spans="7:7" x14ac:dyDescent="0.25">
      <c r="G273" s="39" t="str">
        <f t="shared" si="3"/>
        <v/>
      </c>
    </row>
    <row r="274" spans="7:7" x14ac:dyDescent="0.25">
      <c r="G274" s="39" t="str">
        <f t="shared" si="3"/>
        <v/>
      </c>
    </row>
    <row r="275" spans="7:7" x14ac:dyDescent="0.25">
      <c r="G275" s="39" t="str">
        <f t="shared" ref="G275:G338" si="4">IF(A275=0,"","Fiber")</f>
        <v/>
      </c>
    </row>
    <row r="276" spans="7:7" x14ac:dyDescent="0.25">
      <c r="G276" s="39" t="str">
        <f t="shared" si="4"/>
        <v/>
      </c>
    </row>
    <row r="277" spans="7:7" x14ac:dyDescent="0.25">
      <c r="G277" s="39" t="str">
        <f t="shared" si="4"/>
        <v/>
      </c>
    </row>
    <row r="278" spans="7:7" x14ac:dyDescent="0.25">
      <c r="G278" s="39" t="str">
        <f t="shared" si="4"/>
        <v/>
      </c>
    </row>
    <row r="279" spans="7:7" x14ac:dyDescent="0.25">
      <c r="G279" s="39" t="str">
        <f t="shared" si="4"/>
        <v/>
      </c>
    </row>
    <row r="280" spans="7:7" x14ac:dyDescent="0.25">
      <c r="G280" s="39" t="str">
        <f t="shared" si="4"/>
        <v/>
      </c>
    </row>
    <row r="281" spans="7:7" x14ac:dyDescent="0.25">
      <c r="G281" s="39" t="str">
        <f t="shared" si="4"/>
        <v/>
      </c>
    </row>
    <row r="282" spans="7:7" x14ac:dyDescent="0.25">
      <c r="G282" s="39" t="str">
        <f t="shared" si="4"/>
        <v/>
      </c>
    </row>
    <row r="283" spans="7:7" x14ac:dyDescent="0.25">
      <c r="G283" s="39" t="str">
        <f t="shared" si="4"/>
        <v/>
      </c>
    </row>
    <row r="284" spans="7:7" x14ac:dyDescent="0.25">
      <c r="G284" s="39" t="str">
        <f t="shared" si="4"/>
        <v/>
      </c>
    </row>
    <row r="285" spans="7:7" x14ac:dyDescent="0.25">
      <c r="G285" s="39" t="str">
        <f t="shared" si="4"/>
        <v/>
      </c>
    </row>
    <row r="286" spans="7:7" x14ac:dyDescent="0.25">
      <c r="G286" s="39" t="str">
        <f t="shared" si="4"/>
        <v/>
      </c>
    </row>
    <row r="287" spans="7:7" x14ac:dyDescent="0.25">
      <c r="G287" s="39" t="str">
        <f t="shared" si="4"/>
        <v/>
      </c>
    </row>
    <row r="288" spans="7:7" x14ac:dyDescent="0.25">
      <c r="G288" s="39" t="str">
        <f t="shared" si="4"/>
        <v/>
      </c>
    </row>
    <row r="289" spans="7:7" x14ac:dyDescent="0.25">
      <c r="G289" s="39" t="str">
        <f t="shared" si="4"/>
        <v/>
      </c>
    </row>
    <row r="290" spans="7:7" x14ac:dyDescent="0.25">
      <c r="G290" s="39" t="str">
        <f t="shared" si="4"/>
        <v/>
      </c>
    </row>
    <row r="291" spans="7:7" x14ac:dyDescent="0.25">
      <c r="G291" s="39" t="str">
        <f t="shared" si="4"/>
        <v/>
      </c>
    </row>
    <row r="292" spans="7:7" x14ac:dyDescent="0.25">
      <c r="G292" s="39" t="str">
        <f t="shared" si="4"/>
        <v/>
      </c>
    </row>
    <row r="293" spans="7:7" x14ac:dyDescent="0.25">
      <c r="G293" s="39" t="str">
        <f t="shared" si="4"/>
        <v/>
      </c>
    </row>
    <row r="294" spans="7:7" x14ac:dyDescent="0.25">
      <c r="G294" s="39" t="str">
        <f t="shared" si="4"/>
        <v/>
      </c>
    </row>
    <row r="295" spans="7:7" x14ac:dyDescent="0.25">
      <c r="G295" s="39" t="str">
        <f t="shared" si="4"/>
        <v/>
      </c>
    </row>
    <row r="296" spans="7:7" x14ac:dyDescent="0.25">
      <c r="G296" s="39" t="str">
        <f t="shared" si="4"/>
        <v/>
      </c>
    </row>
    <row r="297" spans="7:7" x14ac:dyDescent="0.25">
      <c r="G297" s="39" t="str">
        <f t="shared" si="4"/>
        <v/>
      </c>
    </row>
    <row r="298" spans="7:7" x14ac:dyDescent="0.25">
      <c r="G298" s="39" t="str">
        <f t="shared" si="4"/>
        <v/>
      </c>
    </row>
    <row r="299" spans="7:7" x14ac:dyDescent="0.25">
      <c r="G299" s="39" t="str">
        <f t="shared" si="4"/>
        <v/>
      </c>
    </row>
    <row r="300" spans="7:7" x14ac:dyDescent="0.25">
      <c r="G300" s="39" t="str">
        <f t="shared" si="4"/>
        <v/>
      </c>
    </row>
    <row r="301" spans="7:7" x14ac:dyDescent="0.25">
      <c r="G301" s="39" t="str">
        <f t="shared" si="4"/>
        <v/>
      </c>
    </row>
    <row r="302" spans="7:7" x14ac:dyDescent="0.25">
      <c r="G302" s="39" t="str">
        <f t="shared" si="4"/>
        <v/>
      </c>
    </row>
    <row r="303" spans="7:7" x14ac:dyDescent="0.25">
      <c r="G303" s="39" t="str">
        <f t="shared" si="4"/>
        <v/>
      </c>
    </row>
    <row r="304" spans="7:7" x14ac:dyDescent="0.25">
      <c r="G304" s="39" t="str">
        <f t="shared" si="4"/>
        <v/>
      </c>
    </row>
    <row r="305" spans="7:7" x14ac:dyDescent="0.25">
      <c r="G305" s="39" t="str">
        <f t="shared" si="4"/>
        <v/>
      </c>
    </row>
    <row r="306" spans="7:7" x14ac:dyDescent="0.25">
      <c r="G306" s="39" t="str">
        <f t="shared" si="4"/>
        <v/>
      </c>
    </row>
    <row r="307" spans="7:7" x14ac:dyDescent="0.25">
      <c r="G307" s="39" t="str">
        <f t="shared" si="4"/>
        <v/>
      </c>
    </row>
    <row r="308" spans="7:7" x14ac:dyDescent="0.25">
      <c r="G308" s="39" t="str">
        <f t="shared" si="4"/>
        <v/>
      </c>
    </row>
    <row r="309" spans="7:7" x14ac:dyDescent="0.25">
      <c r="G309" s="39" t="str">
        <f t="shared" si="4"/>
        <v/>
      </c>
    </row>
    <row r="310" spans="7:7" x14ac:dyDescent="0.25">
      <c r="G310" s="39" t="str">
        <f t="shared" si="4"/>
        <v/>
      </c>
    </row>
    <row r="311" spans="7:7" x14ac:dyDescent="0.25">
      <c r="G311" s="39" t="str">
        <f t="shared" si="4"/>
        <v/>
      </c>
    </row>
    <row r="312" spans="7:7" x14ac:dyDescent="0.25">
      <c r="G312" s="39" t="str">
        <f t="shared" si="4"/>
        <v/>
      </c>
    </row>
    <row r="313" spans="7:7" x14ac:dyDescent="0.25">
      <c r="G313" s="39" t="str">
        <f t="shared" si="4"/>
        <v/>
      </c>
    </row>
    <row r="314" spans="7:7" x14ac:dyDescent="0.25">
      <c r="G314" s="39" t="str">
        <f t="shared" si="4"/>
        <v/>
      </c>
    </row>
    <row r="315" spans="7:7" x14ac:dyDescent="0.25">
      <c r="G315" s="39" t="str">
        <f t="shared" si="4"/>
        <v/>
      </c>
    </row>
    <row r="316" spans="7:7" x14ac:dyDescent="0.25">
      <c r="G316" s="39" t="str">
        <f t="shared" si="4"/>
        <v/>
      </c>
    </row>
    <row r="317" spans="7:7" x14ac:dyDescent="0.25">
      <c r="G317" s="39" t="str">
        <f t="shared" si="4"/>
        <v/>
      </c>
    </row>
    <row r="318" spans="7:7" x14ac:dyDescent="0.25">
      <c r="G318" s="39" t="str">
        <f t="shared" si="4"/>
        <v/>
      </c>
    </row>
    <row r="319" spans="7:7" x14ac:dyDescent="0.25">
      <c r="G319" s="39" t="str">
        <f t="shared" si="4"/>
        <v/>
      </c>
    </row>
    <row r="320" spans="7:7" x14ac:dyDescent="0.25">
      <c r="G320" s="39" t="str">
        <f t="shared" si="4"/>
        <v/>
      </c>
    </row>
    <row r="321" spans="7:7" x14ac:dyDescent="0.25">
      <c r="G321" s="39" t="str">
        <f t="shared" si="4"/>
        <v/>
      </c>
    </row>
    <row r="322" spans="7:7" x14ac:dyDescent="0.25">
      <c r="G322" s="39" t="str">
        <f t="shared" si="4"/>
        <v/>
      </c>
    </row>
    <row r="323" spans="7:7" x14ac:dyDescent="0.25">
      <c r="G323" s="39" t="str">
        <f t="shared" si="4"/>
        <v/>
      </c>
    </row>
    <row r="324" spans="7:7" x14ac:dyDescent="0.25">
      <c r="G324" s="39" t="str">
        <f t="shared" si="4"/>
        <v/>
      </c>
    </row>
    <row r="325" spans="7:7" x14ac:dyDescent="0.25">
      <c r="G325" s="39" t="str">
        <f t="shared" si="4"/>
        <v/>
      </c>
    </row>
    <row r="326" spans="7:7" x14ac:dyDescent="0.25">
      <c r="G326" s="39" t="str">
        <f t="shared" si="4"/>
        <v/>
      </c>
    </row>
    <row r="327" spans="7:7" x14ac:dyDescent="0.25">
      <c r="G327" s="39" t="str">
        <f t="shared" si="4"/>
        <v/>
      </c>
    </row>
    <row r="328" spans="7:7" x14ac:dyDescent="0.25">
      <c r="G328" s="39" t="str">
        <f t="shared" si="4"/>
        <v/>
      </c>
    </row>
    <row r="329" spans="7:7" x14ac:dyDescent="0.25">
      <c r="G329" s="39" t="str">
        <f t="shared" si="4"/>
        <v/>
      </c>
    </row>
    <row r="330" spans="7:7" x14ac:dyDescent="0.25">
      <c r="G330" s="39" t="str">
        <f t="shared" si="4"/>
        <v/>
      </c>
    </row>
    <row r="331" spans="7:7" x14ac:dyDescent="0.25">
      <c r="G331" s="39" t="str">
        <f t="shared" si="4"/>
        <v/>
      </c>
    </row>
    <row r="332" spans="7:7" x14ac:dyDescent="0.25">
      <c r="G332" s="39" t="str">
        <f t="shared" si="4"/>
        <v/>
      </c>
    </row>
    <row r="333" spans="7:7" x14ac:dyDescent="0.25">
      <c r="G333" s="39" t="str">
        <f t="shared" si="4"/>
        <v/>
      </c>
    </row>
    <row r="334" spans="7:7" x14ac:dyDescent="0.25">
      <c r="G334" s="39" t="str">
        <f t="shared" si="4"/>
        <v/>
      </c>
    </row>
    <row r="335" spans="7:7" x14ac:dyDescent="0.25">
      <c r="G335" s="39" t="str">
        <f t="shared" si="4"/>
        <v/>
      </c>
    </row>
    <row r="336" spans="7:7" x14ac:dyDescent="0.25">
      <c r="G336" s="39" t="str">
        <f t="shared" si="4"/>
        <v/>
      </c>
    </row>
    <row r="337" spans="7:7" x14ac:dyDescent="0.25">
      <c r="G337" s="39" t="str">
        <f t="shared" si="4"/>
        <v/>
      </c>
    </row>
    <row r="338" spans="7:7" x14ac:dyDescent="0.25">
      <c r="G338" s="39" t="str">
        <f t="shared" si="4"/>
        <v/>
      </c>
    </row>
    <row r="339" spans="7:7" x14ac:dyDescent="0.25">
      <c r="G339" s="39" t="str">
        <f t="shared" ref="G339:G402" si="5">IF(A339=0,"","Fiber")</f>
        <v/>
      </c>
    </row>
    <row r="340" spans="7:7" x14ac:dyDescent="0.25">
      <c r="G340" s="39" t="str">
        <f t="shared" si="5"/>
        <v/>
      </c>
    </row>
    <row r="341" spans="7:7" x14ac:dyDescent="0.25">
      <c r="G341" s="39" t="str">
        <f t="shared" si="5"/>
        <v/>
      </c>
    </row>
    <row r="342" spans="7:7" x14ac:dyDescent="0.25">
      <c r="G342" s="39" t="str">
        <f t="shared" si="5"/>
        <v/>
      </c>
    </row>
    <row r="343" spans="7:7" x14ac:dyDescent="0.25">
      <c r="G343" s="39" t="str">
        <f t="shared" si="5"/>
        <v/>
      </c>
    </row>
    <row r="344" spans="7:7" x14ac:dyDescent="0.25">
      <c r="G344" s="39" t="str">
        <f t="shared" si="5"/>
        <v/>
      </c>
    </row>
    <row r="345" spans="7:7" x14ac:dyDescent="0.25">
      <c r="G345" s="39" t="str">
        <f t="shared" si="5"/>
        <v/>
      </c>
    </row>
    <row r="346" spans="7:7" x14ac:dyDescent="0.25">
      <c r="G346" s="39" t="str">
        <f t="shared" si="5"/>
        <v/>
      </c>
    </row>
    <row r="347" spans="7:7" x14ac:dyDescent="0.25">
      <c r="G347" s="39" t="str">
        <f t="shared" si="5"/>
        <v/>
      </c>
    </row>
    <row r="348" spans="7:7" x14ac:dyDescent="0.25">
      <c r="G348" s="39" t="str">
        <f t="shared" si="5"/>
        <v/>
      </c>
    </row>
    <row r="349" spans="7:7" x14ac:dyDescent="0.25">
      <c r="G349" s="39" t="str">
        <f t="shared" si="5"/>
        <v/>
      </c>
    </row>
    <row r="350" spans="7:7" x14ac:dyDescent="0.25">
      <c r="G350" s="39" t="str">
        <f t="shared" si="5"/>
        <v/>
      </c>
    </row>
    <row r="351" spans="7:7" x14ac:dyDescent="0.25">
      <c r="G351" s="39" t="str">
        <f t="shared" si="5"/>
        <v/>
      </c>
    </row>
    <row r="352" spans="7:7" x14ac:dyDescent="0.25">
      <c r="G352" s="39" t="str">
        <f t="shared" si="5"/>
        <v/>
      </c>
    </row>
    <row r="353" spans="7:7" x14ac:dyDescent="0.25">
      <c r="G353" s="39" t="str">
        <f t="shared" si="5"/>
        <v/>
      </c>
    </row>
    <row r="354" spans="7:7" x14ac:dyDescent="0.25">
      <c r="G354" s="39" t="str">
        <f t="shared" si="5"/>
        <v/>
      </c>
    </row>
    <row r="355" spans="7:7" x14ac:dyDescent="0.25">
      <c r="G355" s="39" t="str">
        <f t="shared" si="5"/>
        <v/>
      </c>
    </row>
    <row r="356" spans="7:7" x14ac:dyDescent="0.25">
      <c r="G356" s="39" t="str">
        <f t="shared" si="5"/>
        <v/>
      </c>
    </row>
    <row r="357" spans="7:7" x14ac:dyDescent="0.25">
      <c r="G357" s="39" t="str">
        <f t="shared" si="5"/>
        <v/>
      </c>
    </row>
    <row r="358" spans="7:7" x14ac:dyDescent="0.25">
      <c r="G358" s="39" t="str">
        <f t="shared" si="5"/>
        <v/>
      </c>
    </row>
    <row r="359" spans="7:7" x14ac:dyDescent="0.25">
      <c r="G359" s="39" t="str">
        <f t="shared" si="5"/>
        <v/>
      </c>
    </row>
    <row r="360" spans="7:7" x14ac:dyDescent="0.25">
      <c r="G360" s="39" t="str">
        <f t="shared" si="5"/>
        <v/>
      </c>
    </row>
    <row r="361" spans="7:7" x14ac:dyDescent="0.25">
      <c r="G361" s="39" t="str">
        <f t="shared" si="5"/>
        <v/>
      </c>
    </row>
    <row r="362" spans="7:7" x14ac:dyDescent="0.25">
      <c r="G362" s="39" t="str">
        <f t="shared" si="5"/>
        <v/>
      </c>
    </row>
    <row r="363" spans="7:7" x14ac:dyDescent="0.25">
      <c r="G363" s="39" t="str">
        <f t="shared" si="5"/>
        <v/>
      </c>
    </row>
    <row r="364" spans="7:7" x14ac:dyDescent="0.25">
      <c r="G364" s="39" t="str">
        <f t="shared" si="5"/>
        <v/>
      </c>
    </row>
    <row r="365" spans="7:7" x14ac:dyDescent="0.25">
      <c r="G365" s="39" t="str">
        <f t="shared" si="5"/>
        <v/>
      </c>
    </row>
    <row r="366" spans="7:7" x14ac:dyDescent="0.25">
      <c r="G366" s="39" t="str">
        <f t="shared" si="5"/>
        <v/>
      </c>
    </row>
    <row r="367" spans="7:7" x14ac:dyDescent="0.25">
      <c r="G367" s="39" t="str">
        <f t="shared" si="5"/>
        <v/>
      </c>
    </row>
    <row r="368" spans="7:7" x14ac:dyDescent="0.25">
      <c r="G368" s="39" t="str">
        <f t="shared" si="5"/>
        <v/>
      </c>
    </row>
    <row r="369" spans="7:7" x14ac:dyDescent="0.25">
      <c r="G369" s="39" t="str">
        <f t="shared" si="5"/>
        <v/>
      </c>
    </row>
    <row r="370" spans="7:7" x14ac:dyDescent="0.25">
      <c r="G370" s="39" t="str">
        <f t="shared" si="5"/>
        <v/>
      </c>
    </row>
    <row r="371" spans="7:7" x14ac:dyDescent="0.25">
      <c r="G371" s="39" t="str">
        <f t="shared" si="5"/>
        <v/>
      </c>
    </row>
    <row r="372" spans="7:7" x14ac:dyDescent="0.25">
      <c r="G372" s="39" t="str">
        <f t="shared" si="5"/>
        <v/>
      </c>
    </row>
    <row r="373" spans="7:7" x14ac:dyDescent="0.25">
      <c r="G373" s="39" t="str">
        <f t="shared" si="5"/>
        <v/>
      </c>
    </row>
    <row r="374" spans="7:7" x14ac:dyDescent="0.25">
      <c r="G374" s="39" t="str">
        <f t="shared" si="5"/>
        <v/>
      </c>
    </row>
    <row r="375" spans="7:7" x14ac:dyDescent="0.25">
      <c r="G375" s="39" t="str">
        <f t="shared" si="5"/>
        <v/>
      </c>
    </row>
    <row r="376" spans="7:7" x14ac:dyDescent="0.25">
      <c r="G376" s="39" t="str">
        <f t="shared" si="5"/>
        <v/>
      </c>
    </row>
    <row r="377" spans="7:7" x14ac:dyDescent="0.25">
      <c r="G377" s="39" t="str">
        <f t="shared" si="5"/>
        <v/>
      </c>
    </row>
    <row r="378" spans="7:7" x14ac:dyDescent="0.25">
      <c r="G378" s="39" t="str">
        <f t="shared" si="5"/>
        <v/>
      </c>
    </row>
    <row r="379" spans="7:7" x14ac:dyDescent="0.25">
      <c r="G379" s="39" t="str">
        <f t="shared" si="5"/>
        <v/>
      </c>
    </row>
    <row r="380" spans="7:7" x14ac:dyDescent="0.25">
      <c r="G380" s="39" t="str">
        <f t="shared" si="5"/>
        <v/>
      </c>
    </row>
    <row r="381" spans="7:7" x14ac:dyDescent="0.25">
      <c r="G381" s="39" t="str">
        <f t="shared" si="5"/>
        <v/>
      </c>
    </row>
    <row r="382" spans="7:7" x14ac:dyDescent="0.25">
      <c r="G382" s="39" t="str">
        <f t="shared" si="5"/>
        <v/>
      </c>
    </row>
    <row r="383" spans="7:7" x14ac:dyDescent="0.25">
      <c r="G383" s="39" t="str">
        <f t="shared" si="5"/>
        <v/>
      </c>
    </row>
    <row r="384" spans="7:7" x14ac:dyDescent="0.25">
      <c r="G384" s="39" t="str">
        <f t="shared" si="5"/>
        <v/>
      </c>
    </row>
    <row r="385" spans="7:7" x14ac:dyDescent="0.25">
      <c r="G385" s="39" t="str">
        <f t="shared" si="5"/>
        <v/>
      </c>
    </row>
    <row r="386" spans="7:7" x14ac:dyDescent="0.25">
      <c r="G386" s="39" t="str">
        <f t="shared" si="5"/>
        <v/>
      </c>
    </row>
    <row r="387" spans="7:7" x14ac:dyDescent="0.25">
      <c r="G387" s="39" t="str">
        <f t="shared" si="5"/>
        <v/>
      </c>
    </row>
    <row r="388" spans="7:7" x14ac:dyDescent="0.25">
      <c r="G388" s="39" t="str">
        <f t="shared" si="5"/>
        <v/>
      </c>
    </row>
    <row r="389" spans="7:7" x14ac:dyDescent="0.25">
      <c r="G389" s="39" t="str">
        <f t="shared" si="5"/>
        <v/>
      </c>
    </row>
    <row r="390" spans="7:7" x14ac:dyDescent="0.25">
      <c r="G390" s="39" t="str">
        <f t="shared" si="5"/>
        <v/>
      </c>
    </row>
    <row r="391" spans="7:7" x14ac:dyDescent="0.25">
      <c r="G391" s="39" t="str">
        <f t="shared" si="5"/>
        <v/>
      </c>
    </row>
    <row r="392" spans="7:7" x14ac:dyDescent="0.25">
      <c r="G392" s="39" t="str">
        <f t="shared" si="5"/>
        <v/>
      </c>
    </row>
    <row r="393" spans="7:7" x14ac:dyDescent="0.25">
      <c r="G393" s="39" t="str">
        <f t="shared" si="5"/>
        <v/>
      </c>
    </row>
    <row r="394" spans="7:7" x14ac:dyDescent="0.25">
      <c r="G394" s="39" t="str">
        <f t="shared" si="5"/>
        <v/>
      </c>
    </row>
    <row r="395" spans="7:7" x14ac:dyDescent="0.25">
      <c r="G395" s="39" t="str">
        <f t="shared" si="5"/>
        <v/>
      </c>
    </row>
    <row r="396" spans="7:7" x14ac:dyDescent="0.25">
      <c r="G396" s="39" t="str">
        <f t="shared" si="5"/>
        <v/>
      </c>
    </row>
    <row r="397" spans="7:7" x14ac:dyDescent="0.25">
      <c r="G397" s="39" t="str">
        <f t="shared" si="5"/>
        <v/>
      </c>
    </row>
    <row r="398" spans="7:7" x14ac:dyDescent="0.25">
      <c r="G398" s="39" t="str">
        <f t="shared" si="5"/>
        <v/>
      </c>
    </row>
    <row r="399" spans="7:7" x14ac:dyDescent="0.25">
      <c r="G399" s="39" t="str">
        <f t="shared" si="5"/>
        <v/>
      </c>
    </row>
    <row r="400" spans="7:7" x14ac:dyDescent="0.25">
      <c r="G400" s="39" t="str">
        <f t="shared" si="5"/>
        <v/>
      </c>
    </row>
    <row r="401" spans="7:7" x14ac:dyDescent="0.25">
      <c r="G401" s="39" t="str">
        <f t="shared" si="5"/>
        <v/>
      </c>
    </row>
    <row r="402" spans="7:7" x14ac:dyDescent="0.25">
      <c r="G402" s="39" t="str">
        <f t="shared" si="5"/>
        <v/>
      </c>
    </row>
    <row r="403" spans="7:7" x14ac:dyDescent="0.25">
      <c r="G403" s="39" t="str">
        <f t="shared" ref="G403:G466" si="6">IF(A403=0,"","Fiber")</f>
        <v/>
      </c>
    </row>
    <row r="404" spans="7:7" x14ac:dyDescent="0.25">
      <c r="G404" s="39" t="str">
        <f t="shared" si="6"/>
        <v/>
      </c>
    </row>
    <row r="405" spans="7:7" x14ac:dyDescent="0.25">
      <c r="G405" s="39" t="str">
        <f t="shared" si="6"/>
        <v/>
      </c>
    </row>
    <row r="406" spans="7:7" x14ac:dyDescent="0.25">
      <c r="G406" s="39" t="str">
        <f t="shared" si="6"/>
        <v/>
      </c>
    </row>
    <row r="407" spans="7:7" x14ac:dyDescent="0.25">
      <c r="G407" s="39" t="str">
        <f t="shared" si="6"/>
        <v/>
      </c>
    </row>
    <row r="408" spans="7:7" x14ac:dyDescent="0.25">
      <c r="G408" s="39" t="str">
        <f t="shared" si="6"/>
        <v/>
      </c>
    </row>
    <row r="409" spans="7:7" x14ac:dyDescent="0.25">
      <c r="G409" s="39" t="str">
        <f t="shared" si="6"/>
        <v/>
      </c>
    </row>
    <row r="410" spans="7:7" x14ac:dyDescent="0.25">
      <c r="G410" s="39" t="str">
        <f t="shared" si="6"/>
        <v/>
      </c>
    </row>
    <row r="411" spans="7:7" x14ac:dyDescent="0.25">
      <c r="G411" s="39" t="str">
        <f t="shared" si="6"/>
        <v/>
      </c>
    </row>
    <row r="412" spans="7:7" x14ac:dyDescent="0.25">
      <c r="G412" s="39" t="str">
        <f t="shared" si="6"/>
        <v/>
      </c>
    </row>
    <row r="413" spans="7:7" x14ac:dyDescent="0.25">
      <c r="G413" s="39" t="str">
        <f t="shared" si="6"/>
        <v/>
      </c>
    </row>
    <row r="414" spans="7:7" x14ac:dyDescent="0.25">
      <c r="G414" s="39" t="str">
        <f t="shared" si="6"/>
        <v/>
      </c>
    </row>
    <row r="415" spans="7:7" x14ac:dyDescent="0.25">
      <c r="G415" s="39" t="str">
        <f t="shared" si="6"/>
        <v/>
      </c>
    </row>
    <row r="416" spans="7:7" x14ac:dyDescent="0.25">
      <c r="G416" s="39" t="str">
        <f t="shared" si="6"/>
        <v/>
      </c>
    </row>
    <row r="417" spans="7:7" x14ac:dyDescent="0.25">
      <c r="G417" s="39" t="str">
        <f t="shared" si="6"/>
        <v/>
      </c>
    </row>
    <row r="418" spans="7:7" x14ac:dyDescent="0.25">
      <c r="G418" s="39" t="str">
        <f t="shared" si="6"/>
        <v/>
      </c>
    </row>
    <row r="419" spans="7:7" x14ac:dyDescent="0.25">
      <c r="G419" s="39" t="str">
        <f t="shared" si="6"/>
        <v/>
      </c>
    </row>
    <row r="420" spans="7:7" x14ac:dyDescent="0.25">
      <c r="G420" s="39" t="str">
        <f t="shared" si="6"/>
        <v/>
      </c>
    </row>
    <row r="421" spans="7:7" x14ac:dyDescent="0.25">
      <c r="G421" s="39" t="str">
        <f t="shared" si="6"/>
        <v/>
      </c>
    </row>
    <row r="422" spans="7:7" x14ac:dyDescent="0.25">
      <c r="G422" s="39" t="str">
        <f t="shared" si="6"/>
        <v/>
      </c>
    </row>
    <row r="423" spans="7:7" x14ac:dyDescent="0.25">
      <c r="G423" s="39" t="str">
        <f t="shared" si="6"/>
        <v/>
      </c>
    </row>
    <row r="424" spans="7:7" x14ac:dyDescent="0.25">
      <c r="G424" s="39" t="str">
        <f t="shared" si="6"/>
        <v/>
      </c>
    </row>
    <row r="425" spans="7:7" x14ac:dyDescent="0.25">
      <c r="G425" s="39" t="str">
        <f t="shared" si="6"/>
        <v/>
      </c>
    </row>
    <row r="426" spans="7:7" x14ac:dyDescent="0.25">
      <c r="G426" s="39" t="str">
        <f t="shared" si="6"/>
        <v/>
      </c>
    </row>
    <row r="427" spans="7:7" x14ac:dyDescent="0.25">
      <c r="G427" s="39" t="str">
        <f t="shared" si="6"/>
        <v/>
      </c>
    </row>
    <row r="428" spans="7:7" x14ac:dyDescent="0.25">
      <c r="G428" s="39" t="str">
        <f t="shared" si="6"/>
        <v/>
      </c>
    </row>
    <row r="429" spans="7:7" x14ac:dyDescent="0.25">
      <c r="G429" s="39" t="str">
        <f t="shared" si="6"/>
        <v/>
      </c>
    </row>
    <row r="430" spans="7:7" x14ac:dyDescent="0.25">
      <c r="G430" s="39" t="str">
        <f t="shared" si="6"/>
        <v/>
      </c>
    </row>
    <row r="431" spans="7:7" x14ac:dyDescent="0.25">
      <c r="G431" s="39" t="str">
        <f t="shared" si="6"/>
        <v/>
      </c>
    </row>
    <row r="432" spans="7:7" x14ac:dyDescent="0.25">
      <c r="G432" s="39" t="str">
        <f t="shared" si="6"/>
        <v/>
      </c>
    </row>
    <row r="433" spans="7:7" x14ac:dyDescent="0.25">
      <c r="G433" s="39" t="str">
        <f t="shared" si="6"/>
        <v/>
      </c>
    </row>
    <row r="434" spans="7:7" x14ac:dyDescent="0.25">
      <c r="G434" s="39" t="str">
        <f t="shared" si="6"/>
        <v/>
      </c>
    </row>
    <row r="435" spans="7:7" x14ac:dyDescent="0.25">
      <c r="G435" s="39" t="str">
        <f t="shared" si="6"/>
        <v/>
      </c>
    </row>
    <row r="436" spans="7:7" x14ac:dyDescent="0.25">
      <c r="G436" s="39" t="str">
        <f t="shared" si="6"/>
        <v/>
      </c>
    </row>
    <row r="437" spans="7:7" x14ac:dyDescent="0.25">
      <c r="G437" s="39" t="str">
        <f t="shared" si="6"/>
        <v/>
      </c>
    </row>
    <row r="438" spans="7:7" x14ac:dyDescent="0.25">
      <c r="G438" s="39" t="str">
        <f t="shared" si="6"/>
        <v/>
      </c>
    </row>
    <row r="439" spans="7:7" x14ac:dyDescent="0.25">
      <c r="G439" s="39" t="str">
        <f t="shared" si="6"/>
        <v/>
      </c>
    </row>
    <row r="440" spans="7:7" x14ac:dyDescent="0.25">
      <c r="G440" s="39" t="str">
        <f t="shared" si="6"/>
        <v/>
      </c>
    </row>
    <row r="441" spans="7:7" x14ac:dyDescent="0.25">
      <c r="G441" s="39" t="str">
        <f t="shared" si="6"/>
        <v/>
      </c>
    </row>
    <row r="442" spans="7:7" x14ac:dyDescent="0.25">
      <c r="G442" s="39" t="str">
        <f t="shared" si="6"/>
        <v/>
      </c>
    </row>
    <row r="443" spans="7:7" x14ac:dyDescent="0.25">
      <c r="G443" s="39" t="str">
        <f t="shared" si="6"/>
        <v/>
      </c>
    </row>
    <row r="444" spans="7:7" x14ac:dyDescent="0.25">
      <c r="G444" s="39" t="str">
        <f t="shared" si="6"/>
        <v/>
      </c>
    </row>
    <row r="445" spans="7:7" x14ac:dyDescent="0.25">
      <c r="G445" s="39" t="str">
        <f t="shared" si="6"/>
        <v/>
      </c>
    </row>
    <row r="446" spans="7:7" x14ac:dyDescent="0.25">
      <c r="G446" s="39" t="str">
        <f t="shared" si="6"/>
        <v/>
      </c>
    </row>
    <row r="447" spans="7:7" x14ac:dyDescent="0.25">
      <c r="G447" s="39" t="str">
        <f t="shared" si="6"/>
        <v/>
      </c>
    </row>
    <row r="448" spans="7:7" x14ac:dyDescent="0.25">
      <c r="G448" s="39" t="str">
        <f t="shared" si="6"/>
        <v/>
      </c>
    </row>
    <row r="449" spans="7:7" x14ac:dyDescent="0.25">
      <c r="G449" s="39" t="str">
        <f t="shared" si="6"/>
        <v/>
      </c>
    </row>
    <row r="450" spans="7:7" x14ac:dyDescent="0.25">
      <c r="G450" s="39" t="str">
        <f t="shared" si="6"/>
        <v/>
      </c>
    </row>
    <row r="451" spans="7:7" x14ac:dyDescent="0.25">
      <c r="G451" s="39" t="str">
        <f t="shared" si="6"/>
        <v/>
      </c>
    </row>
    <row r="452" spans="7:7" x14ac:dyDescent="0.25">
      <c r="G452" s="39" t="str">
        <f t="shared" si="6"/>
        <v/>
      </c>
    </row>
    <row r="453" spans="7:7" x14ac:dyDescent="0.25">
      <c r="G453" s="39" t="str">
        <f t="shared" si="6"/>
        <v/>
      </c>
    </row>
    <row r="454" spans="7:7" x14ac:dyDescent="0.25">
      <c r="G454" s="39" t="str">
        <f t="shared" si="6"/>
        <v/>
      </c>
    </row>
    <row r="455" spans="7:7" x14ac:dyDescent="0.25">
      <c r="G455" s="39" t="str">
        <f t="shared" si="6"/>
        <v/>
      </c>
    </row>
    <row r="456" spans="7:7" x14ac:dyDescent="0.25">
      <c r="G456" s="39" t="str">
        <f t="shared" si="6"/>
        <v/>
      </c>
    </row>
    <row r="457" spans="7:7" x14ac:dyDescent="0.25">
      <c r="G457" s="39" t="str">
        <f t="shared" si="6"/>
        <v/>
      </c>
    </row>
    <row r="458" spans="7:7" x14ac:dyDescent="0.25">
      <c r="G458" s="39" t="str">
        <f t="shared" si="6"/>
        <v/>
      </c>
    </row>
    <row r="459" spans="7:7" x14ac:dyDescent="0.25">
      <c r="G459" s="39" t="str">
        <f t="shared" si="6"/>
        <v/>
      </c>
    </row>
    <row r="460" spans="7:7" x14ac:dyDescent="0.25">
      <c r="G460" s="39" t="str">
        <f t="shared" si="6"/>
        <v/>
      </c>
    </row>
    <row r="461" spans="7:7" x14ac:dyDescent="0.25">
      <c r="G461" s="39" t="str">
        <f t="shared" si="6"/>
        <v/>
      </c>
    </row>
    <row r="462" spans="7:7" x14ac:dyDescent="0.25">
      <c r="G462" s="39" t="str">
        <f t="shared" si="6"/>
        <v/>
      </c>
    </row>
    <row r="463" spans="7:7" x14ac:dyDescent="0.25">
      <c r="G463" s="39" t="str">
        <f t="shared" si="6"/>
        <v/>
      </c>
    </row>
    <row r="464" spans="7:7" x14ac:dyDescent="0.25">
      <c r="G464" s="39" t="str">
        <f t="shared" si="6"/>
        <v/>
      </c>
    </row>
    <row r="465" spans="7:7" x14ac:dyDescent="0.25">
      <c r="G465" s="39" t="str">
        <f t="shared" si="6"/>
        <v/>
      </c>
    </row>
    <row r="466" spans="7:7" x14ac:dyDescent="0.25">
      <c r="G466" s="39" t="str">
        <f t="shared" si="6"/>
        <v/>
      </c>
    </row>
    <row r="467" spans="7:7" x14ac:dyDescent="0.25">
      <c r="G467" s="39" t="str">
        <f t="shared" ref="G467:G530" si="7">IF(A467=0,"","Fiber")</f>
        <v/>
      </c>
    </row>
    <row r="468" spans="7:7" x14ac:dyDescent="0.25">
      <c r="G468" s="39" t="str">
        <f t="shared" si="7"/>
        <v/>
      </c>
    </row>
    <row r="469" spans="7:7" x14ac:dyDescent="0.25">
      <c r="G469" s="39" t="str">
        <f t="shared" si="7"/>
        <v/>
      </c>
    </row>
    <row r="470" spans="7:7" x14ac:dyDescent="0.25">
      <c r="G470" s="39" t="str">
        <f t="shared" si="7"/>
        <v/>
      </c>
    </row>
    <row r="471" spans="7:7" x14ac:dyDescent="0.25">
      <c r="G471" s="39" t="str">
        <f t="shared" si="7"/>
        <v/>
      </c>
    </row>
    <row r="472" spans="7:7" x14ac:dyDescent="0.25">
      <c r="G472" s="39" t="str">
        <f t="shared" si="7"/>
        <v/>
      </c>
    </row>
    <row r="473" spans="7:7" x14ac:dyDescent="0.25">
      <c r="G473" s="39" t="str">
        <f t="shared" si="7"/>
        <v/>
      </c>
    </row>
    <row r="474" spans="7:7" x14ac:dyDescent="0.25">
      <c r="G474" s="39" t="str">
        <f t="shared" si="7"/>
        <v/>
      </c>
    </row>
    <row r="475" spans="7:7" x14ac:dyDescent="0.25">
      <c r="G475" s="39" t="str">
        <f t="shared" si="7"/>
        <v/>
      </c>
    </row>
    <row r="476" spans="7:7" x14ac:dyDescent="0.25">
      <c r="G476" s="39" t="str">
        <f t="shared" si="7"/>
        <v/>
      </c>
    </row>
    <row r="477" spans="7:7" x14ac:dyDescent="0.25">
      <c r="G477" s="39" t="str">
        <f t="shared" si="7"/>
        <v/>
      </c>
    </row>
    <row r="478" spans="7:7" x14ac:dyDescent="0.25">
      <c r="G478" s="39" t="str">
        <f t="shared" si="7"/>
        <v/>
      </c>
    </row>
    <row r="479" spans="7:7" x14ac:dyDescent="0.25">
      <c r="G479" s="39" t="str">
        <f t="shared" si="7"/>
        <v/>
      </c>
    </row>
    <row r="480" spans="7:7" x14ac:dyDescent="0.25">
      <c r="G480" s="39" t="str">
        <f t="shared" si="7"/>
        <v/>
      </c>
    </row>
    <row r="481" spans="7:7" x14ac:dyDescent="0.25">
      <c r="G481" s="39" t="str">
        <f t="shared" si="7"/>
        <v/>
      </c>
    </row>
    <row r="482" spans="7:7" x14ac:dyDescent="0.25">
      <c r="G482" s="39" t="str">
        <f t="shared" si="7"/>
        <v/>
      </c>
    </row>
    <row r="483" spans="7:7" x14ac:dyDescent="0.25">
      <c r="G483" s="39" t="str">
        <f t="shared" si="7"/>
        <v/>
      </c>
    </row>
    <row r="484" spans="7:7" x14ac:dyDescent="0.25">
      <c r="G484" s="39" t="str">
        <f t="shared" si="7"/>
        <v/>
      </c>
    </row>
    <row r="485" spans="7:7" x14ac:dyDescent="0.25">
      <c r="G485" s="39" t="str">
        <f t="shared" si="7"/>
        <v/>
      </c>
    </row>
    <row r="486" spans="7:7" x14ac:dyDescent="0.25">
      <c r="G486" s="39" t="str">
        <f t="shared" si="7"/>
        <v/>
      </c>
    </row>
    <row r="487" spans="7:7" x14ac:dyDescent="0.25">
      <c r="G487" s="39" t="str">
        <f t="shared" si="7"/>
        <v/>
      </c>
    </row>
    <row r="488" spans="7:7" x14ac:dyDescent="0.25">
      <c r="G488" s="39" t="str">
        <f t="shared" si="7"/>
        <v/>
      </c>
    </row>
    <row r="489" spans="7:7" x14ac:dyDescent="0.25">
      <c r="G489" s="39" t="str">
        <f t="shared" si="7"/>
        <v/>
      </c>
    </row>
    <row r="490" spans="7:7" x14ac:dyDescent="0.25">
      <c r="G490" s="39" t="str">
        <f t="shared" si="7"/>
        <v/>
      </c>
    </row>
    <row r="491" spans="7:7" x14ac:dyDescent="0.25">
      <c r="G491" s="39" t="str">
        <f t="shared" si="7"/>
        <v/>
      </c>
    </row>
    <row r="492" spans="7:7" x14ac:dyDescent="0.25">
      <c r="G492" s="39" t="str">
        <f t="shared" si="7"/>
        <v/>
      </c>
    </row>
    <row r="493" spans="7:7" x14ac:dyDescent="0.25">
      <c r="G493" s="39" t="str">
        <f t="shared" si="7"/>
        <v/>
      </c>
    </row>
    <row r="494" spans="7:7" x14ac:dyDescent="0.25">
      <c r="G494" s="39" t="str">
        <f t="shared" si="7"/>
        <v/>
      </c>
    </row>
    <row r="495" spans="7:7" x14ac:dyDescent="0.25">
      <c r="G495" s="39" t="str">
        <f t="shared" si="7"/>
        <v/>
      </c>
    </row>
    <row r="496" spans="7:7" x14ac:dyDescent="0.25">
      <c r="G496" s="39" t="str">
        <f t="shared" si="7"/>
        <v/>
      </c>
    </row>
    <row r="497" spans="7:7" x14ac:dyDescent="0.25">
      <c r="G497" s="39" t="str">
        <f t="shared" si="7"/>
        <v/>
      </c>
    </row>
    <row r="498" spans="7:7" x14ac:dyDescent="0.25">
      <c r="G498" s="39" t="str">
        <f t="shared" si="7"/>
        <v/>
      </c>
    </row>
    <row r="499" spans="7:7" x14ac:dyDescent="0.25">
      <c r="G499" s="39" t="str">
        <f t="shared" si="7"/>
        <v/>
      </c>
    </row>
    <row r="500" spans="7:7" x14ac:dyDescent="0.25">
      <c r="G500" s="39" t="str">
        <f t="shared" si="7"/>
        <v/>
      </c>
    </row>
    <row r="501" spans="7:7" x14ac:dyDescent="0.25">
      <c r="G501" s="39" t="str">
        <f t="shared" si="7"/>
        <v/>
      </c>
    </row>
    <row r="502" spans="7:7" x14ac:dyDescent="0.25">
      <c r="G502" s="39" t="str">
        <f t="shared" si="7"/>
        <v/>
      </c>
    </row>
    <row r="503" spans="7:7" x14ac:dyDescent="0.25">
      <c r="G503" s="39" t="str">
        <f t="shared" si="7"/>
        <v/>
      </c>
    </row>
    <row r="504" spans="7:7" x14ac:dyDescent="0.25">
      <c r="G504" s="39" t="str">
        <f t="shared" si="7"/>
        <v/>
      </c>
    </row>
    <row r="505" spans="7:7" x14ac:dyDescent="0.25">
      <c r="G505" s="39" t="str">
        <f t="shared" si="7"/>
        <v/>
      </c>
    </row>
    <row r="506" spans="7:7" x14ac:dyDescent="0.25">
      <c r="G506" s="39" t="str">
        <f t="shared" si="7"/>
        <v/>
      </c>
    </row>
    <row r="507" spans="7:7" x14ac:dyDescent="0.25">
      <c r="G507" s="39" t="str">
        <f t="shared" si="7"/>
        <v/>
      </c>
    </row>
    <row r="508" spans="7:7" x14ac:dyDescent="0.25">
      <c r="G508" s="39" t="str">
        <f t="shared" si="7"/>
        <v/>
      </c>
    </row>
    <row r="509" spans="7:7" x14ac:dyDescent="0.25">
      <c r="G509" s="39" t="str">
        <f t="shared" si="7"/>
        <v/>
      </c>
    </row>
    <row r="510" spans="7:7" x14ac:dyDescent="0.25">
      <c r="G510" s="39" t="str">
        <f t="shared" si="7"/>
        <v/>
      </c>
    </row>
    <row r="511" spans="7:7" x14ac:dyDescent="0.25">
      <c r="G511" s="39" t="str">
        <f t="shared" si="7"/>
        <v/>
      </c>
    </row>
    <row r="512" spans="7:7" x14ac:dyDescent="0.25">
      <c r="G512" s="39" t="str">
        <f t="shared" si="7"/>
        <v/>
      </c>
    </row>
    <row r="513" spans="7:7" x14ac:dyDescent="0.25">
      <c r="G513" s="39" t="str">
        <f t="shared" si="7"/>
        <v/>
      </c>
    </row>
    <row r="514" spans="7:7" x14ac:dyDescent="0.25">
      <c r="G514" s="39" t="str">
        <f t="shared" si="7"/>
        <v/>
      </c>
    </row>
    <row r="515" spans="7:7" x14ac:dyDescent="0.25">
      <c r="G515" s="39" t="str">
        <f t="shared" si="7"/>
        <v/>
      </c>
    </row>
    <row r="516" spans="7:7" x14ac:dyDescent="0.25">
      <c r="G516" s="39" t="str">
        <f t="shared" si="7"/>
        <v/>
      </c>
    </row>
    <row r="517" spans="7:7" x14ac:dyDescent="0.25">
      <c r="G517" s="39" t="str">
        <f t="shared" si="7"/>
        <v/>
      </c>
    </row>
    <row r="518" spans="7:7" x14ac:dyDescent="0.25">
      <c r="G518" s="39" t="str">
        <f t="shared" si="7"/>
        <v/>
      </c>
    </row>
    <row r="519" spans="7:7" x14ac:dyDescent="0.25">
      <c r="G519" s="39" t="str">
        <f t="shared" si="7"/>
        <v/>
      </c>
    </row>
    <row r="520" spans="7:7" x14ac:dyDescent="0.25">
      <c r="G520" s="39" t="str">
        <f t="shared" si="7"/>
        <v/>
      </c>
    </row>
    <row r="521" spans="7:7" x14ac:dyDescent="0.25">
      <c r="G521" s="39" t="str">
        <f t="shared" si="7"/>
        <v/>
      </c>
    </row>
    <row r="522" spans="7:7" x14ac:dyDescent="0.25">
      <c r="G522" s="39" t="str">
        <f t="shared" si="7"/>
        <v/>
      </c>
    </row>
    <row r="523" spans="7:7" x14ac:dyDescent="0.25">
      <c r="G523" s="39" t="str">
        <f t="shared" si="7"/>
        <v/>
      </c>
    </row>
    <row r="524" spans="7:7" x14ac:dyDescent="0.25">
      <c r="G524" s="39" t="str">
        <f t="shared" si="7"/>
        <v/>
      </c>
    </row>
    <row r="525" spans="7:7" x14ac:dyDescent="0.25">
      <c r="G525" s="39" t="str">
        <f t="shared" si="7"/>
        <v/>
      </c>
    </row>
    <row r="526" spans="7:7" x14ac:dyDescent="0.25">
      <c r="G526" s="39" t="str">
        <f t="shared" si="7"/>
        <v/>
      </c>
    </row>
    <row r="527" spans="7:7" x14ac:dyDescent="0.25">
      <c r="G527" s="39" t="str">
        <f t="shared" si="7"/>
        <v/>
      </c>
    </row>
    <row r="528" spans="7:7" x14ac:dyDescent="0.25">
      <c r="G528" s="39" t="str">
        <f t="shared" si="7"/>
        <v/>
      </c>
    </row>
    <row r="529" spans="7:7" x14ac:dyDescent="0.25">
      <c r="G529" s="39" t="str">
        <f t="shared" si="7"/>
        <v/>
      </c>
    </row>
    <row r="530" spans="7:7" x14ac:dyDescent="0.25">
      <c r="G530" s="39" t="str">
        <f t="shared" si="7"/>
        <v/>
      </c>
    </row>
    <row r="531" spans="7:7" x14ac:dyDescent="0.25">
      <c r="G531" s="39" t="str">
        <f t="shared" ref="G531:G594" si="8">IF(A531=0,"","Fiber")</f>
        <v/>
      </c>
    </row>
    <row r="532" spans="7:7" x14ac:dyDescent="0.25">
      <c r="G532" s="39" t="str">
        <f t="shared" si="8"/>
        <v/>
      </c>
    </row>
    <row r="533" spans="7:7" x14ac:dyDescent="0.25">
      <c r="G533" s="39" t="str">
        <f t="shared" si="8"/>
        <v/>
      </c>
    </row>
    <row r="534" spans="7:7" x14ac:dyDescent="0.25">
      <c r="G534" s="39" t="str">
        <f t="shared" si="8"/>
        <v/>
      </c>
    </row>
    <row r="535" spans="7:7" x14ac:dyDescent="0.25">
      <c r="G535" s="39" t="str">
        <f t="shared" si="8"/>
        <v/>
      </c>
    </row>
    <row r="536" spans="7:7" x14ac:dyDescent="0.25">
      <c r="G536" s="39" t="str">
        <f t="shared" si="8"/>
        <v/>
      </c>
    </row>
    <row r="537" spans="7:7" x14ac:dyDescent="0.25">
      <c r="G537" s="39" t="str">
        <f t="shared" si="8"/>
        <v/>
      </c>
    </row>
    <row r="538" spans="7:7" x14ac:dyDescent="0.25">
      <c r="G538" s="39" t="str">
        <f t="shared" si="8"/>
        <v/>
      </c>
    </row>
    <row r="539" spans="7:7" x14ac:dyDescent="0.25">
      <c r="G539" s="39" t="str">
        <f t="shared" si="8"/>
        <v/>
      </c>
    </row>
    <row r="540" spans="7:7" x14ac:dyDescent="0.25">
      <c r="G540" s="39" t="str">
        <f t="shared" si="8"/>
        <v/>
      </c>
    </row>
    <row r="541" spans="7:7" x14ac:dyDescent="0.25">
      <c r="G541" s="39" t="str">
        <f t="shared" si="8"/>
        <v/>
      </c>
    </row>
    <row r="542" spans="7:7" x14ac:dyDescent="0.25">
      <c r="G542" s="39" t="str">
        <f t="shared" si="8"/>
        <v/>
      </c>
    </row>
    <row r="543" spans="7:7" x14ac:dyDescent="0.25">
      <c r="G543" s="39" t="str">
        <f t="shared" si="8"/>
        <v/>
      </c>
    </row>
    <row r="544" spans="7:7" x14ac:dyDescent="0.25">
      <c r="G544" s="39" t="str">
        <f t="shared" si="8"/>
        <v/>
      </c>
    </row>
    <row r="545" spans="7:7" x14ac:dyDescent="0.25">
      <c r="G545" s="39" t="str">
        <f t="shared" si="8"/>
        <v/>
      </c>
    </row>
    <row r="546" spans="7:7" x14ac:dyDescent="0.25">
      <c r="G546" s="39" t="str">
        <f t="shared" si="8"/>
        <v/>
      </c>
    </row>
    <row r="547" spans="7:7" x14ac:dyDescent="0.25">
      <c r="G547" s="39" t="str">
        <f t="shared" si="8"/>
        <v/>
      </c>
    </row>
    <row r="548" spans="7:7" x14ac:dyDescent="0.25">
      <c r="G548" s="39" t="str">
        <f t="shared" si="8"/>
        <v/>
      </c>
    </row>
    <row r="549" spans="7:7" x14ac:dyDescent="0.25">
      <c r="G549" s="39" t="str">
        <f t="shared" si="8"/>
        <v/>
      </c>
    </row>
    <row r="550" spans="7:7" x14ac:dyDescent="0.25">
      <c r="G550" s="39" t="str">
        <f t="shared" si="8"/>
        <v/>
      </c>
    </row>
    <row r="551" spans="7:7" x14ac:dyDescent="0.25">
      <c r="G551" s="39" t="str">
        <f t="shared" si="8"/>
        <v/>
      </c>
    </row>
    <row r="552" spans="7:7" x14ac:dyDescent="0.25">
      <c r="G552" s="39" t="str">
        <f t="shared" si="8"/>
        <v/>
      </c>
    </row>
    <row r="553" spans="7:7" x14ac:dyDescent="0.25">
      <c r="G553" s="39" t="str">
        <f t="shared" si="8"/>
        <v/>
      </c>
    </row>
    <row r="554" spans="7:7" x14ac:dyDescent="0.25">
      <c r="G554" s="39" t="str">
        <f t="shared" si="8"/>
        <v/>
      </c>
    </row>
    <row r="555" spans="7:7" x14ac:dyDescent="0.25">
      <c r="G555" s="39" t="str">
        <f t="shared" si="8"/>
        <v/>
      </c>
    </row>
    <row r="556" spans="7:7" x14ac:dyDescent="0.25">
      <c r="G556" s="39" t="str">
        <f t="shared" si="8"/>
        <v/>
      </c>
    </row>
    <row r="557" spans="7:7" x14ac:dyDescent="0.25">
      <c r="G557" s="39" t="str">
        <f t="shared" si="8"/>
        <v/>
      </c>
    </row>
    <row r="558" spans="7:7" x14ac:dyDescent="0.25">
      <c r="G558" s="39" t="str">
        <f t="shared" si="8"/>
        <v/>
      </c>
    </row>
    <row r="559" spans="7:7" x14ac:dyDescent="0.25">
      <c r="G559" s="39" t="str">
        <f t="shared" si="8"/>
        <v/>
      </c>
    </row>
    <row r="560" spans="7:7" x14ac:dyDescent="0.25">
      <c r="G560" s="39" t="str">
        <f t="shared" si="8"/>
        <v/>
      </c>
    </row>
    <row r="561" spans="7:7" x14ac:dyDescent="0.25">
      <c r="G561" s="39" t="str">
        <f t="shared" si="8"/>
        <v/>
      </c>
    </row>
    <row r="562" spans="7:7" x14ac:dyDescent="0.25">
      <c r="G562" s="39" t="str">
        <f t="shared" si="8"/>
        <v/>
      </c>
    </row>
    <row r="563" spans="7:7" x14ac:dyDescent="0.25">
      <c r="G563" s="39" t="str">
        <f t="shared" si="8"/>
        <v/>
      </c>
    </row>
    <row r="564" spans="7:7" x14ac:dyDescent="0.25">
      <c r="G564" s="39" t="str">
        <f t="shared" si="8"/>
        <v/>
      </c>
    </row>
    <row r="565" spans="7:7" x14ac:dyDescent="0.25">
      <c r="G565" s="39" t="str">
        <f t="shared" si="8"/>
        <v/>
      </c>
    </row>
    <row r="566" spans="7:7" x14ac:dyDescent="0.25">
      <c r="G566" s="39" t="str">
        <f t="shared" si="8"/>
        <v/>
      </c>
    </row>
    <row r="567" spans="7:7" x14ac:dyDescent="0.25">
      <c r="G567" s="39" t="str">
        <f t="shared" si="8"/>
        <v/>
      </c>
    </row>
    <row r="568" spans="7:7" x14ac:dyDescent="0.25">
      <c r="G568" s="39" t="str">
        <f t="shared" si="8"/>
        <v/>
      </c>
    </row>
    <row r="569" spans="7:7" x14ac:dyDescent="0.25">
      <c r="G569" s="39" t="str">
        <f t="shared" si="8"/>
        <v/>
      </c>
    </row>
    <row r="570" spans="7:7" x14ac:dyDescent="0.25">
      <c r="G570" s="39" t="str">
        <f t="shared" si="8"/>
        <v/>
      </c>
    </row>
    <row r="571" spans="7:7" x14ac:dyDescent="0.25">
      <c r="G571" s="39" t="str">
        <f t="shared" si="8"/>
        <v/>
      </c>
    </row>
    <row r="572" spans="7:7" x14ac:dyDescent="0.25">
      <c r="G572" s="39" t="str">
        <f t="shared" si="8"/>
        <v/>
      </c>
    </row>
    <row r="573" spans="7:7" x14ac:dyDescent="0.25">
      <c r="G573" s="39" t="str">
        <f t="shared" si="8"/>
        <v/>
      </c>
    </row>
    <row r="574" spans="7:7" x14ac:dyDescent="0.25">
      <c r="G574" s="39" t="str">
        <f t="shared" si="8"/>
        <v/>
      </c>
    </row>
    <row r="575" spans="7:7" x14ac:dyDescent="0.25">
      <c r="G575" s="39" t="str">
        <f t="shared" si="8"/>
        <v/>
      </c>
    </row>
    <row r="576" spans="7:7" x14ac:dyDescent="0.25">
      <c r="G576" s="39" t="str">
        <f t="shared" si="8"/>
        <v/>
      </c>
    </row>
    <row r="577" spans="7:7" x14ac:dyDescent="0.25">
      <c r="G577" s="39" t="str">
        <f t="shared" si="8"/>
        <v/>
      </c>
    </row>
    <row r="578" spans="7:7" x14ac:dyDescent="0.25">
      <c r="G578" s="39" t="str">
        <f t="shared" si="8"/>
        <v/>
      </c>
    </row>
    <row r="579" spans="7:7" x14ac:dyDescent="0.25">
      <c r="G579" s="39" t="str">
        <f t="shared" si="8"/>
        <v/>
      </c>
    </row>
    <row r="580" spans="7:7" x14ac:dyDescent="0.25">
      <c r="G580" s="39" t="str">
        <f t="shared" si="8"/>
        <v/>
      </c>
    </row>
    <row r="581" spans="7:7" x14ac:dyDescent="0.25">
      <c r="G581" s="39" t="str">
        <f t="shared" si="8"/>
        <v/>
      </c>
    </row>
    <row r="582" spans="7:7" x14ac:dyDescent="0.25">
      <c r="G582" s="39" t="str">
        <f t="shared" si="8"/>
        <v/>
      </c>
    </row>
    <row r="583" spans="7:7" x14ac:dyDescent="0.25">
      <c r="G583" s="39" t="str">
        <f t="shared" si="8"/>
        <v/>
      </c>
    </row>
    <row r="584" spans="7:7" x14ac:dyDescent="0.25">
      <c r="G584" s="39" t="str">
        <f t="shared" si="8"/>
        <v/>
      </c>
    </row>
    <row r="585" spans="7:7" x14ac:dyDescent="0.25">
      <c r="G585" s="39" t="str">
        <f t="shared" si="8"/>
        <v/>
      </c>
    </row>
    <row r="586" spans="7:7" x14ac:dyDescent="0.25">
      <c r="G586" s="39" t="str">
        <f t="shared" si="8"/>
        <v/>
      </c>
    </row>
    <row r="587" spans="7:7" x14ac:dyDescent="0.25">
      <c r="G587" s="39" t="str">
        <f t="shared" si="8"/>
        <v/>
      </c>
    </row>
    <row r="588" spans="7:7" x14ac:dyDescent="0.25">
      <c r="G588" s="39" t="str">
        <f t="shared" si="8"/>
        <v/>
      </c>
    </row>
    <row r="589" spans="7:7" x14ac:dyDescent="0.25">
      <c r="G589" s="39" t="str">
        <f t="shared" si="8"/>
        <v/>
      </c>
    </row>
    <row r="590" spans="7:7" x14ac:dyDescent="0.25">
      <c r="G590" s="39" t="str">
        <f t="shared" si="8"/>
        <v/>
      </c>
    </row>
    <row r="591" spans="7:7" x14ac:dyDescent="0.25">
      <c r="G591" s="39" t="str">
        <f t="shared" si="8"/>
        <v/>
      </c>
    </row>
    <row r="592" spans="7:7" x14ac:dyDescent="0.25">
      <c r="G592" s="39" t="str">
        <f t="shared" si="8"/>
        <v/>
      </c>
    </row>
    <row r="593" spans="7:7" x14ac:dyDescent="0.25">
      <c r="G593" s="39" t="str">
        <f t="shared" si="8"/>
        <v/>
      </c>
    </row>
    <row r="594" spans="7:7" x14ac:dyDescent="0.25">
      <c r="G594" s="39" t="str">
        <f t="shared" si="8"/>
        <v/>
      </c>
    </row>
    <row r="595" spans="7:7" x14ac:dyDescent="0.25">
      <c r="G595" s="39" t="str">
        <f t="shared" ref="G595:G658" si="9">IF(A595=0,"","Fiber")</f>
        <v/>
      </c>
    </row>
    <row r="596" spans="7:7" x14ac:dyDescent="0.25">
      <c r="G596" s="39" t="str">
        <f t="shared" si="9"/>
        <v/>
      </c>
    </row>
    <row r="597" spans="7:7" x14ac:dyDescent="0.25">
      <c r="G597" s="39" t="str">
        <f t="shared" si="9"/>
        <v/>
      </c>
    </row>
    <row r="598" spans="7:7" x14ac:dyDescent="0.25">
      <c r="G598" s="39" t="str">
        <f t="shared" si="9"/>
        <v/>
      </c>
    </row>
    <row r="599" spans="7:7" x14ac:dyDescent="0.25">
      <c r="G599" s="39" t="str">
        <f t="shared" si="9"/>
        <v/>
      </c>
    </row>
    <row r="600" spans="7:7" x14ac:dyDescent="0.25">
      <c r="G600" s="39" t="str">
        <f t="shared" si="9"/>
        <v/>
      </c>
    </row>
    <row r="601" spans="7:7" x14ac:dyDescent="0.25">
      <c r="G601" s="39" t="str">
        <f t="shared" si="9"/>
        <v/>
      </c>
    </row>
    <row r="602" spans="7:7" x14ac:dyDescent="0.25">
      <c r="G602" s="39" t="str">
        <f t="shared" si="9"/>
        <v/>
      </c>
    </row>
    <row r="603" spans="7:7" x14ac:dyDescent="0.25">
      <c r="G603" s="39" t="str">
        <f t="shared" si="9"/>
        <v/>
      </c>
    </row>
    <row r="604" spans="7:7" x14ac:dyDescent="0.25">
      <c r="G604" s="39" t="str">
        <f t="shared" si="9"/>
        <v/>
      </c>
    </row>
    <row r="605" spans="7:7" x14ac:dyDescent="0.25">
      <c r="G605" s="39" t="str">
        <f t="shared" si="9"/>
        <v/>
      </c>
    </row>
    <row r="606" spans="7:7" x14ac:dyDescent="0.25">
      <c r="G606" s="39" t="str">
        <f t="shared" si="9"/>
        <v/>
      </c>
    </row>
    <row r="607" spans="7:7" x14ac:dyDescent="0.25">
      <c r="G607" s="39" t="str">
        <f t="shared" si="9"/>
        <v/>
      </c>
    </row>
    <row r="608" spans="7:7" x14ac:dyDescent="0.25">
      <c r="G608" s="39" t="str">
        <f t="shared" si="9"/>
        <v/>
      </c>
    </row>
    <row r="609" spans="7:7" x14ac:dyDescent="0.25">
      <c r="G609" s="39" t="str">
        <f t="shared" si="9"/>
        <v/>
      </c>
    </row>
    <row r="610" spans="7:7" x14ac:dyDescent="0.25">
      <c r="G610" s="39" t="str">
        <f t="shared" si="9"/>
        <v/>
      </c>
    </row>
    <row r="611" spans="7:7" x14ac:dyDescent="0.25">
      <c r="G611" s="39" t="str">
        <f t="shared" si="9"/>
        <v/>
      </c>
    </row>
    <row r="612" spans="7:7" x14ac:dyDescent="0.25">
      <c r="G612" s="39" t="str">
        <f t="shared" si="9"/>
        <v/>
      </c>
    </row>
    <row r="613" spans="7:7" x14ac:dyDescent="0.25">
      <c r="G613" s="39" t="str">
        <f t="shared" si="9"/>
        <v/>
      </c>
    </row>
    <row r="614" spans="7:7" x14ac:dyDescent="0.25">
      <c r="G614" s="39" t="str">
        <f t="shared" si="9"/>
        <v/>
      </c>
    </row>
    <row r="615" spans="7:7" x14ac:dyDescent="0.25">
      <c r="G615" s="39" t="str">
        <f t="shared" si="9"/>
        <v/>
      </c>
    </row>
    <row r="616" spans="7:7" x14ac:dyDescent="0.25">
      <c r="G616" s="39" t="str">
        <f t="shared" si="9"/>
        <v/>
      </c>
    </row>
    <row r="617" spans="7:7" x14ac:dyDescent="0.25">
      <c r="G617" s="39" t="str">
        <f t="shared" si="9"/>
        <v/>
      </c>
    </row>
    <row r="618" spans="7:7" x14ac:dyDescent="0.25">
      <c r="G618" s="39" t="str">
        <f t="shared" si="9"/>
        <v/>
      </c>
    </row>
    <row r="619" spans="7:7" x14ac:dyDescent="0.25">
      <c r="G619" s="39" t="str">
        <f t="shared" si="9"/>
        <v/>
      </c>
    </row>
    <row r="620" spans="7:7" x14ac:dyDescent="0.25">
      <c r="G620" s="39" t="str">
        <f t="shared" si="9"/>
        <v/>
      </c>
    </row>
    <row r="621" spans="7:7" x14ac:dyDescent="0.25">
      <c r="G621" s="39" t="str">
        <f t="shared" si="9"/>
        <v/>
      </c>
    </row>
    <row r="622" spans="7:7" x14ac:dyDescent="0.25">
      <c r="G622" s="39" t="str">
        <f t="shared" si="9"/>
        <v/>
      </c>
    </row>
    <row r="623" spans="7:7" x14ac:dyDescent="0.25">
      <c r="G623" s="39" t="str">
        <f t="shared" si="9"/>
        <v/>
      </c>
    </row>
    <row r="624" spans="7:7" x14ac:dyDescent="0.25">
      <c r="G624" s="39" t="str">
        <f t="shared" si="9"/>
        <v/>
      </c>
    </row>
    <row r="625" spans="7:7" x14ac:dyDescent="0.25">
      <c r="G625" s="39" t="str">
        <f t="shared" si="9"/>
        <v/>
      </c>
    </row>
    <row r="626" spans="7:7" x14ac:dyDescent="0.25">
      <c r="G626" s="39" t="str">
        <f t="shared" si="9"/>
        <v/>
      </c>
    </row>
    <row r="627" spans="7:7" x14ac:dyDescent="0.25">
      <c r="G627" s="39" t="str">
        <f t="shared" si="9"/>
        <v/>
      </c>
    </row>
    <row r="628" spans="7:7" x14ac:dyDescent="0.25">
      <c r="G628" s="39" t="str">
        <f t="shared" si="9"/>
        <v/>
      </c>
    </row>
    <row r="629" spans="7:7" x14ac:dyDescent="0.25">
      <c r="G629" s="39" t="str">
        <f t="shared" si="9"/>
        <v/>
      </c>
    </row>
    <row r="630" spans="7:7" x14ac:dyDescent="0.25">
      <c r="G630" s="39" t="str">
        <f t="shared" si="9"/>
        <v/>
      </c>
    </row>
    <row r="631" spans="7:7" x14ac:dyDescent="0.25">
      <c r="G631" s="39" t="str">
        <f t="shared" si="9"/>
        <v/>
      </c>
    </row>
    <row r="632" spans="7:7" x14ac:dyDescent="0.25">
      <c r="G632" s="39" t="str">
        <f t="shared" si="9"/>
        <v/>
      </c>
    </row>
    <row r="633" spans="7:7" x14ac:dyDescent="0.25">
      <c r="G633" s="39" t="str">
        <f t="shared" si="9"/>
        <v/>
      </c>
    </row>
    <row r="634" spans="7:7" x14ac:dyDescent="0.25">
      <c r="G634" s="39" t="str">
        <f t="shared" si="9"/>
        <v/>
      </c>
    </row>
    <row r="635" spans="7:7" x14ac:dyDescent="0.25">
      <c r="G635" s="39" t="str">
        <f t="shared" si="9"/>
        <v/>
      </c>
    </row>
    <row r="636" spans="7:7" x14ac:dyDescent="0.25">
      <c r="G636" s="39" t="str">
        <f t="shared" si="9"/>
        <v/>
      </c>
    </row>
    <row r="637" spans="7:7" x14ac:dyDescent="0.25">
      <c r="G637" s="39" t="str">
        <f t="shared" si="9"/>
        <v/>
      </c>
    </row>
    <row r="638" spans="7:7" x14ac:dyDescent="0.25">
      <c r="G638" s="39" t="str">
        <f t="shared" si="9"/>
        <v/>
      </c>
    </row>
    <row r="639" spans="7:7" x14ac:dyDescent="0.25">
      <c r="G639" s="39" t="str">
        <f t="shared" si="9"/>
        <v/>
      </c>
    </row>
    <row r="640" spans="7:7" x14ac:dyDescent="0.25">
      <c r="G640" s="39" t="str">
        <f t="shared" si="9"/>
        <v/>
      </c>
    </row>
    <row r="641" spans="7:7" x14ac:dyDescent="0.25">
      <c r="G641" s="39" t="str">
        <f t="shared" si="9"/>
        <v/>
      </c>
    </row>
    <row r="642" spans="7:7" x14ac:dyDescent="0.25">
      <c r="G642" s="39" t="str">
        <f t="shared" si="9"/>
        <v/>
      </c>
    </row>
    <row r="643" spans="7:7" x14ac:dyDescent="0.25">
      <c r="G643" s="39" t="str">
        <f t="shared" si="9"/>
        <v/>
      </c>
    </row>
    <row r="644" spans="7:7" x14ac:dyDescent="0.25">
      <c r="G644" s="39" t="str">
        <f t="shared" si="9"/>
        <v/>
      </c>
    </row>
    <row r="645" spans="7:7" x14ac:dyDescent="0.25">
      <c r="G645" s="39" t="str">
        <f t="shared" si="9"/>
        <v/>
      </c>
    </row>
    <row r="646" spans="7:7" x14ac:dyDescent="0.25">
      <c r="G646" s="39" t="str">
        <f t="shared" si="9"/>
        <v/>
      </c>
    </row>
    <row r="647" spans="7:7" x14ac:dyDescent="0.25">
      <c r="G647" s="39" t="str">
        <f t="shared" si="9"/>
        <v/>
      </c>
    </row>
    <row r="648" spans="7:7" x14ac:dyDescent="0.25">
      <c r="G648" s="39" t="str">
        <f t="shared" si="9"/>
        <v/>
      </c>
    </row>
    <row r="649" spans="7:7" x14ac:dyDescent="0.25">
      <c r="G649" s="39" t="str">
        <f t="shared" si="9"/>
        <v/>
      </c>
    </row>
    <row r="650" spans="7:7" x14ac:dyDescent="0.25">
      <c r="G650" s="39" t="str">
        <f t="shared" si="9"/>
        <v/>
      </c>
    </row>
    <row r="651" spans="7:7" x14ac:dyDescent="0.25">
      <c r="G651" s="39" t="str">
        <f t="shared" si="9"/>
        <v/>
      </c>
    </row>
    <row r="652" spans="7:7" x14ac:dyDescent="0.25">
      <c r="G652" s="39" t="str">
        <f t="shared" si="9"/>
        <v/>
      </c>
    </row>
    <row r="653" spans="7:7" x14ac:dyDescent="0.25">
      <c r="G653" s="39" t="str">
        <f t="shared" si="9"/>
        <v/>
      </c>
    </row>
    <row r="654" spans="7:7" x14ac:dyDescent="0.25">
      <c r="G654" s="39" t="str">
        <f t="shared" si="9"/>
        <v/>
      </c>
    </row>
    <row r="655" spans="7:7" x14ac:dyDescent="0.25">
      <c r="G655" s="39" t="str">
        <f t="shared" si="9"/>
        <v/>
      </c>
    </row>
    <row r="656" spans="7:7" x14ac:dyDescent="0.25">
      <c r="G656" s="39" t="str">
        <f t="shared" si="9"/>
        <v/>
      </c>
    </row>
    <row r="657" spans="7:7" x14ac:dyDescent="0.25">
      <c r="G657" s="39" t="str">
        <f t="shared" si="9"/>
        <v/>
      </c>
    </row>
    <row r="658" spans="7:7" x14ac:dyDescent="0.25">
      <c r="G658" s="39" t="str">
        <f t="shared" si="9"/>
        <v/>
      </c>
    </row>
    <row r="659" spans="7:7" x14ac:dyDescent="0.25">
      <c r="G659" s="39" t="str">
        <f t="shared" ref="G659:G722" si="10">IF(A659=0,"","Fiber")</f>
        <v/>
      </c>
    </row>
    <row r="660" spans="7:7" x14ac:dyDescent="0.25">
      <c r="G660" s="39" t="str">
        <f t="shared" si="10"/>
        <v/>
      </c>
    </row>
    <row r="661" spans="7:7" x14ac:dyDescent="0.25">
      <c r="G661" s="39" t="str">
        <f t="shared" si="10"/>
        <v/>
      </c>
    </row>
    <row r="662" spans="7:7" x14ac:dyDescent="0.25">
      <c r="G662" s="39" t="str">
        <f t="shared" si="10"/>
        <v/>
      </c>
    </row>
    <row r="663" spans="7:7" x14ac:dyDescent="0.25">
      <c r="G663" s="39" t="str">
        <f t="shared" si="10"/>
        <v/>
      </c>
    </row>
    <row r="664" spans="7:7" x14ac:dyDescent="0.25">
      <c r="G664" s="39" t="str">
        <f t="shared" si="10"/>
        <v/>
      </c>
    </row>
    <row r="665" spans="7:7" x14ac:dyDescent="0.25">
      <c r="G665" s="39" t="str">
        <f t="shared" si="10"/>
        <v/>
      </c>
    </row>
    <row r="666" spans="7:7" x14ac:dyDescent="0.25">
      <c r="G666" s="39" t="str">
        <f t="shared" si="10"/>
        <v/>
      </c>
    </row>
    <row r="667" spans="7:7" x14ac:dyDescent="0.25">
      <c r="G667" s="39" t="str">
        <f t="shared" si="10"/>
        <v/>
      </c>
    </row>
    <row r="668" spans="7:7" x14ac:dyDescent="0.25">
      <c r="G668" s="39" t="str">
        <f t="shared" si="10"/>
        <v/>
      </c>
    </row>
    <row r="669" spans="7:7" x14ac:dyDescent="0.25">
      <c r="G669" s="39" t="str">
        <f t="shared" si="10"/>
        <v/>
      </c>
    </row>
    <row r="670" spans="7:7" x14ac:dyDescent="0.25">
      <c r="G670" s="39" t="str">
        <f t="shared" si="10"/>
        <v/>
      </c>
    </row>
    <row r="671" spans="7:7" x14ac:dyDescent="0.25">
      <c r="G671" s="39" t="str">
        <f t="shared" si="10"/>
        <v/>
      </c>
    </row>
    <row r="672" spans="7:7" x14ac:dyDescent="0.25">
      <c r="G672" s="39" t="str">
        <f t="shared" si="10"/>
        <v/>
      </c>
    </row>
    <row r="673" spans="7:7" x14ac:dyDescent="0.25">
      <c r="G673" s="39" t="str">
        <f t="shared" si="10"/>
        <v/>
      </c>
    </row>
    <row r="674" spans="7:7" x14ac:dyDescent="0.25">
      <c r="G674" s="39" t="str">
        <f t="shared" si="10"/>
        <v/>
      </c>
    </row>
    <row r="675" spans="7:7" x14ac:dyDescent="0.25">
      <c r="G675" s="39" t="str">
        <f t="shared" si="10"/>
        <v/>
      </c>
    </row>
    <row r="676" spans="7:7" x14ac:dyDescent="0.25">
      <c r="G676" s="39" t="str">
        <f t="shared" si="10"/>
        <v/>
      </c>
    </row>
    <row r="677" spans="7:7" x14ac:dyDescent="0.25">
      <c r="G677" s="39" t="str">
        <f t="shared" si="10"/>
        <v/>
      </c>
    </row>
    <row r="678" spans="7:7" x14ac:dyDescent="0.25">
      <c r="G678" s="39" t="str">
        <f t="shared" si="10"/>
        <v/>
      </c>
    </row>
    <row r="679" spans="7:7" x14ac:dyDescent="0.25">
      <c r="G679" s="39" t="str">
        <f t="shared" si="10"/>
        <v/>
      </c>
    </row>
    <row r="680" spans="7:7" x14ac:dyDescent="0.25">
      <c r="G680" s="39" t="str">
        <f t="shared" si="10"/>
        <v/>
      </c>
    </row>
    <row r="681" spans="7:7" x14ac:dyDescent="0.25">
      <c r="G681" s="39" t="str">
        <f t="shared" si="10"/>
        <v/>
      </c>
    </row>
    <row r="682" spans="7:7" x14ac:dyDescent="0.25">
      <c r="G682" s="39" t="str">
        <f t="shared" si="10"/>
        <v/>
      </c>
    </row>
    <row r="683" spans="7:7" x14ac:dyDescent="0.25">
      <c r="G683" s="39" t="str">
        <f t="shared" si="10"/>
        <v/>
      </c>
    </row>
    <row r="684" spans="7:7" x14ac:dyDescent="0.25">
      <c r="G684" s="39" t="str">
        <f t="shared" si="10"/>
        <v/>
      </c>
    </row>
    <row r="685" spans="7:7" x14ac:dyDescent="0.25">
      <c r="G685" s="39" t="str">
        <f t="shared" si="10"/>
        <v/>
      </c>
    </row>
    <row r="686" spans="7:7" x14ac:dyDescent="0.25">
      <c r="G686" s="39" t="str">
        <f t="shared" si="10"/>
        <v/>
      </c>
    </row>
    <row r="687" spans="7:7" x14ac:dyDescent="0.25">
      <c r="G687" s="39" t="str">
        <f t="shared" si="10"/>
        <v/>
      </c>
    </row>
    <row r="688" spans="7:7" x14ac:dyDescent="0.25">
      <c r="G688" s="39" t="str">
        <f t="shared" si="10"/>
        <v/>
      </c>
    </row>
    <row r="689" spans="7:7" x14ac:dyDescent="0.25">
      <c r="G689" s="39" t="str">
        <f t="shared" si="10"/>
        <v/>
      </c>
    </row>
    <row r="690" spans="7:7" x14ac:dyDescent="0.25">
      <c r="G690" s="39" t="str">
        <f t="shared" si="10"/>
        <v/>
      </c>
    </row>
    <row r="691" spans="7:7" x14ac:dyDescent="0.25">
      <c r="G691" s="39" t="str">
        <f t="shared" si="10"/>
        <v/>
      </c>
    </row>
    <row r="692" spans="7:7" x14ac:dyDescent="0.25">
      <c r="G692" s="39" t="str">
        <f t="shared" si="10"/>
        <v/>
      </c>
    </row>
    <row r="693" spans="7:7" x14ac:dyDescent="0.25">
      <c r="G693" s="39" t="str">
        <f t="shared" si="10"/>
        <v/>
      </c>
    </row>
    <row r="694" spans="7:7" x14ac:dyDescent="0.25">
      <c r="G694" s="39" t="str">
        <f t="shared" si="10"/>
        <v/>
      </c>
    </row>
    <row r="695" spans="7:7" x14ac:dyDescent="0.25">
      <c r="G695" s="39" t="str">
        <f t="shared" si="10"/>
        <v/>
      </c>
    </row>
    <row r="696" spans="7:7" x14ac:dyDescent="0.25">
      <c r="G696" s="39" t="str">
        <f t="shared" si="10"/>
        <v/>
      </c>
    </row>
    <row r="697" spans="7:7" x14ac:dyDescent="0.25">
      <c r="G697" s="39" t="str">
        <f t="shared" si="10"/>
        <v/>
      </c>
    </row>
    <row r="698" spans="7:7" x14ac:dyDescent="0.25">
      <c r="G698" s="39" t="str">
        <f t="shared" si="10"/>
        <v/>
      </c>
    </row>
    <row r="699" spans="7:7" x14ac:dyDescent="0.25">
      <c r="G699" s="39" t="str">
        <f t="shared" si="10"/>
        <v/>
      </c>
    </row>
    <row r="700" spans="7:7" x14ac:dyDescent="0.25">
      <c r="G700" s="39" t="str">
        <f t="shared" si="10"/>
        <v/>
      </c>
    </row>
    <row r="701" spans="7:7" x14ac:dyDescent="0.25">
      <c r="G701" s="39" t="str">
        <f t="shared" si="10"/>
        <v/>
      </c>
    </row>
    <row r="702" spans="7:7" x14ac:dyDescent="0.25">
      <c r="G702" s="39" t="str">
        <f t="shared" si="10"/>
        <v/>
      </c>
    </row>
    <row r="703" spans="7:7" x14ac:dyDescent="0.25">
      <c r="G703" s="39" t="str">
        <f t="shared" si="10"/>
        <v/>
      </c>
    </row>
    <row r="704" spans="7:7" x14ac:dyDescent="0.25">
      <c r="G704" s="39" t="str">
        <f t="shared" si="10"/>
        <v/>
      </c>
    </row>
    <row r="705" spans="7:7" x14ac:dyDescent="0.25">
      <c r="G705" s="39" t="str">
        <f t="shared" si="10"/>
        <v/>
      </c>
    </row>
    <row r="706" spans="7:7" x14ac:dyDescent="0.25">
      <c r="G706" s="39" t="str">
        <f t="shared" si="10"/>
        <v/>
      </c>
    </row>
    <row r="707" spans="7:7" x14ac:dyDescent="0.25">
      <c r="G707" s="39" t="str">
        <f t="shared" si="10"/>
        <v/>
      </c>
    </row>
    <row r="708" spans="7:7" x14ac:dyDescent="0.25">
      <c r="G708" s="39" t="str">
        <f t="shared" si="10"/>
        <v/>
      </c>
    </row>
    <row r="709" spans="7:7" x14ac:dyDescent="0.25">
      <c r="G709" s="39" t="str">
        <f t="shared" si="10"/>
        <v/>
      </c>
    </row>
    <row r="710" spans="7:7" x14ac:dyDescent="0.25">
      <c r="G710" s="39" t="str">
        <f t="shared" si="10"/>
        <v/>
      </c>
    </row>
    <row r="711" spans="7:7" x14ac:dyDescent="0.25">
      <c r="G711" s="39" t="str">
        <f t="shared" si="10"/>
        <v/>
      </c>
    </row>
    <row r="712" spans="7:7" x14ac:dyDescent="0.25">
      <c r="G712" s="39" t="str">
        <f t="shared" si="10"/>
        <v/>
      </c>
    </row>
    <row r="713" spans="7:7" x14ac:dyDescent="0.25">
      <c r="G713" s="39" t="str">
        <f t="shared" si="10"/>
        <v/>
      </c>
    </row>
    <row r="714" spans="7:7" x14ac:dyDescent="0.25">
      <c r="G714" s="39" t="str">
        <f t="shared" si="10"/>
        <v/>
      </c>
    </row>
    <row r="715" spans="7:7" x14ac:dyDescent="0.25">
      <c r="G715" s="39" t="str">
        <f t="shared" si="10"/>
        <v/>
      </c>
    </row>
    <row r="716" spans="7:7" x14ac:dyDescent="0.25">
      <c r="G716" s="39" t="str">
        <f t="shared" si="10"/>
        <v/>
      </c>
    </row>
    <row r="717" spans="7:7" x14ac:dyDescent="0.25">
      <c r="G717" s="39" t="str">
        <f t="shared" si="10"/>
        <v/>
      </c>
    </row>
    <row r="718" spans="7:7" x14ac:dyDescent="0.25">
      <c r="G718" s="39" t="str">
        <f t="shared" si="10"/>
        <v/>
      </c>
    </row>
    <row r="719" spans="7:7" x14ac:dyDescent="0.25">
      <c r="G719" s="39" t="str">
        <f t="shared" si="10"/>
        <v/>
      </c>
    </row>
    <row r="720" spans="7:7" x14ac:dyDescent="0.25">
      <c r="G720" s="39" t="str">
        <f t="shared" si="10"/>
        <v/>
      </c>
    </row>
    <row r="721" spans="7:7" x14ac:dyDescent="0.25">
      <c r="G721" s="39" t="str">
        <f t="shared" si="10"/>
        <v/>
      </c>
    </row>
    <row r="722" spans="7:7" x14ac:dyDescent="0.25">
      <c r="G722" s="39" t="str">
        <f t="shared" si="10"/>
        <v/>
      </c>
    </row>
    <row r="723" spans="7:7" x14ac:dyDescent="0.25">
      <c r="G723" s="39" t="str">
        <f t="shared" ref="G723:G786" si="11">IF(A723=0,"","Fiber")</f>
        <v/>
      </c>
    </row>
    <row r="724" spans="7:7" x14ac:dyDescent="0.25">
      <c r="G724" s="39" t="str">
        <f t="shared" si="11"/>
        <v/>
      </c>
    </row>
    <row r="725" spans="7:7" x14ac:dyDescent="0.25">
      <c r="G725" s="39" t="str">
        <f t="shared" si="11"/>
        <v/>
      </c>
    </row>
    <row r="726" spans="7:7" x14ac:dyDescent="0.25">
      <c r="G726" s="39" t="str">
        <f t="shared" si="11"/>
        <v/>
      </c>
    </row>
    <row r="727" spans="7:7" x14ac:dyDescent="0.25">
      <c r="G727" s="39" t="str">
        <f t="shared" si="11"/>
        <v/>
      </c>
    </row>
    <row r="728" spans="7:7" x14ac:dyDescent="0.25">
      <c r="G728" s="39" t="str">
        <f t="shared" si="11"/>
        <v/>
      </c>
    </row>
    <row r="729" spans="7:7" x14ac:dyDescent="0.25">
      <c r="G729" s="39" t="str">
        <f t="shared" si="11"/>
        <v/>
      </c>
    </row>
    <row r="730" spans="7:7" x14ac:dyDescent="0.25">
      <c r="G730" s="39" t="str">
        <f t="shared" si="11"/>
        <v/>
      </c>
    </row>
    <row r="731" spans="7:7" x14ac:dyDescent="0.25">
      <c r="G731" s="39" t="str">
        <f t="shared" si="11"/>
        <v/>
      </c>
    </row>
    <row r="732" spans="7:7" x14ac:dyDescent="0.25">
      <c r="G732" s="39" t="str">
        <f t="shared" si="11"/>
        <v/>
      </c>
    </row>
    <row r="733" spans="7:7" x14ac:dyDescent="0.25">
      <c r="G733" s="39" t="str">
        <f t="shared" si="11"/>
        <v/>
      </c>
    </row>
    <row r="734" spans="7:7" x14ac:dyDescent="0.25">
      <c r="G734" s="39" t="str">
        <f t="shared" si="11"/>
        <v/>
      </c>
    </row>
    <row r="735" spans="7:7" x14ac:dyDescent="0.25">
      <c r="G735" s="39" t="str">
        <f t="shared" si="11"/>
        <v/>
      </c>
    </row>
    <row r="736" spans="7:7" x14ac:dyDescent="0.25">
      <c r="G736" s="39" t="str">
        <f t="shared" si="11"/>
        <v/>
      </c>
    </row>
    <row r="737" spans="7:7" x14ac:dyDescent="0.25">
      <c r="G737" s="39" t="str">
        <f t="shared" si="11"/>
        <v/>
      </c>
    </row>
    <row r="738" spans="7:7" x14ac:dyDescent="0.25">
      <c r="G738" s="39" t="str">
        <f t="shared" si="11"/>
        <v/>
      </c>
    </row>
    <row r="739" spans="7:7" x14ac:dyDescent="0.25">
      <c r="G739" s="39" t="str">
        <f t="shared" si="11"/>
        <v/>
      </c>
    </row>
    <row r="740" spans="7:7" x14ac:dyDescent="0.25">
      <c r="G740" s="39" t="str">
        <f t="shared" si="11"/>
        <v/>
      </c>
    </row>
    <row r="741" spans="7:7" x14ac:dyDescent="0.25">
      <c r="G741" s="39" t="str">
        <f t="shared" si="11"/>
        <v/>
      </c>
    </row>
    <row r="742" spans="7:7" x14ac:dyDescent="0.25">
      <c r="G742" s="39" t="str">
        <f t="shared" si="11"/>
        <v/>
      </c>
    </row>
    <row r="743" spans="7:7" x14ac:dyDescent="0.25">
      <c r="G743" s="39" t="str">
        <f t="shared" si="11"/>
        <v/>
      </c>
    </row>
    <row r="744" spans="7:7" x14ac:dyDescent="0.25">
      <c r="G744" s="39" t="str">
        <f t="shared" si="11"/>
        <v/>
      </c>
    </row>
    <row r="745" spans="7:7" x14ac:dyDescent="0.25">
      <c r="G745" s="39" t="str">
        <f t="shared" si="11"/>
        <v/>
      </c>
    </row>
    <row r="746" spans="7:7" x14ac:dyDescent="0.25">
      <c r="G746" s="39" t="str">
        <f t="shared" si="11"/>
        <v/>
      </c>
    </row>
    <row r="747" spans="7:7" x14ac:dyDescent="0.25">
      <c r="G747" s="39" t="str">
        <f t="shared" si="11"/>
        <v/>
      </c>
    </row>
    <row r="748" spans="7:7" x14ac:dyDescent="0.25">
      <c r="G748" s="39" t="str">
        <f t="shared" si="11"/>
        <v/>
      </c>
    </row>
    <row r="749" spans="7:7" x14ac:dyDescent="0.25">
      <c r="G749" s="39" t="str">
        <f t="shared" si="11"/>
        <v/>
      </c>
    </row>
    <row r="750" spans="7:7" x14ac:dyDescent="0.25">
      <c r="G750" s="39" t="str">
        <f t="shared" si="11"/>
        <v/>
      </c>
    </row>
    <row r="751" spans="7:7" x14ac:dyDescent="0.25">
      <c r="G751" s="39" t="str">
        <f t="shared" si="11"/>
        <v/>
      </c>
    </row>
    <row r="752" spans="7:7" x14ac:dyDescent="0.25">
      <c r="G752" s="39" t="str">
        <f t="shared" si="11"/>
        <v/>
      </c>
    </row>
    <row r="753" spans="7:7" x14ac:dyDescent="0.25">
      <c r="G753" s="39" t="str">
        <f t="shared" si="11"/>
        <v/>
      </c>
    </row>
    <row r="754" spans="7:7" x14ac:dyDescent="0.25">
      <c r="G754" s="39" t="str">
        <f t="shared" si="11"/>
        <v/>
      </c>
    </row>
    <row r="755" spans="7:7" x14ac:dyDescent="0.25">
      <c r="G755" s="39" t="str">
        <f t="shared" si="11"/>
        <v/>
      </c>
    </row>
    <row r="756" spans="7:7" x14ac:dyDescent="0.25">
      <c r="G756" s="39" t="str">
        <f t="shared" si="11"/>
        <v/>
      </c>
    </row>
    <row r="757" spans="7:7" x14ac:dyDescent="0.25">
      <c r="G757" s="39" t="str">
        <f t="shared" si="11"/>
        <v/>
      </c>
    </row>
    <row r="758" spans="7:7" x14ac:dyDescent="0.25">
      <c r="G758" s="39" t="str">
        <f t="shared" si="11"/>
        <v/>
      </c>
    </row>
    <row r="759" spans="7:7" x14ac:dyDescent="0.25">
      <c r="G759" s="39" t="str">
        <f t="shared" si="11"/>
        <v/>
      </c>
    </row>
    <row r="760" spans="7:7" x14ac:dyDescent="0.25">
      <c r="G760" s="39" t="str">
        <f t="shared" si="11"/>
        <v/>
      </c>
    </row>
    <row r="761" spans="7:7" x14ac:dyDescent="0.25">
      <c r="G761" s="39" t="str">
        <f t="shared" si="11"/>
        <v/>
      </c>
    </row>
    <row r="762" spans="7:7" x14ac:dyDescent="0.25">
      <c r="G762" s="39" t="str">
        <f t="shared" si="11"/>
        <v/>
      </c>
    </row>
    <row r="763" spans="7:7" x14ac:dyDescent="0.25">
      <c r="G763" s="39" t="str">
        <f t="shared" si="11"/>
        <v/>
      </c>
    </row>
    <row r="764" spans="7:7" x14ac:dyDescent="0.25">
      <c r="G764" s="39" t="str">
        <f t="shared" si="11"/>
        <v/>
      </c>
    </row>
    <row r="765" spans="7:7" x14ac:dyDescent="0.25">
      <c r="G765" s="39" t="str">
        <f t="shared" si="11"/>
        <v/>
      </c>
    </row>
    <row r="766" spans="7:7" x14ac:dyDescent="0.25">
      <c r="G766" s="39" t="str">
        <f t="shared" si="11"/>
        <v/>
      </c>
    </row>
    <row r="767" spans="7:7" x14ac:dyDescent="0.25">
      <c r="G767" s="39" t="str">
        <f t="shared" si="11"/>
        <v/>
      </c>
    </row>
    <row r="768" spans="7:7" x14ac:dyDescent="0.25">
      <c r="G768" s="39" t="str">
        <f t="shared" si="11"/>
        <v/>
      </c>
    </row>
    <row r="769" spans="7:7" x14ac:dyDescent="0.25">
      <c r="G769" s="39" t="str">
        <f t="shared" si="11"/>
        <v/>
      </c>
    </row>
    <row r="770" spans="7:7" x14ac:dyDescent="0.25">
      <c r="G770" s="39" t="str">
        <f t="shared" si="11"/>
        <v/>
      </c>
    </row>
    <row r="771" spans="7:7" x14ac:dyDescent="0.25">
      <c r="G771" s="39" t="str">
        <f t="shared" si="11"/>
        <v/>
      </c>
    </row>
    <row r="772" spans="7:7" x14ac:dyDescent="0.25">
      <c r="G772" s="39" t="str">
        <f t="shared" si="11"/>
        <v/>
      </c>
    </row>
    <row r="773" spans="7:7" x14ac:dyDescent="0.25">
      <c r="G773" s="39" t="str">
        <f t="shared" si="11"/>
        <v/>
      </c>
    </row>
    <row r="774" spans="7:7" x14ac:dyDescent="0.25">
      <c r="G774" s="39" t="str">
        <f t="shared" si="11"/>
        <v/>
      </c>
    </row>
    <row r="775" spans="7:7" x14ac:dyDescent="0.25">
      <c r="G775" s="39" t="str">
        <f t="shared" si="11"/>
        <v/>
      </c>
    </row>
    <row r="776" spans="7:7" x14ac:dyDescent="0.25">
      <c r="G776" s="39" t="str">
        <f t="shared" si="11"/>
        <v/>
      </c>
    </row>
    <row r="777" spans="7:7" x14ac:dyDescent="0.25">
      <c r="G777" s="39" t="str">
        <f t="shared" si="11"/>
        <v/>
      </c>
    </row>
    <row r="778" spans="7:7" x14ac:dyDescent="0.25">
      <c r="G778" s="39" t="str">
        <f t="shared" si="11"/>
        <v/>
      </c>
    </row>
    <row r="779" spans="7:7" x14ac:dyDescent="0.25">
      <c r="G779" s="39" t="str">
        <f t="shared" si="11"/>
        <v/>
      </c>
    </row>
    <row r="780" spans="7:7" x14ac:dyDescent="0.25">
      <c r="G780" s="39" t="str">
        <f t="shared" si="11"/>
        <v/>
      </c>
    </row>
    <row r="781" spans="7:7" x14ac:dyDescent="0.25">
      <c r="G781" s="39" t="str">
        <f t="shared" si="11"/>
        <v/>
      </c>
    </row>
    <row r="782" spans="7:7" x14ac:dyDescent="0.25">
      <c r="G782" s="39" t="str">
        <f t="shared" si="11"/>
        <v/>
      </c>
    </row>
    <row r="783" spans="7:7" x14ac:dyDescent="0.25">
      <c r="G783" s="39" t="str">
        <f t="shared" si="11"/>
        <v/>
      </c>
    </row>
    <row r="784" spans="7:7" x14ac:dyDescent="0.25">
      <c r="G784" s="39" t="str">
        <f t="shared" si="11"/>
        <v/>
      </c>
    </row>
    <row r="785" spans="7:7" x14ac:dyDescent="0.25">
      <c r="G785" s="39" t="str">
        <f t="shared" si="11"/>
        <v/>
      </c>
    </row>
    <row r="786" spans="7:7" x14ac:dyDescent="0.25">
      <c r="G786" s="39" t="str">
        <f t="shared" si="11"/>
        <v/>
      </c>
    </row>
    <row r="787" spans="7:7" x14ac:dyDescent="0.25">
      <c r="G787" s="39" t="str">
        <f t="shared" ref="G787:G850" si="12">IF(A787=0,"","Fiber")</f>
        <v/>
      </c>
    </row>
    <row r="788" spans="7:7" x14ac:dyDescent="0.25">
      <c r="G788" s="39" t="str">
        <f t="shared" si="12"/>
        <v/>
      </c>
    </row>
    <row r="789" spans="7:7" x14ac:dyDescent="0.25">
      <c r="G789" s="39" t="str">
        <f t="shared" si="12"/>
        <v/>
      </c>
    </row>
    <row r="790" spans="7:7" x14ac:dyDescent="0.25">
      <c r="G790" s="39" t="str">
        <f t="shared" si="12"/>
        <v/>
      </c>
    </row>
    <row r="791" spans="7:7" x14ac:dyDescent="0.25">
      <c r="G791" s="39" t="str">
        <f t="shared" si="12"/>
        <v/>
      </c>
    </row>
    <row r="792" spans="7:7" x14ac:dyDescent="0.25">
      <c r="G792" s="39" t="str">
        <f t="shared" si="12"/>
        <v/>
      </c>
    </row>
    <row r="793" spans="7:7" x14ac:dyDescent="0.25">
      <c r="G793" s="39" t="str">
        <f t="shared" si="12"/>
        <v/>
      </c>
    </row>
    <row r="794" spans="7:7" x14ac:dyDescent="0.25">
      <c r="G794" s="39" t="str">
        <f t="shared" si="12"/>
        <v/>
      </c>
    </row>
    <row r="795" spans="7:7" x14ac:dyDescent="0.25">
      <c r="G795" s="39" t="str">
        <f t="shared" si="12"/>
        <v/>
      </c>
    </row>
    <row r="796" spans="7:7" x14ac:dyDescent="0.25">
      <c r="G796" s="39" t="str">
        <f t="shared" si="12"/>
        <v/>
      </c>
    </row>
    <row r="797" spans="7:7" x14ac:dyDescent="0.25">
      <c r="G797" s="39" t="str">
        <f t="shared" si="12"/>
        <v/>
      </c>
    </row>
    <row r="798" spans="7:7" x14ac:dyDescent="0.25">
      <c r="G798" s="39" t="str">
        <f t="shared" si="12"/>
        <v/>
      </c>
    </row>
    <row r="799" spans="7:7" x14ac:dyDescent="0.25">
      <c r="G799" s="39" t="str">
        <f t="shared" si="12"/>
        <v/>
      </c>
    </row>
    <row r="800" spans="7:7" x14ac:dyDescent="0.25">
      <c r="G800" s="39" t="str">
        <f t="shared" si="12"/>
        <v/>
      </c>
    </row>
    <row r="801" spans="7:7" x14ac:dyDescent="0.25">
      <c r="G801" s="39" t="str">
        <f t="shared" si="12"/>
        <v/>
      </c>
    </row>
    <row r="802" spans="7:7" x14ac:dyDescent="0.25">
      <c r="G802" s="39" t="str">
        <f t="shared" si="12"/>
        <v/>
      </c>
    </row>
    <row r="803" spans="7:7" x14ac:dyDescent="0.25">
      <c r="G803" s="39" t="str">
        <f t="shared" si="12"/>
        <v/>
      </c>
    </row>
    <row r="804" spans="7:7" x14ac:dyDescent="0.25">
      <c r="G804" s="39" t="str">
        <f t="shared" si="12"/>
        <v/>
      </c>
    </row>
    <row r="805" spans="7:7" x14ac:dyDescent="0.25">
      <c r="G805" s="39" t="str">
        <f t="shared" si="12"/>
        <v/>
      </c>
    </row>
    <row r="806" spans="7:7" x14ac:dyDescent="0.25">
      <c r="G806" s="39" t="str">
        <f t="shared" si="12"/>
        <v/>
      </c>
    </row>
    <row r="807" spans="7:7" x14ac:dyDescent="0.25">
      <c r="G807" s="39" t="str">
        <f t="shared" si="12"/>
        <v/>
      </c>
    </row>
    <row r="808" spans="7:7" x14ac:dyDescent="0.25">
      <c r="G808" s="39" t="str">
        <f t="shared" si="12"/>
        <v/>
      </c>
    </row>
    <row r="809" spans="7:7" x14ac:dyDescent="0.25">
      <c r="G809" s="39" t="str">
        <f t="shared" si="12"/>
        <v/>
      </c>
    </row>
    <row r="810" spans="7:7" x14ac:dyDescent="0.25">
      <c r="G810" s="39" t="str">
        <f t="shared" si="12"/>
        <v/>
      </c>
    </row>
    <row r="811" spans="7:7" x14ac:dyDescent="0.25">
      <c r="G811" s="39" t="str">
        <f t="shared" si="12"/>
        <v/>
      </c>
    </row>
    <row r="812" spans="7:7" x14ac:dyDescent="0.25">
      <c r="G812" s="39" t="str">
        <f t="shared" si="12"/>
        <v/>
      </c>
    </row>
    <row r="813" spans="7:7" x14ac:dyDescent="0.25">
      <c r="G813" s="39" t="str">
        <f t="shared" si="12"/>
        <v/>
      </c>
    </row>
    <row r="814" spans="7:7" x14ac:dyDescent="0.25">
      <c r="G814" s="39" t="str">
        <f t="shared" si="12"/>
        <v/>
      </c>
    </row>
    <row r="815" spans="7:7" x14ac:dyDescent="0.25">
      <c r="G815" s="39" t="str">
        <f t="shared" si="12"/>
        <v/>
      </c>
    </row>
    <row r="816" spans="7:7" x14ac:dyDescent="0.25">
      <c r="G816" s="39" t="str">
        <f t="shared" si="12"/>
        <v/>
      </c>
    </row>
    <row r="817" spans="7:7" x14ac:dyDescent="0.25">
      <c r="G817" s="39" t="str">
        <f t="shared" si="12"/>
        <v/>
      </c>
    </row>
    <row r="818" spans="7:7" x14ac:dyDescent="0.25">
      <c r="G818" s="39" t="str">
        <f t="shared" si="12"/>
        <v/>
      </c>
    </row>
    <row r="819" spans="7:7" x14ac:dyDescent="0.25">
      <c r="G819" s="39" t="str">
        <f t="shared" si="12"/>
        <v/>
      </c>
    </row>
    <row r="820" spans="7:7" x14ac:dyDescent="0.25">
      <c r="G820" s="39" t="str">
        <f t="shared" si="12"/>
        <v/>
      </c>
    </row>
    <row r="821" spans="7:7" x14ac:dyDescent="0.25">
      <c r="G821" s="39" t="str">
        <f t="shared" si="12"/>
        <v/>
      </c>
    </row>
    <row r="822" spans="7:7" x14ac:dyDescent="0.25">
      <c r="G822" s="39" t="str">
        <f t="shared" si="12"/>
        <v/>
      </c>
    </row>
    <row r="823" spans="7:7" x14ac:dyDescent="0.25">
      <c r="G823" s="39" t="str">
        <f t="shared" si="12"/>
        <v/>
      </c>
    </row>
    <row r="824" spans="7:7" x14ac:dyDescent="0.25">
      <c r="G824" s="39" t="str">
        <f t="shared" si="12"/>
        <v/>
      </c>
    </row>
    <row r="825" spans="7:7" x14ac:dyDescent="0.25">
      <c r="G825" s="39" t="str">
        <f t="shared" si="12"/>
        <v/>
      </c>
    </row>
    <row r="826" spans="7:7" x14ac:dyDescent="0.25">
      <c r="G826" s="39" t="str">
        <f t="shared" si="12"/>
        <v/>
      </c>
    </row>
    <row r="827" spans="7:7" x14ac:dyDescent="0.25">
      <c r="G827" s="39" t="str">
        <f t="shared" si="12"/>
        <v/>
      </c>
    </row>
    <row r="828" spans="7:7" x14ac:dyDescent="0.25">
      <c r="G828" s="39" t="str">
        <f t="shared" si="12"/>
        <v/>
      </c>
    </row>
    <row r="829" spans="7:7" x14ac:dyDescent="0.25">
      <c r="G829" s="39" t="str">
        <f t="shared" si="12"/>
        <v/>
      </c>
    </row>
    <row r="830" spans="7:7" x14ac:dyDescent="0.25">
      <c r="G830" s="39" t="str">
        <f t="shared" si="12"/>
        <v/>
      </c>
    </row>
    <row r="831" spans="7:7" x14ac:dyDescent="0.25">
      <c r="G831" s="39" t="str">
        <f t="shared" si="12"/>
        <v/>
      </c>
    </row>
    <row r="832" spans="7:7" x14ac:dyDescent="0.25">
      <c r="G832" s="39" t="str">
        <f t="shared" si="12"/>
        <v/>
      </c>
    </row>
    <row r="833" spans="7:7" x14ac:dyDescent="0.25">
      <c r="G833" s="39" t="str">
        <f t="shared" si="12"/>
        <v/>
      </c>
    </row>
    <row r="834" spans="7:7" x14ac:dyDescent="0.25">
      <c r="G834" s="39" t="str">
        <f t="shared" si="12"/>
        <v/>
      </c>
    </row>
    <row r="835" spans="7:7" x14ac:dyDescent="0.25">
      <c r="G835" s="39" t="str">
        <f t="shared" si="12"/>
        <v/>
      </c>
    </row>
    <row r="836" spans="7:7" x14ac:dyDescent="0.25">
      <c r="G836" s="39" t="str">
        <f t="shared" si="12"/>
        <v/>
      </c>
    </row>
    <row r="837" spans="7:7" x14ac:dyDescent="0.25">
      <c r="G837" s="39" t="str">
        <f t="shared" si="12"/>
        <v/>
      </c>
    </row>
    <row r="838" spans="7:7" x14ac:dyDescent="0.25">
      <c r="G838" s="39" t="str">
        <f t="shared" si="12"/>
        <v/>
      </c>
    </row>
    <row r="839" spans="7:7" x14ac:dyDescent="0.25">
      <c r="G839" s="39" t="str">
        <f t="shared" si="12"/>
        <v/>
      </c>
    </row>
    <row r="840" spans="7:7" x14ac:dyDescent="0.25">
      <c r="G840" s="39" t="str">
        <f t="shared" si="12"/>
        <v/>
      </c>
    </row>
    <row r="841" spans="7:7" x14ac:dyDescent="0.25">
      <c r="G841" s="39" t="str">
        <f t="shared" si="12"/>
        <v/>
      </c>
    </row>
    <row r="842" spans="7:7" x14ac:dyDescent="0.25">
      <c r="G842" s="39" t="str">
        <f t="shared" si="12"/>
        <v/>
      </c>
    </row>
    <row r="843" spans="7:7" x14ac:dyDescent="0.25">
      <c r="G843" s="39" t="str">
        <f t="shared" si="12"/>
        <v/>
      </c>
    </row>
    <row r="844" spans="7:7" x14ac:dyDescent="0.25">
      <c r="G844" s="39" t="str">
        <f t="shared" si="12"/>
        <v/>
      </c>
    </row>
    <row r="845" spans="7:7" x14ac:dyDescent="0.25">
      <c r="G845" s="39" t="str">
        <f t="shared" si="12"/>
        <v/>
      </c>
    </row>
    <row r="846" spans="7:7" x14ac:dyDescent="0.25">
      <c r="G846" s="39" t="str">
        <f t="shared" si="12"/>
        <v/>
      </c>
    </row>
    <row r="847" spans="7:7" x14ac:dyDescent="0.25">
      <c r="G847" s="39" t="str">
        <f t="shared" si="12"/>
        <v/>
      </c>
    </row>
    <row r="848" spans="7:7" x14ac:dyDescent="0.25">
      <c r="G848" s="39" t="str">
        <f t="shared" si="12"/>
        <v/>
      </c>
    </row>
    <row r="849" spans="7:7" x14ac:dyDescent="0.25">
      <c r="G849" s="39" t="str">
        <f t="shared" si="12"/>
        <v/>
      </c>
    </row>
    <row r="850" spans="7:7" x14ac:dyDescent="0.25">
      <c r="G850" s="39" t="str">
        <f t="shared" si="12"/>
        <v/>
      </c>
    </row>
    <row r="851" spans="7:7" x14ac:dyDescent="0.25">
      <c r="G851" s="39" t="str">
        <f t="shared" ref="G851:G914" si="13">IF(A851=0,"","Fiber")</f>
        <v/>
      </c>
    </row>
    <row r="852" spans="7:7" x14ac:dyDescent="0.25">
      <c r="G852" s="39" t="str">
        <f t="shared" si="13"/>
        <v/>
      </c>
    </row>
    <row r="853" spans="7:7" x14ac:dyDescent="0.25">
      <c r="G853" s="39" t="str">
        <f t="shared" si="13"/>
        <v/>
      </c>
    </row>
    <row r="854" spans="7:7" x14ac:dyDescent="0.25">
      <c r="G854" s="39" t="str">
        <f t="shared" si="13"/>
        <v/>
      </c>
    </row>
    <row r="855" spans="7:7" x14ac:dyDescent="0.25">
      <c r="G855" s="39" t="str">
        <f t="shared" si="13"/>
        <v/>
      </c>
    </row>
    <row r="856" spans="7:7" x14ac:dyDescent="0.25">
      <c r="G856" s="39" t="str">
        <f t="shared" si="13"/>
        <v/>
      </c>
    </row>
    <row r="857" spans="7:7" x14ac:dyDescent="0.25">
      <c r="G857" s="39" t="str">
        <f t="shared" si="13"/>
        <v/>
      </c>
    </row>
    <row r="858" spans="7:7" x14ac:dyDescent="0.25">
      <c r="G858" s="39" t="str">
        <f t="shared" si="13"/>
        <v/>
      </c>
    </row>
    <row r="859" spans="7:7" x14ac:dyDescent="0.25">
      <c r="G859" s="39" t="str">
        <f t="shared" si="13"/>
        <v/>
      </c>
    </row>
    <row r="860" spans="7:7" x14ac:dyDescent="0.25">
      <c r="G860" s="39" t="str">
        <f t="shared" si="13"/>
        <v/>
      </c>
    </row>
    <row r="861" spans="7:7" x14ac:dyDescent="0.25">
      <c r="G861" s="39" t="str">
        <f t="shared" si="13"/>
        <v/>
      </c>
    </row>
    <row r="862" spans="7:7" x14ac:dyDescent="0.25">
      <c r="G862" s="39" t="str">
        <f t="shared" si="13"/>
        <v/>
      </c>
    </row>
    <row r="863" spans="7:7" x14ac:dyDescent="0.25">
      <c r="G863" s="39" t="str">
        <f t="shared" si="13"/>
        <v/>
      </c>
    </row>
    <row r="864" spans="7:7" x14ac:dyDescent="0.25">
      <c r="G864" s="39" t="str">
        <f t="shared" si="13"/>
        <v/>
      </c>
    </row>
    <row r="865" spans="7:7" x14ac:dyDescent="0.25">
      <c r="G865" s="39" t="str">
        <f t="shared" si="13"/>
        <v/>
      </c>
    </row>
    <row r="866" spans="7:7" x14ac:dyDescent="0.25">
      <c r="G866" s="39" t="str">
        <f t="shared" si="13"/>
        <v/>
      </c>
    </row>
    <row r="867" spans="7:7" x14ac:dyDescent="0.25">
      <c r="G867" s="39" t="str">
        <f t="shared" si="13"/>
        <v/>
      </c>
    </row>
    <row r="868" spans="7:7" x14ac:dyDescent="0.25">
      <c r="G868" s="39" t="str">
        <f t="shared" si="13"/>
        <v/>
      </c>
    </row>
    <row r="869" spans="7:7" x14ac:dyDescent="0.25">
      <c r="G869" s="39" t="str">
        <f t="shared" si="13"/>
        <v/>
      </c>
    </row>
    <row r="870" spans="7:7" x14ac:dyDescent="0.25">
      <c r="G870" s="39" t="str">
        <f t="shared" si="13"/>
        <v/>
      </c>
    </row>
    <row r="871" spans="7:7" x14ac:dyDescent="0.25">
      <c r="G871" s="39" t="str">
        <f t="shared" si="13"/>
        <v/>
      </c>
    </row>
    <row r="872" spans="7:7" x14ac:dyDescent="0.25">
      <c r="G872" s="39" t="str">
        <f t="shared" si="13"/>
        <v/>
      </c>
    </row>
    <row r="873" spans="7:7" x14ac:dyDescent="0.25">
      <c r="G873" s="39" t="str">
        <f t="shared" si="13"/>
        <v/>
      </c>
    </row>
    <row r="874" spans="7:7" x14ac:dyDescent="0.25">
      <c r="G874" s="39" t="str">
        <f t="shared" si="13"/>
        <v/>
      </c>
    </row>
    <row r="875" spans="7:7" x14ac:dyDescent="0.25">
      <c r="G875" s="39" t="str">
        <f t="shared" si="13"/>
        <v/>
      </c>
    </row>
    <row r="876" spans="7:7" x14ac:dyDescent="0.25">
      <c r="G876" s="39" t="str">
        <f t="shared" si="13"/>
        <v/>
      </c>
    </row>
    <row r="877" spans="7:7" x14ac:dyDescent="0.25">
      <c r="G877" s="39" t="str">
        <f t="shared" si="13"/>
        <v/>
      </c>
    </row>
    <row r="878" spans="7:7" x14ac:dyDescent="0.25">
      <c r="G878" s="39" t="str">
        <f t="shared" si="13"/>
        <v/>
      </c>
    </row>
    <row r="879" spans="7:7" x14ac:dyDescent="0.25">
      <c r="G879" s="39" t="str">
        <f t="shared" si="13"/>
        <v/>
      </c>
    </row>
    <row r="880" spans="7:7" x14ac:dyDescent="0.25">
      <c r="G880" s="39" t="str">
        <f t="shared" si="13"/>
        <v/>
      </c>
    </row>
    <row r="881" spans="7:7" x14ac:dyDescent="0.25">
      <c r="G881" s="39" t="str">
        <f t="shared" si="13"/>
        <v/>
      </c>
    </row>
    <row r="882" spans="7:7" x14ac:dyDescent="0.25">
      <c r="G882" s="39" t="str">
        <f t="shared" si="13"/>
        <v/>
      </c>
    </row>
    <row r="883" spans="7:7" x14ac:dyDescent="0.25">
      <c r="G883" s="39" t="str">
        <f t="shared" si="13"/>
        <v/>
      </c>
    </row>
    <row r="884" spans="7:7" x14ac:dyDescent="0.25">
      <c r="G884" s="39" t="str">
        <f t="shared" si="13"/>
        <v/>
      </c>
    </row>
    <row r="885" spans="7:7" x14ac:dyDescent="0.25">
      <c r="G885" s="39" t="str">
        <f t="shared" si="13"/>
        <v/>
      </c>
    </row>
    <row r="886" spans="7:7" x14ac:dyDescent="0.25">
      <c r="G886" s="39" t="str">
        <f t="shared" si="13"/>
        <v/>
      </c>
    </row>
    <row r="887" spans="7:7" x14ac:dyDescent="0.25">
      <c r="G887" s="39" t="str">
        <f t="shared" si="13"/>
        <v/>
      </c>
    </row>
    <row r="888" spans="7:7" x14ac:dyDescent="0.25">
      <c r="G888" s="39" t="str">
        <f t="shared" si="13"/>
        <v/>
      </c>
    </row>
    <row r="889" spans="7:7" x14ac:dyDescent="0.25">
      <c r="G889" s="39" t="str">
        <f t="shared" si="13"/>
        <v/>
      </c>
    </row>
    <row r="890" spans="7:7" x14ac:dyDescent="0.25">
      <c r="G890" s="39" t="str">
        <f t="shared" si="13"/>
        <v/>
      </c>
    </row>
    <row r="891" spans="7:7" x14ac:dyDescent="0.25">
      <c r="G891" s="39" t="str">
        <f t="shared" si="13"/>
        <v/>
      </c>
    </row>
    <row r="892" spans="7:7" x14ac:dyDescent="0.25">
      <c r="G892" s="39" t="str">
        <f t="shared" si="13"/>
        <v/>
      </c>
    </row>
    <row r="893" spans="7:7" x14ac:dyDescent="0.25">
      <c r="G893" s="39" t="str">
        <f t="shared" si="13"/>
        <v/>
      </c>
    </row>
    <row r="894" spans="7:7" x14ac:dyDescent="0.25">
      <c r="G894" s="39" t="str">
        <f t="shared" si="13"/>
        <v/>
      </c>
    </row>
    <row r="895" spans="7:7" x14ac:dyDescent="0.25">
      <c r="G895" s="39" t="str">
        <f t="shared" si="13"/>
        <v/>
      </c>
    </row>
    <row r="896" spans="7:7" x14ac:dyDescent="0.25">
      <c r="G896" s="39" t="str">
        <f t="shared" si="13"/>
        <v/>
      </c>
    </row>
    <row r="897" spans="7:7" x14ac:dyDescent="0.25">
      <c r="G897" s="39" t="str">
        <f t="shared" si="13"/>
        <v/>
      </c>
    </row>
    <row r="898" spans="7:7" x14ac:dyDescent="0.25">
      <c r="G898" s="39" t="str">
        <f t="shared" si="13"/>
        <v/>
      </c>
    </row>
    <row r="899" spans="7:7" x14ac:dyDescent="0.25">
      <c r="G899" s="39" t="str">
        <f t="shared" si="13"/>
        <v/>
      </c>
    </row>
    <row r="900" spans="7:7" x14ac:dyDescent="0.25">
      <c r="G900" s="39" t="str">
        <f t="shared" si="13"/>
        <v/>
      </c>
    </row>
    <row r="901" spans="7:7" x14ac:dyDescent="0.25">
      <c r="G901" s="39" t="str">
        <f t="shared" si="13"/>
        <v/>
      </c>
    </row>
    <row r="902" spans="7:7" x14ac:dyDescent="0.25">
      <c r="G902" s="39" t="str">
        <f t="shared" si="13"/>
        <v/>
      </c>
    </row>
    <row r="903" spans="7:7" x14ac:dyDescent="0.25">
      <c r="G903" s="39" t="str">
        <f t="shared" si="13"/>
        <v/>
      </c>
    </row>
    <row r="904" spans="7:7" x14ac:dyDescent="0.25">
      <c r="G904" s="39" t="str">
        <f t="shared" si="13"/>
        <v/>
      </c>
    </row>
    <row r="905" spans="7:7" x14ac:dyDescent="0.25">
      <c r="G905" s="39" t="str">
        <f t="shared" si="13"/>
        <v/>
      </c>
    </row>
    <row r="906" spans="7:7" x14ac:dyDescent="0.25">
      <c r="G906" s="39" t="str">
        <f t="shared" si="13"/>
        <v/>
      </c>
    </row>
    <row r="907" spans="7:7" x14ac:dyDescent="0.25">
      <c r="G907" s="39" t="str">
        <f t="shared" si="13"/>
        <v/>
      </c>
    </row>
    <row r="908" spans="7:7" x14ac:dyDescent="0.25">
      <c r="G908" s="39" t="str">
        <f t="shared" si="13"/>
        <v/>
      </c>
    </row>
    <row r="909" spans="7:7" x14ac:dyDescent="0.25">
      <c r="G909" s="39" t="str">
        <f t="shared" si="13"/>
        <v/>
      </c>
    </row>
    <row r="910" spans="7:7" x14ac:dyDescent="0.25">
      <c r="G910" s="39" t="str">
        <f t="shared" si="13"/>
        <v/>
      </c>
    </row>
    <row r="911" spans="7:7" x14ac:dyDescent="0.25">
      <c r="G911" s="39" t="str">
        <f t="shared" si="13"/>
        <v/>
      </c>
    </row>
    <row r="912" spans="7:7" x14ac:dyDescent="0.25">
      <c r="G912" s="39" t="str">
        <f t="shared" si="13"/>
        <v/>
      </c>
    </row>
    <row r="913" spans="7:7" x14ac:dyDescent="0.25">
      <c r="G913" s="39" t="str">
        <f t="shared" si="13"/>
        <v/>
      </c>
    </row>
    <row r="914" spans="7:7" x14ac:dyDescent="0.25">
      <c r="G914" s="39" t="str">
        <f t="shared" si="13"/>
        <v/>
      </c>
    </row>
    <row r="915" spans="7:7" x14ac:dyDescent="0.25">
      <c r="G915" s="39" t="str">
        <f t="shared" ref="G915:G978" si="14">IF(A915=0,"","Fiber")</f>
        <v/>
      </c>
    </row>
    <row r="916" spans="7:7" x14ac:dyDescent="0.25">
      <c r="G916" s="39" t="str">
        <f t="shared" si="14"/>
        <v/>
      </c>
    </row>
    <row r="917" spans="7:7" x14ac:dyDescent="0.25">
      <c r="G917" s="39" t="str">
        <f t="shared" si="14"/>
        <v/>
      </c>
    </row>
    <row r="918" spans="7:7" x14ac:dyDescent="0.25">
      <c r="G918" s="39" t="str">
        <f t="shared" si="14"/>
        <v/>
      </c>
    </row>
    <row r="919" spans="7:7" x14ac:dyDescent="0.25">
      <c r="G919" s="39" t="str">
        <f t="shared" si="14"/>
        <v/>
      </c>
    </row>
    <row r="920" spans="7:7" x14ac:dyDescent="0.25">
      <c r="G920" s="39" t="str">
        <f t="shared" si="14"/>
        <v/>
      </c>
    </row>
    <row r="921" spans="7:7" x14ac:dyDescent="0.25">
      <c r="G921" s="39" t="str">
        <f t="shared" si="14"/>
        <v/>
      </c>
    </row>
    <row r="922" spans="7:7" x14ac:dyDescent="0.25">
      <c r="G922" s="39" t="str">
        <f t="shared" si="14"/>
        <v/>
      </c>
    </row>
    <row r="923" spans="7:7" x14ac:dyDescent="0.25">
      <c r="G923" s="39" t="str">
        <f t="shared" si="14"/>
        <v/>
      </c>
    </row>
    <row r="924" spans="7:7" x14ac:dyDescent="0.25">
      <c r="G924" s="39" t="str">
        <f t="shared" si="14"/>
        <v/>
      </c>
    </row>
    <row r="925" spans="7:7" x14ac:dyDescent="0.25">
      <c r="G925" s="39" t="str">
        <f t="shared" si="14"/>
        <v/>
      </c>
    </row>
    <row r="926" spans="7:7" x14ac:dyDescent="0.25">
      <c r="G926" s="39" t="str">
        <f t="shared" si="14"/>
        <v/>
      </c>
    </row>
    <row r="927" spans="7:7" x14ac:dyDescent="0.25">
      <c r="G927" s="39" t="str">
        <f t="shared" si="14"/>
        <v/>
      </c>
    </row>
    <row r="928" spans="7:7" x14ac:dyDescent="0.25">
      <c r="G928" s="39" t="str">
        <f t="shared" si="14"/>
        <v/>
      </c>
    </row>
    <row r="929" spans="7:7" x14ac:dyDescent="0.25">
      <c r="G929" s="39" t="str">
        <f t="shared" si="14"/>
        <v/>
      </c>
    </row>
    <row r="930" spans="7:7" x14ac:dyDescent="0.25">
      <c r="G930" s="39" t="str">
        <f t="shared" si="14"/>
        <v/>
      </c>
    </row>
    <row r="931" spans="7:7" x14ac:dyDescent="0.25">
      <c r="G931" s="39" t="str">
        <f t="shared" si="14"/>
        <v/>
      </c>
    </row>
    <row r="932" spans="7:7" x14ac:dyDescent="0.25">
      <c r="G932" s="39" t="str">
        <f t="shared" si="14"/>
        <v/>
      </c>
    </row>
    <row r="933" spans="7:7" x14ac:dyDescent="0.25">
      <c r="G933" s="39" t="str">
        <f t="shared" si="14"/>
        <v/>
      </c>
    </row>
    <row r="934" spans="7:7" x14ac:dyDescent="0.25">
      <c r="G934" s="39" t="str">
        <f t="shared" si="14"/>
        <v/>
      </c>
    </row>
    <row r="935" spans="7:7" x14ac:dyDescent="0.25">
      <c r="G935" s="39" t="str">
        <f t="shared" si="14"/>
        <v/>
      </c>
    </row>
    <row r="936" spans="7:7" x14ac:dyDescent="0.25">
      <c r="G936" s="39" t="str">
        <f t="shared" si="14"/>
        <v/>
      </c>
    </row>
    <row r="937" spans="7:7" x14ac:dyDescent="0.25">
      <c r="G937" s="39" t="str">
        <f t="shared" si="14"/>
        <v/>
      </c>
    </row>
    <row r="938" spans="7:7" x14ac:dyDescent="0.25">
      <c r="G938" s="39" t="str">
        <f t="shared" si="14"/>
        <v/>
      </c>
    </row>
    <row r="939" spans="7:7" x14ac:dyDescent="0.25">
      <c r="G939" s="39" t="str">
        <f t="shared" si="14"/>
        <v/>
      </c>
    </row>
    <row r="940" spans="7:7" x14ac:dyDescent="0.25">
      <c r="G940" s="39" t="str">
        <f t="shared" si="14"/>
        <v/>
      </c>
    </row>
    <row r="941" spans="7:7" x14ac:dyDescent="0.25">
      <c r="G941" s="39" t="str">
        <f t="shared" si="14"/>
        <v/>
      </c>
    </row>
    <row r="942" spans="7:7" x14ac:dyDescent="0.25">
      <c r="G942" s="39" t="str">
        <f t="shared" si="14"/>
        <v/>
      </c>
    </row>
    <row r="943" spans="7:7" x14ac:dyDescent="0.25">
      <c r="G943" s="39" t="str">
        <f t="shared" si="14"/>
        <v/>
      </c>
    </row>
    <row r="944" spans="7:7" x14ac:dyDescent="0.25">
      <c r="G944" s="39" t="str">
        <f t="shared" si="14"/>
        <v/>
      </c>
    </row>
    <row r="945" spans="7:7" x14ac:dyDescent="0.25">
      <c r="G945" s="39" t="str">
        <f t="shared" si="14"/>
        <v/>
      </c>
    </row>
    <row r="946" spans="7:7" x14ac:dyDescent="0.25">
      <c r="G946" s="39" t="str">
        <f t="shared" si="14"/>
        <v/>
      </c>
    </row>
    <row r="947" spans="7:7" x14ac:dyDescent="0.25">
      <c r="G947" s="39" t="str">
        <f t="shared" si="14"/>
        <v/>
      </c>
    </row>
    <row r="948" spans="7:7" x14ac:dyDescent="0.25">
      <c r="G948" s="39" t="str">
        <f t="shared" si="14"/>
        <v/>
      </c>
    </row>
    <row r="949" spans="7:7" x14ac:dyDescent="0.25">
      <c r="G949" s="39" t="str">
        <f t="shared" si="14"/>
        <v/>
      </c>
    </row>
    <row r="950" spans="7:7" x14ac:dyDescent="0.25">
      <c r="G950" s="39" t="str">
        <f t="shared" si="14"/>
        <v/>
      </c>
    </row>
    <row r="951" spans="7:7" x14ac:dyDescent="0.25">
      <c r="G951" s="39" t="str">
        <f t="shared" si="14"/>
        <v/>
      </c>
    </row>
    <row r="952" spans="7:7" x14ac:dyDescent="0.25">
      <c r="G952" s="39" t="str">
        <f t="shared" si="14"/>
        <v/>
      </c>
    </row>
    <row r="953" spans="7:7" x14ac:dyDescent="0.25">
      <c r="G953" s="39" t="str">
        <f t="shared" si="14"/>
        <v/>
      </c>
    </row>
    <row r="954" spans="7:7" x14ac:dyDescent="0.25">
      <c r="G954" s="39" t="str">
        <f t="shared" si="14"/>
        <v/>
      </c>
    </row>
    <row r="955" spans="7:7" x14ac:dyDescent="0.25">
      <c r="G955" s="39" t="str">
        <f t="shared" si="14"/>
        <v/>
      </c>
    </row>
    <row r="956" spans="7:7" x14ac:dyDescent="0.25">
      <c r="G956" s="39" t="str">
        <f t="shared" si="14"/>
        <v/>
      </c>
    </row>
    <row r="957" spans="7:7" x14ac:dyDescent="0.25">
      <c r="G957" s="39" t="str">
        <f t="shared" si="14"/>
        <v/>
      </c>
    </row>
    <row r="958" spans="7:7" x14ac:dyDescent="0.25">
      <c r="G958" s="39" t="str">
        <f t="shared" si="14"/>
        <v/>
      </c>
    </row>
    <row r="959" spans="7:7" x14ac:dyDescent="0.25">
      <c r="G959" s="39" t="str">
        <f t="shared" si="14"/>
        <v/>
      </c>
    </row>
    <row r="960" spans="7:7" x14ac:dyDescent="0.25">
      <c r="G960" s="39" t="str">
        <f t="shared" si="14"/>
        <v/>
      </c>
    </row>
    <row r="961" spans="7:7" x14ac:dyDescent="0.25">
      <c r="G961" s="39" t="str">
        <f t="shared" si="14"/>
        <v/>
      </c>
    </row>
    <row r="962" spans="7:7" x14ac:dyDescent="0.25">
      <c r="G962" s="39" t="str">
        <f t="shared" si="14"/>
        <v/>
      </c>
    </row>
    <row r="963" spans="7:7" x14ac:dyDescent="0.25">
      <c r="G963" s="39" t="str">
        <f t="shared" si="14"/>
        <v/>
      </c>
    </row>
    <row r="964" spans="7:7" x14ac:dyDescent="0.25">
      <c r="G964" s="39" t="str">
        <f t="shared" si="14"/>
        <v/>
      </c>
    </row>
    <row r="965" spans="7:7" x14ac:dyDescent="0.25">
      <c r="G965" s="39" t="str">
        <f t="shared" si="14"/>
        <v/>
      </c>
    </row>
    <row r="966" spans="7:7" x14ac:dyDescent="0.25">
      <c r="G966" s="39" t="str">
        <f t="shared" si="14"/>
        <v/>
      </c>
    </row>
    <row r="967" spans="7:7" x14ac:dyDescent="0.25">
      <c r="G967" s="39" t="str">
        <f t="shared" si="14"/>
        <v/>
      </c>
    </row>
    <row r="968" spans="7:7" x14ac:dyDescent="0.25">
      <c r="G968" s="39" t="str">
        <f t="shared" si="14"/>
        <v/>
      </c>
    </row>
    <row r="969" spans="7:7" x14ac:dyDescent="0.25">
      <c r="G969" s="39" t="str">
        <f t="shared" si="14"/>
        <v/>
      </c>
    </row>
    <row r="970" spans="7:7" x14ac:dyDescent="0.25">
      <c r="G970" s="39" t="str">
        <f t="shared" si="14"/>
        <v/>
      </c>
    </row>
    <row r="971" spans="7:7" x14ac:dyDescent="0.25">
      <c r="G971" s="39" t="str">
        <f t="shared" si="14"/>
        <v/>
      </c>
    </row>
    <row r="972" spans="7:7" x14ac:dyDescent="0.25">
      <c r="G972" s="39" t="str">
        <f t="shared" si="14"/>
        <v/>
      </c>
    </row>
    <row r="973" spans="7:7" x14ac:dyDescent="0.25">
      <c r="G973" s="39" t="str">
        <f t="shared" si="14"/>
        <v/>
      </c>
    </row>
    <row r="974" spans="7:7" x14ac:dyDescent="0.25">
      <c r="G974" s="39" t="str">
        <f t="shared" si="14"/>
        <v/>
      </c>
    </row>
    <row r="975" spans="7:7" x14ac:dyDescent="0.25">
      <c r="G975" s="39" t="str">
        <f t="shared" si="14"/>
        <v/>
      </c>
    </row>
    <row r="976" spans="7:7" x14ac:dyDescent="0.25">
      <c r="G976" s="39" t="str">
        <f t="shared" si="14"/>
        <v/>
      </c>
    </row>
    <row r="977" spans="7:7" x14ac:dyDescent="0.25">
      <c r="G977" s="39" t="str">
        <f t="shared" si="14"/>
        <v/>
      </c>
    </row>
    <row r="978" spans="7:7" x14ac:dyDescent="0.25">
      <c r="G978" s="39" t="str">
        <f t="shared" si="14"/>
        <v/>
      </c>
    </row>
    <row r="979" spans="7:7" x14ac:dyDescent="0.25">
      <c r="G979" s="39" t="str">
        <f t="shared" ref="G979:G1018" si="15">IF(A979=0,"","Fiber")</f>
        <v/>
      </c>
    </row>
    <row r="980" spans="7:7" x14ac:dyDescent="0.25">
      <c r="G980" s="39" t="str">
        <f t="shared" si="15"/>
        <v/>
      </c>
    </row>
    <row r="981" spans="7:7" x14ac:dyDescent="0.25">
      <c r="G981" s="39" t="str">
        <f t="shared" si="15"/>
        <v/>
      </c>
    </row>
    <row r="982" spans="7:7" x14ac:dyDescent="0.25">
      <c r="G982" s="39" t="str">
        <f t="shared" si="15"/>
        <v/>
      </c>
    </row>
    <row r="983" spans="7:7" x14ac:dyDescent="0.25">
      <c r="G983" s="39" t="str">
        <f t="shared" si="15"/>
        <v/>
      </c>
    </row>
    <row r="984" spans="7:7" x14ac:dyDescent="0.25">
      <c r="G984" s="39" t="str">
        <f t="shared" si="15"/>
        <v/>
      </c>
    </row>
    <row r="985" spans="7:7" x14ac:dyDescent="0.25">
      <c r="G985" s="39" t="str">
        <f t="shared" si="15"/>
        <v/>
      </c>
    </row>
    <row r="986" spans="7:7" x14ac:dyDescent="0.25">
      <c r="G986" s="39" t="str">
        <f t="shared" si="15"/>
        <v/>
      </c>
    </row>
    <row r="987" spans="7:7" x14ac:dyDescent="0.25">
      <c r="G987" s="39" t="str">
        <f t="shared" si="15"/>
        <v/>
      </c>
    </row>
    <row r="988" spans="7:7" x14ac:dyDescent="0.25">
      <c r="G988" s="39" t="str">
        <f t="shared" si="15"/>
        <v/>
      </c>
    </row>
    <row r="989" spans="7:7" x14ac:dyDescent="0.25">
      <c r="G989" s="39" t="str">
        <f t="shared" si="15"/>
        <v/>
      </c>
    </row>
    <row r="990" spans="7:7" x14ac:dyDescent="0.25">
      <c r="G990" s="39" t="str">
        <f t="shared" si="15"/>
        <v/>
      </c>
    </row>
    <row r="991" spans="7:7" x14ac:dyDescent="0.25">
      <c r="G991" s="39" t="str">
        <f t="shared" si="15"/>
        <v/>
      </c>
    </row>
    <row r="992" spans="7:7" x14ac:dyDescent="0.25">
      <c r="G992" s="39" t="str">
        <f t="shared" si="15"/>
        <v/>
      </c>
    </row>
    <row r="993" spans="7:7" x14ac:dyDescent="0.25">
      <c r="G993" s="39" t="str">
        <f t="shared" si="15"/>
        <v/>
      </c>
    </row>
    <row r="994" spans="7:7" x14ac:dyDescent="0.25">
      <c r="G994" s="39" t="str">
        <f t="shared" si="15"/>
        <v/>
      </c>
    </row>
    <row r="995" spans="7:7" x14ac:dyDescent="0.25">
      <c r="G995" s="39" t="str">
        <f t="shared" si="15"/>
        <v/>
      </c>
    </row>
    <row r="996" spans="7:7" x14ac:dyDescent="0.25">
      <c r="G996" s="39" t="str">
        <f t="shared" si="15"/>
        <v/>
      </c>
    </row>
    <row r="997" spans="7:7" x14ac:dyDescent="0.25">
      <c r="G997" s="39" t="str">
        <f t="shared" si="15"/>
        <v/>
      </c>
    </row>
    <row r="998" spans="7:7" x14ac:dyDescent="0.25">
      <c r="G998" s="39" t="str">
        <f t="shared" si="15"/>
        <v/>
      </c>
    </row>
    <row r="999" spans="7:7" x14ac:dyDescent="0.25">
      <c r="G999" s="39" t="str">
        <f t="shared" si="15"/>
        <v/>
      </c>
    </row>
    <row r="1000" spans="7:7" x14ac:dyDescent="0.25">
      <c r="G1000" s="39" t="str">
        <f t="shared" si="15"/>
        <v/>
      </c>
    </row>
    <row r="1001" spans="7:7" x14ac:dyDescent="0.25">
      <c r="G1001" s="39" t="str">
        <f t="shared" si="15"/>
        <v/>
      </c>
    </row>
    <row r="1002" spans="7:7" x14ac:dyDescent="0.25">
      <c r="G1002" s="39" t="str">
        <f t="shared" si="15"/>
        <v/>
      </c>
    </row>
    <row r="1003" spans="7:7" x14ac:dyDescent="0.25">
      <c r="G1003" s="39" t="str">
        <f t="shared" si="15"/>
        <v/>
      </c>
    </row>
    <row r="1004" spans="7:7" x14ac:dyDescent="0.25">
      <c r="G1004" s="39" t="str">
        <f t="shared" si="15"/>
        <v/>
      </c>
    </row>
    <row r="1005" spans="7:7" x14ac:dyDescent="0.25">
      <c r="G1005" s="39" t="str">
        <f t="shared" si="15"/>
        <v/>
      </c>
    </row>
    <row r="1006" spans="7:7" x14ac:dyDescent="0.25">
      <c r="G1006" s="39" t="str">
        <f t="shared" si="15"/>
        <v/>
      </c>
    </row>
    <row r="1007" spans="7:7" x14ac:dyDescent="0.25">
      <c r="G1007" s="39" t="str">
        <f t="shared" si="15"/>
        <v/>
      </c>
    </row>
    <row r="1008" spans="7:7" x14ac:dyDescent="0.25">
      <c r="G1008" s="39" t="str">
        <f t="shared" si="15"/>
        <v/>
      </c>
    </row>
    <row r="1009" spans="7:7" x14ac:dyDescent="0.25">
      <c r="G1009" s="39" t="str">
        <f t="shared" si="15"/>
        <v/>
      </c>
    </row>
    <row r="1010" spans="7:7" x14ac:dyDescent="0.25">
      <c r="G1010" s="39" t="str">
        <f t="shared" si="15"/>
        <v/>
      </c>
    </row>
    <row r="1011" spans="7:7" x14ac:dyDescent="0.25">
      <c r="G1011" s="39" t="str">
        <f t="shared" si="15"/>
        <v/>
      </c>
    </row>
    <row r="1012" spans="7:7" x14ac:dyDescent="0.25">
      <c r="G1012" s="39" t="str">
        <f t="shared" si="15"/>
        <v/>
      </c>
    </row>
    <row r="1013" spans="7:7" x14ac:dyDescent="0.25">
      <c r="G1013" s="39" t="str">
        <f t="shared" si="15"/>
        <v/>
      </c>
    </row>
    <row r="1014" spans="7:7" x14ac:dyDescent="0.25">
      <c r="G1014" s="39" t="str">
        <f t="shared" si="15"/>
        <v/>
      </c>
    </row>
    <row r="1015" spans="7:7" x14ac:dyDescent="0.25">
      <c r="G1015" s="39" t="str">
        <f t="shared" si="15"/>
        <v/>
      </c>
    </row>
    <row r="1016" spans="7:7" x14ac:dyDescent="0.25">
      <c r="G1016" s="39" t="str">
        <f t="shared" si="15"/>
        <v/>
      </c>
    </row>
    <row r="1017" spans="7:7" x14ac:dyDescent="0.25">
      <c r="G1017" s="39" t="str">
        <f t="shared" si="15"/>
        <v/>
      </c>
    </row>
    <row r="1018" spans="7:7" x14ac:dyDescent="0.25">
      <c r="G1018" s="39" t="str">
        <f t="shared" si="15"/>
        <v/>
      </c>
    </row>
  </sheetData>
  <dataValidations count="6">
    <dataValidation type="list" allowBlank="1" showInputMessage="1" showErrorMessage="1" errorTitle="Invalid Input" error="Choose from the list" sqref="B19:B1048576" xr:uid="{3F23B433-E6B0-423F-A390-3AE890D455A0}">
      <formula1>Base_Sec</formula1>
    </dataValidation>
    <dataValidation type="custom" allowBlank="1" showInputMessage="1" showErrorMessage="1" errorTitle="Invalid Input" error="Please enter a text/string value only." sqref="A19:A1048576" xr:uid="{35F0A417-0AAE-442E-ADB5-397B4B3062B9}">
      <formula1>ISTEXT(A19)</formula1>
    </dataValidation>
    <dataValidation type="list" allowBlank="1" showInputMessage="1" showErrorMessage="1" errorTitle="Invalid Input" error="Choose from the list" sqref="C19:C1048576" xr:uid="{1A24298F-811A-467B-B4B7-8CADABBEA890}">
      <formula1>Int_Type_Dist</formula1>
    </dataValidation>
    <dataValidation type="list" allowBlank="1" showInputMessage="1" showErrorMessage="1" errorTitle="Invalid Input" error="Choose from the list" sqref="D19:F1048576" xr:uid="{60D51DB4-00C7-4BA3-BEC6-0396076C386E}">
      <formula1>NL_Mat_Name</formula1>
    </dataValidation>
    <dataValidation type="decimal" allowBlank="1" showInputMessage="1" showErrorMessage="1" errorTitle="Invalid Input" error="Please enter a float value only." sqref="L19:O1048576 H19:H1048576" xr:uid="{22D892CF-00E0-4386-A561-F8E7B2F43520}">
      <formula1>0</formula1>
      <formula2>1000000000000</formula2>
    </dataValidation>
    <dataValidation type="whole" allowBlank="1" showInputMessage="1" showErrorMessage="1" errorTitle="Invalid Input" error="Please enter an integer value only." sqref="I19:K1048576" xr:uid="{3770231B-84DF-41AE-B196-092CB449837F}">
      <formula1>0</formula1>
      <formula2>1000000000000</formula2>
    </dataValidation>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4F8022-726A-4BCA-9C04-6BA22B95ED95}">
  <sheetPr codeName="Sheet12"/>
  <dimension ref="A1:E1008"/>
  <sheetViews>
    <sheetView tabSelected="1" zoomScale="130" zoomScaleNormal="130" workbookViewId="0">
      <selection activeCell="I16" sqref="I16"/>
    </sheetView>
  </sheetViews>
  <sheetFormatPr defaultColWidth="10.85546875" defaultRowHeight="15.75" x14ac:dyDescent="0.25"/>
  <cols>
    <col min="1" max="2" width="20.7109375" style="41" customWidth="1"/>
    <col min="3" max="4" width="20.7109375" style="39" customWidth="1"/>
    <col min="5" max="5" width="20.7109375" style="41" customWidth="1"/>
    <col min="6" max="16384" width="10.85546875" style="3"/>
  </cols>
  <sheetData>
    <row r="1" spans="1:5" x14ac:dyDescent="0.25">
      <c r="A1" s="32" t="s">
        <v>200</v>
      </c>
      <c r="B1" s="38"/>
      <c r="C1" s="38"/>
      <c r="D1" s="38"/>
      <c r="E1" s="179"/>
    </row>
    <row r="2" spans="1:5" x14ac:dyDescent="0.25">
      <c r="A2" s="44" t="s">
        <v>345</v>
      </c>
      <c r="B2" s="54"/>
      <c r="C2" s="54"/>
      <c r="D2" s="54"/>
      <c r="E2" s="180"/>
    </row>
    <row r="3" spans="1:5" x14ac:dyDescent="0.25">
      <c r="A3" s="44" t="s">
        <v>346</v>
      </c>
      <c r="B3" s="54"/>
      <c r="C3" s="54"/>
      <c r="D3" s="54"/>
      <c r="E3" s="180"/>
    </row>
    <row r="4" spans="1:5" x14ac:dyDescent="0.25">
      <c r="A4" s="44" t="s">
        <v>348</v>
      </c>
      <c r="B4" s="54"/>
      <c r="C4" s="54"/>
      <c r="D4" s="54"/>
      <c r="E4" s="180"/>
    </row>
    <row r="5" spans="1:5" x14ac:dyDescent="0.25">
      <c r="A5" s="44" t="s">
        <v>321</v>
      </c>
      <c r="B5" s="54"/>
      <c r="C5" s="54"/>
      <c r="D5" s="54"/>
      <c r="E5" s="180"/>
    </row>
    <row r="6" spans="1:5" x14ac:dyDescent="0.25">
      <c r="A6" s="49" t="s">
        <v>347</v>
      </c>
      <c r="B6" s="40"/>
      <c r="C6" s="40"/>
      <c r="D6" s="40"/>
      <c r="E6" s="181"/>
    </row>
    <row r="7" spans="1:5" x14ac:dyDescent="0.25">
      <c r="A7" s="33"/>
      <c r="B7" s="1"/>
      <c r="C7" s="1"/>
      <c r="D7" s="1"/>
      <c r="E7" s="1"/>
    </row>
    <row r="8" spans="1:5" s="2" customFormat="1" x14ac:dyDescent="0.25">
      <c r="A8" s="31" t="s">
        <v>72</v>
      </c>
      <c r="B8" s="31" t="s">
        <v>103</v>
      </c>
      <c r="C8" s="31" t="s">
        <v>18</v>
      </c>
      <c r="D8" s="31" t="s">
        <v>79</v>
      </c>
      <c r="E8" s="31" t="s">
        <v>104</v>
      </c>
    </row>
    <row r="9" spans="1:5" x14ac:dyDescent="0.25">
      <c r="A9" s="41" t="s">
        <v>105</v>
      </c>
      <c r="B9" s="182" t="s">
        <v>102</v>
      </c>
      <c r="C9" s="39" t="str">
        <f>IF(A9=0,"",IF(IF(COUNTIF(Sec_Fiber!$A$19:$A$1018,B9)&gt;0,TRUE,FALSE)=FALSE,VLOOKUP(B9,SecDB,3,FALSE),VLOOKUP(VLOOKUP(B9,SecFiberDB,2,FALSE),SecDB,3,FALSE)))</f>
        <v>RC30</v>
      </c>
      <c r="D9" s="39" t="str">
        <f t="shared" ref="D9:D72" si="0">IF(A9=0,"","Aggregator")</f>
        <v>Aggregator</v>
      </c>
      <c r="E9" s="41" t="s">
        <v>106</v>
      </c>
    </row>
    <row r="10" spans="1:5" x14ac:dyDescent="0.25">
      <c r="C10" s="39" t="str">
        <f>IF(A10=0,"",IF(IF(COUNTIF(Sec_Fiber!$A$19:$A$1018,B10)&gt;0,TRUE,FALSE)=FALSE,VLOOKUP(B10,SecDB,3,FALSE),VLOOKUP(VLOOKUP(B10,SecFiberDB,2,FALSE),SecDB,3,FALSE)))</f>
        <v/>
      </c>
      <c r="D10" s="39" t="str">
        <f t="shared" si="0"/>
        <v/>
      </c>
    </row>
    <row r="11" spans="1:5" x14ac:dyDescent="0.25">
      <c r="C11" s="39" t="str">
        <f>IF(A11=0,"",IF(IF(COUNTIF(Sec_Fiber!$A$19:$A$1018,B11)&gt;0,TRUE,FALSE)=FALSE,VLOOKUP(B11,SecDB,3,FALSE),VLOOKUP(VLOOKUP(B11,SecFiberDB,2,FALSE),SecDB,3,FALSE)))</f>
        <v/>
      </c>
      <c r="D11" s="39" t="str">
        <f t="shared" si="0"/>
        <v/>
      </c>
    </row>
    <row r="12" spans="1:5" x14ac:dyDescent="0.25">
      <c r="C12" s="39" t="str">
        <f>IF(A12=0,"",IF(IF(COUNTIF(Sec_Fiber!$A$19:$A$1018,B12)&gt;0,TRUE,FALSE)=FALSE,VLOOKUP(B12,SecDB,3,FALSE),VLOOKUP(VLOOKUP(B12,SecFiberDB,2,FALSE),SecDB,3,FALSE)))</f>
        <v/>
      </c>
      <c r="D12" s="39" t="str">
        <f t="shared" si="0"/>
        <v/>
      </c>
    </row>
    <row r="13" spans="1:5" x14ac:dyDescent="0.25">
      <c r="C13" s="39" t="str">
        <f>IF(A13=0,"",IF(IF(COUNTIF(Sec_Fiber!$A$19:$A$1018,B13)&gt;0,TRUE,FALSE)=FALSE,VLOOKUP(B13,SecDB,3,FALSE),VLOOKUP(VLOOKUP(B13,SecFiberDB,2,FALSE),SecDB,3,FALSE)))</f>
        <v/>
      </c>
      <c r="D13" s="39" t="str">
        <f t="shared" si="0"/>
        <v/>
      </c>
    </row>
    <row r="14" spans="1:5" x14ac:dyDescent="0.25">
      <c r="C14" s="39" t="str">
        <f>IF(A14=0,"",IF(IF(COUNTIF(Sec_Fiber!$A$19:$A$1018,B14)&gt;0,TRUE,FALSE)=FALSE,VLOOKUP(B14,SecDB,3,FALSE),VLOOKUP(VLOOKUP(B14,SecFiberDB,2,FALSE),SecDB,3,FALSE)))</f>
        <v/>
      </c>
      <c r="D14" s="39" t="str">
        <f t="shared" si="0"/>
        <v/>
      </c>
    </row>
    <row r="15" spans="1:5" x14ac:dyDescent="0.25">
      <c r="C15" s="39" t="str">
        <f>IF(A15=0,"",IF(IF(COUNTIF(Sec_Fiber!$A$19:$A$1018,B15)&gt;0,TRUE,FALSE)=FALSE,VLOOKUP(B15,SecDB,3,FALSE),VLOOKUP(VLOOKUP(B15,SecFiberDB,2,FALSE),SecDB,3,FALSE)))</f>
        <v/>
      </c>
      <c r="D15" s="39" t="str">
        <f t="shared" si="0"/>
        <v/>
      </c>
    </row>
    <row r="16" spans="1:5" x14ac:dyDescent="0.25">
      <c r="C16" s="39" t="str">
        <f>IF(A16=0,"",IF(IF(COUNTIF(Sec_Fiber!$A$19:$A$1018,B16)&gt;0,TRUE,FALSE)=FALSE,VLOOKUP(B16,SecDB,3,FALSE),VLOOKUP(VLOOKUP(B16,SecFiberDB,2,FALSE),SecDB,3,FALSE)))</f>
        <v/>
      </c>
      <c r="D16" s="39" t="str">
        <f t="shared" si="0"/>
        <v/>
      </c>
    </row>
    <row r="17" spans="3:4" x14ac:dyDescent="0.25">
      <c r="C17" s="39" t="str">
        <f>IF(A17=0,"",IF(IF(COUNTIF(Sec_Fiber!$A$19:$A$1018,B17)&gt;0,TRUE,FALSE)=FALSE,VLOOKUP(B17,SecDB,3,FALSE),VLOOKUP(VLOOKUP(B17,SecFiberDB,2,FALSE),SecDB,3,FALSE)))</f>
        <v/>
      </c>
      <c r="D17" s="39" t="str">
        <f t="shared" si="0"/>
        <v/>
      </c>
    </row>
    <row r="18" spans="3:4" x14ac:dyDescent="0.25">
      <c r="C18" s="39" t="str">
        <f>IF(A18=0,"",IF(IF(COUNTIF(Sec_Fiber!$A$19:$A$1018,B18)&gt;0,TRUE,FALSE)=FALSE,VLOOKUP(B18,SecDB,3,FALSE),VLOOKUP(VLOOKUP(B18,SecFiberDB,2,FALSE),SecDB,3,FALSE)))</f>
        <v/>
      </c>
      <c r="D18" s="39" t="str">
        <f t="shared" si="0"/>
        <v/>
      </c>
    </row>
    <row r="19" spans="3:4" x14ac:dyDescent="0.25">
      <c r="C19" s="39" t="str">
        <f>IF(A19=0,"",IF(IF(COUNTIF(Sec_Fiber!$A$19:$A$1018,B19)&gt;0,TRUE,FALSE)=FALSE,VLOOKUP(B19,SecDB,3,FALSE),VLOOKUP(VLOOKUP(B19,SecFiberDB,2,FALSE),SecDB,3,FALSE)))</f>
        <v/>
      </c>
      <c r="D19" s="39" t="str">
        <f t="shared" si="0"/>
        <v/>
      </c>
    </row>
    <row r="20" spans="3:4" x14ac:dyDescent="0.25">
      <c r="C20" s="39" t="str">
        <f>IF(A20=0,"",IF(IF(COUNTIF(Sec_Fiber!$A$19:$A$1018,B20)&gt;0,TRUE,FALSE)=FALSE,VLOOKUP(B20,SecDB,3,FALSE),VLOOKUP(VLOOKUP(B20,SecFiberDB,2,FALSE),SecDB,3,FALSE)))</f>
        <v/>
      </c>
      <c r="D20" s="39" t="str">
        <f t="shared" si="0"/>
        <v/>
      </c>
    </row>
    <row r="21" spans="3:4" x14ac:dyDescent="0.25">
      <c r="C21" s="39" t="str">
        <f>IF(A21=0,"",IF(IF(COUNTIF(Sec_Fiber!$A$19:$A$1018,B21)&gt;0,TRUE,FALSE)=FALSE,VLOOKUP(B21,SecDB,3,FALSE),VLOOKUP(VLOOKUP(B21,SecFiberDB,2,FALSE),SecDB,3,FALSE)))</f>
        <v/>
      </c>
      <c r="D21" s="39" t="str">
        <f t="shared" si="0"/>
        <v/>
      </c>
    </row>
    <row r="22" spans="3:4" x14ac:dyDescent="0.25">
      <c r="C22" s="39" t="str">
        <f>IF(A22=0,"",IF(IF(COUNTIF(Sec_Fiber!$A$19:$A$1018,B22)&gt;0,TRUE,FALSE)=FALSE,VLOOKUP(B22,SecDB,3,FALSE),VLOOKUP(VLOOKUP(B22,SecFiberDB,2,FALSE),SecDB,3,FALSE)))</f>
        <v/>
      </c>
      <c r="D22" s="39" t="str">
        <f t="shared" si="0"/>
        <v/>
      </c>
    </row>
    <row r="23" spans="3:4" x14ac:dyDescent="0.25">
      <c r="C23" s="39" t="str">
        <f>IF(A23=0,"",IF(IF(COUNTIF(Sec_Fiber!$A$19:$A$1018,B23)&gt;0,TRUE,FALSE)=FALSE,VLOOKUP(B23,SecDB,3,FALSE),VLOOKUP(VLOOKUP(B23,SecFiberDB,2,FALSE),SecDB,3,FALSE)))</f>
        <v/>
      </c>
      <c r="D23" s="39" t="str">
        <f t="shared" si="0"/>
        <v/>
      </c>
    </row>
    <row r="24" spans="3:4" x14ac:dyDescent="0.25">
      <c r="C24" s="39" t="str">
        <f>IF(A24=0,"",IF(IF(COUNTIF(Sec_Fiber!$A$19:$A$1018,B24)&gt;0,TRUE,FALSE)=FALSE,VLOOKUP(B24,SecDB,3,FALSE),VLOOKUP(VLOOKUP(B24,SecFiberDB,2,FALSE),SecDB,3,FALSE)))</f>
        <v/>
      </c>
      <c r="D24" s="39" t="str">
        <f t="shared" si="0"/>
        <v/>
      </c>
    </row>
    <row r="25" spans="3:4" x14ac:dyDescent="0.25">
      <c r="C25" s="39" t="str">
        <f>IF(A25=0,"",IF(IF(COUNTIF(Sec_Fiber!$A$19:$A$1018,B25)&gt;0,TRUE,FALSE)=FALSE,VLOOKUP(B25,SecDB,3,FALSE),VLOOKUP(VLOOKUP(B25,SecFiberDB,2,FALSE),SecDB,3,FALSE)))</f>
        <v/>
      </c>
      <c r="D25" s="39" t="str">
        <f t="shared" si="0"/>
        <v/>
      </c>
    </row>
    <row r="26" spans="3:4" x14ac:dyDescent="0.25">
      <c r="C26" s="39" t="str">
        <f>IF(A26=0,"",IF(IF(COUNTIF(Sec_Fiber!$A$19:$A$1018,B26)&gt;0,TRUE,FALSE)=FALSE,VLOOKUP(B26,SecDB,3,FALSE),VLOOKUP(VLOOKUP(B26,SecFiberDB,2,FALSE),SecDB,3,FALSE)))</f>
        <v/>
      </c>
      <c r="D26" s="39" t="str">
        <f t="shared" si="0"/>
        <v/>
      </c>
    </row>
    <row r="27" spans="3:4" x14ac:dyDescent="0.25">
      <c r="C27" s="39" t="str">
        <f>IF(A27=0,"",IF(IF(COUNTIF(Sec_Fiber!$A$19:$A$1018,B27)&gt;0,TRUE,FALSE)=FALSE,VLOOKUP(B27,SecDB,3,FALSE),VLOOKUP(VLOOKUP(B27,SecFiberDB,2,FALSE),SecDB,3,FALSE)))</f>
        <v/>
      </c>
      <c r="D27" s="39" t="str">
        <f t="shared" si="0"/>
        <v/>
      </c>
    </row>
    <row r="28" spans="3:4" x14ac:dyDescent="0.25">
      <c r="C28" s="39" t="str">
        <f>IF(A28=0,"",IF(IF(COUNTIF(Sec_Fiber!$A$19:$A$1018,B28)&gt;0,TRUE,FALSE)=FALSE,VLOOKUP(B28,SecDB,3,FALSE),VLOOKUP(VLOOKUP(B28,SecFiberDB,2,FALSE),SecDB,3,FALSE)))</f>
        <v/>
      </c>
      <c r="D28" s="39" t="str">
        <f t="shared" si="0"/>
        <v/>
      </c>
    </row>
    <row r="29" spans="3:4" x14ac:dyDescent="0.25">
      <c r="C29" s="39" t="str">
        <f>IF(A29=0,"",IF(IF(COUNTIF(Sec_Fiber!$A$19:$A$1018,B29)&gt;0,TRUE,FALSE)=FALSE,VLOOKUP(B29,SecDB,3,FALSE),VLOOKUP(VLOOKUP(B29,SecFiberDB,2,FALSE),SecDB,3,FALSE)))</f>
        <v/>
      </c>
      <c r="D29" s="39" t="str">
        <f t="shared" si="0"/>
        <v/>
      </c>
    </row>
    <row r="30" spans="3:4" x14ac:dyDescent="0.25">
      <c r="C30" s="39" t="str">
        <f>IF(A30=0,"",IF(IF(COUNTIF(Sec_Fiber!$A$19:$A$1018,B30)&gt;0,TRUE,FALSE)=FALSE,VLOOKUP(B30,SecDB,3,FALSE),VLOOKUP(VLOOKUP(B30,SecFiberDB,2,FALSE),SecDB,3,FALSE)))</f>
        <v/>
      </c>
      <c r="D30" s="39" t="str">
        <f t="shared" si="0"/>
        <v/>
      </c>
    </row>
    <row r="31" spans="3:4" x14ac:dyDescent="0.25">
      <c r="C31" s="39" t="str">
        <f>IF(A31=0,"",IF(IF(COUNTIF(Sec_Fiber!$A$19:$A$1018,B31)&gt;0,TRUE,FALSE)=FALSE,VLOOKUP(B31,SecDB,3,FALSE),VLOOKUP(VLOOKUP(B31,SecFiberDB,2,FALSE),SecDB,3,FALSE)))</f>
        <v/>
      </c>
      <c r="D31" s="39" t="str">
        <f t="shared" si="0"/>
        <v/>
      </c>
    </row>
    <row r="32" spans="3:4" x14ac:dyDescent="0.25">
      <c r="C32" s="39" t="str">
        <f>IF(A32=0,"",IF(IF(COUNTIF(Sec_Fiber!$A$19:$A$1018,B32)&gt;0,TRUE,FALSE)=FALSE,VLOOKUP(B32,SecDB,3,FALSE),VLOOKUP(VLOOKUP(B32,SecFiberDB,2,FALSE),SecDB,3,FALSE)))</f>
        <v/>
      </c>
      <c r="D32" s="39" t="str">
        <f t="shared" si="0"/>
        <v/>
      </c>
    </row>
    <row r="33" spans="3:4" x14ac:dyDescent="0.25">
      <c r="C33" s="39" t="str">
        <f>IF(A33=0,"",IF(IF(COUNTIF(Sec_Fiber!$A$19:$A$1018,B33)&gt;0,TRUE,FALSE)=FALSE,VLOOKUP(B33,SecDB,3,FALSE),VLOOKUP(VLOOKUP(B33,SecFiberDB,2,FALSE),SecDB,3,FALSE)))</f>
        <v/>
      </c>
      <c r="D33" s="39" t="str">
        <f t="shared" si="0"/>
        <v/>
      </c>
    </row>
    <row r="34" spans="3:4" x14ac:dyDescent="0.25">
      <c r="C34" s="39" t="str">
        <f>IF(A34=0,"",IF(IF(COUNTIF(Sec_Fiber!$A$19:$A$1018,B34)&gt;0,TRUE,FALSE)=FALSE,VLOOKUP(B34,SecDB,3,FALSE),VLOOKUP(VLOOKUP(B34,SecFiberDB,2,FALSE),SecDB,3,FALSE)))</f>
        <v/>
      </c>
      <c r="D34" s="39" t="str">
        <f t="shared" si="0"/>
        <v/>
      </c>
    </row>
    <row r="35" spans="3:4" x14ac:dyDescent="0.25">
      <c r="C35" s="39" t="str">
        <f>IF(A35=0,"",IF(IF(COUNTIF(Sec_Fiber!$A$19:$A$1018,B35)&gt;0,TRUE,FALSE)=FALSE,VLOOKUP(B35,SecDB,3,FALSE),VLOOKUP(VLOOKUP(B35,SecFiberDB,2,FALSE),SecDB,3,FALSE)))</f>
        <v/>
      </c>
      <c r="D35" s="39" t="str">
        <f t="shared" si="0"/>
        <v/>
      </c>
    </row>
    <row r="36" spans="3:4" x14ac:dyDescent="0.25">
      <c r="C36" s="39" t="str">
        <f>IF(A36=0,"",IF(IF(COUNTIF(Sec_Fiber!$A$19:$A$1018,B36)&gt;0,TRUE,FALSE)=FALSE,VLOOKUP(B36,SecDB,3,FALSE),VLOOKUP(VLOOKUP(B36,SecFiberDB,2,FALSE),SecDB,3,FALSE)))</f>
        <v/>
      </c>
      <c r="D36" s="39" t="str">
        <f t="shared" si="0"/>
        <v/>
      </c>
    </row>
    <row r="37" spans="3:4" x14ac:dyDescent="0.25">
      <c r="C37" s="39" t="str">
        <f>IF(A37=0,"",IF(IF(COUNTIF(Sec_Fiber!$A$19:$A$1018,B37)&gt;0,TRUE,FALSE)=FALSE,VLOOKUP(B37,SecDB,3,FALSE),VLOOKUP(VLOOKUP(B37,SecFiberDB,2,FALSE),SecDB,3,FALSE)))</f>
        <v/>
      </c>
      <c r="D37" s="39" t="str">
        <f t="shared" si="0"/>
        <v/>
      </c>
    </row>
    <row r="38" spans="3:4" x14ac:dyDescent="0.25">
      <c r="C38" s="39" t="str">
        <f>IF(A38=0,"",IF(IF(COUNTIF(Sec_Fiber!$A$19:$A$1018,B38)&gt;0,TRUE,FALSE)=FALSE,VLOOKUP(B38,SecDB,3,FALSE),VLOOKUP(VLOOKUP(B38,SecFiberDB,2,FALSE),SecDB,3,FALSE)))</f>
        <v/>
      </c>
      <c r="D38" s="39" t="str">
        <f t="shared" si="0"/>
        <v/>
      </c>
    </row>
    <row r="39" spans="3:4" x14ac:dyDescent="0.25">
      <c r="C39" s="39" t="str">
        <f>IF(A39=0,"",IF(IF(COUNTIF(Sec_Fiber!$A$19:$A$1018,B39)&gt;0,TRUE,FALSE)=FALSE,VLOOKUP(B39,SecDB,3,FALSE),VLOOKUP(VLOOKUP(B39,SecFiberDB,2,FALSE),SecDB,3,FALSE)))</f>
        <v/>
      </c>
      <c r="D39" s="39" t="str">
        <f t="shared" si="0"/>
        <v/>
      </c>
    </row>
    <row r="40" spans="3:4" x14ac:dyDescent="0.25">
      <c r="C40" s="39" t="str">
        <f>IF(A40=0,"",IF(IF(COUNTIF(Sec_Fiber!$A$19:$A$1018,B40)&gt;0,TRUE,FALSE)=FALSE,VLOOKUP(B40,SecDB,3,FALSE),VLOOKUP(VLOOKUP(B40,SecFiberDB,2,FALSE),SecDB,3,FALSE)))</f>
        <v/>
      </c>
      <c r="D40" s="39" t="str">
        <f t="shared" si="0"/>
        <v/>
      </c>
    </row>
    <row r="41" spans="3:4" x14ac:dyDescent="0.25">
      <c r="C41" s="39" t="str">
        <f>IF(A41=0,"",IF(IF(COUNTIF(Sec_Fiber!$A$19:$A$1018,B41)&gt;0,TRUE,FALSE)=FALSE,VLOOKUP(B41,SecDB,3,FALSE),VLOOKUP(VLOOKUP(B41,SecFiberDB,2,FALSE),SecDB,3,FALSE)))</f>
        <v/>
      </c>
      <c r="D41" s="39" t="str">
        <f t="shared" si="0"/>
        <v/>
      </c>
    </row>
    <row r="42" spans="3:4" x14ac:dyDescent="0.25">
      <c r="C42" s="39" t="str">
        <f>IF(A42=0,"",IF(IF(COUNTIF(Sec_Fiber!$A$19:$A$1018,B42)&gt;0,TRUE,FALSE)=FALSE,VLOOKUP(B42,SecDB,3,FALSE),VLOOKUP(VLOOKUP(B42,SecFiberDB,2,FALSE),SecDB,3,FALSE)))</f>
        <v/>
      </c>
      <c r="D42" s="39" t="str">
        <f t="shared" si="0"/>
        <v/>
      </c>
    </row>
    <row r="43" spans="3:4" x14ac:dyDescent="0.25">
      <c r="C43" s="39" t="str">
        <f>IF(A43=0,"",IF(IF(COUNTIF(Sec_Fiber!$A$19:$A$1018,B43)&gt;0,TRUE,FALSE)=FALSE,VLOOKUP(B43,SecDB,3,FALSE),VLOOKUP(VLOOKUP(B43,SecFiberDB,2,FALSE),SecDB,3,FALSE)))</f>
        <v/>
      </c>
      <c r="D43" s="39" t="str">
        <f t="shared" si="0"/>
        <v/>
      </c>
    </row>
    <row r="44" spans="3:4" x14ac:dyDescent="0.25">
      <c r="C44" s="39" t="str">
        <f>IF(A44=0,"",IF(IF(COUNTIF(Sec_Fiber!$A$19:$A$1018,B44)&gt;0,TRUE,FALSE)=FALSE,VLOOKUP(B44,SecDB,3,FALSE),VLOOKUP(VLOOKUP(B44,SecFiberDB,2,FALSE),SecDB,3,FALSE)))</f>
        <v/>
      </c>
      <c r="D44" s="39" t="str">
        <f t="shared" si="0"/>
        <v/>
      </c>
    </row>
    <row r="45" spans="3:4" x14ac:dyDescent="0.25">
      <c r="C45" s="39" t="str">
        <f>IF(A45=0,"",IF(IF(COUNTIF(Sec_Fiber!$A$19:$A$1018,B45)&gt;0,TRUE,FALSE)=FALSE,VLOOKUP(B45,SecDB,3,FALSE),VLOOKUP(VLOOKUP(B45,SecFiberDB,2,FALSE),SecDB,3,FALSE)))</f>
        <v/>
      </c>
      <c r="D45" s="39" t="str">
        <f t="shared" si="0"/>
        <v/>
      </c>
    </row>
    <row r="46" spans="3:4" x14ac:dyDescent="0.25">
      <c r="C46" s="39" t="str">
        <f>IF(A46=0,"",IF(IF(COUNTIF(Sec_Fiber!$A$19:$A$1018,B46)&gt;0,TRUE,FALSE)=FALSE,VLOOKUP(B46,SecDB,3,FALSE),VLOOKUP(VLOOKUP(B46,SecFiberDB,2,FALSE),SecDB,3,FALSE)))</f>
        <v/>
      </c>
      <c r="D46" s="39" t="str">
        <f t="shared" si="0"/>
        <v/>
      </c>
    </row>
    <row r="47" spans="3:4" x14ac:dyDescent="0.25">
      <c r="C47" s="39" t="str">
        <f>IF(A47=0,"",IF(IF(COUNTIF(Sec_Fiber!$A$19:$A$1018,B47)&gt;0,TRUE,FALSE)=FALSE,VLOOKUP(B47,SecDB,3,FALSE),VLOOKUP(VLOOKUP(B47,SecFiberDB,2,FALSE),SecDB,3,FALSE)))</f>
        <v/>
      </c>
      <c r="D47" s="39" t="str">
        <f t="shared" si="0"/>
        <v/>
      </c>
    </row>
    <row r="48" spans="3:4" x14ac:dyDescent="0.25">
      <c r="C48" s="39" t="str">
        <f>IF(A48=0,"",IF(IF(COUNTIF(Sec_Fiber!$A$19:$A$1018,B48)&gt;0,TRUE,FALSE)=FALSE,VLOOKUP(B48,SecDB,3,FALSE),VLOOKUP(VLOOKUP(B48,SecFiberDB,2,FALSE),SecDB,3,FALSE)))</f>
        <v/>
      </c>
      <c r="D48" s="39" t="str">
        <f t="shared" si="0"/>
        <v/>
      </c>
    </row>
    <row r="49" spans="3:4" x14ac:dyDescent="0.25">
      <c r="C49" s="39" t="str">
        <f>IF(A49=0,"",IF(IF(COUNTIF(Sec_Fiber!$A$19:$A$1018,B49)&gt;0,TRUE,FALSE)=FALSE,VLOOKUP(B49,SecDB,3,FALSE),VLOOKUP(VLOOKUP(B49,SecFiberDB,2,FALSE),SecDB,3,FALSE)))</f>
        <v/>
      </c>
      <c r="D49" s="39" t="str">
        <f t="shared" si="0"/>
        <v/>
      </c>
    </row>
    <row r="50" spans="3:4" x14ac:dyDescent="0.25">
      <c r="C50" s="39" t="str">
        <f>IF(A50=0,"",IF(IF(COUNTIF(Sec_Fiber!$A$19:$A$1018,B50)&gt;0,TRUE,FALSE)=FALSE,VLOOKUP(B50,SecDB,3,FALSE),VLOOKUP(VLOOKUP(B50,SecFiberDB,2,FALSE),SecDB,3,FALSE)))</f>
        <v/>
      </c>
      <c r="D50" s="39" t="str">
        <f t="shared" si="0"/>
        <v/>
      </c>
    </row>
    <row r="51" spans="3:4" x14ac:dyDescent="0.25">
      <c r="C51" s="39" t="str">
        <f>IF(A51=0,"",IF(IF(COUNTIF(Sec_Fiber!$A$19:$A$1018,B51)&gt;0,TRUE,FALSE)=FALSE,VLOOKUP(B51,SecDB,3,FALSE),VLOOKUP(VLOOKUP(B51,SecFiberDB,2,FALSE),SecDB,3,FALSE)))</f>
        <v/>
      </c>
      <c r="D51" s="39" t="str">
        <f t="shared" si="0"/>
        <v/>
      </c>
    </row>
    <row r="52" spans="3:4" x14ac:dyDescent="0.25">
      <c r="C52" s="39" t="str">
        <f>IF(A52=0,"",IF(IF(COUNTIF(Sec_Fiber!$A$19:$A$1018,B52)&gt;0,TRUE,FALSE)=FALSE,VLOOKUP(B52,SecDB,3,FALSE),VLOOKUP(VLOOKUP(B52,SecFiberDB,2,FALSE),SecDB,3,FALSE)))</f>
        <v/>
      </c>
      <c r="D52" s="39" t="str">
        <f t="shared" si="0"/>
        <v/>
      </c>
    </row>
    <row r="53" spans="3:4" x14ac:dyDescent="0.25">
      <c r="C53" s="39" t="str">
        <f>IF(A53=0,"",IF(IF(COUNTIF(Sec_Fiber!$A$19:$A$1018,B53)&gt;0,TRUE,FALSE)=FALSE,VLOOKUP(B53,SecDB,3,FALSE),VLOOKUP(VLOOKUP(B53,SecFiberDB,2,FALSE),SecDB,3,FALSE)))</f>
        <v/>
      </c>
      <c r="D53" s="39" t="str">
        <f t="shared" si="0"/>
        <v/>
      </c>
    </row>
    <row r="54" spans="3:4" x14ac:dyDescent="0.25">
      <c r="C54" s="39" t="str">
        <f>IF(A54=0,"",IF(IF(COUNTIF(Sec_Fiber!$A$19:$A$1018,B54)&gt;0,TRUE,FALSE)=FALSE,VLOOKUP(B54,SecDB,3,FALSE),VLOOKUP(VLOOKUP(B54,SecFiberDB,2,FALSE),SecDB,3,FALSE)))</f>
        <v/>
      </c>
      <c r="D54" s="39" t="str">
        <f t="shared" si="0"/>
        <v/>
      </c>
    </row>
    <row r="55" spans="3:4" x14ac:dyDescent="0.25">
      <c r="C55" s="39" t="str">
        <f>IF(A55=0,"",IF(IF(COUNTIF(Sec_Fiber!$A$19:$A$1018,B55)&gt;0,TRUE,FALSE)=FALSE,VLOOKUP(B55,SecDB,3,FALSE),VLOOKUP(VLOOKUP(B55,SecFiberDB,2,FALSE),SecDB,3,FALSE)))</f>
        <v/>
      </c>
      <c r="D55" s="39" t="str">
        <f t="shared" si="0"/>
        <v/>
      </c>
    </row>
    <row r="56" spans="3:4" x14ac:dyDescent="0.25">
      <c r="C56" s="39" t="str">
        <f>IF(A56=0,"",IF(IF(COUNTIF(Sec_Fiber!$A$19:$A$1018,B56)&gt;0,TRUE,FALSE)=FALSE,VLOOKUP(B56,SecDB,3,FALSE),VLOOKUP(VLOOKUP(B56,SecFiberDB,2,FALSE),SecDB,3,FALSE)))</f>
        <v/>
      </c>
      <c r="D56" s="39" t="str">
        <f t="shared" si="0"/>
        <v/>
      </c>
    </row>
    <row r="57" spans="3:4" x14ac:dyDescent="0.25">
      <c r="C57" s="39" t="str">
        <f>IF(A57=0,"",IF(IF(COUNTIF(Sec_Fiber!$A$19:$A$1018,B57)&gt;0,TRUE,FALSE)=FALSE,VLOOKUP(B57,SecDB,3,FALSE),VLOOKUP(VLOOKUP(B57,SecFiberDB,2,FALSE),SecDB,3,FALSE)))</f>
        <v/>
      </c>
      <c r="D57" s="39" t="str">
        <f t="shared" si="0"/>
        <v/>
      </c>
    </row>
    <row r="58" spans="3:4" x14ac:dyDescent="0.25">
      <c r="C58" s="39" t="str">
        <f>IF(A58=0,"",IF(IF(COUNTIF(Sec_Fiber!$A$19:$A$1018,B58)&gt;0,TRUE,FALSE)=FALSE,VLOOKUP(B58,SecDB,3,FALSE),VLOOKUP(VLOOKUP(B58,SecFiberDB,2,FALSE),SecDB,3,FALSE)))</f>
        <v/>
      </c>
      <c r="D58" s="39" t="str">
        <f t="shared" si="0"/>
        <v/>
      </c>
    </row>
    <row r="59" spans="3:4" x14ac:dyDescent="0.25">
      <c r="C59" s="39" t="str">
        <f>IF(A59=0,"",IF(IF(COUNTIF(Sec_Fiber!$A$19:$A$1018,B59)&gt;0,TRUE,FALSE)=FALSE,VLOOKUP(B59,SecDB,3,FALSE),VLOOKUP(VLOOKUP(B59,SecFiberDB,2,FALSE),SecDB,3,FALSE)))</f>
        <v/>
      </c>
      <c r="D59" s="39" t="str">
        <f t="shared" si="0"/>
        <v/>
      </c>
    </row>
    <row r="60" spans="3:4" x14ac:dyDescent="0.25">
      <c r="C60" s="39" t="str">
        <f>IF(A60=0,"",IF(IF(COUNTIF(Sec_Fiber!$A$19:$A$1018,B60)&gt;0,TRUE,FALSE)=FALSE,VLOOKUP(B60,SecDB,3,FALSE),VLOOKUP(VLOOKUP(B60,SecFiberDB,2,FALSE),SecDB,3,FALSE)))</f>
        <v/>
      </c>
      <c r="D60" s="39" t="str">
        <f t="shared" si="0"/>
        <v/>
      </c>
    </row>
    <row r="61" spans="3:4" x14ac:dyDescent="0.25">
      <c r="C61" s="39" t="str">
        <f>IF(A61=0,"",IF(IF(COUNTIF(Sec_Fiber!$A$19:$A$1018,B61)&gt;0,TRUE,FALSE)=FALSE,VLOOKUP(B61,SecDB,3,FALSE),VLOOKUP(VLOOKUP(B61,SecFiberDB,2,FALSE),SecDB,3,FALSE)))</f>
        <v/>
      </c>
      <c r="D61" s="39" t="str">
        <f t="shared" si="0"/>
        <v/>
      </c>
    </row>
    <row r="62" spans="3:4" x14ac:dyDescent="0.25">
      <c r="C62" s="39" t="str">
        <f>IF(A62=0,"",IF(IF(COUNTIF(Sec_Fiber!$A$19:$A$1018,B62)&gt;0,TRUE,FALSE)=FALSE,VLOOKUP(B62,SecDB,3,FALSE),VLOOKUP(VLOOKUP(B62,SecFiberDB,2,FALSE),SecDB,3,FALSE)))</f>
        <v/>
      </c>
      <c r="D62" s="39" t="str">
        <f t="shared" si="0"/>
        <v/>
      </c>
    </row>
    <row r="63" spans="3:4" x14ac:dyDescent="0.25">
      <c r="C63" s="39" t="str">
        <f>IF(A63=0,"",IF(IF(COUNTIF(Sec_Fiber!$A$19:$A$1018,B63)&gt;0,TRUE,FALSE)=FALSE,VLOOKUP(B63,SecDB,3,FALSE),VLOOKUP(VLOOKUP(B63,SecFiberDB,2,FALSE),SecDB,3,FALSE)))</f>
        <v/>
      </c>
      <c r="D63" s="39" t="str">
        <f t="shared" si="0"/>
        <v/>
      </c>
    </row>
    <row r="64" spans="3:4" x14ac:dyDescent="0.25">
      <c r="C64" s="39" t="str">
        <f>IF(A64=0,"",IF(IF(COUNTIF(Sec_Fiber!$A$19:$A$1018,B64)&gt;0,TRUE,FALSE)=FALSE,VLOOKUP(B64,SecDB,3,FALSE),VLOOKUP(VLOOKUP(B64,SecFiberDB,2,FALSE),SecDB,3,FALSE)))</f>
        <v/>
      </c>
      <c r="D64" s="39" t="str">
        <f t="shared" si="0"/>
        <v/>
      </c>
    </row>
    <row r="65" spans="3:4" x14ac:dyDescent="0.25">
      <c r="C65" s="39" t="str">
        <f>IF(A65=0,"",IF(IF(COUNTIF(Sec_Fiber!$A$19:$A$1018,B65)&gt;0,TRUE,FALSE)=FALSE,VLOOKUP(B65,SecDB,3,FALSE),VLOOKUP(VLOOKUP(B65,SecFiberDB,2,FALSE),SecDB,3,FALSE)))</f>
        <v/>
      </c>
      <c r="D65" s="39" t="str">
        <f t="shared" si="0"/>
        <v/>
      </c>
    </row>
    <row r="66" spans="3:4" x14ac:dyDescent="0.25">
      <c r="C66" s="39" t="str">
        <f>IF(A66=0,"",IF(IF(COUNTIF(Sec_Fiber!$A$19:$A$1018,B66)&gt;0,TRUE,FALSE)=FALSE,VLOOKUP(B66,SecDB,3,FALSE),VLOOKUP(VLOOKUP(B66,SecFiberDB,2,FALSE),SecDB,3,FALSE)))</f>
        <v/>
      </c>
      <c r="D66" s="39" t="str">
        <f t="shared" si="0"/>
        <v/>
      </c>
    </row>
    <row r="67" spans="3:4" x14ac:dyDescent="0.25">
      <c r="C67" s="39" t="str">
        <f>IF(A67=0,"",IF(IF(COUNTIF(Sec_Fiber!$A$19:$A$1018,B67)&gt;0,TRUE,FALSE)=FALSE,VLOOKUP(B67,SecDB,3,FALSE),VLOOKUP(VLOOKUP(B67,SecFiberDB,2,FALSE),SecDB,3,FALSE)))</f>
        <v/>
      </c>
      <c r="D67" s="39" t="str">
        <f t="shared" si="0"/>
        <v/>
      </c>
    </row>
    <row r="68" spans="3:4" x14ac:dyDescent="0.25">
      <c r="C68" s="39" t="str">
        <f>IF(A68=0,"",IF(IF(COUNTIF(Sec_Fiber!$A$19:$A$1018,B68)&gt;0,TRUE,FALSE)=FALSE,VLOOKUP(B68,SecDB,3,FALSE),VLOOKUP(VLOOKUP(B68,SecFiberDB,2,FALSE),SecDB,3,FALSE)))</f>
        <v/>
      </c>
      <c r="D68" s="39" t="str">
        <f t="shared" si="0"/>
        <v/>
      </c>
    </row>
    <row r="69" spans="3:4" x14ac:dyDescent="0.25">
      <c r="C69" s="39" t="str">
        <f>IF(A69=0,"",IF(IF(COUNTIF(Sec_Fiber!$A$19:$A$1018,B69)&gt;0,TRUE,FALSE)=FALSE,VLOOKUP(B69,SecDB,3,FALSE),VLOOKUP(VLOOKUP(B69,SecFiberDB,2,FALSE),SecDB,3,FALSE)))</f>
        <v/>
      </c>
      <c r="D69" s="39" t="str">
        <f t="shared" si="0"/>
        <v/>
      </c>
    </row>
    <row r="70" spans="3:4" x14ac:dyDescent="0.25">
      <c r="C70" s="39" t="str">
        <f>IF(A70=0,"",IF(IF(COUNTIF(Sec_Fiber!$A$19:$A$1018,B70)&gt;0,TRUE,FALSE)=FALSE,VLOOKUP(B70,SecDB,3,FALSE),VLOOKUP(VLOOKUP(B70,SecFiberDB,2,FALSE),SecDB,3,FALSE)))</f>
        <v/>
      </c>
      <c r="D70" s="39" t="str">
        <f t="shared" si="0"/>
        <v/>
      </c>
    </row>
    <row r="71" spans="3:4" x14ac:dyDescent="0.25">
      <c r="C71" s="39" t="str">
        <f>IF(A71=0,"",IF(IF(COUNTIF(Sec_Fiber!$A$19:$A$1018,B71)&gt;0,TRUE,FALSE)=FALSE,VLOOKUP(B71,SecDB,3,FALSE),VLOOKUP(VLOOKUP(B71,SecFiberDB,2,FALSE),SecDB,3,FALSE)))</f>
        <v/>
      </c>
      <c r="D71" s="39" t="str">
        <f t="shared" si="0"/>
        <v/>
      </c>
    </row>
    <row r="72" spans="3:4" x14ac:dyDescent="0.25">
      <c r="C72" s="39" t="str">
        <f>IF(A72=0,"",IF(IF(COUNTIF(Sec_Fiber!$A$19:$A$1018,B72)&gt;0,TRUE,FALSE)=FALSE,VLOOKUP(B72,SecDB,3,FALSE),VLOOKUP(VLOOKUP(B72,SecFiberDB,2,FALSE),SecDB,3,FALSE)))</f>
        <v/>
      </c>
      <c r="D72" s="39" t="str">
        <f t="shared" si="0"/>
        <v/>
      </c>
    </row>
    <row r="73" spans="3:4" x14ac:dyDescent="0.25">
      <c r="C73" s="39" t="str">
        <f>IF(A73=0,"",IF(IF(COUNTIF(Sec_Fiber!$A$19:$A$1018,B73)&gt;0,TRUE,FALSE)=FALSE,VLOOKUP(B73,SecDB,3,FALSE),VLOOKUP(VLOOKUP(B73,SecFiberDB,2,FALSE),SecDB,3,FALSE)))</f>
        <v/>
      </c>
      <c r="D73" s="39" t="str">
        <f t="shared" ref="D73:D136" si="1">IF(A73=0,"","Aggregator")</f>
        <v/>
      </c>
    </row>
    <row r="74" spans="3:4" x14ac:dyDescent="0.25">
      <c r="C74" s="39" t="str">
        <f>IF(A74=0,"",IF(IF(COUNTIF(Sec_Fiber!$A$19:$A$1018,B74)&gt;0,TRUE,FALSE)=FALSE,VLOOKUP(B74,SecDB,3,FALSE),VLOOKUP(VLOOKUP(B74,SecFiberDB,2,FALSE),SecDB,3,FALSE)))</f>
        <v/>
      </c>
      <c r="D74" s="39" t="str">
        <f t="shared" si="1"/>
        <v/>
      </c>
    </row>
    <row r="75" spans="3:4" x14ac:dyDescent="0.25">
      <c r="C75" s="39" t="str">
        <f>IF(A75=0,"",IF(IF(COUNTIF(Sec_Fiber!$A$19:$A$1018,B75)&gt;0,TRUE,FALSE)=FALSE,VLOOKUP(B75,SecDB,3,FALSE),VLOOKUP(VLOOKUP(B75,SecFiberDB,2,FALSE),SecDB,3,FALSE)))</f>
        <v/>
      </c>
      <c r="D75" s="39" t="str">
        <f t="shared" si="1"/>
        <v/>
      </c>
    </row>
    <row r="76" spans="3:4" x14ac:dyDescent="0.25">
      <c r="C76" s="39" t="str">
        <f>IF(A76=0,"",IF(IF(COUNTIF(Sec_Fiber!$A$19:$A$1018,B76)&gt;0,TRUE,FALSE)=FALSE,VLOOKUP(B76,SecDB,3,FALSE),VLOOKUP(VLOOKUP(B76,SecFiberDB,2,FALSE),SecDB,3,FALSE)))</f>
        <v/>
      </c>
      <c r="D76" s="39" t="str">
        <f t="shared" si="1"/>
        <v/>
      </c>
    </row>
    <row r="77" spans="3:4" x14ac:dyDescent="0.25">
      <c r="C77" s="39" t="str">
        <f>IF(A77=0,"",IF(IF(COUNTIF(Sec_Fiber!$A$19:$A$1018,B77)&gt;0,TRUE,FALSE)=FALSE,VLOOKUP(B77,SecDB,3,FALSE),VLOOKUP(VLOOKUP(B77,SecFiberDB,2,FALSE),SecDB,3,FALSE)))</f>
        <v/>
      </c>
      <c r="D77" s="39" t="str">
        <f t="shared" si="1"/>
        <v/>
      </c>
    </row>
    <row r="78" spans="3:4" x14ac:dyDescent="0.25">
      <c r="C78" s="39" t="str">
        <f>IF(A78=0,"",IF(IF(COUNTIF(Sec_Fiber!$A$19:$A$1018,B78)&gt;0,TRUE,FALSE)=FALSE,VLOOKUP(B78,SecDB,3,FALSE),VLOOKUP(VLOOKUP(B78,SecFiberDB,2,FALSE),SecDB,3,FALSE)))</f>
        <v/>
      </c>
      <c r="D78" s="39" t="str">
        <f t="shared" si="1"/>
        <v/>
      </c>
    </row>
    <row r="79" spans="3:4" x14ac:dyDescent="0.25">
      <c r="C79" s="39" t="str">
        <f>IF(A79=0,"",IF(IF(COUNTIF(Sec_Fiber!$A$19:$A$1018,B79)&gt;0,TRUE,FALSE)=FALSE,VLOOKUP(B79,SecDB,3,FALSE),VLOOKUP(VLOOKUP(B79,SecFiberDB,2,FALSE),SecDB,3,FALSE)))</f>
        <v/>
      </c>
      <c r="D79" s="39" t="str">
        <f t="shared" si="1"/>
        <v/>
      </c>
    </row>
    <row r="80" spans="3:4" x14ac:dyDescent="0.25">
      <c r="C80" s="39" t="str">
        <f>IF(A80=0,"",IF(IF(COUNTIF(Sec_Fiber!$A$19:$A$1018,B80)&gt;0,TRUE,FALSE)=FALSE,VLOOKUP(B80,SecDB,3,FALSE),VLOOKUP(VLOOKUP(B80,SecFiberDB,2,FALSE),SecDB,3,FALSE)))</f>
        <v/>
      </c>
      <c r="D80" s="39" t="str">
        <f t="shared" si="1"/>
        <v/>
      </c>
    </row>
    <row r="81" spans="3:4" x14ac:dyDescent="0.25">
      <c r="C81" s="39" t="str">
        <f>IF(A81=0,"",IF(IF(COUNTIF(Sec_Fiber!$A$19:$A$1018,B81)&gt;0,TRUE,FALSE)=FALSE,VLOOKUP(B81,SecDB,3,FALSE),VLOOKUP(VLOOKUP(B81,SecFiberDB,2,FALSE),SecDB,3,FALSE)))</f>
        <v/>
      </c>
      <c r="D81" s="39" t="str">
        <f t="shared" si="1"/>
        <v/>
      </c>
    </row>
    <row r="82" spans="3:4" x14ac:dyDescent="0.25">
      <c r="C82" s="39" t="str">
        <f>IF(A82=0,"",IF(IF(COUNTIF(Sec_Fiber!$A$19:$A$1018,B82)&gt;0,TRUE,FALSE)=FALSE,VLOOKUP(B82,SecDB,3,FALSE),VLOOKUP(VLOOKUP(B82,SecFiberDB,2,FALSE),SecDB,3,FALSE)))</f>
        <v/>
      </c>
      <c r="D82" s="39" t="str">
        <f t="shared" si="1"/>
        <v/>
      </c>
    </row>
    <row r="83" spans="3:4" x14ac:dyDescent="0.25">
      <c r="C83" s="39" t="str">
        <f>IF(A83=0,"",IF(IF(COUNTIF(Sec_Fiber!$A$19:$A$1018,B83)&gt;0,TRUE,FALSE)=FALSE,VLOOKUP(B83,SecDB,3,FALSE),VLOOKUP(VLOOKUP(B83,SecFiberDB,2,FALSE),SecDB,3,FALSE)))</f>
        <v/>
      </c>
      <c r="D83" s="39" t="str">
        <f t="shared" si="1"/>
        <v/>
      </c>
    </row>
    <row r="84" spans="3:4" x14ac:dyDescent="0.25">
      <c r="C84" s="39" t="str">
        <f>IF(A84=0,"",IF(IF(COUNTIF(Sec_Fiber!$A$19:$A$1018,B84)&gt;0,TRUE,FALSE)=FALSE,VLOOKUP(B84,SecDB,3,FALSE),VLOOKUP(VLOOKUP(B84,SecFiberDB,2,FALSE),SecDB,3,FALSE)))</f>
        <v/>
      </c>
      <c r="D84" s="39" t="str">
        <f t="shared" si="1"/>
        <v/>
      </c>
    </row>
    <row r="85" spans="3:4" x14ac:dyDescent="0.25">
      <c r="C85" s="39" t="str">
        <f>IF(A85=0,"",IF(IF(COUNTIF(Sec_Fiber!$A$19:$A$1018,B85)&gt;0,TRUE,FALSE)=FALSE,VLOOKUP(B85,SecDB,3,FALSE),VLOOKUP(VLOOKUP(B85,SecFiberDB,2,FALSE),SecDB,3,FALSE)))</f>
        <v/>
      </c>
      <c r="D85" s="39" t="str">
        <f t="shared" si="1"/>
        <v/>
      </c>
    </row>
    <row r="86" spans="3:4" x14ac:dyDescent="0.25">
      <c r="C86" s="39" t="str">
        <f>IF(A86=0,"",IF(IF(COUNTIF(Sec_Fiber!$A$19:$A$1018,B86)&gt;0,TRUE,FALSE)=FALSE,VLOOKUP(B86,SecDB,3,FALSE),VLOOKUP(VLOOKUP(B86,SecFiberDB,2,FALSE),SecDB,3,FALSE)))</f>
        <v/>
      </c>
      <c r="D86" s="39" t="str">
        <f t="shared" si="1"/>
        <v/>
      </c>
    </row>
    <row r="87" spans="3:4" x14ac:dyDescent="0.25">
      <c r="C87" s="39" t="str">
        <f>IF(A87=0,"",IF(IF(COUNTIF(Sec_Fiber!$A$19:$A$1018,B87)&gt;0,TRUE,FALSE)=FALSE,VLOOKUP(B87,SecDB,3,FALSE),VLOOKUP(VLOOKUP(B87,SecFiberDB,2,FALSE),SecDB,3,FALSE)))</f>
        <v/>
      </c>
      <c r="D87" s="39" t="str">
        <f t="shared" si="1"/>
        <v/>
      </c>
    </row>
    <row r="88" spans="3:4" x14ac:dyDescent="0.25">
      <c r="C88" s="39" t="str">
        <f>IF(A88=0,"",IF(IF(COUNTIF(Sec_Fiber!$A$19:$A$1018,B88)&gt;0,TRUE,FALSE)=FALSE,VLOOKUP(B88,SecDB,3,FALSE),VLOOKUP(VLOOKUP(B88,SecFiberDB,2,FALSE),SecDB,3,FALSE)))</f>
        <v/>
      </c>
      <c r="D88" s="39" t="str">
        <f t="shared" si="1"/>
        <v/>
      </c>
    </row>
    <row r="89" spans="3:4" x14ac:dyDescent="0.25">
      <c r="C89" s="39" t="str">
        <f>IF(A89=0,"",IF(IF(COUNTIF(Sec_Fiber!$A$19:$A$1018,B89)&gt;0,TRUE,FALSE)=FALSE,VLOOKUP(B89,SecDB,3,FALSE),VLOOKUP(VLOOKUP(B89,SecFiberDB,2,FALSE),SecDB,3,FALSE)))</f>
        <v/>
      </c>
      <c r="D89" s="39" t="str">
        <f t="shared" si="1"/>
        <v/>
      </c>
    </row>
    <row r="90" spans="3:4" x14ac:dyDescent="0.25">
      <c r="C90" s="39" t="str">
        <f>IF(A90=0,"",IF(IF(COUNTIF(Sec_Fiber!$A$19:$A$1018,B90)&gt;0,TRUE,FALSE)=FALSE,VLOOKUP(B90,SecDB,3,FALSE),VLOOKUP(VLOOKUP(B90,SecFiberDB,2,FALSE),SecDB,3,FALSE)))</f>
        <v/>
      </c>
      <c r="D90" s="39" t="str">
        <f t="shared" si="1"/>
        <v/>
      </c>
    </row>
    <row r="91" spans="3:4" x14ac:dyDescent="0.25">
      <c r="C91" s="39" t="str">
        <f>IF(A91=0,"",IF(IF(COUNTIF(Sec_Fiber!$A$19:$A$1018,B91)&gt;0,TRUE,FALSE)=FALSE,VLOOKUP(B91,SecDB,3,FALSE),VLOOKUP(VLOOKUP(B91,SecFiberDB,2,FALSE),SecDB,3,FALSE)))</f>
        <v/>
      </c>
      <c r="D91" s="39" t="str">
        <f t="shared" si="1"/>
        <v/>
      </c>
    </row>
    <row r="92" spans="3:4" x14ac:dyDescent="0.25">
      <c r="C92" s="39" t="str">
        <f>IF(A92=0,"",IF(IF(COUNTIF(Sec_Fiber!$A$19:$A$1018,B92)&gt;0,TRUE,FALSE)=FALSE,VLOOKUP(B92,SecDB,3,FALSE),VLOOKUP(VLOOKUP(B92,SecFiberDB,2,FALSE),SecDB,3,FALSE)))</f>
        <v/>
      </c>
      <c r="D92" s="39" t="str">
        <f t="shared" si="1"/>
        <v/>
      </c>
    </row>
    <row r="93" spans="3:4" x14ac:dyDescent="0.25">
      <c r="C93" s="39" t="str">
        <f>IF(A93=0,"",IF(IF(COUNTIF(Sec_Fiber!$A$19:$A$1018,B93)&gt;0,TRUE,FALSE)=FALSE,VLOOKUP(B93,SecDB,3,FALSE),VLOOKUP(VLOOKUP(B93,SecFiberDB,2,FALSE),SecDB,3,FALSE)))</f>
        <v/>
      </c>
      <c r="D93" s="39" t="str">
        <f t="shared" si="1"/>
        <v/>
      </c>
    </row>
    <row r="94" spans="3:4" x14ac:dyDescent="0.25">
      <c r="C94" s="39" t="str">
        <f>IF(A94=0,"",IF(IF(COUNTIF(Sec_Fiber!$A$19:$A$1018,B94)&gt;0,TRUE,FALSE)=FALSE,VLOOKUP(B94,SecDB,3,FALSE),VLOOKUP(VLOOKUP(B94,SecFiberDB,2,FALSE),SecDB,3,FALSE)))</f>
        <v/>
      </c>
      <c r="D94" s="39" t="str">
        <f t="shared" si="1"/>
        <v/>
      </c>
    </row>
    <row r="95" spans="3:4" x14ac:dyDescent="0.25">
      <c r="C95" s="39" t="str">
        <f>IF(A95=0,"",IF(IF(COUNTIF(Sec_Fiber!$A$19:$A$1018,B95)&gt;0,TRUE,FALSE)=FALSE,VLOOKUP(B95,SecDB,3,FALSE),VLOOKUP(VLOOKUP(B95,SecFiberDB,2,FALSE),SecDB,3,FALSE)))</f>
        <v/>
      </c>
      <c r="D95" s="39" t="str">
        <f t="shared" si="1"/>
        <v/>
      </c>
    </row>
    <row r="96" spans="3:4" x14ac:dyDescent="0.25">
      <c r="C96" s="39" t="str">
        <f>IF(A96=0,"",IF(IF(COUNTIF(Sec_Fiber!$A$19:$A$1018,B96)&gt;0,TRUE,FALSE)=FALSE,VLOOKUP(B96,SecDB,3,FALSE),VLOOKUP(VLOOKUP(B96,SecFiberDB,2,FALSE),SecDB,3,FALSE)))</f>
        <v/>
      </c>
      <c r="D96" s="39" t="str">
        <f t="shared" si="1"/>
        <v/>
      </c>
    </row>
    <row r="97" spans="3:4" x14ac:dyDescent="0.25">
      <c r="C97" s="39" t="str">
        <f>IF(A97=0,"",IF(IF(COUNTIF(Sec_Fiber!$A$19:$A$1018,B97)&gt;0,TRUE,FALSE)=FALSE,VLOOKUP(B97,SecDB,3,FALSE),VLOOKUP(VLOOKUP(B97,SecFiberDB,2,FALSE),SecDB,3,FALSE)))</f>
        <v/>
      </c>
      <c r="D97" s="39" t="str">
        <f t="shared" si="1"/>
        <v/>
      </c>
    </row>
    <row r="98" spans="3:4" x14ac:dyDescent="0.25">
      <c r="C98" s="39" t="str">
        <f>IF(A98=0,"",IF(IF(COUNTIF(Sec_Fiber!$A$19:$A$1018,B98)&gt;0,TRUE,FALSE)=FALSE,VLOOKUP(B98,SecDB,3,FALSE),VLOOKUP(VLOOKUP(B98,SecFiberDB,2,FALSE),SecDB,3,FALSE)))</f>
        <v/>
      </c>
      <c r="D98" s="39" t="str">
        <f t="shared" si="1"/>
        <v/>
      </c>
    </row>
    <row r="99" spans="3:4" x14ac:dyDescent="0.25">
      <c r="C99" s="39" t="str">
        <f>IF(A99=0,"",IF(IF(COUNTIF(Sec_Fiber!$A$19:$A$1018,B99)&gt;0,TRUE,FALSE)=FALSE,VLOOKUP(B99,SecDB,3,FALSE),VLOOKUP(VLOOKUP(B99,SecFiberDB,2,FALSE),SecDB,3,FALSE)))</f>
        <v/>
      </c>
      <c r="D99" s="39" t="str">
        <f t="shared" si="1"/>
        <v/>
      </c>
    </row>
    <row r="100" spans="3:4" x14ac:dyDescent="0.25">
      <c r="C100" s="39" t="str">
        <f>IF(A100=0,"",IF(IF(COUNTIF(Sec_Fiber!$A$19:$A$1018,B100)&gt;0,TRUE,FALSE)=FALSE,VLOOKUP(B100,SecDB,3,FALSE),VLOOKUP(VLOOKUP(B100,SecFiberDB,2,FALSE),SecDB,3,FALSE)))</f>
        <v/>
      </c>
      <c r="D100" s="39" t="str">
        <f t="shared" si="1"/>
        <v/>
      </c>
    </row>
    <row r="101" spans="3:4" x14ac:dyDescent="0.25">
      <c r="C101" s="39" t="str">
        <f>IF(A101=0,"",IF(IF(COUNTIF(Sec_Fiber!$A$19:$A$1018,B101)&gt;0,TRUE,FALSE)=FALSE,VLOOKUP(B101,SecDB,3,FALSE),VLOOKUP(VLOOKUP(B101,SecFiberDB,2,FALSE),SecDB,3,FALSE)))</f>
        <v/>
      </c>
      <c r="D101" s="39" t="str">
        <f t="shared" si="1"/>
        <v/>
      </c>
    </row>
    <row r="102" spans="3:4" x14ac:dyDescent="0.25">
      <c r="C102" s="39" t="str">
        <f>IF(A102=0,"",IF(IF(COUNTIF(Sec_Fiber!$A$19:$A$1018,B102)&gt;0,TRUE,FALSE)=FALSE,VLOOKUP(B102,SecDB,3,FALSE),VLOOKUP(VLOOKUP(B102,SecFiberDB,2,FALSE),SecDB,3,FALSE)))</f>
        <v/>
      </c>
      <c r="D102" s="39" t="str">
        <f t="shared" si="1"/>
        <v/>
      </c>
    </row>
    <row r="103" spans="3:4" x14ac:dyDescent="0.25">
      <c r="C103" s="39" t="str">
        <f>IF(A103=0,"",IF(IF(COUNTIF(Sec_Fiber!$A$19:$A$1018,B103)&gt;0,TRUE,FALSE)=FALSE,VLOOKUP(B103,SecDB,3,FALSE),VLOOKUP(VLOOKUP(B103,SecFiberDB,2,FALSE),SecDB,3,FALSE)))</f>
        <v/>
      </c>
      <c r="D103" s="39" t="str">
        <f t="shared" si="1"/>
        <v/>
      </c>
    </row>
    <row r="104" spans="3:4" x14ac:dyDescent="0.25">
      <c r="C104" s="39" t="str">
        <f>IF(A104=0,"",IF(IF(COUNTIF(Sec_Fiber!$A$19:$A$1018,B104)&gt;0,TRUE,FALSE)=FALSE,VLOOKUP(B104,SecDB,3,FALSE),VLOOKUP(VLOOKUP(B104,SecFiberDB,2,FALSE),SecDB,3,FALSE)))</f>
        <v/>
      </c>
      <c r="D104" s="39" t="str">
        <f t="shared" si="1"/>
        <v/>
      </c>
    </row>
    <row r="105" spans="3:4" x14ac:dyDescent="0.25">
      <c r="C105" s="39" t="str">
        <f>IF(A105=0,"",IF(IF(COUNTIF(Sec_Fiber!$A$19:$A$1018,B105)&gt;0,TRUE,FALSE)=FALSE,VLOOKUP(B105,SecDB,3,FALSE),VLOOKUP(VLOOKUP(B105,SecFiberDB,2,FALSE),SecDB,3,FALSE)))</f>
        <v/>
      </c>
      <c r="D105" s="39" t="str">
        <f t="shared" si="1"/>
        <v/>
      </c>
    </row>
    <row r="106" spans="3:4" x14ac:dyDescent="0.25">
      <c r="C106" s="39" t="str">
        <f>IF(A106=0,"",IF(IF(COUNTIF(Sec_Fiber!$A$19:$A$1018,B106)&gt;0,TRUE,FALSE)=FALSE,VLOOKUP(B106,SecDB,3,FALSE),VLOOKUP(VLOOKUP(B106,SecFiberDB,2,FALSE),SecDB,3,FALSE)))</f>
        <v/>
      </c>
      <c r="D106" s="39" t="str">
        <f t="shared" si="1"/>
        <v/>
      </c>
    </row>
    <row r="107" spans="3:4" x14ac:dyDescent="0.25">
      <c r="C107" s="39" t="str">
        <f>IF(A107=0,"",IF(IF(COUNTIF(Sec_Fiber!$A$19:$A$1018,B107)&gt;0,TRUE,FALSE)=FALSE,VLOOKUP(B107,SecDB,3,FALSE),VLOOKUP(VLOOKUP(B107,SecFiberDB,2,FALSE),SecDB,3,FALSE)))</f>
        <v/>
      </c>
      <c r="D107" s="39" t="str">
        <f t="shared" si="1"/>
        <v/>
      </c>
    </row>
    <row r="108" spans="3:4" x14ac:dyDescent="0.25">
      <c r="C108" s="39" t="str">
        <f>IF(A108=0,"",IF(IF(COUNTIF(Sec_Fiber!$A$19:$A$1018,B108)&gt;0,TRUE,FALSE)=FALSE,VLOOKUP(B108,SecDB,3,FALSE),VLOOKUP(VLOOKUP(B108,SecFiberDB,2,FALSE),SecDB,3,FALSE)))</f>
        <v/>
      </c>
      <c r="D108" s="39" t="str">
        <f t="shared" si="1"/>
        <v/>
      </c>
    </row>
    <row r="109" spans="3:4" x14ac:dyDescent="0.25">
      <c r="C109" s="39" t="str">
        <f>IF(A109=0,"",IF(IF(COUNTIF(Sec_Fiber!$A$19:$A$1018,B109)&gt;0,TRUE,FALSE)=FALSE,VLOOKUP(B109,SecDB,3,FALSE),VLOOKUP(VLOOKUP(B109,SecFiberDB,2,FALSE),SecDB,3,FALSE)))</f>
        <v/>
      </c>
      <c r="D109" s="39" t="str">
        <f t="shared" si="1"/>
        <v/>
      </c>
    </row>
    <row r="110" spans="3:4" x14ac:dyDescent="0.25">
      <c r="C110" s="39" t="str">
        <f>IF(A110=0,"",IF(IF(COUNTIF(Sec_Fiber!$A$19:$A$1018,B110)&gt;0,TRUE,FALSE)=FALSE,VLOOKUP(B110,SecDB,3,FALSE),VLOOKUP(VLOOKUP(B110,SecFiberDB,2,FALSE),SecDB,3,FALSE)))</f>
        <v/>
      </c>
      <c r="D110" s="39" t="str">
        <f t="shared" si="1"/>
        <v/>
      </c>
    </row>
    <row r="111" spans="3:4" x14ac:dyDescent="0.25">
      <c r="C111" s="39" t="str">
        <f>IF(A111=0,"",IF(IF(COUNTIF(Sec_Fiber!$A$19:$A$1018,B111)&gt;0,TRUE,FALSE)=FALSE,VLOOKUP(B111,SecDB,3,FALSE),VLOOKUP(VLOOKUP(B111,SecFiberDB,2,FALSE),SecDB,3,FALSE)))</f>
        <v/>
      </c>
      <c r="D111" s="39" t="str">
        <f t="shared" si="1"/>
        <v/>
      </c>
    </row>
    <row r="112" spans="3:4" x14ac:dyDescent="0.25">
      <c r="C112" s="39" t="str">
        <f>IF(A112=0,"",IF(IF(COUNTIF(Sec_Fiber!$A$19:$A$1018,B112)&gt;0,TRUE,FALSE)=FALSE,VLOOKUP(B112,SecDB,3,FALSE),VLOOKUP(VLOOKUP(B112,SecFiberDB,2,FALSE),SecDB,3,FALSE)))</f>
        <v/>
      </c>
      <c r="D112" s="39" t="str">
        <f t="shared" si="1"/>
        <v/>
      </c>
    </row>
    <row r="113" spans="3:4" x14ac:dyDescent="0.25">
      <c r="C113" s="39" t="str">
        <f>IF(A113=0,"",IF(IF(COUNTIF(Sec_Fiber!$A$19:$A$1018,B113)&gt;0,TRUE,FALSE)=FALSE,VLOOKUP(B113,SecDB,3,FALSE),VLOOKUP(VLOOKUP(B113,SecFiberDB,2,FALSE),SecDB,3,FALSE)))</f>
        <v/>
      </c>
      <c r="D113" s="39" t="str">
        <f t="shared" si="1"/>
        <v/>
      </c>
    </row>
    <row r="114" spans="3:4" x14ac:dyDescent="0.25">
      <c r="C114" s="39" t="str">
        <f>IF(A114=0,"",IF(IF(COUNTIF(Sec_Fiber!$A$19:$A$1018,B114)&gt;0,TRUE,FALSE)=FALSE,VLOOKUP(B114,SecDB,3,FALSE),VLOOKUP(VLOOKUP(B114,SecFiberDB,2,FALSE),SecDB,3,FALSE)))</f>
        <v/>
      </c>
      <c r="D114" s="39" t="str">
        <f t="shared" si="1"/>
        <v/>
      </c>
    </row>
    <row r="115" spans="3:4" x14ac:dyDescent="0.25">
      <c r="C115" s="39" t="str">
        <f>IF(A115=0,"",IF(IF(COUNTIF(Sec_Fiber!$A$19:$A$1018,B115)&gt;0,TRUE,FALSE)=FALSE,VLOOKUP(B115,SecDB,3,FALSE),VLOOKUP(VLOOKUP(B115,SecFiberDB,2,FALSE),SecDB,3,FALSE)))</f>
        <v/>
      </c>
      <c r="D115" s="39" t="str">
        <f t="shared" si="1"/>
        <v/>
      </c>
    </row>
    <row r="116" spans="3:4" x14ac:dyDescent="0.25">
      <c r="C116" s="39" t="str">
        <f>IF(A116=0,"",IF(IF(COUNTIF(Sec_Fiber!$A$19:$A$1018,B116)&gt;0,TRUE,FALSE)=FALSE,VLOOKUP(B116,SecDB,3,FALSE),VLOOKUP(VLOOKUP(B116,SecFiberDB,2,FALSE),SecDB,3,FALSE)))</f>
        <v/>
      </c>
      <c r="D116" s="39" t="str">
        <f t="shared" si="1"/>
        <v/>
      </c>
    </row>
    <row r="117" spans="3:4" x14ac:dyDescent="0.25">
      <c r="C117" s="39" t="str">
        <f>IF(A117=0,"",IF(IF(COUNTIF(Sec_Fiber!$A$19:$A$1018,B117)&gt;0,TRUE,FALSE)=FALSE,VLOOKUP(B117,SecDB,3,FALSE),VLOOKUP(VLOOKUP(B117,SecFiberDB,2,FALSE),SecDB,3,FALSE)))</f>
        <v/>
      </c>
      <c r="D117" s="39" t="str">
        <f t="shared" si="1"/>
        <v/>
      </c>
    </row>
    <row r="118" spans="3:4" x14ac:dyDescent="0.25">
      <c r="C118" s="39" t="str">
        <f>IF(A118=0,"",IF(IF(COUNTIF(Sec_Fiber!$A$19:$A$1018,B118)&gt;0,TRUE,FALSE)=FALSE,VLOOKUP(B118,SecDB,3,FALSE),VLOOKUP(VLOOKUP(B118,SecFiberDB,2,FALSE),SecDB,3,FALSE)))</f>
        <v/>
      </c>
      <c r="D118" s="39" t="str">
        <f t="shared" si="1"/>
        <v/>
      </c>
    </row>
    <row r="119" spans="3:4" x14ac:dyDescent="0.25">
      <c r="C119" s="39" t="str">
        <f>IF(A119=0,"",IF(IF(COUNTIF(Sec_Fiber!$A$19:$A$1018,B119)&gt;0,TRUE,FALSE)=FALSE,VLOOKUP(B119,SecDB,3,FALSE),VLOOKUP(VLOOKUP(B119,SecFiberDB,2,FALSE),SecDB,3,FALSE)))</f>
        <v/>
      </c>
      <c r="D119" s="39" t="str">
        <f t="shared" si="1"/>
        <v/>
      </c>
    </row>
    <row r="120" spans="3:4" x14ac:dyDescent="0.25">
      <c r="C120" s="39" t="str">
        <f>IF(A120=0,"",IF(IF(COUNTIF(Sec_Fiber!$A$19:$A$1018,B120)&gt;0,TRUE,FALSE)=FALSE,VLOOKUP(B120,SecDB,3,FALSE),VLOOKUP(VLOOKUP(B120,SecFiberDB,2,FALSE),SecDB,3,FALSE)))</f>
        <v/>
      </c>
      <c r="D120" s="39" t="str">
        <f t="shared" si="1"/>
        <v/>
      </c>
    </row>
    <row r="121" spans="3:4" x14ac:dyDescent="0.25">
      <c r="C121" s="39" t="str">
        <f>IF(A121=0,"",IF(IF(COUNTIF(Sec_Fiber!$A$19:$A$1018,B121)&gt;0,TRUE,FALSE)=FALSE,VLOOKUP(B121,SecDB,3,FALSE),VLOOKUP(VLOOKUP(B121,SecFiberDB,2,FALSE),SecDB,3,FALSE)))</f>
        <v/>
      </c>
      <c r="D121" s="39" t="str">
        <f t="shared" si="1"/>
        <v/>
      </c>
    </row>
    <row r="122" spans="3:4" x14ac:dyDescent="0.25">
      <c r="C122" s="39" t="str">
        <f>IF(A122=0,"",IF(IF(COUNTIF(Sec_Fiber!$A$19:$A$1018,B122)&gt;0,TRUE,FALSE)=FALSE,VLOOKUP(B122,SecDB,3,FALSE),VLOOKUP(VLOOKUP(B122,SecFiberDB,2,FALSE),SecDB,3,FALSE)))</f>
        <v/>
      </c>
      <c r="D122" s="39" t="str">
        <f t="shared" si="1"/>
        <v/>
      </c>
    </row>
    <row r="123" spans="3:4" x14ac:dyDescent="0.25">
      <c r="C123" s="39" t="str">
        <f>IF(A123=0,"",IF(IF(COUNTIF(Sec_Fiber!$A$19:$A$1018,B123)&gt;0,TRUE,FALSE)=FALSE,VLOOKUP(B123,SecDB,3,FALSE),VLOOKUP(VLOOKUP(B123,SecFiberDB,2,FALSE),SecDB,3,FALSE)))</f>
        <v/>
      </c>
      <c r="D123" s="39" t="str">
        <f t="shared" si="1"/>
        <v/>
      </c>
    </row>
    <row r="124" spans="3:4" x14ac:dyDescent="0.25">
      <c r="C124" s="39" t="str">
        <f>IF(A124=0,"",IF(IF(COUNTIF(Sec_Fiber!$A$19:$A$1018,B124)&gt;0,TRUE,FALSE)=FALSE,VLOOKUP(B124,SecDB,3,FALSE),VLOOKUP(VLOOKUP(B124,SecFiberDB,2,FALSE),SecDB,3,FALSE)))</f>
        <v/>
      </c>
      <c r="D124" s="39" t="str">
        <f t="shared" si="1"/>
        <v/>
      </c>
    </row>
    <row r="125" spans="3:4" x14ac:dyDescent="0.25">
      <c r="C125" s="39" t="str">
        <f>IF(A125=0,"",IF(IF(COUNTIF(Sec_Fiber!$A$19:$A$1018,B125)&gt;0,TRUE,FALSE)=FALSE,VLOOKUP(B125,SecDB,3,FALSE),VLOOKUP(VLOOKUP(B125,SecFiberDB,2,FALSE),SecDB,3,FALSE)))</f>
        <v/>
      </c>
      <c r="D125" s="39" t="str">
        <f t="shared" si="1"/>
        <v/>
      </c>
    </row>
    <row r="126" spans="3:4" x14ac:dyDescent="0.25">
      <c r="C126" s="39" t="str">
        <f>IF(A126=0,"",IF(IF(COUNTIF(Sec_Fiber!$A$19:$A$1018,B126)&gt;0,TRUE,FALSE)=FALSE,VLOOKUP(B126,SecDB,3,FALSE),VLOOKUP(VLOOKUP(B126,SecFiberDB,2,FALSE),SecDB,3,FALSE)))</f>
        <v/>
      </c>
      <c r="D126" s="39" t="str">
        <f t="shared" si="1"/>
        <v/>
      </c>
    </row>
    <row r="127" spans="3:4" x14ac:dyDescent="0.25">
      <c r="C127" s="39" t="str">
        <f>IF(A127=0,"",IF(IF(COUNTIF(Sec_Fiber!$A$19:$A$1018,B127)&gt;0,TRUE,FALSE)=FALSE,VLOOKUP(B127,SecDB,3,FALSE),VLOOKUP(VLOOKUP(B127,SecFiberDB,2,FALSE),SecDB,3,FALSE)))</f>
        <v/>
      </c>
      <c r="D127" s="39" t="str">
        <f t="shared" si="1"/>
        <v/>
      </c>
    </row>
    <row r="128" spans="3:4" x14ac:dyDescent="0.25">
      <c r="C128" s="39" t="str">
        <f>IF(A128=0,"",IF(IF(COUNTIF(Sec_Fiber!$A$19:$A$1018,B128)&gt;0,TRUE,FALSE)=FALSE,VLOOKUP(B128,SecDB,3,FALSE),VLOOKUP(VLOOKUP(B128,SecFiberDB,2,FALSE),SecDB,3,FALSE)))</f>
        <v/>
      </c>
      <c r="D128" s="39" t="str">
        <f t="shared" si="1"/>
        <v/>
      </c>
    </row>
    <row r="129" spans="3:4" x14ac:dyDescent="0.25">
      <c r="C129" s="39" t="str">
        <f>IF(A129=0,"",IF(IF(COUNTIF(Sec_Fiber!$A$19:$A$1018,B129)&gt;0,TRUE,FALSE)=FALSE,VLOOKUP(B129,SecDB,3,FALSE),VLOOKUP(VLOOKUP(B129,SecFiberDB,2,FALSE),SecDB,3,FALSE)))</f>
        <v/>
      </c>
      <c r="D129" s="39" t="str">
        <f t="shared" si="1"/>
        <v/>
      </c>
    </row>
    <row r="130" spans="3:4" x14ac:dyDescent="0.25">
      <c r="C130" s="39" t="str">
        <f>IF(A130=0,"",IF(IF(COUNTIF(Sec_Fiber!$A$19:$A$1018,B130)&gt;0,TRUE,FALSE)=FALSE,VLOOKUP(B130,SecDB,3,FALSE),VLOOKUP(VLOOKUP(B130,SecFiberDB,2,FALSE),SecDB,3,FALSE)))</f>
        <v/>
      </c>
      <c r="D130" s="39" t="str">
        <f t="shared" si="1"/>
        <v/>
      </c>
    </row>
    <row r="131" spans="3:4" x14ac:dyDescent="0.25">
      <c r="C131" s="39" t="str">
        <f>IF(A131=0,"",IF(IF(COUNTIF(Sec_Fiber!$A$19:$A$1018,B131)&gt;0,TRUE,FALSE)=FALSE,VLOOKUP(B131,SecDB,3,FALSE),VLOOKUP(VLOOKUP(B131,SecFiberDB,2,FALSE),SecDB,3,FALSE)))</f>
        <v/>
      </c>
      <c r="D131" s="39" t="str">
        <f t="shared" si="1"/>
        <v/>
      </c>
    </row>
    <row r="132" spans="3:4" x14ac:dyDescent="0.25">
      <c r="C132" s="39" t="str">
        <f>IF(A132=0,"",IF(IF(COUNTIF(Sec_Fiber!$A$19:$A$1018,B132)&gt;0,TRUE,FALSE)=FALSE,VLOOKUP(B132,SecDB,3,FALSE),VLOOKUP(VLOOKUP(B132,SecFiberDB,2,FALSE),SecDB,3,FALSE)))</f>
        <v/>
      </c>
      <c r="D132" s="39" t="str">
        <f t="shared" si="1"/>
        <v/>
      </c>
    </row>
    <row r="133" spans="3:4" x14ac:dyDescent="0.25">
      <c r="C133" s="39" t="str">
        <f>IF(A133=0,"",IF(IF(COUNTIF(Sec_Fiber!$A$19:$A$1018,B133)&gt;0,TRUE,FALSE)=FALSE,VLOOKUP(B133,SecDB,3,FALSE),VLOOKUP(VLOOKUP(B133,SecFiberDB,2,FALSE),SecDB,3,FALSE)))</f>
        <v/>
      </c>
      <c r="D133" s="39" t="str">
        <f t="shared" si="1"/>
        <v/>
      </c>
    </row>
    <row r="134" spans="3:4" x14ac:dyDescent="0.25">
      <c r="C134" s="39" t="str">
        <f>IF(A134=0,"",IF(IF(COUNTIF(Sec_Fiber!$A$19:$A$1018,B134)&gt;0,TRUE,FALSE)=FALSE,VLOOKUP(B134,SecDB,3,FALSE),VLOOKUP(VLOOKUP(B134,SecFiberDB,2,FALSE),SecDB,3,FALSE)))</f>
        <v/>
      </c>
      <c r="D134" s="39" t="str">
        <f t="shared" si="1"/>
        <v/>
      </c>
    </row>
    <row r="135" spans="3:4" x14ac:dyDescent="0.25">
      <c r="C135" s="39" t="str">
        <f>IF(A135=0,"",IF(IF(COUNTIF(Sec_Fiber!$A$19:$A$1018,B135)&gt;0,TRUE,FALSE)=FALSE,VLOOKUP(B135,SecDB,3,FALSE),VLOOKUP(VLOOKUP(B135,SecFiberDB,2,FALSE),SecDB,3,FALSE)))</f>
        <v/>
      </c>
      <c r="D135" s="39" t="str">
        <f t="shared" si="1"/>
        <v/>
      </c>
    </row>
    <row r="136" spans="3:4" x14ac:dyDescent="0.25">
      <c r="C136" s="39" t="str">
        <f>IF(A136=0,"",IF(IF(COUNTIF(Sec_Fiber!$A$19:$A$1018,B136)&gt;0,TRUE,FALSE)=FALSE,VLOOKUP(B136,SecDB,3,FALSE),VLOOKUP(VLOOKUP(B136,SecFiberDB,2,FALSE),SecDB,3,FALSE)))</f>
        <v/>
      </c>
      <c r="D136" s="39" t="str">
        <f t="shared" si="1"/>
        <v/>
      </c>
    </row>
    <row r="137" spans="3:4" x14ac:dyDescent="0.25">
      <c r="C137" s="39" t="str">
        <f>IF(A137=0,"",IF(IF(COUNTIF(Sec_Fiber!$A$19:$A$1018,B137)&gt;0,TRUE,FALSE)=FALSE,VLOOKUP(B137,SecDB,3,FALSE),VLOOKUP(VLOOKUP(B137,SecFiberDB,2,FALSE),SecDB,3,FALSE)))</f>
        <v/>
      </c>
      <c r="D137" s="39" t="str">
        <f t="shared" ref="D137:D200" si="2">IF(A137=0,"","Aggregator")</f>
        <v/>
      </c>
    </row>
    <row r="138" spans="3:4" x14ac:dyDescent="0.25">
      <c r="C138" s="39" t="str">
        <f>IF(A138=0,"",IF(IF(COUNTIF(Sec_Fiber!$A$19:$A$1018,B138)&gt;0,TRUE,FALSE)=FALSE,VLOOKUP(B138,SecDB,3,FALSE),VLOOKUP(VLOOKUP(B138,SecFiberDB,2,FALSE),SecDB,3,FALSE)))</f>
        <v/>
      </c>
      <c r="D138" s="39" t="str">
        <f t="shared" si="2"/>
        <v/>
      </c>
    </row>
    <row r="139" spans="3:4" x14ac:dyDescent="0.25">
      <c r="C139" s="39" t="str">
        <f>IF(A139=0,"",IF(IF(COUNTIF(Sec_Fiber!$A$19:$A$1018,B139)&gt;0,TRUE,FALSE)=FALSE,VLOOKUP(B139,SecDB,3,FALSE),VLOOKUP(VLOOKUP(B139,SecFiberDB,2,FALSE),SecDB,3,FALSE)))</f>
        <v/>
      </c>
      <c r="D139" s="39" t="str">
        <f t="shared" si="2"/>
        <v/>
      </c>
    </row>
    <row r="140" spans="3:4" x14ac:dyDescent="0.25">
      <c r="C140" s="39" t="str">
        <f>IF(A140=0,"",IF(IF(COUNTIF(Sec_Fiber!$A$19:$A$1018,B140)&gt;0,TRUE,FALSE)=FALSE,VLOOKUP(B140,SecDB,3,FALSE),VLOOKUP(VLOOKUP(B140,SecFiberDB,2,FALSE),SecDB,3,FALSE)))</f>
        <v/>
      </c>
      <c r="D140" s="39" t="str">
        <f t="shared" si="2"/>
        <v/>
      </c>
    </row>
    <row r="141" spans="3:4" x14ac:dyDescent="0.25">
      <c r="C141" s="39" t="str">
        <f>IF(A141=0,"",IF(IF(COUNTIF(Sec_Fiber!$A$19:$A$1018,B141)&gt;0,TRUE,FALSE)=FALSE,VLOOKUP(B141,SecDB,3,FALSE),VLOOKUP(VLOOKUP(B141,SecFiberDB,2,FALSE),SecDB,3,FALSE)))</f>
        <v/>
      </c>
      <c r="D141" s="39" t="str">
        <f t="shared" si="2"/>
        <v/>
      </c>
    </row>
    <row r="142" spans="3:4" x14ac:dyDescent="0.25">
      <c r="C142" s="39" t="str">
        <f>IF(A142=0,"",IF(IF(COUNTIF(Sec_Fiber!$A$19:$A$1018,B142)&gt;0,TRUE,FALSE)=FALSE,VLOOKUP(B142,SecDB,3,FALSE),VLOOKUP(VLOOKUP(B142,SecFiberDB,2,FALSE),SecDB,3,FALSE)))</f>
        <v/>
      </c>
      <c r="D142" s="39" t="str">
        <f t="shared" si="2"/>
        <v/>
      </c>
    </row>
    <row r="143" spans="3:4" x14ac:dyDescent="0.25">
      <c r="C143" s="39" t="str">
        <f>IF(A143=0,"",IF(IF(COUNTIF(Sec_Fiber!$A$19:$A$1018,B143)&gt;0,TRUE,FALSE)=FALSE,VLOOKUP(B143,SecDB,3,FALSE),VLOOKUP(VLOOKUP(B143,SecFiberDB,2,FALSE),SecDB,3,FALSE)))</f>
        <v/>
      </c>
      <c r="D143" s="39" t="str">
        <f t="shared" si="2"/>
        <v/>
      </c>
    </row>
    <row r="144" spans="3:4" x14ac:dyDescent="0.25">
      <c r="C144" s="39" t="str">
        <f>IF(A144=0,"",IF(IF(COUNTIF(Sec_Fiber!$A$19:$A$1018,B144)&gt;0,TRUE,FALSE)=FALSE,VLOOKUP(B144,SecDB,3,FALSE),VLOOKUP(VLOOKUP(B144,SecFiberDB,2,FALSE),SecDB,3,FALSE)))</f>
        <v/>
      </c>
      <c r="D144" s="39" t="str">
        <f t="shared" si="2"/>
        <v/>
      </c>
    </row>
    <row r="145" spans="3:4" x14ac:dyDescent="0.25">
      <c r="C145" s="39" t="str">
        <f>IF(A145=0,"",IF(IF(COUNTIF(Sec_Fiber!$A$19:$A$1018,B145)&gt;0,TRUE,FALSE)=FALSE,VLOOKUP(B145,SecDB,3,FALSE),VLOOKUP(VLOOKUP(B145,SecFiberDB,2,FALSE),SecDB,3,FALSE)))</f>
        <v/>
      </c>
      <c r="D145" s="39" t="str">
        <f t="shared" si="2"/>
        <v/>
      </c>
    </row>
    <row r="146" spans="3:4" x14ac:dyDescent="0.25">
      <c r="C146" s="39" t="str">
        <f>IF(A146=0,"",IF(IF(COUNTIF(Sec_Fiber!$A$19:$A$1018,B146)&gt;0,TRUE,FALSE)=FALSE,VLOOKUP(B146,SecDB,3,FALSE),VLOOKUP(VLOOKUP(B146,SecFiberDB,2,FALSE),SecDB,3,FALSE)))</f>
        <v/>
      </c>
      <c r="D146" s="39" t="str">
        <f t="shared" si="2"/>
        <v/>
      </c>
    </row>
    <row r="147" spans="3:4" x14ac:dyDescent="0.25">
      <c r="C147" s="39" t="str">
        <f>IF(A147=0,"",IF(IF(COUNTIF(Sec_Fiber!$A$19:$A$1018,B147)&gt;0,TRUE,FALSE)=FALSE,VLOOKUP(B147,SecDB,3,FALSE),VLOOKUP(VLOOKUP(B147,SecFiberDB,2,FALSE),SecDB,3,FALSE)))</f>
        <v/>
      </c>
      <c r="D147" s="39" t="str">
        <f t="shared" si="2"/>
        <v/>
      </c>
    </row>
    <row r="148" spans="3:4" x14ac:dyDescent="0.25">
      <c r="C148" s="39" t="str">
        <f>IF(A148=0,"",IF(IF(COUNTIF(Sec_Fiber!$A$19:$A$1018,B148)&gt;0,TRUE,FALSE)=FALSE,VLOOKUP(B148,SecDB,3,FALSE),VLOOKUP(VLOOKUP(B148,SecFiberDB,2,FALSE),SecDB,3,FALSE)))</f>
        <v/>
      </c>
      <c r="D148" s="39" t="str">
        <f t="shared" si="2"/>
        <v/>
      </c>
    </row>
    <row r="149" spans="3:4" x14ac:dyDescent="0.25">
      <c r="C149" s="39" t="str">
        <f>IF(A149=0,"",IF(IF(COUNTIF(Sec_Fiber!$A$19:$A$1018,B149)&gt;0,TRUE,FALSE)=FALSE,VLOOKUP(B149,SecDB,3,FALSE),VLOOKUP(VLOOKUP(B149,SecFiberDB,2,FALSE),SecDB,3,FALSE)))</f>
        <v/>
      </c>
      <c r="D149" s="39" t="str">
        <f t="shared" si="2"/>
        <v/>
      </c>
    </row>
    <row r="150" spans="3:4" x14ac:dyDescent="0.25">
      <c r="C150" s="39" t="str">
        <f>IF(A150=0,"",IF(IF(COUNTIF(Sec_Fiber!$A$19:$A$1018,B150)&gt;0,TRUE,FALSE)=FALSE,VLOOKUP(B150,SecDB,3,FALSE),VLOOKUP(VLOOKUP(B150,SecFiberDB,2,FALSE),SecDB,3,FALSE)))</f>
        <v/>
      </c>
      <c r="D150" s="39" t="str">
        <f t="shared" si="2"/>
        <v/>
      </c>
    </row>
    <row r="151" spans="3:4" x14ac:dyDescent="0.25">
      <c r="C151" s="39" t="str">
        <f>IF(A151=0,"",IF(IF(COUNTIF(Sec_Fiber!$A$19:$A$1018,B151)&gt;0,TRUE,FALSE)=FALSE,VLOOKUP(B151,SecDB,3,FALSE),VLOOKUP(VLOOKUP(B151,SecFiberDB,2,FALSE),SecDB,3,FALSE)))</f>
        <v/>
      </c>
      <c r="D151" s="39" t="str">
        <f t="shared" si="2"/>
        <v/>
      </c>
    </row>
    <row r="152" spans="3:4" x14ac:dyDescent="0.25">
      <c r="C152" s="39" t="str">
        <f>IF(A152=0,"",IF(IF(COUNTIF(Sec_Fiber!$A$19:$A$1018,B152)&gt;0,TRUE,FALSE)=FALSE,VLOOKUP(B152,SecDB,3,FALSE),VLOOKUP(VLOOKUP(B152,SecFiberDB,2,FALSE),SecDB,3,FALSE)))</f>
        <v/>
      </c>
      <c r="D152" s="39" t="str">
        <f t="shared" si="2"/>
        <v/>
      </c>
    </row>
    <row r="153" spans="3:4" x14ac:dyDescent="0.25">
      <c r="C153" s="39" t="str">
        <f>IF(A153=0,"",IF(IF(COUNTIF(Sec_Fiber!$A$19:$A$1018,B153)&gt;0,TRUE,FALSE)=FALSE,VLOOKUP(B153,SecDB,3,FALSE),VLOOKUP(VLOOKUP(B153,SecFiberDB,2,FALSE),SecDB,3,FALSE)))</f>
        <v/>
      </c>
      <c r="D153" s="39" t="str">
        <f t="shared" si="2"/>
        <v/>
      </c>
    </row>
    <row r="154" spans="3:4" x14ac:dyDescent="0.25">
      <c r="C154" s="39" t="str">
        <f>IF(A154=0,"",IF(IF(COUNTIF(Sec_Fiber!$A$19:$A$1018,B154)&gt;0,TRUE,FALSE)=FALSE,VLOOKUP(B154,SecDB,3,FALSE),VLOOKUP(VLOOKUP(B154,SecFiberDB,2,FALSE),SecDB,3,FALSE)))</f>
        <v/>
      </c>
      <c r="D154" s="39" t="str">
        <f t="shared" si="2"/>
        <v/>
      </c>
    </row>
    <row r="155" spans="3:4" x14ac:dyDescent="0.25">
      <c r="C155" s="39" t="str">
        <f>IF(A155=0,"",IF(IF(COUNTIF(Sec_Fiber!$A$19:$A$1018,B155)&gt;0,TRUE,FALSE)=FALSE,VLOOKUP(B155,SecDB,3,FALSE),VLOOKUP(VLOOKUP(B155,SecFiberDB,2,FALSE),SecDB,3,FALSE)))</f>
        <v/>
      </c>
      <c r="D155" s="39" t="str">
        <f t="shared" si="2"/>
        <v/>
      </c>
    </row>
    <row r="156" spans="3:4" x14ac:dyDescent="0.25">
      <c r="C156" s="39" t="str">
        <f>IF(A156=0,"",IF(IF(COUNTIF(Sec_Fiber!$A$19:$A$1018,B156)&gt;0,TRUE,FALSE)=FALSE,VLOOKUP(B156,SecDB,3,FALSE),VLOOKUP(VLOOKUP(B156,SecFiberDB,2,FALSE),SecDB,3,FALSE)))</f>
        <v/>
      </c>
      <c r="D156" s="39" t="str">
        <f t="shared" si="2"/>
        <v/>
      </c>
    </row>
    <row r="157" spans="3:4" x14ac:dyDescent="0.25">
      <c r="C157" s="39" t="str">
        <f>IF(A157=0,"",IF(IF(COUNTIF(Sec_Fiber!$A$19:$A$1018,B157)&gt;0,TRUE,FALSE)=FALSE,VLOOKUP(B157,SecDB,3,FALSE),VLOOKUP(VLOOKUP(B157,SecFiberDB,2,FALSE),SecDB,3,FALSE)))</f>
        <v/>
      </c>
      <c r="D157" s="39" t="str">
        <f t="shared" si="2"/>
        <v/>
      </c>
    </row>
    <row r="158" spans="3:4" x14ac:dyDescent="0.25">
      <c r="C158" s="39" t="str">
        <f>IF(A158=0,"",IF(IF(COUNTIF(Sec_Fiber!$A$19:$A$1018,B158)&gt;0,TRUE,FALSE)=FALSE,VLOOKUP(B158,SecDB,3,FALSE),VLOOKUP(VLOOKUP(B158,SecFiberDB,2,FALSE),SecDB,3,FALSE)))</f>
        <v/>
      </c>
      <c r="D158" s="39" t="str">
        <f t="shared" si="2"/>
        <v/>
      </c>
    </row>
    <row r="159" spans="3:4" x14ac:dyDescent="0.25">
      <c r="C159" s="39" t="str">
        <f>IF(A159=0,"",IF(IF(COUNTIF(Sec_Fiber!$A$19:$A$1018,B159)&gt;0,TRUE,FALSE)=FALSE,VLOOKUP(B159,SecDB,3,FALSE),VLOOKUP(VLOOKUP(B159,SecFiberDB,2,FALSE),SecDB,3,FALSE)))</f>
        <v/>
      </c>
      <c r="D159" s="39" t="str">
        <f t="shared" si="2"/>
        <v/>
      </c>
    </row>
    <row r="160" spans="3:4" x14ac:dyDescent="0.25">
      <c r="C160" s="39" t="str">
        <f>IF(A160=0,"",IF(IF(COUNTIF(Sec_Fiber!$A$19:$A$1018,B160)&gt;0,TRUE,FALSE)=FALSE,VLOOKUP(B160,SecDB,3,FALSE),VLOOKUP(VLOOKUP(B160,SecFiberDB,2,FALSE),SecDB,3,FALSE)))</f>
        <v/>
      </c>
      <c r="D160" s="39" t="str">
        <f t="shared" si="2"/>
        <v/>
      </c>
    </row>
    <row r="161" spans="3:4" x14ac:dyDescent="0.25">
      <c r="C161" s="39" t="str">
        <f>IF(A161=0,"",IF(IF(COUNTIF(Sec_Fiber!$A$19:$A$1018,B161)&gt;0,TRUE,FALSE)=FALSE,VLOOKUP(B161,SecDB,3,FALSE),VLOOKUP(VLOOKUP(B161,SecFiberDB,2,FALSE),SecDB,3,FALSE)))</f>
        <v/>
      </c>
      <c r="D161" s="39" t="str">
        <f t="shared" si="2"/>
        <v/>
      </c>
    </row>
    <row r="162" spans="3:4" x14ac:dyDescent="0.25">
      <c r="C162" s="39" t="str">
        <f>IF(A162=0,"",IF(IF(COUNTIF(Sec_Fiber!$A$19:$A$1018,B162)&gt;0,TRUE,FALSE)=FALSE,VLOOKUP(B162,SecDB,3,FALSE),VLOOKUP(VLOOKUP(B162,SecFiberDB,2,FALSE),SecDB,3,FALSE)))</f>
        <v/>
      </c>
      <c r="D162" s="39" t="str">
        <f t="shared" si="2"/>
        <v/>
      </c>
    </row>
    <row r="163" spans="3:4" x14ac:dyDescent="0.25">
      <c r="C163" s="39" t="str">
        <f>IF(A163=0,"",IF(IF(COUNTIF(Sec_Fiber!$A$19:$A$1018,B163)&gt;0,TRUE,FALSE)=FALSE,VLOOKUP(B163,SecDB,3,FALSE),VLOOKUP(VLOOKUP(B163,SecFiberDB,2,FALSE),SecDB,3,FALSE)))</f>
        <v/>
      </c>
      <c r="D163" s="39" t="str">
        <f t="shared" si="2"/>
        <v/>
      </c>
    </row>
    <row r="164" spans="3:4" x14ac:dyDescent="0.25">
      <c r="C164" s="39" t="str">
        <f>IF(A164=0,"",IF(IF(COUNTIF(Sec_Fiber!$A$19:$A$1018,B164)&gt;0,TRUE,FALSE)=FALSE,VLOOKUP(B164,SecDB,3,FALSE),VLOOKUP(VLOOKUP(B164,SecFiberDB,2,FALSE),SecDB,3,FALSE)))</f>
        <v/>
      </c>
      <c r="D164" s="39" t="str">
        <f t="shared" si="2"/>
        <v/>
      </c>
    </row>
    <row r="165" spans="3:4" x14ac:dyDescent="0.25">
      <c r="C165" s="39" t="str">
        <f>IF(A165=0,"",IF(IF(COUNTIF(Sec_Fiber!$A$19:$A$1018,B165)&gt;0,TRUE,FALSE)=FALSE,VLOOKUP(B165,SecDB,3,FALSE),VLOOKUP(VLOOKUP(B165,SecFiberDB,2,FALSE),SecDB,3,FALSE)))</f>
        <v/>
      </c>
      <c r="D165" s="39" t="str">
        <f t="shared" si="2"/>
        <v/>
      </c>
    </row>
    <row r="166" spans="3:4" x14ac:dyDescent="0.25">
      <c r="C166" s="39" t="str">
        <f>IF(A166=0,"",IF(IF(COUNTIF(Sec_Fiber!$A$19:$A$1018,B166)&gt;0,TRUE,FALSE)=FALSE,VLOOKUP(B166,SecDB,3,FALSE),VLOOKUP(VLOOKUP(B166,SecFiberDB,2,FALSE),SecDB,3,FALSE)))</f>
        <v/>
      </c>
      <c r="D166" s="39" t="str">
        <f t="shared" si="2"/>
        <v/>
      </c>
    </row>
    <row r="167" spans="3:4" x14ac:dyDescent="0.25">
      <c r="C167" s="39" t="str">
        <f>IF(A167=0,"",IF(IF(COUNTIF(Sec_Fiber!$A$19:$A$1018,B167)&gt;0,TRUE,FALSE)=FALSE,VLOOKUP(B167,SecDB,3,FALSE),VLOOKUP(VLOOKUP(B167,SecFiberDB,2,FALSE),SecDB,3,FALSE)))</f>
        <v/>
      </c>
      <c r="D167" s="39" t="str">
        <f t="shared" si="2"/>
        <v/>
      </c>
    </row>
    <row r="168" spans="3:4" x14ac:dyDescent="0.25">
      <c r="C168" s="39" t="str">
        <f>IF(A168=0,"",IF(IF(COUNTIF(Sec_Fiber!$A$19:$A$1018,B168)&gt;0,TRUE,FALSE)=FALSE,VLOOKUP(B168,SecDB,3,FALSE),VLOOKUP(VLOOKUP(B168,SecFiberDB,2,FALSE),SecDB,3,FALSE)))</f>
        <v/>
      </c>
      <c r="D168" s="39" t="str">
        <f t="shared" si="2"/>
        <v/>
      </c>
    </row>
    <row r="169" spans="3:4" x14ac:dyDescent="0.25">
      <c r="C169" s="39" t="str">
        <f>IF(A169=0,"",IF(IF(COUNTIF(Sec_Fiber!$A$19:$A$1018,B169)&gt;0,TRUE,FALSE)=FALSE,VLOOKUP(B169,SecDB,3,FALSE),VLOOKUP(VLOOKUP(B169,SecFiberDB,2,FALSE),SecDB,3,FALSE)))</f>
        <v/>
      </c>
      <c r="D169" s="39" t="str">
        <f t="shared" si="2"/>
        <v/>
      </c>
    </row>
    <row r="170" spans="3:4" x14ac:dyDescent="0.25">
      <c r="C170" s="39" t="str">
        <f>IF(A170=0,"",IF(IF(COUNTIF(Sec_Fiber!$A$19:$A$1018,B170)&gt;0,TRUE,FALSE)=FALSE,VLOOKUP(B170,SecDB,3,FALSE),VLOOKUP(VLOOKUP(B170,SecFiberDB,2,FALSE),SecDB,3,FALSE)))</f>
        <v/>
      </c>
      <c r="D170" s="39" t="str">
        <f t="shared" si="2"/>
        <v/>
      </c>
    </row>
    <row r="171" spans="3:4" x14ac:dyDescent="0.25">
      <c r="C171" s="39" t="str">
        <f>IF(A171=0,"",IF(IF(COUNTIF(Sec_Fiber!$A$19:$A$1018,B171)&gt;0,TRUE,FALSE)=FALSE,VLOOKUP(B171,SecDB,3,FALSE),VLOOKUP(VLOOKUP(B171,SecFiberDB,2,FALSE),SecDB,3,FALSE)))</f>
        <v/>
      </c>
      <c r="D171" s="39" t="str">
        <f t="shared" si="2"/>
        <v/>
      </c>
    </row>
    <row r="172" spans="3:4" x14ac:dyDescent="0.25">
      <c r="C172" s="39" t="str">
        <f>IF(A172=0,"",IF(IF(COUNTIF(Sec_Fiber!$A$19:$A$1018,B172)&gt;0,TRUE,FALSE)=FALSE,VLOOKUP(B172,SecDB,3,FALSE),VLOOKUP(VLOOKUP(B172,SecFiberDB,2,FALSE),SecDB,3,FALSE)))</f>
        <v/>
      </c>
      <c r="D172" s="39" t="str">
        <f t="shared" si="2"/>
        <v/>
      </c>
    </row>
    <row r="173" spans="3:4" x14ac:dyDescent="0.25">
      <c r="C173" s="39" t="str">
        <f>IF(A173=0,"",IF(IF(COUNTIF(Sec_Fiber!$A$19:$A$1018,B173)&gt;0,TRUE,FALSE)=FALSE,VLOOKUP(B173,SecDB,3,FALSE),VLOOKUP(VLOOKUP(B173,SecFiberDB,2,FALSE),SecDB,3,FALSE)))</f>
        <v/>
      </c>
      <c r="D173" s="39" t="str">
        <f t="shared" si="2"/>
        <v/>
      </c>
    </row>
    <row r="174" spans="3:4" x14ac:dyDescent="0.25">
      <c r="C174" s="39" t="str">
        <f>IF(A174=0,"",IF(IF(COUNTIF(Sec_Fiber!$A$19:$A$1018,B174)&gt;0,TRUE,FALSE)=FALSE,VLOOKUP(B174,SecDB,3,FALSE),VLOOKUP(VLOOKUP(B174,SecFiberDB,2,FALSE),SecDB,3,FALSE)))</f>
        <v/>
      </c>
      <c r="D174" s="39" t="str">
        <f t="shared" si="2"/>
        <v/>
      </c>
    </row>
    <row r="175" spans="3:4" x14ac:dyDescent="0.25">
      <c r="C175" s="39" t="str">
        <f>IF(A175=0,"",IF(IF(COUNTIF(Sec_Fiber!$A$19:$A$1018,B175)&gt;0,TRUE,FALSE)=FALSE,VLOOKUP(B175,SecDB,3,FALSE),VLOOKUP(VLOOKUP(B175,SecFiberDB,2,FALSE),SecDB,3,FALSE)))</f>
        <v/>
      </c>
      <c r="D175" s="39" t="str">
        <f t="shared" si="2"/>
        <v/>
      </c>
    </row>
    <row r="176" spans="3:4" x14ac:dyDescent="0.25">
      <c r="C176" s="39" t="str">
        <f>IF(A176=0,"",IF(IF(COUNTIF(Sec_Fiber!$A$19:$A$1018,B176)&gt;0,TRUE,FALSE)=FALSE,VLOOKUP(B176,SecDB,3,FALSE),VLOOKUP(VLOOKUP(B176,SecFiberDB,2,FALSE),SecDB,3,FALSE)))</f>
        <v/>
      </c>
      <c r="D176" s="39" t="str">
        <f t="shared" si="2"/>
        <v/>
      </c>
    </row>
    <row r="177" spans="3:4" x14ac:dyDescent="0.25">
      <c r="C177" s="39" t="str">
        <f>IF(A177=0,"",IF(IF(COUNTIF(Sec_Fiber!$A$19:$A$1018,B177)&gt;0,TRUE,FALSE)=FALSE,VLOOKUP(B177,SecDB,3,FALSE),VLOOKUP(VLOOKUP(B177,SecFiberDB,2,FALSE),SecDB,3,FALSE)))</f>
        <v/>
      </c>
      <c r="D177" s="39" t="str">
        <f t="shared" si="2"/>
        <v/>
      </c>
    </row>
    <row r="178" spans="3:4" x14ac:dyDescent="0.25">
      <c r="C178" s="39" t="str">
        <f>IF(A178=0,"",IF(IF(COUNTIF(Sec_Fiber!$A$19:$A$1018,B178)&gt;0,TRUE,FALSE)=FALSE,VLOOKUP(B178,SecDB,3,FALSE),VLOOKUP(VLOOKUP(B178,SecFiberDB,2,FALSE),SecDB,3,FALSE)))</f>
        <v/>
      </c>
      <c r="D178" s="39" t="str">
        <f t="shared" si="2"/>
        <v/>
      </c>
    </row>
    <row r="179" spans="3:4" x14ac:dyDescent="0.25">
      <c r="C179" s="39" t="str">
        <f>IF(A179=0,"",IF(IF(COUNTIF(Sec_Fiber!$A$19:$A$1018,B179)&gt;0,TRUE,FALSE)=FALSE,VLOOKUP(B179,SecDB,3,FALSE),VLOOKUP(VLOOKUP(B179,SecFiberDB,2,FALSE),SecDB,3,FALSE)))</f>
        <v/>
      </c>
      <c r="D179" s="39" t="str">
        <f t="shared" si="2"/>
        <v/>
      </c>
    </row>
    <row r="180" spans="3:4" x14ac:dyDescent="0.25">
      <c r="C180" s="39" t="str">
        <f>IF(A180=0,"",IF(IF(COUNTIF(Sec_Fiber!$A$19:$A$1018,B180)&gt;0,TRUE,FALSE)=FALSE,VLOOKUP(B180,SecDB,3,FALSE),VLOOKUP(VLOOKUP(B180,SecFiberDB,2,FALSE),SecDB,3,FALSE)))</f>
        <v/>
      </c>
      <c r="D180" s="39" t="str">
        <f t="shared" si="2"/>
        <v/>
      </c>
    </row>
    <row r="181" spans="3:4" x14ac:dyDescent="0.25">
      <c r="C181" s="39" t="str">
        <f>IF(A181=0,"",IF(IF(COUNTIF(Sec_Fiber!$A$19:$A$1018,B181)&gt;0,TRUE,FALSE)=FALSE,VLOOKUP(B181,SecDB,3,FALSE),VLOOKUP(VLOOKUP(B181,SecFiberDB,2,FALSE),SecDB,3,FALSE)))</f>
        <v/>
      </c>
      <c r="D181" s="39" t="str">
        <f t="shared" si="2"/>
        <v/>
      </c>
    </row>
    <row r="182" spans="3:4" x14ac:dyDescent="0.25">
      <c r="C182" s="39" t="str">
        <f>IF(A182=0,"",IF(IF(COUNTIF(Sec_Fiber!$A$19:$A$1018,B182)&gt;0,TRUE,FALSE)=FALSE,VLOOKUP(B182,SecDB,3,FALSE),VLOOKUP(VLOOKUP(B182,SecFiberDB,2,FALSE),SecDB,3,FALSE)))</f>
        <v/>
      </c>
      <c r="D182" s="39" t="str">
        <f t="shared" si="2"/>
        <v/>
      </c>
    </row>
    <row r="183" spans="3:4" x14ac:dyDescent="0.25">
      <c r="C183" s="39" t="str">
        <f>IF(A183=0,"",IF(IF(COUNTIF(Sec_Fiber!$A$19:$A$1018,B183)&gt;0,TRUE,FALSE)=FALSE,VLOOKUP(B183,SecDB,3,FALSE),VLOOKUP(VLOOKUP(B183,SecFiberDB,2,FALSE),SecDB,3,FALSE)))</f>
        <v/>
      </c>
      <c r="D183" s="39" t="str">
        <f t="shared" si="2"/>
        <v/>
      </c>
    </row>
    <row r="184" spans="3:4" x14ac:dyDescent="0.25">
      <c r="C184" s="39" t="str">
        <f>IF(A184=0,"",IF(IF(COUNTIF(Sec_Fiber!$A$19:$A$1018,B184)&gt;0,TRUE,FALSE)=FALSE,VLOOKUP(B184,SecDB,3,FALSE),VLOOKUP(VLOOKUP(B184,SecFiberDB,2,FALSE),SecDB,3,FALSE)))</f>
        <v/>
      </c>
      <c r="D184" s="39" t="str">
        <f t="shared" si="2"/>
        <v/>
      </c>
    </row>
    <row r="185" spans="3:4" x14ac:dyDescent="0.25">
      <c r="C185" s="39" t="str">
        <f>IF(A185=0,"",IF(IF(COUNTIF(Sec_Fiber!$A$19:$A$1018,B185)&gt;0,TRUE,FALSE)=FALSE,VLOOKUP(B185,SecDB,3,FALSE),VLOOKUP(VLOOKUP(B185,SecFiberDB,2,FALSE),SecDB,3,FALSE)))</f>
        <v/>
      </c>
      <c r="D185" s="39" t="str">
        <f t="shared" si="2"/>
        <v/>
      </c>
    </row>
    <row r="186" spans="3:4" x14ac:dyDescent="0.25">
      <c r="C186" s="39" t="str">
        <f>IF(A186=0,"",IF(IF(COUNTIF(Sec_Fiber!$A$19:$A$1018,B186)&gt;0,TRUE,FALSE)=FALSE,VLOOKUP(B186,SecDB,3,FALSE),VLOOKUP(VLOOKUP(B186,SecFiberDB,2,FALSE),SecDB,3,FALSE)))</f>
        <v/>
      </c>
      <c r="D186" s="39" t="str">
        <f t="shared" si="2"/>
        <v/>
      </c>
    </row>
    <row r="187" spans="3:4" x14ac:dyDescent="0.25">
      <c r="C187" s="39" t="str">
        <f>IF(A187=0,"",IF(IF(COUNTIF(Sec_Fiber!$A$19:$A$1018,B187)&gt;0,TRUE,FALSE)=FALSE,VLOOKUP(B187,SecDB,3,FALSE),VLOOKUP(VLOOKUP(B187,SecFiberDB,2,FALSE),SecDB,3,FALSE)))</f>
        <v/>
      </c>
      <c r="D187" s="39" t="str">
        <f t="shared" si="2"/>
        <v/>
      </c>
    </row>
    <row r="188" spans="3:4" x14ac:dyDescent="0.25">
      <c r="C188" s="39" t="str">
        <f>IF(A188=0,"",IF(IF(COUNTIF(Sec_Fiber!$A$19:$A$1018,B188)&gt;0,TRUE,FALSE)=FALSE,VLOOKUP(B188,SecDB,3,FALSE),VLOOKUP(VLOOKUP(B188,SecFiberDB,2,FALSE),SecDB,3,FALSE)))</f>
        <v/>
      </c>
      <c r="D188" s="39" t="str">
        <f t="shared" si="2"/>
        <v/>
      </c>
    </row>
    <row r="189" spans="3:4" x14ac:dyDescent="0.25">
      <c r="C189" s="39" t="str">
        <f>IF(A189=0,"",IF(IF(COUNTIF(Sec_Fiber!$A$19:$A$1018,B189)&gt;0,TRUE,FALSE)=FALSE,VLOOKUP(B189,SecDB,3,FALSE),VLOOKUP(VLOOKUP(B189,SecFiberDB,2,FALSE),SecDB,3,FALSE)))</f>
        <v/>
      </c>
      <c r="D189" s="39" t="str">
        <f t="shared" si="2"/>
        <v/>
      </c>
    </row>
    <row r="190" spans="3:4" x14ac:dyDescent="0.25">
      <c r="C190" s="39" t="str">
        <f>IF(A190=0,"",IF(IF(COUNTIF(Sec_Fiber!$A$19:$A$1018,B190)&gt;0,TRUE,FALSE)=FALSE,VLOOKUP(B190,SecDB,3,FALSE),VLOOKUP(VLOOKUP(B190,SecFiberDB,2,FALSE),SecDB,3,FALSE)))</f>
        <v/>
      </c>
      <c r="D190" s="39" t="str">
        <f t="shared" si="2"/>
        <v/>
      </c>
    </row>
    <row r="191" spans="3:4" x14ac:dyDescent="0.25">
      <c r="C191" s="39" t="str">
        <f>IF(A191=0,"",IF(IF(COUNTIF(Sec_Fiber!$A$19:$A$1018,B191)&gt;0,TRUE,FALSE)=FALSE,VLOOKUP(B191,SecDB,3,FALSE),VLOOKUP(VLOOKUP(B191,SecFiberDB,2,FALSE),SecDB,3,FALSE)))</f>
        <v/>
      </c>
      <c r="D191" s="39" t="str">
        <f t="shared" si="2"/>
        <v/>
      </c>
    </row>
    <row r="192" spans="3:4" x14ac:dyDescent="0.25">
      <c r="C192" s="39" t="str">
        <f>IF(A192=0,"",IF(IF(COUNTIF(Sec_Fiber!$A$19:$A$1018,B192)&gt;0,TRUE,FALSE)=FALSE,VLOOKUP(B192,SecDB,3,FALSE),VLOOKUP(VLOOKUP(B192,SecFiberDB,2,FALSE),SecDB,3,FALSE)))</f>
        <v/>
      </c>
      <c r="D192" s="39" t="str">
        <f t="shared" si="2"/>
        <v/>
      </c>
    </row>
    <row r="193" spans="3:4" x14ac:dyDescent="0.25">
      <c r="C193" s="39" t="str">
        <f>IF(A193=0,"",IF(IF(COUNTIF(Sec_Fiber!$A$19:$A$1018,B193)&gt;0,TRUE,FALSE)=FALSE,VLOOKUP(B193,SecDB,3,FALSE),VLOOKUP(VLOOKUP(B193,SecFiberDB,2,FALSE),SecDB,3,FALSE)))</f>
        <v/>
      </c>
      <c r="D193" s="39" t="str">
        <f t="shared" si="2"/>
        <v/>
      </c>
    </row>
    <row r="194" spans="3:4" x14ac:dyDescent="0.25">
      <c r="C194" s="39" t="str">
        <f>IF(A194=0,"",IF(IF(COUNTIF(Sec_Fiber!$A$19:$A$1018,B194)&gt;0,TRUE,FALSE)=FALSE,VLOOKUP(B194,SecDB,3,FALSE),VLOOKUP(VLOOKUP(B194,SecFiberDB,2,FALSE),SecDB,3,FALSE)))</f>
        <v/>
      </c>
      <c r="D194" s="39" t="str">
        <f t="shared" si="2"/>
        <v/>
      </c>
    </row>
    <row r="195" spans="3:4" x14ac:dyDescent="0.25">
      <c r="C195" s="39" t="str">
        <f>IF(A195=0,"",IF(IF(COUNTIF(Sec_Fiber!$A$19:$A$1018,B195)&gt;0,TRUE,FALSE)=FALSE,VLOOKUP(B195,SecDB,3,FALSE),VLOOKUP(VLOOKUP(B195,SecFiberDB,2,FALSE),SecDB,3,FALSE)))</f>
        <v/>
      </c>
      <c r="D195" s="39" t="str">
        <f t="shared" si="2"/>
        <v/>
      </c>
    </row>
    <row r="196" spans="3:4" x14ac:dyDescent="0.25">
      <c r="C196" s="39" t="str">
        <f>IF(A196=0,"",IF(IF(COUNTIF(Sec_Fiber!$A$19:$A$1018,B196)&gt;0,TRUE,FALSE)=FALSE,VLOOKUP(B196,SecDB,3,FALSE),VLOOKUP(VLOOKUP(B196,SecFiberDB,2,FALSE),SecDB,3,FALSE)))</f>
        <v/>
      </c>
      <c r="D196" s="39" t="str">
        <f t="shared" si="2"/>
        <v/>
      </c>
    </row>
    <row r="197" spans="3:4" x14ac:dyDescent="0.25">
      <c r="C197" s="39" t="str">
        <f>IF(A197=0,"",IF(IF(COUNTIF(Sec_Fiber!$A$19:$A$1018,B197)&gt;0,TRUE,FALSE)=FALSE,VLOOKUP(B197,SecDB,3,FALSE),VLOOKUP(VLOOKUP(B197,SecFiberDB,2,FALSE),SecDB,3,FALSE)))</f>
        <v/>
      </c>
      <c r="D197" s="39" t="str">
        <f t="shared" si="2"/>
        <v/>
      </c>
    </row>
    <row r="198" spans="3:4" x14ac:dyDescent="0.25">
      <c r="C198" s="39" t="str">
        <f>IF(A198=0,"",IF(IF(COUNTIF(Sec_Fiber!$A$19:$A$1018,B198)&gt;0,TRUE,FALSE)=FALSE,VLOOKUP(B198,SecDB,3,FALSE),VLOOKUP(VLOOKUP(B198,SecFiberDB,2,FALSE),SecDB,3,FALSE)))</f>
        <v/>
      </c>
      <c r="D198" s="39" t="str">
        <f t="shared" si="2"/>
        <v/>
      </c>
    </row>
    <row r="199" spans="3:4" x14ac:dyDescent="0.25">
      <c r="C199" s="39" t="str">
        <f>IF(A199=0,"",IF(IF(COUNTIF(Sec_Fiber!$A$19:$A$1018,B199)&gt;0,TRUE,FALSE)=FALSE,VLOOKUP(B199,SecDB,3,FALSE),VLOOKUP(VLOOKUP(B199,SecFiberDB,2,FALSE),SecDB,3,FALSE)))</f>
        <v/>
      </c>
      <c r="D199" s="39" t="str">
        <f t="shared" si="2"/>
        <v/>
      </c>
    </row>
    <row r="200" spans="3:4" x14ac:dyDescent="0.25">
      <c r="C200" s="39" t="str">
        <f>IF(A200=0,"",IF(IF(COUNTIF(Sec_Fiber!$A$19:$A$1018,B200)&gt;0,TRUE,FALSE)=FALSE,VLOOKUP(B200,SecDB,3,FALSE),VLOOKUP(VLOOKUP(B200,SecFiberDB,2,FALSE),SecDB,3,FALSE)))</f>
        <v/>
      </c>
      <c r="D200" s="39" t="str">
        <f t="shared" si="2"/>
        <v/>
      </c>
    </row>
    <row r="201" spans="3:4" x14ac:dyDescent="0.25">
      <c r="C201" s="39" t="str">
        <f>IF(A201=0,"",IF(IF(COUNTIF(Sec_Fiber!$A$19:$A$1018,B201)&gt;0,TRUE,FALSE)=FALSE,VLOOKUP(B201,SecDB,3,FALSE),VLOOKUP(VLOOKUP(B201,SecFiberDB,2,FALSE),SecDB,3,FALSE)))</f>
        <v/>
      </c>
      <c r="D201" s="39" t="str">
        <f t="shared" ref="D201:D264" si="3">IF(A201=0,"","Aggregator")</f>
        <v/>
      </c>
    </row>
    <row r="202" spans="3:4" x14ac:dyDescent="0.25">
      <c r="C202" s="39" t="str">
        <f>IF(A202=0,"",IF(IF(COUNTIF(Sec_Fiber!$A$19:$A$1018,B202)&gt;0,TRUE,FALSE)=FALSE,VLOOKUP(B202,SecDB,3,FALSE),VLOOKUP(VLOOKUP(B202,SecFiberDB,2,FALSE),SecDB,3,FALSE)))</f>
        <v/>
      </c>
      <c r="D202" s="39" t="str">
        <f t="shared" si="3"/>
        <v/>
      </c>
    </row>
    <row r="203" spans="3:4" x14ac:dyDescent="0.25">
      <c r="C203" s="39" t="str">
        <f>IF(A203=0,"",IF(IF(COUNTIF(Sec_Fiber!$A$19:$A$1018,B203)&gt;0,TRUE,FALSE)=FALSE,VLOOKUP(B203,SecDB,3,FALSE),VLOOKUP(VLOOKUP(B203,SecFiberDB,2,FALSE),SecDB,3,FALSE)))</f>
        <v/>
      </c>
      <c r="D203" s="39" t="str">
        <f t="shared" si="3"/>
        <v/>
      </c>
    </row>
    <row r="204" spans="3:4" x14ac:dyDescent="0.25">
      <c r="C204" s="39" t="str">
        <f>IF(A204=0,"",IF(IF(COUNTIF(Sec_Fiber!$A$19:$A$1018,B204)&gt;0,TRUE,FALSE)=FALSE,VLOOKUP(B204,SecDB,3,FALSE),VLOOKUP(VLOOKUP(B204,SecFiberDB,2,FALSE),SecDB,3,FALSE)))</f>
        <v/>
      </c>
      <c r="D204" s="39" t="str">
        <f t="shared" si="3"/>
        <v/>
      </c>
    </row>
    <row r="205" spans="3:4" x14ac:dyDescent="0.25">
      <c r="C205" s="39" t="str">
        <f>IF(A205=0,"",IF(IF(COUNTIF(Sec_Fiber!$A$19:$A$1018,B205)&gt;0,TRUE,FALSE)=FALSE,VLOOKUP(B205,SecDB,3,FALSE),VLOOKUP(VLOOKUP(B205,SecFiberDB,2,FALSE),SecDB,3,FALSE)))</f>
        <v/>
      </c>
      <c r="D205" s="39" t="str">
        <f t="shared" si="3"/>
        <v/>
      </c>
    </row>
    <row r="206" spans="3:4" x14ac:dyDescent="0.25">
      <c r="C206" s="39" t="str">
        <f>IF(A206=0,"",IF(IF(COUNTIF(Sec_Fiber!$A$19:$A$1018,B206)&gt;0,TRUE,FALSE)=FALSE,VLOOKUP(B206,SecDB,3,FALSE),VLOOKUP(VLOOKUP(B206,SecFiberDB,2,FALSE),SecDB,3,FALSE)))</f>
        <v/>
      </c>
      <c r="D206" s="39" t="str">
        <f t="shared" si="3"/>
        <v/>
      </c>
    </row>
    <row r="207" spans="3:4" x14ac:dyDescent="0.25">
      <c r="C207" s="39" t="str">
        <f>IF(A207=0,"",IF(IF(COUNTIF(Sec_Fiber!$A$19:$A$1018,B207)&gt;0,TRUE,FALSE)=FALSE,VLOOKUP(B207,SecDB,3,FALSE),VLOOKUP(VLOOKUP(B207,SecFiberDB,2,FALSE),SecDB,3,FALSE)))</f>
        <v/>
      </c>
      <c r="D207" s="39" t="str">
        <f t="shared" si="3"/>
        <v/>
      </c>
    </row>
    <row r="208" spans="3:4" x14ac:dyDescent="0.25">
      <c r="C208" s="39" t="str">
        <f>IF(A208=0,"",IF(IF(COUNTIF(Sec_Fiber!$A$19:$A$1018,B208)&gt;0,TRUE,FALSE)=FALSE,VLOOKUP(B208,SecDB,3,FALSE),VLOOKUP(VLOOKUP(B208,SecFiberDB,2,FALSE),SecDB,3,FALSE)))</f>
        <v/>
      </c>
      <c r="D208" s="39" t="str">
        <f t="shared" si="3"/>
        <v/>
      </c>
    </row>
    <row r="209" spans="3:4" x14ac:dyDescent="0.25">
      <c r="C209" s="39" t="str">
        <f>IF(A209=0,"",IF(IF(COUNTIF(Sec_Fiber!$A$19:$A$1018,B209)&gt;0,TRUE,FALSE)=FALSE,VLOOKUP(B209,SecDB,3,FALSE),VLOOKUP(VLOOKUP(B209,SecFiberDB,2,FALSE),SecDB,3,FALSE)))</f>
        <v/>
      </c>
      <c r="D209" s="39" t="str">
        <f t="shared" si="3"/>
        <v/>
      </c>
    </row>
    <row r="210" spans="3:4" x14ac:dyDescent="0.25">
      <c r="C210" s="39" t="str">
        <f>IF(A210=0,"",IF(IF(COUNTIF(Sec_Fiber!$A$19:$A$1018,B210)&gt;0,TRUE,FALSE)=FALSE,VLOOKUP(B210,SecDB,3,FALSE),VLOOKUP(VLOOKUP(B210,SecFiberDB,2,FALSE),SecDB,3,FALSE)))</f>
        <v/>
      </c>
      <c r="D210" s="39" t="str">
        <f t="shared" si="3"/>
        <v/>
      </c>
    </row>
    <row r="211" spans="3:4" x14ac:dyDescent="0.25">
      <c r="C211" s="39" t="str">
        <f>IF(A211=0,"",IF(IF(COUNTIF(Sec_Fiber!$A$19:$A$1018,B211)&gt;0,TRUE,FALSE)=FALSE,VLOOKUP(B211,SecDB,3,FALSE),VLOOKUP(VLOOKUP(B211,SecFiberDB,2,FALSE),SecDB,3,FALSE)))</f>
        <v/>
      </c>
      <c r="D211" s="39" t="str">
        <f t="shared" si="3"/>
        <v/>
      </c>
    </row>
    <row r="212" spans="3:4" x14ac:dyDescent="0.25">
      <c r="C212" s="39" t="str">
        <f>IF(A212=0,"",IF(IF(COUNTIF(Sec_Fiber!$A$19:$A$1018,B212)&gt;0,TRUE,FALSE)=FALSE,VLOOKUP(B212,SecDB,3,FALSE),VLOOKUP(VLOOKUP(B212,SecFiberDB,2,FALSE),SecDB,3,FALSE)))</f>
        <v/>
      </c>
      <c r="D212" s="39" t="str">
        <f t="shared" si="3"/>
        <v/>
      </c>
    </row>
    <row r="213" spans="3:4" x14ac:dyDescent="0.25">
      <c r="C213" s="39" t="str">
        <f>IF(A213=0,"",IF(IF(COUNTIF(Sec_Fiber!$A$19:$A$1018,B213)&gt;0,TRUE,FALSE)=FALSE,VLOOKUP(B213,SecDB,3,FALSE),VLOOKUP(VLOOKUP(B213,SecFiberDB,2,FALSE),SecDB,3,FALSE)))</f>
        <v/>
      </c>
      <c r="D213" s="39" t="str">
        <f t="shared" si="3"/>
        <v/>
      </c>
    </row>
    <row r="214" spans="3:4" x14ac:dyDescent="0.25">
      <c r="C214" s="39" t="str">
        <f>IF(A214=0,"",IF(IF(COUNTIF(Sec_Fiber!$A$19:$A$1018,B214)&gt;0,TRUE,FALSE)=FALSE,VLOOKUP(B214,SecDB,3,FALSE),VLOOKUP(VLOOKUP(B214,SecFiberDB,2,FALSE),SecDB,3,FALSE)))</f>
        <v/>
      </c>
      <c r="D214" s="39" t="str">
        <f t="shared" si="3"/>
        <v/>
      </c>
    </row>
    <row r="215" spans="3:4" x14ac:dyDescent="0.25">
      <c r="C215" s="39" t="str">
        <f>IF(A215=0,"",IF(IF(COUNTIF(Sec_Fiber!$A$19:$A$1018,B215)&gt;0,TRUE,FALSE)=FALSE,VLOOKUP(B215,SecDB,3,FALSE),VLOOKUP(VLOOKUP(B215,SecFiberDB,2,FALSE),SecDB,3,FALSE)))</f>
        <v/>
      </c>
      <c r="D215" s="39" t="str">
        <f t="shared" si="3"/>
        <v/>
      </c>
    </row>
    <row r="216" spans="3:4" x14ac:dyDescent="0.25">
      <c r="C216" s="39" t="str">
        <f>IF(A216=0,"",IF(IF(COUNTIF(Sec_Fiber!$A$19:$A$1018,B216)&gt;0,TRUE,FALSE)=FALSE,VLOOKUP(B216,SecDB,3,FALSE),VLOOKUP(VLOOKUP(B216,SecFiberDB,2,FALSE),SecDB,3,FALSE)))</f>
        <v/>
      </c>
      <c r="D216" s="39" t="str">
        <f t="shared" si="3"/>
        <v/>
      </c>
    </row>
    <row r="217" spans="3:4" x14ac:dyDescent="0.25">
      <c r="C217" s="39" t="str">
        <f>IF(A217=0,"",IF(IF(COUNTIF(Sec_Fiber!$A$19:$A$1018,B217)&gt;0,TRUE,FALSE)=FALSE,VLOOKUP(B217,SecDB,3,FALSE),VLOOKUP(VLOOKUP(B217,SecFiberDB,2,FALSE),SecDB,3,FALSE)))</f>
        <v/>
      </c>
      <c r="D217" s="39" t="str">
        <f t="shared" si="3"/>
        <v/>
      </c>
    </row>
    <row r="218" spans="3:4" x14ac:dyDescent="0.25">
      <c r="C218" s="39" t="str">
        <f>IF(A218=0,"",IF(IF(COUNTIF(Sec_Fiber!$A$19:$A$1018,B218)&gt;0,TRUE,FALSE)=FALSE,VLOOKUP(B218,SecDB,3,FALSE),VLOOKUP(VLOOKUP(B218,SecFiberDB,2,FALSE),SecDB,3,FALSE)))</f>
        <v/>
      </c>
      <c r="D218" s="39" t="str">
        <f t="shared" si="3"/>
        <v/>
      </c>
    </row>
    <row r="219" spans="3:4" x14ac:dyDescent="0.25">
      <c r="C219" s="39" t="str">
        <f>IF(A219=0,"",IF(IF(COUNTIF(Sec_Fiber!$A$19:$A$1018,B219)&gt;0,TRUE,FALSE)=FALSE,VLOOKUP(B219,SecDB,3,FALSE),VLOOKUP(VLOOKUP(B219,SecFiberDB,2,FALSE),SecDB,3,FALSE)))</f>
        <v/>
      </c>
      <c r="D219" s="39" t="str">
        <f t="shared" si="3"/>
        <v/>
      </c>
    </row>
    <row r="220" spans="3:4" x14ac:dyDescent="0.25">
      <c r="C220" s="39" t="str">
        <f>IF(A220=0,"",IF(IF(COUNTIF(Sec_Fiber!$A$19:$A$1018,B220)&gt;0,TRUE,FALSE)=FALSE,VLOOKUP(B220,SecDB,3,FALSE),VLOOKUP(VLOOKUP(B220,SecFiberDB,2,FALSE),SecDB,3,FALSE)))</f>
        <v/>
      </c>
      <c r="D220" s="39" t="str">
        <f t="shared" si="3"/>
        <v/>
      </c>
    </row>
    <row r="221" spans="3:4" x14ac:dyDescent="0.25">
      <c r="C221" s="39" t="str">
        <f>IF(A221=0,"",IF(IF(COUNTIF(Sec_Fiber!$A$19:$A$1018,B221)&gt;0,TRUE,FALSE)=FALSE,VLOOKUP(B221,SecDB,3,FALSE),VLOOKUP(VLOOKUP(B221,SecFiberDB,2,FALSE),SecDB,3,FALSE)))</f>
        <v/>
      </c>
      <c r="D221" s="39" t="str">
        <f t="shared" si="3"/>
        <v/>
      </c>
    </row>
    <row r="222" spans="3:4" x14ac:dyDescent="0.25">
      <c r="C222" s="39" t="str">
        <f>IF(A222=0,"",IF(IF(COUNTIF(Sec_Fiber!$A$19:$A$1018,B222)&gt;0,TRUE,FALSE)=FALSE,VLOOKUP(B222,SecDB,3,FALSE),VLOOKUP(VLOOKUP(B222,SecFiberDB,2,FALSE),SecDB,3,FALSE)))</f>
        <v/>
      </c>
      <c r="D222" s="39" t="str">
        <f t="shared" si="3"/>
        <v/>
      </c>
    </row>
    <row r="223" spans="3:4" x14ac:dyDescent="0.25">
      <c r="C223" s="39" t="str">
        <f>IF(A223=0,"",IF(IF(COUNTIF(Sec_Fiber!$A$19:$A$1018,B223)&gt;0,TRUE,FALSE)=FALSE,VLOOKUP(B223,SecDB,3,FALSE),VLOOKUP(VLOOKUP(B223,SecFiberDB,2,FALSE),SecDB,3,FALSE)))</f>
        <v/>
      </c>
      <c r="D223" s="39" t="str">
        <f t="shared" si="3"/>
        <v/>
      </c>
    </row>
    <row r="224" spans="3:4" x14ac:dyDescent="0.25">
      <c r="C224" s="39" t="str">
        <f>IF(A224=0,"",IF(IF(COUNTIF(Sec_Fiber!$A$19:$A$1018,B224)&gt;0,TRUE,FALSE)=FALSE,VLOOKUP(B224,SecDB,3,FALSE),VLOOKUP(VLOOKUP(B224,SecFiberDB,2,FALSE),SecDB,3,FALSE)))</f>
        <v/>
      </c>
      <c r="D224" s="39" t="str">
        <f t="shared" si="3"/>
        <v/>
      </c>
    </row>
    <row r="225" spans="3:4" x14ac:dyDescent="0.25">
      <c r="C225" s="39" t="str">
        <f>IF(A225=0,"",IF(IF(COUNTIF(Sec_Fiber!$A$19:$A$1018,B225)&gt;0,TRUE,FALSE)=FALSE,VLOOKUP(B225,SecDB,3,FALSE),VLOOKUP(VLOOKUP(B225,SecFiberDB,2,FALSE),SecDB,3,FALSE)))</f>
        <v/>
      </c>
      <c r="D225" s="39" t="str">
        <f t="shared" si="3"/>
        <v/>
      </c>
    </row>
    <row r="226" spans="3:4" x14ac:dyDescent="0.25">
      <c r="C226" s="39" t="str">
        <f>IF(A226=0,"",IF(IF(COUNTIF(Sec_Fiber!$A$19:$A$1018,B226)&gt;0,TRUE,FALSE)=FALSE,VLOOKUP(B226,SecDB,3,FALSE),VLOOKUP(VLOOKUP(B226,SecFiberDB,2,FALSE),SecDB,3,FALSE)))</f>
        <v/>
      </c>
      <c r="D226" s="39" t="str">
        <f t="shared" si="3"/>
        <v/>
      </c>
    </row>
    <row r="227" spans="3:4" x14ac:dyDescent="0.25">
      <c r="C227" s="39" t="str">
        <f>IF(A227=0,"",IF(IF(COUNTIF(Sec_Fiber!$A$19:$A$1018,B227)&gt;0,TRUE,FALSE)=FALSE,VLOOKUP(B227,SecDB,3,FALSE),VLOOKUP(VLOOKUP(B227,SecFiberDB,2,FALSE),SecDB,3,FALSE)))</f>
        <v/>
      </c>
      <c r="D227" s="39" t="str">
        <f t="shared" si="3"/>
        <v/>
      </c>
    </row>
    <row r="228" spans="3:4" x14ac:dyDescent="0.25">
      <c r="C228" s="39" t="str">
        <f>IF(A228=0,"",IF(IF(COUNTIF(Sec_Fiber!$A$19:$A$1018,B228)&gt;0,TRUE,FALSE)=FALSE,VLOOKUP(B228,SecDB,3,FALSE),VLOOKUP(VLOOKUP(B228,SecFiberDB,2,FALSE),SecDB,3,FALSE)))</f>
        <v/>
      </c>
      <c r="D228" s="39" t="str">
        <f t="shared" si="3"/>
        <v/>
      </c>
    </row>
    <row r="229" spans="3:4" x14ac:dyDescent="0.25">
      <c r="C229" s="39" t="str">
        <f>IF(A229=0,"",IF(IF(COUNTIF(Sec_Fiber!$A$19:$A$1018,B229)&gt;0,TRUE,FALSE)=FALSE,VLOOKUP(B229,SecDB,3,FALSE),VLOOKUP(VLOOKUP(B229,SecFiberDB,2,FALSE),SecDB,3,FALSE)))</f>
        <v/>
      </c>
      <c r="D229" s="39" t="str">
        <f t="shared" si="3"/>
        <v/>
      </c>
    </row>
    <row r="230" spans="3:4" x14ac:dyDescent="0.25">
      <c r="C230" s="39" t="str">
        <f>IF(A230=0,"",IF(IF(COUNTIF(Sec_Fiber!$A$19:$A$1018,B230)&gt;0,TRUE,FALSE)=FALSE,VLOOKUP(B230,SecDB,3,FALSE),VLOOKUP(VLOOKUP(B230,SecFiberDB,2,FALSE),SecDB,3,FALSE)))</f>
        <v/>
      </c>
      <c r="D230" s="39" t="str">
        <f t="shared" si="3"/>
        <v/>
      </c>
    </row>
    <row r="231" spans="3:4" x14ac:dyDescent="0.25">
      <c r="C231" s="39" t="str">
        <f>IF(A231=0,"",IF(IF(COUNTIF(Sec_Fiber!$A$19:$A$1018,B231)&gt;0,TRUE,FALSE)=FALSE,VLOOKUP(B231,SecDB,3,FALSE),VLOOKUP(VLOOKUP(B231,SecFiberDB,2,FALSE),SecDB,3,FALSE)))</f>
        <v/>
      </c>
      <c r="D231" s="39" t="str">
        <f t="shared" si="3"/>
        <v/>
      </c>
    </row>
    <row r="232" spans="3:4" x14ac:dyDescent="0.25">
      <c r="C232" s="39" t="str">
        <f>IF(A232=0,"",IF(IF(COUNTIF(Sec_Fiber!$A$19:$A$1018,B232)&gt;0,TRUE,FALSE)=FALSE,VLOOKUP(B232,SecDB,3,FALSE),VLOOKUP(VLOOKUP(B232,SecFiberDB,2,FALSE),SecDB,3,FALSE)))</f>
        <v/>
      </c>
      <c r="D232" s="39" t="str">
        <f t="shared" si="3"/>
        <v/>
      </c>
    </row>
    <row r="233" spans="3:4" x14ac:dyDescent="0.25">
      <c r="C233" s="39" t="str">
        <f>IF(A233=0,"",IF(IF(COUNTIF(Sec_Fiber!$A$19:$A$1018,B233)&gt;0,TRUE,FALSE)=FALSE,VLOOKUP(B233,SecDB,3,FALSE),VLOOKUP(VLOOKUP(B233,SecFiberDB,2,FALSE),SecDB,3,FALSE)))</f>
        <v/>
      </c>
      <c r="D233" s="39" t="str">
        <f t="shared" si="3"/>
        <v/>
      </c>
    </row>
    <row r="234" spans="3:4" x14ac:dyDescent="0.25">
      <c r="C234" s="39" t="str">
        <f>IF(A234=0,"",IF(IF(COUNTIF(Sec_Fiber!$A$19:$A$1018,B234)&gt;0,TRUE,FALSE)=FALSE,VLOOKUP(B234,SecDB,3,FALSE),VLOOKUP(VLOOKUP(B234,SecFiberDB,2,FALSE),SecDB,3,FALSE)))</f>
        <v/>
      </c>
      <c r="D234" s="39" t="str">
        <f t="shared" si="3"/>
        <v/>
      </c>
    </row>
    <row r="235" spans="3:4" x14ac:dyDescent="0.25">
      <c r="C235" s="39" t="str">
        <f>IF(A235=0,"",IF(IF(COUNTIF(Sec_Fiber!$A$19:$A$1018,B235)&gt;0,TRUE,FALSE)=FALSE,VLOOKUP(B235,SecDB,3,FALSE),VLOOKUP(VLOOKUP(B235,SecFiberDB,2,FALSE),SecDB,3,FALSE)))</f>
        <v/>
      </c>
      <c r="D235" s="39" t="str">
        <f t="shared" si="3"/>
        <v/>
      </c>
    </row>
    <row r="236" spans="3:4" x14ac:dyDescent="0.25">
      <c r="C236" s="39" t="str">
        <f>IF(A236=0,"",IF(IF(COUNTIF(Sec_Fiber!$A$19:$A$1018,B236)&gt;0,TRUE,FALSE)=FALSE,VLOOKUP(B236,SecDB,3,FALSE),VLOOKUP(VLOOKUP(B236,SecFiberDB,2,FALSE),SecDB,3,FALSE)))</f>
        <v/>
      </c>
      <c r="D236" s="39" t="str">
        <f t="shared" si="3"/>
        <v/>
      </c>
    </row>
    <row r="237" spans="3:4" x14ac:dyDescent="0.25">
      <c r="C237" s="39" t="str">
        <f>IF(A237=0,"",IF(IF(COUNTIF(Sec_Fiber!$A$19:$A$1018,B237)&gt;0,TRUE,FALSE)=FALSE,VLOOKUP(B237,SecDB,3,FALSE),VLOOKUP(VLOOKUP(B237,SecFiberDB,2,FALSE),SecDB,3,FALSE)))</f>
        <v/>
      </c>
      <c r="D237" s="39" t="str">
        <f t="shared" si="3"/>
        <v/>
      </c>
    </row>
    <row r="238" spans="3:4" x14ac:dyDescent="0.25">
      <c r="C238" s="39" t="str">
        <f>IF(A238=0,"",IF(IF(COUNTIF(Sec_Fiber!$A$19:$A$1018,B238)&gt;0,TRUE,FALSE)=FALSE,VLOOKUP(B238,SecDB,3,FALSE),VLOOKUP(VLOOKUP(B238,SecFiberDB,2,FALSE),SecDB,3,FALSE)))</f>
        <v/>
      </c>
      <c r="D238" s="39" t="str">
        <f t="shared" si="3"/>
        <v/>
      </c>
    </row>
    <row r="239" spans="3:4" x14ac:dyDescent="0.25">
      <c r="C239" s="39" t="str">
        <f>IF(A239=0,"",IF(IF(COUNTIF(Sec_Fiber!$A$19:$A$1018,B239)&gt;0,TRUE,FALSE)=FALSE,VLOOKUP(B239,SecDB,3,FALSE),VLOOKUP(VLOOKUP(B239,SecFiberDB,2,FALSE),SecDB,3,FALSE)))</f>
        <v/>
      </c>
      <c r="D239" s="39" t="str">
        <f t="shared" si="3"/>
        <v/>
      </c>
    </row>
    <row r="240" spans="3:4" x14ac:dyDescent="0.25">
      <c r="C240" s="39" t="str">
        <f>IF(A240=0,"",IF(IF(COUNTIF(Sec_Fiber!$A$19:$A$1018,B240)&gt;0,TRUE,FALSE)=FALSE,VLOOKUP(B240,SecDB,3,FALSE),VLOOKUP(VLOOKUP(B240,SecFiberDB,2,FALSE),SecDB,3,FALSE)))</f>
        <v/>
      </c>
      <c r="D240" s="39" t="str">
        <f t="shared" si="3"/>
        <v/>
      </c>
    </row>
    <row r="241" spans="3:4" x14ac:dyDescent="0.25">
      <c r="C241" s="39" t="str">
        <f>IF(A241=0,"",IF(IF(COUNTIF(Sec_Fiber!$A$19:$A$1018,B241)&gt;0,TRUE,FALSE)=FALSE,VLOOKUP(B241,SecDB,3,FALSE),VLOOKUP(VLOOKUP(B241,SecFiberDB,2,FALSE),SecDB,3,FALSE)))</f>
        <v/>
      </c>
      <c r="D241" s="39" t="str">
        <f t="shared" si="3"/>
        <v/>
      </c>
    </row>
    <row r="242" spans="3:4" x14ac:dyDescent="0.25">
      <c r="C242" s="39" t="str">
        <f>IF(A242=0,"",IF(IF(COUNTIF(Sec_Fiber!$A$19:$A$1018,B242)&gt;0,TRUE,FALSE)=FALSE,VLOOKUP(B242,SecDB,3,FALSE),VLOOKUP(VLOOKUP(B242,SecFiberDB,2,FALSE),SecDB,3,FALSE)))</f>
        <v/>
      </c>
      <c r="D242" s="39" t="str">
        <f t="shared" si="3"/>
        <v/>
      </c>
    </row>
    <row r="243" spans="3:4" x14ac:dyDescent="0.25">
      <c r="C243" s="39" t="str">
        <f>IF(A243=0,"",IF(IF(COUNTIF(Sec_Fiber!$A$19:$A$1018,B243)&gt;0,TRUE,FALSE)=FALSE,VLOOKUP(B243,SecDB,3,FALSE),VLOOKUP(VLOOKUP(B243,SecFiberDB,2,FALSE),SecDB,3,FALSE)))</f>
        <v/>
      </c>
      <c r="D243" s="39" t="str">
        <f t="shared" si="3"/>
        <v/>
      </c>
    </row>
    <row r="244" spans="3:4" x14ac:dyDescent="0.25">
      <c r="C244" s="39" t="str">
        <f>IF(A244=0,"",IF(IF(COUNTIF(Sec_Fiber!$A$19:$A$1018,B244)&gt;0,TRUE,FALSE)=FALSE,VLOOKUP(B244,SecDB,3,FALSE),VLOOKUP(VLOOKUP(B244,SecFiberDB,2,FALSE),SecDB,3,FALSE)))</f>
        <v/>
      </c>
      <c r="D244" s="39" t="str">
        <f t="shared" si="3"/>
        <v/>
      </c>
    </row>
    <row r="245" spans="3:4" x14ac:dyDescent="0.25">
      <c r="C245" s="39" t="str">
        <f>IF(A245=0,"",IF(IF(COUNTIF(Sec_Fiber!$A$19:$A$1018,B245)&gt;0,TRUE,FALSE)=FALSE,VLOOKUP(B245,SecDB,3,FALSE),VLOOKUP(VLOOKUP(B245,SecFiberDB,2,FALSE),SecDB,3,FALSE)))</f>
        <v/>
      </c>
      <c r="D245" s="39" t="str">
        <f t="shared" si="3"/>
        <v/>
      </c>
    </row>
    <row r="246" spans="3:4" x14ac:dyDescent="0.25">
      <c r="C246" s="39" t="str">
        <f>IF(A246=0,"",IF(IF(COUNTIF(Sec_Fiber!$A$19:$A$1018,B246)&gt;0,TRUE,FALSE)=FALSE,VLOOKUP(B246,SecDB,3,FALSE),VLOOKUP(VLOOKUP(B246,SecFiberDB,2,FALSE),SecDB,3,FALSE)))</f>
        <v/>
      </c>
      <c r="D246" s="39" t="str">
        <f t="shared" si="3"/>
        <v/>
      </c>
    </row>
    <row r="247" spans="3:4" x14ac:dyDescent="0.25">
      <c r="C247" s="39" t="str">
        <f>IF(A247=0,"",IF(IF(COUNTIF(Sec_Fiber!$A$19:$A$1018,B247)&gt;0,TRUE,FALSE)=FALSE,VLOOKUP(B247,SecDB,3,FALSE),VLOOKUP(VLOOKUP(B247,SecFiberDB,2,FALSE),SecDB,3,FALSE)))</f>
        <v/>
      </c>
      <c r="D247" s="39" t="str">
        <f t="shared" si="3"/>
        <v/>
      </c>
    </row>
    <row r="248" spans="3:4" x14ac:dyDescent="0.25">
      <c r="C248" s="39" t="str">
        <f>IF(A248=0,"",IF(IF(COUNTIF(Sec_Fiber!$A$19:$A$1018,B248)&gt;0,TRUE,FALSE)=FALSE,VLOOKUP(B248,SecDB,3,FALSE),VLOOKUP(VLOOKUP(B248,SecFiberDB,2,FALSE),SecDB,3,FALSE)))</f>
        <v/>
      </c>
      <c r="D248" s="39" t="str">
        <f t="shared" si="3"/>
        <v/>
      </c>
    </row>
    <row r="249" spans="3:4" x14ac:dyDescent="0.25">
      <c r="C249" s="39" t="str">
        <f>IF(A249=0,"",IF(IF(COUNTIF(Sec_Fiber!$A$19:$A$1018,B249)&gt;0,TRUE,FALSE)=FALSE,VLOOKUP(B249,SecDB,3,FALSE),VLOOKUP(VLOOKUP(B249,SecFiberDB,2,FALSE),SecDB,3,FALSE)))</f>
        <v/>
      </c>
      <c r="D249" s="39" t="str">
        <f t="shared" si="3"/>
        <v/>
      </c>
    </row>
    <row r="250" spans="3:4" x14ac:dyDescent="0.25">
      <c r="C250" s="39" t="str">
        <f>IF(A250=0,"",IF(IF(COUNTIF(Sec_Fiber!$A$19:$A$1018,B250)&gt;0,TRUE,FALSE)=FALSE,VLOOKUP(B250,SecDB,3,FALSE),VLOOKUP(VLOOKUP(B250,SecFiberDB,2,FALSE),SecDB,3,FALSE)))</f>
        <v/>
      </c>
      <c r="D250" s="39" t="str">
        <f t="shared" si="3"/>
        <v/>
      </c>
    </row>
    <row r="251" spans="3:4" x14ac:dyDescent="0.25">
      <c r="C251" s="39" t="str">
        <f>IF(A251=0,"",IF(IF(COUNTIF(Sec_Fiber!$A$19:$A$1018,B251)&gt;0,TRUE,FALSE)=FALSE,VLOOKUP(B251,SecDB,3,FALSE),VLOOKUP(VLOOKUP(B251,SecFiberDB,2,FALSE),SecDB,3,FALSE)))</f>
        <v/>
      </c>
      <c r="D251" s="39" t="str">
        <f t="shared" si="3"/>
        <v/>
      </c>
    </row>
    <row r="252" spans="3:4" x14ac:dyDescent="0.25">
      <c r="C252" s="39" t="str">
        <f>IF(A252=0,"",IF(IF(COUNTIF(Sec_Fiber!$A$19:$A$1018,B252)&gt;0,TRUE,FALSE)=FALSE,VLOOKUP(B252,SecDB,3,FALSE),VLOOKUP(VLOOKUP(B252,SecFiberDB,2,FALSE),SecDB,3,FALSE)))</f>
        <v/>
      </c>
      <c r="D252" s="39" t="str">
        <f t="shared" si="3"/>
        <v/>
      </c>
    </row>
    <row r="253" spans="3:4" x14ac:dyDescent="0.25">
      <c r="C253" s="39" t="str">
        <f>IF(A253=0,"",IF(IF(COUNTIF(Sec_Fiber!$A$19:$A$1018,B253)&gt;0,TRUE,FALSE)=FALSE,VLOOKUP(B253,SecDB,3,FALSE),VLOOKUP(VLOOKUP(B253,SecFiberDB,2,FALSE),SecDB,3,FALSE)))</f>
        <v/>
      </c>
      <c r="D253" s="39" t="str">
        <f t="shared" si="3"/>
        <v/>
      </c>
    </row>
    <row r="254" spans="3:4" x14ac:dyDescent="0.25">
      <c r="C254" s="39" t="str">
        <f>IF(A254=0,"",IF(IF(COUNTIF(Sec_Fiber!$A$19:$A$1018,B254)&gt;0,TRUE,FALSE)=FALSE,VLOOKUP(B254,SecDB,3,FALSE),VLOOKUP(VLOOKUP(B254,SecFiberDB,2,FALSE),SecDB,3,FALSE)))</f>
        <v/>
      </c>
      <c r="D254" s="39" t="str">
        <f t="shared" si="3"/>
        <v/>
      </c>
    </row>
    <row r="255" spans="3:4" x14ac:dyDescent="0.25">
      <c r="C255" s="39" t="str">
        <f>IF(A255=0,"",IF(IF(COUNTIF(Sec_Fiber!$A$19:$A$1018,B255)&gt;0,TRUE,FALSE)=FALSE,VLOOKUP(B255,SecDB,3,FALSE),VLOOKUP(VLOOKUP(B255,SecFiberDB,2,FALSE),SecDB,3,FALSE)))</f>
        <v/>
      </c>
      <c r="D255" s="39" t="str">
        <f t="shared" si="3"/>
        <v/>
      </c>
    </row>
    <row r="256" spans="3:4" x14ac:dyDescent="0.25">
      <c r="C256" s="39" t="str">
        <f>IF(A256=0,"",IF(IF(COUNTIF(Sec_Fiber!$A$19:$A$1018,B256)&gt;0,TRUE,FALSE)=FALSE,VLOOKUP(B256,SecDB,3,FALSE),VLOOKUP(VLOOKUP(B256,SecFiberDB,2,FALSE),SecDB,3,FALSE)))</f>
        <v/>
      </c>
      <c r="D256" s="39" t="str">
        <f t="shared" si="3"/>
        <v/>
      </c>
    </row>
    <row r="257" spans="3:4" x14ac:dyDescent="0.25">
      <c r="C257" s="39" t="str">
        <f>IF(A257=0,"",IF(IF(COUNTIF(Sec_Fiber!$A$19:$A$1018,B257)&gt;0,TRUE,FALSE)=FALSE,VLOOKUP(B257,SecDB,3,FALSE),VLOOKUP(VLOOKUP(B257,SecFiberDB,2,FALSE),SecDB,3,FALSE)))</f>
        <v/>
      </c>
      <c r="D257" s="39" t="str">
        <f t="shared" si="3"/>
        <v/>
      </c>
    </row>
    <row r="258" spans="3:4" x14ac:dyDescent="0.25">
      <c r="C258" s="39" t="str">
        <f>IF(A258=0,"",IF(IF(COUNTIF(Sec_Fiber!$A$19:$A$1018,B258)&gt;0,TRUE,FALSE)=FALSE,VLOOKUP(B258,SecDB,3,FALSE),VLOOKUP(VLOOKUP(B258,SecFiberDB,2,FALSE),SecDB,3,FALSE)))</f>
        <v/>
      </c>
      <c r="D258" s="39" t="str">
        <f t="shared" si="3"/>
        <v/>
      </c>
    </row>
    <row r="259" spans="3:4" x14ac:dyDescent="0.25">
      <c r="C259" s="39" t="str">
        <f>IF(A259=0,"",IF(IF(COUNTIF(Sec_Fiber!$A$19:$A$1018,B259)&gt;0,TRUE,FALSE)=FALSE,VLOOKUP(B259,SecDB,3,FALSE),VLOOKUP(VLOOKUP(B259,SecFiberDB,2,FALSE),SecDB,3,FALSE)))</f>
        <v/>
      </c>
      <c r="D259" s="39" t="str">
        <f t="shared" si="3"/>
        <v/>
      </c>
    </row>
    <row r="260" spans="3:4" x14ac:dyDescent="0.25">
      <c r="C260" s="39" t="str">
        <f>IF(A260=0,"",IF(IF(COUNTIF(Sec_Fiber!$A$19:$A$1018,B260)&gt;0,TRUE,FALSE)=FALSE,VLOOKUP(B260,SecDB,3,FALSE),VLOOKUP(VLOOKUP(B260,SecFiberDB,2,FALSE),SecDB,3,FALSE)))</f>
        <v/>
      </c>
      <c r="D260" s="39" t="str">
        <f t="shared" si="3"/>
        <v/>
      </c>
    </row>
    <row r="261" spans="3:4" x14ac:dyDescent="0.25">
      <c r="C261" s="39" t="str">
        <f>IF(A261=0,"",IF(IF(COUNTIF(Sec_Fiber!$A$19:$A$1018,B261)&gt;0,TRUE,FALSE)=FALSE,VLOOKUP(B261,SecDB,3,FALSE),VLOOKUP(VLOOKUP(B261,SecFiberDB,2,FALSE),SecDB,3,FALSE)))</f>
        <v/>
      </c>
      <c r="D261" s="39" t="str">
        <f t="shared" si="3"/>
        <v/>
      </c>
    </row>
    <row r="262" spans="3:4" x14ac:dyDescent="0.25">
      <c r="C262" s="39" t="str">
        <f>IF(A262=0,"",IF(IF(COUNTIF(Sec_Fiber!$A$19:$A$1018,B262)&gt;0,TRUE,FALSE)=FALSE,VLOOKUP(B262,SecDB,3,FALSE),VLOOKUP(VLOOKUP(B262,SecFiberDB,2,FALSE),SecDB,3,FALSE)))</f>
        <v/>
      </c>
      <c r="D262" s="39" t="str">
        <f t="shared" si="3"/>
        <v/>
      </c>
    </row>
    <row r="263" spans="3:4" x14ac:dyDescent="0.25">
      <c r="C263" s="39" t="str">
        <f>IF(A263=0,"",IF(IF(COUNTIF(Sec_Fiber!$A$19:$A$1018,B263)&gt;0,TRUE,FALSE)=FALSE,VLOOKUP(B263,SecDB,3,FALSE),VLOOKUP(VLOOKUP(B263,SecFiberDB,2,FALSE),SecDB,3,FALSE)))</f>
        <v/>
      </c>
      <c r="D263" s="39" t="str">
        <f t="shared" si="3"/>
        <v/>
      </c>
    </row>
    <row r="264" spans="3:4" x14ac:dyDescent="0.25">
      <c r="C264" s="39" t="str">
        <f>IF(A264=0,"",IF(IF(COUNTIF(Sec_Fiber!$A$19:$A$1018,B264)&gt;0,TRUE,FALSE)=FALSE,VLOOKUP(B264,SecDB,3,FALSE),VLOOKUP(VLOOKUP(B264,SecFiberDB,2,FALSE),SecDB,3,FALSE)))</f>
        <v/>
      </c>
      <c r="D264" s="39" t="str">
        <f t="shared" si="3"/>
        <v/>
      </c>
    </row>
    <row r="265" spans="3:4" x14ac:dyDescent="0.25">
      <c r="C265" s="39" t="str">
        <f>IF(A265=0,"",IF(IF(COUNTIF(Sec_Fiber!$A$19:$A$1018,B265)&gt;0,TRUE,FALSE)=FALSE,VLOOKUP(B265,SecDB,3,FALSE),VLOOKUP(VLOOKUP(B265,SecFiberDB,2,FALSE),SecDB,3,FALSE)))</f>
        <v/>
      </c>
      <c r="D265" s="39" t="str">
        <f t="shared" ref="D265:D328" si="4">IF(A265=0,"","Aggregator")</f>
        <v/>
      </c>
    </row>
    <row r="266" spans="3:4" x14ac:dyDescent="0.25">
      <c r="C266" s="39" t="str">
        <f>IF(A266=0,"",IF(IF(COUNTIF(Sec_Fiber!$A$19:$A$1018,B266)&gt;0,TRUE,FALSE)=FALSE,VLOOKUP(B266,SecDB,3,FALSE),VLOOKUP(VLOOKUP(B266,SecFiberDB,2,FALSE),SecDB,3,FALSE)))</f>
        <v/>
      </c>
      <c r="D266" s="39" t="str">
        <f t="shared" si="4"/>
        <v/>
      </c>
    </row>
    <row r="267" spans="3:4" x14ac:dyDescent="0.25">
      <c r="C267" s="39" t="str">
        <f>IF(A267=0,"",IF(IF(COUNTIF(Sec_Fiber!$A$19:$A$1018,B267)&gt;0,TRUE,FALSE)=FALSE,VLOOKUP(B267,SecDB,3,FALSE),VLOOKUP(VLOOKUP(B267,SecFiberDB,2,FALSE),SecDB,3,FALSE)))</f>
        <v/>
      </c>
      <c r="D267" s="39" t="str">
        <f t="shared" si="4"/>
        <v/>
      </c>
    </row>
    <row r="268" spans="3:4" x14ac:dyDescent="0.25">
      <c r="C268" s="39" t="str">
        <f>IF(A268=0,"",IF(IF(COUNTIF(Sec_Fiber!$A$19:$A$1018,B268)&gt;0,TRUE,FALSE)=FALSE,VLOOKUP(B268,SecDB,3,FALSE),VLOOKUP(VLOOKUP(B268,SecFiberDB,2,FALSE),SecDB,3,FALSE)))</f>
        <v/>
      </c>
      <c r="D268" s="39" t="str">
        <f t="shared" si="4"/>
        <v/>
      </c>
    </row>
    <row r="269" spans="3:4" x14ac:dyDescent="0.25">
      <c r="C269" s="39" t="str">
        <f>IF(A269=0,"",IF(IF(COUNTIF(Sec_Fiber!$A$19:$A$1018,B269)&gt;0,TRUE,FALSE)=FALSE,VLOOKUP(B269,SecDB,3,FALSE),VLOOKUP(VLOOKUP(B269,SecFiberDB,2,FALSE),SecDB,3,FALSE)))</f>
        <v/>
      </c>
      <c r="D269" s="39" t="str">
        <f t="shared" si="4"/>
        <v/>
      </c>
    </row>
    <row r="270" spans="3:4" x14ac:dyDescent="0.25">
      <c r="C270" s="39" t="str">
        <f>IF(A270=0,"",IF(IF(COUNTIF(Sec_Fiber!$A$19:$A$1018,B270)&gt;0,TRUE,FALSE)=FALSE,VLOOKUP(B270,SecDB,3,FALSE),VLOOKUP(VLOOKUP(B270,SecFiberDB,2,FALSE),SecDB,3,FALSE)))</f>
        <v/>
      </c>
      <c r="D270" s="39" t="str">
        <f t="shared" si="4"/>
        <v/>
      </c>
    </row>
    <row r="271" spans="3:4" x14ac:dyDescent="0.25">
      <c r="C271" s="39" t="str">
        <f>IF(A271=0,"",IF(IF(COUNTIF(Sec_Fiber!$A$19:$A$1018,B271)&gt;0,TRUE,FALSE)=FALSE,VLOOKUP(B271,SecDB,3,FALSE),VLOOKUP(VLOOKUP(B271,SecFiberDB,2,FALSE),SecDB,3,FALSE)))</f>
        <v/>
      </c>
      <c r="D271" s="39" t="str">
        <f t="shared" si="4"/>
        <v/>
      </c>
    </row>
    <row r="272" spans="3:4" x14ac:dyDescent="0.25">
      <c r="C272" s="39" t="str">
        <f>IF(A272=0,"",IF(IF(COUNTIF(Sec_Fiber!$A$19:$A$1018,B272)&gt;0,TRUE,FALSE)=FALSE,VLOOKUP(B272,SecDB,3,FALSE),VLOOKUP(VLOOKUP(B272,SecFiberDB,2,FALSE),SecDB,3,FALSE)))</f>
        <v/>
      </c>
      <c r="D272" s="39" t="str">
        <f t="shared" si="4"/>
        <v/>
      </c>
    </row>
    <row r="273" spans="3:4" x14ac:dyDescent="0.25">
      <c r="C273" s="39" t="str">
        <f>IF(A273=0,"",IF(IF(COUNTIF(Sec_Fiber!$A$19:$A$1018,B273)&gt;0,TRUE,FALSE)=FALSE,VLOOKUP(B273,SecDB,3,FALSE),VLOOKUP(VLOOKUP(B273,SecFiberDB,2,FALSE),SecDB,3,FALSE)))</f>
        <v/>
      </c>
      <c r="D273" s="39" t="str">
        <f t="shared" si="4"/>
        <v/>
      </c>
    </row>
    <row r="274" spans="3:4" x14ac:dyDescent="0.25">
      <c r="C274" s="39" t="str">
        <f>IF(A274=0,"",IF(IF(COUNTIF(Sec_Fiber!$A$19:$A$1018,B274)&gt;0,TRUE,FALSE)=FALSE,VLOOKUP(B274,SecDB,3,FALSE),VLOOKUP(VLOOKUP(B274,SecFiberDB,2,FALSE),SecDB,3,FALSE)))</f>
        <v/>
      </c>
      <c r="D274" s="39" t="str">
        <f t="shared" si="4"/>
        <v/>
      </c>
    </row>
    <row r="275" spans="3:4" x14ac:dyDescent="0.25">
      <c r="C275" s="39" t="str">
        <f>IF(A275=0,"",IF(IF(COUNTIF(Sec_Fiber!$A$19:$A$1018,B275)&gt;0,TRUE,FALSE)=FALSE,VLOOKUP(B275,SecDB,3,FALSE),VLOOKUP(VLOOKUP(B275,SecFiberDB,2,FALSE),SecDB,3,FALSE)))</f>
        <v/>
      </c>
      <c r="D275" s="39" t="str">
        <f t="shared" si="4"/>
        <v/>
      </c>
    </row>
    <row r="276" spans="3:4" x14ac:dyDescent="0.25">
      <c r="C276" s="39" t="str">
        <f>IF(A276=0,"",IF(IF(COUNTIF(Sec_Fiber!$A$19:$A$1018,B276)&gt;0,TRUE,FALSE)=FALSE,VLOOKUP(B276,SecDB,3,FALSE),VLOOKUP(VLOOKUP(B276,SecFiberDB,2,FALSE),SecDB,3,FALSE)))</f>
        <v/>
      </c>
      <c r="D276" s="39" t="str">
        <f t="shared" si="4"/>
        <v/>
      </c>
    </row>
    <row r="277" spans="3:4" x14ac:dyDescent="0.25">
      <c r="C277" s="39" t="str">
        <f>IF(A277=0,"",IF(IF(COUNTIF(Sec_Fiber!$A$19:$A$1018,B277)&gt;0,TRUE,FALSE)=FALSE,VLOOKUP(B277,SecDB,3,FALSE),VLOOKUP(VLOOKUP(B277,SecFiberDB,2,FALSE),SecDB,3,FALSE)))</f>
        <v/>
      </c>
      <c r="D277" s="39" t="str">
        <f t="shared" si="4"/>
        <v/>
      </c>
    </row>
    <row r="278" spans="3:4" x14ac:dyDescent="0.25">
      <c r="C278" s="39" t="str">
        <f>IF(A278=0,"",IF(IF(COUNTIF(Sec_Fiber!$A$19:$A$1018,B278)&gt;0,TRUE,FALSE)=FALSE,VLOOKUP(B278,SecDB,3,FALSE),VLOOKUP(VLOOKUP(B278,SecFiberDB,2,FALSE),SecDB,3,FALSE)))</f>
        <v/>
      </c>
      <c r="D278" s="39" t="str">
        <f t="shared" si="4"/>
        <v/>
      </c>
    </row>
    <row r="279" spans="3:4" x14ac:dyDescent="0.25">
      <c r="C279" s="39" t="str">
        <f>IF(A279=0,"",IF(IF(COUNTIF(Sec_Fiber!$A$19:$A$1018,B279)&gt;0,TRUE,FALSE)=FALSE,VLOOKUP(B279,SecDB,3,FALSE),VLOOKUP(VLOOKUP(B279,SecFiberDB,2,FALSE),SecDB,3,FALSE)))</f>
        <v/>
      </c>
      <c r="D279" s="39" t="str">
        <f t="shared" si="4"/>
        <v/>
      </c>
    </row>
    <row r="280" spans="3:4" x14ac:dyDescent="0.25">
      <c r="C280" s="39" t="str">
        <f>IF(A280=0,"",IF(IF(COUNTIF(Sec_Fiber!$A$19:$A$1018,B280)&gt;0,TRUE,FALSE)=FALSE,VLOOKUP(B280,SecDB,3,FALSE),VLOOKUP(VLOOKUP(B280,SecFiberDB,2,FALSE),SecDB,3,FALSE)))</f>
        <v/>
      </c>
      <c r="D280" s="39" t="str">
        <f t="shared" si="4"/>
        <v/>
      </c>
    </row>
    <row r="281" spans="3:4" x14ac:dyDescent="0.25">
      <c r="C281" s="39" t="str">
        <f>IF(A281=0,"",IF(IF(COUNTIF(Sec_Fiber!$A$19:$A$1018,B281)&gt;0,TRUE,FALSE)=FALSE,VLOOKUP(B281,SecDB,3,FALSE),VLOOKUP(VLOOKUP(B281,SecFiberDB,2,FALSE),SecDB,3,FALSE)))</f>
        <v/>
      </c>
      <c r="D281" s="39" t="str">
        <f t="shared" si="4"/>
        <v/>
      </c>
    </row>
    <row r="282" spans="3:4" x14ac:dyDescent="0.25">
      <c r="C282" s="39" t="str">
        <f>IF(A282=0,"",IF(IF(COUNTIF(Sec_Fiber!$A$19:$A$1018,B282)&gt;0,TRUE,FALSE)=FALSE,VLOOKUP(B282,SecDB,3,FALSE),VLOOKUP(VLOOKUP(B282,SecFiberDB,2,FALSE),SecDB,3,FALSE)))</f>
        <v/>
      </c>
      <c r="D282" s="39" t="str">
        <f t="shared" si="4"/>
        <v/>
      </c>
    </row>
    <row r="283" spans="3:4" x14ac:dyDescent="0.25">
      <c r="C283" s="39" t="str">
        <f>IF(A283=0,"",IF(IF(COUNTIF(Sec_Fiber!$A$19:$A$1018,B283)&gt;0,TRUE,FALSE)=FALSE,VLOOKUP(B283,SecDB,3,FALSE),VLOOKUP(VLOOKUP(B283,SecFiberDB,2,FALSE),SecDB,3,FALSE)))</f>
        <v/>
      </c>
      <c r="D283" s="39" t="str">
        <f t="shared" si="4"/>
        <v/>
      </c>
    </row>
    <row r="284" spans="3:4" x14ac:dyDescent="0.25">
      <c r="C284" s="39" t="str">
        <f>IF(A284=0,"",IF(IF(COUNTIF(Sec_Fiber!$A$19:$A$1018,B284)&gt;0,TRUE,FALSE)=FALSE,VLOOKUP(B284,SecDB,3,FALSE),VLOOKUP(VLOOKUP(B284,SecFiberDB,2,FALSE),SecDB,3,FALSE)))</f>
        <v/>
      </c>
      <c r="D284" s="39" t="str">
        <f t="shared" si="4"/>
        <v/>
      </c>
    </row>
    <row r="285" spans="3:4" x14ac:dyDescent="0.25">
      <c r="C285" s="39" t="str">
        <f>IF(A285=0,"",IF(IF(COUNTIF(Sec_Fiber!$A$19:$A$1018,B285)&gt;0,TRUE,FALSE)=FALSE,VLOOKUP(B285,SecDB,3,FALSE),VLOOKUP(VLOOKUP(B285,SecFiberDB,2,FALSE),SecDB,3,FALSE)))</f>
        <v/>
      </c>
      <c r="D285" s="39" t="str">
        <f t="shared" si="4"/>
        <v/>
      </c>
    </row>
    <row r="286" spans="3:4" x14ac:dyDescent="0.25">
      <c r="C286" s="39" t="str">
        <f>IF(A286=0,"",IF(IF(COUNTIF(Sec_Fiber!$A$19:$A$1018,B286)&gt;0,TRUE,FALSE)=FALSE,VLOOKUP(B286,SecDB,3,FALSE),VLOOKUP(VLOOKUP(B286,SecFiberDB,2,FALSE),SecDB,3,FALSE)))</f>
        <v/>
      </c>
      <c r="D286" s="39" t="str">
        <f t="shared" si="4"/>
        <v/>
      </c>
    </row>
    <row r="287" spans="3:4" x14ac:dyDescent="0.25">
      <c r="C287" s="39" t="str">
        <f>IF(A287=0,"",IF(IF(COUNTIF(Sec_Fiber!$A$19:$A$1018,B287)&gt;0,TRUE,FALSE)=FALSE,VLOOKUP(B287,SecDB,3,FALSE),VLOOKUP(VLOOKUP(B287,SecFiberDB,2,FALSE),SecDB,3,FALSE)))</f>
        <v/>
      </c>
      <c r="D287" s="39" t="str">
        <f t="shared" si="4"/>
        <v/>
      </c>
    </row>
    <row r="288" spans="3:4" x14ac:dyDescent="0.25">
      <c r="C288" s="39" t="str">
        <f>IF(A288=0,"",IF(IF(COUNTIF(Sec_Fiber!$A$19:$A$1018,B288)&gt;0,TRUE,FALSE)=FALSE,VLOOKUP(B288,SecDB,3,FALSE),VLOOKUP(VLOOKUP(B288,SecFiberDB,2,FALSE),SecDB,3,FALSE)))</f>
        <v/>
      </c>
      <c r="D288" s="39" t="str">
        <f t="shared" si="4"/>
        <v/>
      </c>
    </row>
    <row r="289" spans="3:4" x14ac:dyDescent="0.25">
      <c r="C289" s="39" t="str">
        <f>IF(A289=0,"",IF(IF(COUNTIF(Sec_Fiber!$A$19:$A$1018,B289)&gt;0,TRUE,FALSE)=FALSE,VLOOKUP(B289,SecDB,3,FALSE),VLOOKUP(VLOOKUP(B289,SecFiberDB,2,FALSE),SecDB,3,FALSE)))</f>
        <v/>
      </c>
      <c r="D289" s="39" t="str">
        <f t="shared" si="4"/>
        <v/>
      </c>
    </row>
    <row r="290" spans="3:4" x14ac:dyDescent="0.25">
      <c r="C290" s="39" t="str">
        <f>IF(A290=0,"",IF(IF(COUNTIF(Sec_Fiber!$A$19:$A$1018,B290)&gt;0,TRUE,FALSE)=FALSE,VLOOKUP(B290,SecDB,3,FALSE),VLOOKUP(VLOOKUP(B290,SecFiberDB,2,FALSE),SecDB,3,FALSE)))</f>
        <v/>
      </c>
      <c r="D290" s="39" t="str">
        <f t="shared" si="4"/>
        <v/>
      </c>
    </row>
    <row r="291" spans="3:4" x14ac:dyDescent="0.25">
      <c r="C291" s="39" t="str">
        <f>IF(A291=0,"",IF(IF(COUNTIF(Sec_Fiber!$A$19:$A$1018,B291)&gt;0,TRUE,FALSE)=FALSE,VLOOKUP(B291,SecDB,3,FALSE),VLOOKUP(VLOOKUP(B291,SecFiberDB,2,FALSE),SecDB,3,FALSE)))</f>
        <v/>
      </c>
      <c r="D291" s="39" t="str">
        <f t="shared" si="4"/>
        <v/>
      </c>
    </row>
    <row r="292" spans="3:4" x14ac:dyDescent="0.25">
      <c r="C292" s="39" t="str">
        <f>IF(A292=0,"",IF(IF(COUNTIF(Sec_Fiber!$A$19:$A$1018,B292)&gt;0,TRUE,FALSE)=FALSE,VLOOKUP(B292,SecDB,3,FALSE),VLOOKUP(VLOOKUP(B292,SecFiberDB,2,FALSE),SecDB,3,FALSE)))</f>
        <v/>
      </c>
      <c r="D292" s="39" t="str">
        <f t="shared" si="4"/>
        <v/>
      </c>
    </row>
    <row r="293" spans="3:4" x14ac:dyDescent="0.25">
      <c r="C293" s="39" t="str">
        <f>IF(A293=0,"",IF(IF(COUNTIF(Sec_Fiber!$A$19:$A$1018,B293)&gt;0,TRUE,FALSE)=FALSE,VLOOKUP(B293,SecDB,3,FALSE),VLOOKUP(VLOOKUP(B293,SecFiberDB,2,FALSE),SecDB,3,FALSE)))</f>
        <v/>
      </c>
      <c r="D293" s="39" t="str">
        <f t="shared" si="4"/>
        <v/>
      </c>
    </row>
    <row r="294" spans="3:4" x14ac:dyDescent="0.25">
      <c r="C294" s="39" t="str">
        <f>IF(A294=0,"",IF(IF(COUNTIF(Sec_Fiber!$A$19:$A$1018,B294)&gt;0,TRUE,FALSE)=FALSE,VLOOKUP(B294,SecDB,3,FALSE),VLOOKUP(VLOOKUP(B294,SecFiberDB,2,FALSE),SecDB,3,FALSE)))</f>
        <v/>
      </c>
      <c r="D294" s="39" t="str">
        <f t="shared" si="4"/>
        <v/>
      </c>
    </row>
    <row r="295" spans="3:4" x14ac:dyDescent="0.25">
      <c r="C295" s="39" t="str">
        <f>IF(A295=0,"",IF(IF(COUNTIF(Sec_Fiber!$A$19:$A$1018,B295)&gt;0,TRUE,FALSE)=FALSE,VLOOKUP(B295,SecDB,3,FALSE),VLOOKUP(VLOOKUP(B295,SecFiberDB,2,FALSE),SecDB,3,FALSE)))</f>
        <v/>
      </c>
      <c r="D295" s="39" t="str">
        <f t="shared" si="4"/>
        <v/>
      </c>
    </row>
    <row r="296" spans="3:4" x14ac:dyDescent="0.25">
      <c r="C296" s="39" t="str">
        <f>IF(A296=0,"",IF(IF(COUNTIF(Sec_Fiber!$A$19:$A$1018,B296)&gt;0,TRUE,FALSE)=FALSE,VLOOKUP(B296,SecDB,3,FALSE),VLOOKUP(VLOOKUP(B296,SecFiberDB,2,FALSE),SecDB,3,FALSE)))</f>
        <v/>
      </c>
      <c r="D296" s="39" t="str">
        <f t="shared" si="4"/>
        <v/>
      </c>
    </row>
    <row r="297" spans="3:4" x14ac:dyDescent="0.25">
      <c r="C297" s="39" t="str">
        <f>IF(A297=0,"",IF(IF(COUNTIF(Sec_Fiber!$A$19:$A$1018,B297)&gt;0,TRUE,FALSE)=FALSE,VLOOKUP(B297,SecDB,3,FALSE),VLOOKUP(VLOOKUP(B297,SecFiberDB,2,FALSE),SecDB,3,FALSE)))</f>
        <v/>
      </c>
      <c r="D297" s="39" t="str">
        <f t="shared" si="4"/>
        <v/>
      </c>
    </row>
    <row r="298" spans="3:4" x14ac:dyDescent="0.25">
      <c r="C298" s="39" t="str">
        <f>IF(A298=0,"",IF(IF(COUNTIF(Sec_Fiber!$A$19:$A$1018,B298)&gt;0,TRUE,FALSE)=FALSE,VLOOKUP(B298,SecDB,3,FALSE),VLOOKUP(VLOOKUP(B298,SecFiberDB,2,FALSE),SecDB,3,FALSE)))</f>
        <v/>
      </c>
      <c r="D298" s="39" t="str">
        <f t="shared" si="4"/>
        <v/>
      </c>
    </row>
    <row r="299" spans="3:4" x14ac:dyDescent="0.25">
      <c r="C299" s="39" t="str">
        <f>IF(A299=0,"",IF(IF(COUNTIF(Sec_Fiber!$A$19:$A$1018,B299)&gt;0,TRUE,FALSE)=FALSE,VLOOKUP(B299,SecDB,3,FALSE),VLOOKUP(VLOOKUP(B299,SecFiberDB,2,FALSE),SecDB,3,FALSE)))</f>
        <v/>
      </c>
      <c r="D299" s="39" t="str">
        <f t="shared" si="4"/>
        <v/>
      </c>
    </row>
    <row r="300" spans="3:4" x14ac:dyDescent="0.25">
      <c r="C300" s="39" t="str">
        <f>IF(A300=0,"",IF(IF(COUNTIF(Sec_Fiber!$A$19:$A$1018,B300)&gt;0,TRUE,FALSE)=FALSE,VLOOKUP(B300,SecDB,3,FALSE),VLOOKUP(VLOOKUP(B300,SecFiberDB,2,FALSE),SecDB,3,FALSE)))</f>
        <v/>
      </c>
      <c r="D300" s="39" t="str">
        <f t="shared" si="4"/>
        <v/>
      </c>
    </row>
    <row r="301" spans="3:4" x14ac:dyDescent="0.25">
      <c r="C301" s="39" t="str">
        <f>IF(A301=0,"",IF(IF(COUNTIF(Sec_Fiber!$A$19:$A$1018,B301)&gt;0,TRUE,FALSE)=FALSE,VLOOKUP(B301,SecDB,3,FALSE),VLOOKUP(VLOOKUP(B301,SecFiberDB,2,FALSE),SecDB,3,FALSE)))</f>
        <v/>
      </c>
      <c r="D301" s="39" t="str">
        <f t="shared" si="4"/>
        <v/>
      </c>
    </row>
    <row r="302" spans="3:4" x14ac:dyDescent="0.25">
      <c r="C302" s="39" t="str">
        <f>IF(A302=0,"",IF(IF(COUNTIF(Sec_Fiber!$A$19:$A$1018,B302)&gt;0,TRUE,FALSE)=FALSE,VLOOKUP(B302,SecDB,3,FALSE),VLOOKUP(VLOOKUP(B302,SecFiberDB,2,FALSE),SecDB,3,FALSE)))</f>
        <v/>
      </c>
      <c r="D302" s="39" t="str">
        <f t="shared" si="4"/>
        <v/>
      </c>
    </row>
    <row r="303" spans="3:4" x14ac:dyDescent="0.25">
      <c r="C303" s="39" t="str">
        <f>IF(A303=0,"",IF(IF(COUNTIF(Sec_Fiber!$A$19:$A$1018,B303)&gt;0,TRUE,FALSE)=FALSE,VLOOKUP(B303,SecDB,3,FALSE),VLOOKUP(VLOOKUP(B303,SecFiberDB,2,FALSE),SecDB,3,FALSE)))</f>
        <v/>
      </c>
      <c r="D303" s="39" t="str">
        <f t="shared" si="4"/>
        <v/>
      </c>
    </row>
    <row r="304" spans="3:4" x14ac:dyDescent="0.25">
      <c r="C304" s="39" t="str">
        <f>IF(A304=0,"",IF(IF(COUNTIF(Sec_Fiber!$A$19:$A$1018,B304)&gt;0,TRUE,FALSE)=FALSE,VLOOKUP(B304,SecDB,3,FALSE),VLOOKUP(VLOOKUP(B304,SecFiberDB,2,FALSE),SecDB,3,FALSE)))</f>
        <v/>
      </c>
      <c r="D304" s="39" t="str">
        <f t="shared" si="4"/>
        <v/>
      </c>
    </row>
    <row r="305" spans="3:4" x14ac:dyDescent="0.25">
      <c r="C305" s="39" t="str">
        <f>IF(A305=0,"",IF(IF(COUNTIF(Sec_Fiber!$A$19:$A$1018,B305)&gt;0,TRUE,FALSE)=FALSE,VLOOKUP(B305,SecDB,3,FALSE),VLOOKUP(VLOOKUP(B305,SecFiberDB,2,FALSE),SecDB,3,FALSE)))</f>
        <v/>
      </c>
      <c r="D305" s="39" t="str">
        <f t="shared" si="4"/>
        <v/>
      </c>
    </row>
    <row r="306" spans="3:4" x14ac:dyDescent="0.25">
      <c r="C306" s="39" t="str">
        <f>IF(A306=0,"",IF(IF(COUNTIF(Sec_Fiber!$A$19:$A$1018,B306)&gt;0,TRUE,FALSE)=FALSE,VLOOKUP(B306,SecDB,3,FALSE),VLOOKUP(VLOOKUP(B306,SecFiberDB,2,FALSE),SecDB,3,FALSE)))</f>
        <v/>
      </c>
      <c r="D306" s="39" t="str">
        <f t="shared" si="4"/>
        <v/>
      </c>
    </row>
    <row r="307" spans="3:4" x14ac:dyDescent="0.25">
      <c r="C307" s="39" t="str">
        <f>IF(A307=0,"",IF(IF(COUNTIF(Sec_Fiber!$A$19:$A$1018,B307)&gt;0,TRUE,FALSE)=FALSE,VLOOKUP(B307,SecDB,3,FALSE),VLOOKUP(VLOOKUP(B307,SecFiberDB,2,FALSE),SecDB,3,FALSE)))</f>
        <v/>
      </c>
      <c r="D307" s="39" t="str">
        <f t="shared" si="4"/>
        <v/>
      </c>
    </row>
    <row r="308" spans="3:4" x14ac:dyDescent="0.25">
      <c r="C308" s="39" t="str">
        <f>IF(A308=0,"",IF(IF(COUNTIF(Sec_Fiber!$A$19:$A$1018,B308)&gt;0,TRUE,FALSE)=FALSE,VLOOKUP(B308,SecDB,3,FALSE),VLOOKUP(VLOOKUP(B308,SecFiberDB,2,FALSE),SecDB,3,FALSE)))</f>
        <v/>
      </c>
      <c r="D308" s="39" t="str">
        <f t="shared" si="4"/>
        <v/>
      </c>
    </row>
    <row r="309" spans="3:4" x14ac:dyDescent="0.25">
      <c r="C309" s="39" t="str">
        <f>IF(A309=0,"",IF(IF(COUNTIF(Sec_Fiber!$A$19:$A$1018,B309)&gt;0,TRUE,FALSE)=FALSE,VLOOKUP(B309,SecDB,3,FALSE),VLOOKUP(VLOOKUP(B309,SecFiberDB,2,FALSE),SecDB,3,FALSE)))</f>
        <v/>
      </c>
      <c r="D309" s="39" t="str">
        <f t="shared" si="4"/>
        <v/>
      </c>
    </row>
    <row r="310" spans="3:4" x14ac:dyDescent="0.25">
      <c r="C310" s="39" t="str">
        <f>IF(A310=0,"",IF(IF(COUNTIF(Sec_Fiber!$A$19:$A$1018,B310)&gt;0,TRUE,FALSE)=FALSE,VLOOKUP(B310,SecDB,3,FALSE),VLOOKUP(VLOOKUP(B310,SecFiberDB,2,FALSE),SecDB,3,FALSE)))</f>
        <v/>
      </c>
      <c r="D310" s="39" t="str">
        <f t="shared" si="4"/>
        <v/>
      </c>
    </row>
    <row r="311" spans="3:4" x14ac:dyDescent="0.25">
      <c r="C311" s="39" t="str">
        <f>IF(A311=0,"",IF(IF(COUNTIF(Sec_Fiber!$A$19:$A$1018,B311)&gt;0,TRUE,FALSE)=FALSE,VLOOKUP(B311,SecDB,3,FALSE),VLOOKUP(VLOOKUP(B311,SecFiberDB,2,FALSE),SecDB,3,FALSE)))</f>
        <v/>
      </c>
      <c r="D311" s="39" t="str">
        <f t="shared" si="4"/>
        <v/>
      </c>
    </row>
    <row r="312" spans="3:4" x14ac:dyDescent="0.25">
      <c r="C312" s="39" t="str">
        <f>IF(A312=0,"",IF(IF(COUNTIF(Sec_Fiber!$A$19:$A$1018,B312)&gt;0,TRUE,FALSE)=FALSE,VLOOKUP(B312,SecDB,3,FALSE),VLOOKUP(VLOOKUP(B312,SecFiberDB,2,FALSE),SecDB,3,FALSE)))</f>
        <v/>
      </c>
      <c r="D312" s="39" t="str">
        <f t="shared" si="4"/>
        <v/>
      </c>
    </row>
    <row r="313" spans="3:4" x14ac:dyDescent="0.25">
      <c r="C313" s="39" t="str">
        <f>IF(A313=0,"",IF(IF(COUNTIF(Sec_Fiber!$A$19:$A$1018,B313)&gt;0,TRUE,FALSE)=FALSE,VLOOKUP(B313,SecDB,3,FALSE),VLOOKUP(VLOOKUP(B313,SecFiberDB,2,FALSE),SecDB,3,FALSE)))</f>
        <v/>
      </c>
      <c r="D313" s="39" t="str">
        <f t="shared" si="4"/>
        <v/>
      </c>
    </row>
    <row r="314" spans="3:4" x14ac:dyDescent="0.25">
      <c r="C314" s="39" t="str">
        <f>IF(A314=0,"",IF(IF(COUNTIF(Sec_Fiber!$A$19:$A$1018,B314)&gt;0,TRUE,FALSE)=FALSE,VLOOKUP(B314,SecDB,3,FALSE),VLOOKUP(VLOOKUP(B314,SecFiberDB,2,FALSE),SecDB,3,FALSE)))</f>
        <v/>
      </c>
      <c r="D314" s="39" t="str">
        <f t="shared" si="4"/>
        <v/>
      </c>
    </row>
    <row r="315" spans="3:4" x14ac:dyDescent="0.25">
      <c r="C315" s="39" t="str">
        <f>IF(A315=0,"",IF(IF(COUNTIF(Sec_Fiber!$A$19:$A$1018,B315)&gt;0,TRUE,FALSE)=FALSE,VLOOKUP(B315,SecDB,3,FALSE),VLOOKUP(VLOOKUP(B315,SecFiberDB,2,FALSE),SecDB,3,FALSE)))</f>
        <v/>
      </c>
      <c r="D315" s="39" t="str">
        <f t="shared" si="4"/>
        <v/>
      </c>
    </row>
    <row r="316" spans="3:4" x14ac:dyDescent="0.25">
      <c r="C316" s="39" t="str">
        <f>IF(A316=0,"",IF(IF(COUNTIF(Sec_Fiber!$A$19:$A$1018,B316)&gt;0,TRUE,FALSE)=FALSE,VLOOKUP(B316,SecDB,3,FALSE),VLOOKUP(VLOOKUP(B316,SecFiberDB,2,FALSE),SecDB,3,FALSE)))</f>
        <v/>
      </c>
      <c r="D316" s="39" t="str">
        <f t="shared" si="4"/>
        <v/>
      </c>
    </row>
    <row r="317" spans="3:4" x14ac:dyDescent="0.25">
      <c r="C317" s="39" t="str">
        <f>IF(A317=0,"",IF(IF(COUNTIF(Sec_Fiber!$A$19:$A$1018,B317)&gt;0,TRUE,FALSE)=FALSE,VLOOKUP(B317,SecDB,3,FALSE),VLOOKUP(VLOOKUP(B317,SecFiberDB,2,FALSE),SecDB,3,FALSE)))</f>
        <v/>
      </c>
      <c r="D317" s="39" t="str">
        <f t="shared" si="4"/>
        <v/>
      </c>
    </row>
    <row r="318" spans="3:4" x14ac:dyDescent="0.25">
      <c r="C318" s="39" t="str">
        <f>IF(A318=0,"",IF(IF(COUNTIF(Sec_Fiber!$A$19:$A$1018,B318)&gt;0,TRUE,FALSE)=FALSE,VLOOKUP(B318,SecDB,3,FALSE),VLOOKUP(VLOOKUP(B318,SecFiberDB,2,FALSE),SecDB,3,FALSE)))</f>
        <v/>
      </c>
      <c r="D318" s="39" t="str">
        <f t="shared" si="4"/>
        <v/>
      </c>
    </row>
    <row r="319" spans="3:4" x14ac:dyDescent="0.25">
      <c r="C319" s="39" t="str">
        <f>IF(A319=0,"",IF(IF(COUNTIF(Sec_Fiber!$A$19:$A$1018,B319)&gt;0,TRUE,FALSE)=FALSE,VLOOKUP(B319,SecDB,3,FALSE),VLOOKUP(VLOOKUP(B319,SecFiberDB,2,FALSE),SecDB,3,FALSE)))</f>
        <v/>
      </c>
      <c r="D319" s="39" t="str">
        <f t="shared" si="4"/>
        <v/>
      </c>
    </row>
    <row r="320" spans="3:4" x14ac:dyDescent="0.25">
      <c r="C320" s="39" t="str">
        <f>IF(A320=0,"",IF(IF(COUNTIF(Sec_Fiber!$A$19:$A$1018,B320)&gt;0,TRUE,FALSE)=FALSE,VLOOKUP(B320,SecDB,3,FALSE),VLOOKUP(VLOOKUP(B320,SecFiberDB,2,FALSE),SecDB,3,FALSE)))</f>
        <v/>
      </c>
      <c r="D320" s="39" t="str">
        <f t="shared" si="4"/>
        <v/>
      </c>
    </row>
    <row r="321" spans="3:4" x14ac:dyDescent="0.25">
      <c r="C321" s="39" t="str">
        <f>IF(A321=0,"",IF(IF(COUNTIF(Sec_Fiber!$A$19:$A$1018,B321)&gt;0,TRUE,FALSE)=FALSE,VLOOKUP(B321,SecDB,3,FALSE),VLOOKUP(VLOOKUP(B321,SecFiberDB,2,FALSE),SecDB,3,FALSE)))</f>
        <v/>
      </c>
      <c r="D321" s="39" t="str">
        <f t="shared" si="4"/>
        <v/>
      </c>
    </row>
    <row r="322" spans="3:4" x14ac:dyDescent="0.25">
      <c r="C322" s="39" t="str">
        <f>IF(A322=0,"",IF(IF(COUNTIF(Sec_Fiber!$A$19:$A$1018,B322)&gt;0,TRUE,FALSE)=FALSE,VLOOKUP(B322,SecDB,3,FALSE),VLOOKUP(VLOOKUP(B322,SecFiberDB,2,FALSE),SecDB,3,FALSE)))</f>
        <v/>
      </c>
      <c r="D322" s="39" t="str">
        <f t="shared" si="4"/>
        <v/>
      </c>
    </row>
    <row r="323" spans="3:4" x14ac:dyDescent="0.25">
      <c r="C323" s="39" t="str">
        <f>IF(A323=0,"",IF(IF(COUNTIF(Sec_Fiber!$A$19:$A$1018,B323)&gt;0,TRUE,FALSE)=FALSE,VLOOKUP(B323,SecDB,3,FALSE),VLOOKUP(VLOOKUP(B323,SecFiberDB,2,FALSE),SecDB,3,FALSE)))</f>
        <v/>
      </c>
      <c r="D323" s="39" t="str">
        <f t="shared" si="4"/>
        <v/>
      </c>
    </row>
    <row r="324" spans="3:4" x14ac:dyDescent="0.25">
      <c r="C324" s="39" t="str">
        <f>IF(A324=0,"",IF(IF(COUNTIF(Sec_Fiber!$A$19:$A$1018,B324)&gt;0,TRUE,FALSE)=FALSE,VLOOKUP(B324,SecDB,3,FALSE),VLOOKUP(VLOOKUP(B324,SecFiberDB,2,FALSE),SecDB,3,FALSE)))</f>
        <v/>
      </c>
      <c r="D324" s="39" t="str">
        <f t="shared" si="4"/>
        <v/>
      </c>
    </row>
    <row r="325" spans="3:4" x14ac:dyDescent="0.25">
      <c r="C325" s="39" t="str">
        <f>IF(A325=0,"",IF(IF(COUNTIF(Sec_Fiber!$A$19:$A$1018,B325)&gt;0,TRUE,FALSE)=FALSE,VLOOKUP(B325,SecDB,3,FALSE),VLOOKUP(VLOOKUP(B325,SecFiberDB,2,FALSE),SecDB,3,FALSE)))</f>
        <v/>
      </c>
      <c r="D325" s="39" t="str">
        <f t="shared" si="4"/>
        <v/>
      </c>
    </row>
    <row r="326" spans="3:4" x14ac:dyDescent="0.25">
      <c r="C326" s="39" t="str">
        <f>IF(A326=0,"",IF(IF(COUNTIF(Sec_Fiber!$A$19:$A$1018,B326)&gt;0,TRUE,FALSE)=FALSE,VLOOKUP(B326,SecDB,3,FALSE),VLOOKUP(VLOOKUP(B326,SecFiberDB,2,FALSE),SecDB,3,FALSE)))</f>
        <v/>
      </c>
      <c r="D326" s="39" t="str">
        <f t="shared" si="4"/>
        <v/>
      </c>
    </row>
    <row r="327" spans="3:4" x14ac:dyDescent="0.25">
      <c r="C327" s="39" t="str">
        <f>IF(A327=0,"",IF(IF(COUNTIF(Sec_Fiber!$A$19:$A$1018,B327)&gt;0,TRUE,FALSE)=FALSE,VLOOKUP(B327,SecDB,3,FALSE),VLOOKUP(VLOOKUP(B327,SecFiberDB,2,FALSE),SecDB,3,FALSE)))</f>
        <v/>
      </c>
      <c r="D327" s="39" t="str">
        <f t="shared" si="4"/>
        <v/>
      </c>
    </row>
    <row r="328" spans="3:4" x14ac:dyDescent="0.25">
      <c r="C328" s="39" t="str">
        <f>IF(A328=0,"",IF(IF(COUNTIF(Sec_Fiber!$A$19:$A$1018,B328)&gt;0,TRUE,FALSE)=FALSE,VLOOKUP(B328,SecDB,3,FALSE),VLOOKUP(VLOOKUP(B328,SecFiberDB,2,FALSE),SecDB,3,FALSE)))</f>
        <v/>
      </c>
      <c r="D328" s="39" t="str">
        <f t="shared" si="4"/>
        <v/>
      </c>
    </row>
    <row r="329" spans="3:4" x14ac:dyDescent="0.25">
      <c r="C329" s="39" t="str">
        <f>IF(A329=0,"",IF(IF(COUNTIF(Sec_Fiber!$A$19:$A$1018,B329)&gt;0,TRUE,FALSE)=FALSE,VLOOKUP(B329,SecDB,3,FALSE),VLOOKUP(VLOOKUP(B329,SecFiberDB,2,FALSE),SecDB,3,FALSE)))</f>
        <v/>
      </c>
      <c r="D329" s="39" t="str">
        <f t="shared" ref="D329:D392" si="5">IF(A329=0,"","Aggregator")</f>
        <v/>
      </c>
    </row>
    <row r="330" spans="3:4" x14ac:dyDescent="0.25">
      <c r="C330" s="39" t="str">
        <f>IF(A330=0,"",IF(IF(COUNTIF(Sec_Fiber!$A$19:$A$1018,B330)&gt;0,TRUE,FALSE)=FALSE,VLOOKUP(B330,SecDB,3,FALSE),VLOOKUP(VLOOKUP(B330,SecFiberDB,2,FALSE),SecDB,3,FALSE)))</f>
        <v/>
      </c>
      <c r="D330" s="39" t="str">
        <f t="shared" si="5"/>
        <v/>
      </c>
    </row>
    <row r="331" spans="3:4" x14ac:dyDescent="0.25">
      <c r="C331" s="39" t="str">
        <f>IF(A331=0,"",IF(IF(COUNTIF(Sec_Fiber!$A$19:$A$1018,B331)&gt;0,TRUE,FALSE)=FALSE,VLOOKUP(B331,SecDB,3,FALSE),VLOOKUP(VLOOKUP(B331,SecFiberDB,2,FALSE),SecDB,3,FALSE)))</f>
        <v/>
      </c>
      <c r="D331" s="39" t="str">
        <f t="shared" si="5"/>
        <v/>
      </c>
    </row>
    <row r="332" spans="3:4" x14ac:dyDescent="0.25">
      <c r="C332" s="39" t="str">
        <f>IF(A332=0,"",IF(IF(COUNTIF(Sec_Fiber!$A$19:$A$1018,B332)&gt;0,TRUE,FALSE)=FALSE,VLOOKUP(B332,SecDB,3,FALSE),VLOOKUP(VLOOKUP(B332,SecFiberDB,2,FALSE),SecDB,3,FALSE)))</f>
        <v/>
      </c>
      <c r="D332" s="39" t="str">
        <f t="shared" si="5"/>
        <v/>
      </c>
    </row>
    <row r="333" spans="3:4" x14ac:dyDescent="0.25">
      <c r="C333" s="39" t="str">
        <f>IF(A333=0,"",IF(IF(COUNTIF(Sec_Fiber!$A$19:$A$1018,B333)&gt;0,TRUE,FALSE)=FALSE,VLOOKUP(B333,SecDB,3,FALSE),VLOOKUP(VLOOKUP(B333,SecFiberDB,2,FALSE),SecDB,3,FALSE)))</f>
        <v/>
      </c>
      <c r="D333" s="39" t="str">
        <f t="shared" si="5"/>
        <v/>
      </c>
    </row>
    <row r="334" spans="3:4" x14ac:dyDescent="0.25">
      <c r="C334" s="39" t="str">
        <f>IF(A334=0,"",IF(IF(COUNTIF(Sec_Fiber!$A$19:$A$1018,B334)&gt;0,TRUE,FALSE)=FALSE,VLOOKUP(B334,SecDB,3,FALSE),VLOOKUP(VLOOKUP(B334,SecFiberDB,2,FALSE),SecDB,3,FALSE)))</f>
        <v/>
      </c>
      <c r="D334" s="39" t="str">
        <f t="shared" si="5"/>
        <v/>
      </c>
    </row>
    <row r="335" spans="3:4" x14ac:dyDescent="0.25">
      <c r="C335" s="39" t="str">
        <f>IF(A335=0,"",IF(IF(COUNTIF(Sec_Fiber!$A$19:$A$1018,B335)&gt;0,TRUE,FALSE)=FALSE,VLOOKUP(B335,SecDB,3,FALSE),VLOOKUP(VLOOKUP(B335,SecFiberDB,2,FALSE),SecDB,3,FALSE)))</f>
        <v/>
      </c>
      <c r="D335" s="39" t="str">
        <f t="shared" si="5"/>
        <v/>
      </c>
    </row>
    <row r="336" spans="3:4" x14ac:dyDescent="0.25">
      <c r="C336" s="39" t="str">
        <f>IF(A336=0,"",IF(IF(COUNTIF(Sec_Fiber!$A$19:$A$1018,B336)&gt;0,TRUE,FALSE)=FALSE,VLOOKUP(B336,SecDB,3,FALSE),VLOOKUP(VLOOKUP(B336,SecFiberDB,2,FALSE),SecDB,3,FALSE)))</f>
        <v/>
      </c>
      <c r="D336" s="39" t="str">
        <f t="shared" si="5"/>
        <v/>
      </c>
    </row>
    <row r="337" spans="3:4" x14ac:dyDescent="0.25">
      <c r="C337" s="39" t="str">
        <f>IF(A337=0,"",IF(IF(COUNTIF(Sec_Fiber!$A$19:$A$1018,B337)&gt;0,TRUE,FALSE)=FALSE,VLOOKUP(B337,SecDB,3,FALSE),VLOOKUP(VLOOKUP(B337,SecFiberDB,2,FALSE),SecDB,3,FALSE)))</f>
        <v/>
      </c>
      <c r="D337" s="39" t="str">
        <f t="shared" si="5"/>
        <v/>
      </c>
    </row>
    <row r="338" spans="3:4" x14ac:dyDescent="0.25">
      <c r="C338" s="39" t="str">
        <f>IF(A338=0,"",IF(IF(COUNTIF(Sec_Fiber!$A$19:$A$1018,B338)&gt;0,TRUE,FALSE)=FALSE,VLOOKUP(B338,SecDB,3,FALSE),VLOOKUP(VLOOKUP(B338,SecFiberDB,2,FALSE),SecDB,3,FALSE)))</f>
        <v/>
      </c>
      <c r="D338" s="39" t="str">
        <f t="shared" si="5"/>
        <v/>
      </c>
    </row>
    <row r="339" spans="3:4" x14ac:dyDescent="0.25">
      <c r="C339" s="39" t="str">
        <f>IF(A339=0,"",IF(IF(COUNTIF(Sec_Fiber!$A$19:$A$1018,B339)&gt;0,TRUE,FALSE)=FALSE,VLOOKUP(B339,SecDB,3,FALSE),VLOOKUP(VLOOKUP(B339,SecFiberDB,2,FALSE),SecDB,3,FALSE)))</f>
        <v/>
      </c>
      <c r="D339" s="39" t="str">
        <f t="shared" si="5"/>
        <v/>
      </c>
    </row>
    <row r="340" spans="3:4" x14ac:dyDescent="0.25">
      <c r="C340" s="39" t="str">
        <f>IF(A340=0,"",IF(IF(COUNTIF(Sec_Fiber!$A$19:$A$1018,B340)&gt;0,TRUE,FALSE)=FALSE,VLOOKUP(B340,SecDB,3,FALSE),VLOOKUP(VLOOKUP(B340,SecFiberDB,2,FALSE),SecDB,3,FALSE)))</f>
        <v/>
      </c>
      <c r="D340" s="39" t="str">
        <f t="shared" si="5"/>
        <v/>
      </c>
    </row>
    <row r="341" spans="3:4" x14ac:dyDescent="0.25">
      <c r="C341" s="39" t="str">
        <f>IF(A341=0,"",IF(IF(COUNTIF(Sec_Fiber!$A$19:$A$1018,B341)&gt;0,TRUE,FALSE)=FALSE,VLOOKUP(B341,SecDB,3,FALSE),VLOOKUP(VLOOKUP(B341,SecFiberDB,2,FALSE),SecDB,3,FALSE)))</f>
        <v/>
      </c>
      <c r="D341" s="39" t="str">
        <f t="shared" si="5"/>
        <v/>
      </c>
    </row>
    <row r="342" spans="3:4" x14ac:dyDescent="0.25">
      <c r="C342" s="39" t="str">
        <f>IF(A342=0,"",IF(IF(COUNTIF(Sec_Fiber!$A$19:$A$1018,B342)&gt;0,TRUE,FALSE)=FALSE,VLOOKUP(B342,SecDB,3,FALSE),VLOOKUP(VLOOKUP(B342,SecFiberDB,2,FALSE),SecDB,3,FALSE)))</f>
        <v/>
      </c>
      <c r="D342" s="39" t="str">
        <f t="shared" si="5"/>
        <v/>
      </c>
    </row>
    <row r="343" spans="3:4" x14ac:dyDescent="0.25">
      <c r="C343" s="39" t="str">
        <f>IF(A343=0,"",IF(IF(COUNTIF(Sec_Fiber!$A$19:$A$1018,B343)&gt;0,TRUE,FALSE)=FALSE,VLOOKUP(B343,SecDB,3,FALSE),VLOOKUP(VLOOKUP(B343,SecFiberDB,2,FALSE),SecDB,3,FALSE)))</f>
        <v/>
      </c>
      <c r="D343" s="39" t="str">
        <f t="shared" si="5"/>
        <v/>
      </c>
    </row>
    <row r="344" spans="3:4" x14ac:dyDescent="0.25">
      <c r="C344" s="39" t="str">
        <f>IF(A344=0,"",IF(IF(COUNTIF(Sec_Fiber!$A$19:$A$1018,B344)&gt;0,TRUE,FALSE)=FALSE,VLOOKUP(B344,SecDB,3,FALSE),VLOOKUP(VLOOKUP(B344,SecFiberDB,2,FALSE),SecDB,3,FALSE)))</f>
        <v/>
      </c>
      <c r="D344" s="39" t="str">
        <f t="shared" si="5"/>
        <v/>
      </c>
    </row>
    <row r="345" spans="3:4" x14ac:dyDescent="0.25">
      <c r="C345" s="39" t="str">
        <f>IF(A345=0,"",IF(IF(COUNTIF(Sec_Fiber!$A$19:$A$1018,B345)&gt;0,TRUE,FALSE)=FALSE,VLOOKUP(B345,SecDB,3,FALSE),VLOOKUP(VLOOKUP(B345,SecFiberDB,2,FALSE),SecDB,3,FALSE)))</f>
        <v/>
      </c>
      <c r="D345" s="39" t="str">
        <f t="shared" si="5"/>
        <v/>
      </c>
    </row>
    <row r="346" spans="3:4" x14ac:dyDescent="0.25">
      <c r="C346" s="39" t="str">
        <f>IF(A346=0,"",IF(IF(COUNTIF(Sec_Fiber!$A$19:$A$1018,B346)&gt;0,TRUE,FALSE)=FALSE,VLOOKUP(B346,SecDB,3,FALSE),VLOOKUP(VLOOKUP(B346,SecFiberDB,2,FALSE),SecDB,3,FALSE)))</f>
        <v/>
      </c>
      <c r="D346" s="39" t="str">
        <f t="shared" si="5"/>
        <v/>
      </c>
    </row>
    <row r="347" spans="3:4" x14ac:dyDescent="0.25">
      <c r="C347" s="39" t="str">
        <f>IF(A347=0,"",IF(IF(COUNTIF(Sec_Fiber!$A$19:$A$1018,B347)&gt;0,TRUE,FALSE)=FALSE,VLOOKUP(B347,SecDB,3,FALSE),VLOOKUP(VLOOKUP(B347,SecFiberDB,2,FALSE),SecDB,3,FALSE)))</f>
        <v/>
      </c>
      <c r="D347" s="39" t="str">
        <f t="shared" si="5"/>
        <v/>
      </c>
    </row>
    <row r="348" spans="3:4" x14ac:dyDescent="0.25">
      <c r="C348" s="39" t="str">
        <f>IF(A348=0,"",IF(IF(COUNTIF(Sec_Fiber!$A$19:$A$1018,B348)&gt;0,TRUE,FALSE)=FALSE,VLOOKUP(B348,SecDB,3,FALSE),VLOOKUP(VLOOKUP(B348,SecFiberDB,2,FALSE),SecDB,3,FALSE)))</f>
        <v/>
      </c>
      <c r="D348" s="39" t="str">
        <f t="shared" si="5"/>
        <v/>
      </c>
    </row>
    <row r="349" spans="3:4" x14ac:dyDescent="0.25">
      <c r="C349" s="39" t="str">
        <f>IF(A349=0,"",IF(IF(COUNTIF(Sec_Fiber!$A$19:$A$1018,B349)&gt;0,TRUE,FALSE)=FALSE,VLOOKUP(B349,SecDB,3,FALSE),VLOOKUP(VLOOKUP(B349,SecFiberDB,2,FALSE),SecDB,3,FALSE)))</f>
        <v/>
      </c>
      <c r="D349" s="39" t="str">
        <f t="shared" si="5"/>
        <v/>
      </c>
    </row>
    <row r="350" spans="3:4" x14ac:dyDescent="0.25">
      <c r="C350" s="39" t="str">
        <f>IF(A350=0,"",IF(IF(COUNTIF(Sec_Fiber!$A$19:$A$1018,B350)&gt;0,TRUE,FALSE)=FALSE,VLOOKUP(B350,SecDB,3,FALSE),VLOOKUP(VLOOKUP(B350,SecFiberDB,2,FALSE),SecDB,3,FALSE)))</f>
        <v/>
      </c>
      <c r="D350" s="39" t="str">
        <f t="shared" si="5"/>
        <v/>
      </c>
    </row>
    <row r="351" spans="3:4" x14ac:dyDescent="0.25">
      <c r="C351" s="39" t="str">
        <f>IF(A351=0,"",IF(IF(COUNTIF(Sec_Fiber!$A$19:$A$1018,B351)&gt;0,TRUE,FALSE)=FALSE,VLOOKUP(B351,SecDB,3,FALSE),VLOOKUP(VLOOKUP(B351,SecFiberDB,2,FALSE),SecDB,3,FALSE)))</f>
        <v/>
      </c>
      <c r="D351" s="39" t="str">
        <f t="shared" si="5"/>
        <v/>
      </c>
    </row>
    <row r="352" spans="3:4" x14ac:dyDescent="0.25">
      <c r="C352" s="39" t="str">
        <f>IF(A352=0,"",IF(IF(COUNTIF(Sec_Fiber!$A$19:$A$1018,B352)&gt;0,TRUE,FALSE)=FALSE,VLOOKUP(B352,SecDB,3,FALSE),VLOOKUP(VLOOKUP(B352,SecFiberDB,2,FALSE),SecDB,3,FALSE)))</f>
        <v/>
      </c>
      <c r="D352" s="39" t="str">
        <f t="shared" si="5"/>
        <v/>
      </c>
    </row>
    <row r="353" spans="3:4" x14ac:dyDescent="0.25">
      <c r="C353" s="39" t="str">
        <f>IF(A353=0,"",IF(IF(COUNTIF(Sec_Fiber!$A$19:$A$1018,B353)&gt;0,TRUE,FALSE)=FALSE,VLOOKUP(B353,SecDB,3,FALSE),VLOOKUP(VLOOKUP(B353,SecFiberDB,2,FALSE),SecDB,3,FALSE)))</f>
        <v/>
      </c>
      <c r="D353" s="39" t="str">
        <f t="shared" si="5"/>
        <v/>
      </c>
    </row>
    <row r="354" spans="3:4" x14ac:dyDescent="0.25">
      <c r="C354" s="39" t="str">
        <f>IF(A354=0,"",IF(IF(COUNTIF(Sec_Fiber!$A$19:$A$1018,B354)&gt;0,TRUE,FALSE)=FALSE,VLOOKUP(B354,SecDB,3,FALSE),VLOOKUP(VLOOKUP(B354,SecFiberDB,2,FALSE),SecDB,3,FALSE)))</f>
        <v/>
      </c>
      <c r="D354" s="39" t="str">
        <f t="shared" si="5"/>
        <v/>
      </c>
    </row>
    <row r="355" spans="3:4" x14ac:dyDescent="0.25">
      <c r="C355" s="39" t="str">
        <f>IF(A355=0,"",IF(IF(COUNTIF(Sec_Fiber!$A$19:$A$1018,B355)&gt;0,TRUE,FALSE)=FALSE,VLOOKUP(B355,SecDB,3,FALSE),VLOOKUP(VLOOKUP(B355,SecFiberDB,2,FALSE),SecDB,3,FALSE)))</f>
        <v/>
      </c>
      <c r="D355" s="39" t="str">
        <f t="shared" si="5"/>
        <v/>
      </c>
    </row>
    <row r="356" spans="3:4" x14ac:dyDescent="0.25">
      <c r="C356" s="39" t="str">
        <f>IF(A356=0,"",IF(IF(COUNTIF(Sec_Fiber!$A$19:$A$1018,B356)&gt;0,TRUE,FALSE)=FALSE,VLOOKUP(B356,SecDB,3,FALSE),VLOOKUP(VLOOKUP(B356,SecFiberDB,2,FALSE),SecDB,3,FALSE)))</f>
        <v/>
      </c>
      <c r="D356" s="39" t="str">
        <f t="shared" si="5"/>
        <v/>
      </c>
    </row>
    <row r="357" spans="3:4" x14ac:dyDescent="0.25">
      <c r="C357" s="39" t="str">
        <f>IF(A357=0,"",IF(IF(COUNTIF(Sec_Fiber!$A$19:$A$1018,B357)&gt;0,TRUE,FALSE)=FALSE,VLOOKUP(B357,SecDB,3,FALSE),VLOOKUP(VLOOKUP(B357,SecFiberDB,2,FALSE),SecDB,3,FALSE)))</f>
        <v/>
      </c>
      <c r="D357" s="39" t="str">
        <f t="shared" si="5"/>
        <v/>
      </c>
    </row>
    <row r="358" spans="3:4" x14ac:dyDescent="0.25">
      <c r="C358" s="39" t="str">
        <f>IF(A358=0,"",IF(IF(COUNTIF(Sec_Fiber!$A$19:$A$1018,B358)&gt;0,TRUE,FALSE)=FALSE,VLOOKUP(B358,SecDB,3,FALSE),VLOOKUP(VLOOKUP(B358,SecFiberDB,2,FALSE),SecDB,3,FALSE)))</f>
        <v/>
      </c>
      <c r="D358" s="39" t="str">
        <f t="shared" si="5"/>
        <v/>
      </c>
    </row>
    <row r="359" spans="3:4" x14ac:dyDescent="0.25">
      <c r="C359" s="39" t="str">
        <f>IF(A359=0,"",IF(IF(COUNTIF(Sec_Fiber!$A$19:$A$1018,B359)&gt;0,TRUE,FALSE)=FALSE,VLOOKUP(B359,SecDB,3,FALSE),VLOOKUP(VLOOKUP(B359,SecFiberDB,2,FALSE),SecDB,3,FALSE)))</f>
        <v/>
      </c>
      <c r="D359" s="39" t="str">
        <f t="shared" si="5"/>
        <v/>
      </c>
    </row>
    <row r="360" spans="3:4" x14ac:dyDescent="0.25">
      <c r="C360" s="39" t="str">
        <f>IF(A360=0,"",IF(IF(COUNTIF(Sec_Fiber!$A$19:$A$1018,B360)&gt;0,TRUE,FALSE)=FALSE,VLOOKUP(B360,SecDB,3,FALSE),VLOOKUP(VLOOKUP(B360,SecFiberDB,2,FALSE),SecDB,3,FALSE)))</f>
        <v/>
      </c>
      <c r="D360" s="39" t="str">
        <f t="shared" si="5"/>
        <v/>
      </c>
    </row>
    <row r="361" spans="3:4" x14ac:dyDescent="0.25">
      <c r="C361" s="39" t="str">
        <f>IF(A361=0,"",IF(IF(COUNTIF(Sec_Fiber!$A$19:$A$1018,B361)&gt;0,TRUE,FALSE)=FALSE,VLOOKUP(B361,SecDB,3,FALSE),VLOOKUP(VLOOKUP(B361,SecFiberDB,2,FALSE),SecDB,3,FALSE)))</f>
        <v/>
      </c>
      <c r="D361" s="39" t="str">
        <f t="shared" si="5"/>
        <v/>
      </c>
    </row>
    <row r="362" spans="3:4" x14ac:dyDescent="0.25">
      <c r="C362" s="39" t="str">
        <f>IF(A362=0,"",IF(IF(COUNTIF(Sec_Fiber!$A$19:$A$1018,B362)&gt;0,TRUE,FALSE)=FALSE,VLOOKUP(B362,SecDB,3,FALSE),VLOOKUP(VLOOKUP(B362,SecFiberDB,2,FALSE),SecDB,3,FALSE)))</f>
        <v/>
      </c>
      <c r="D362" s="39" t="str">
        <f t="shared" si="5"/>
        <v/>
      </c>
    </row>
    <row r="363" spans="3:4" x14ac:dyDescent="0.25">
      <c r="C363" s="39" t="str">
        <f>IF(A363=0,"",IF(IF(COUNTIF(Sec_Fiber!$A$19:$A$1018,B363)&gt;0,TRUE,FALSE)=FALSE,VLOOKUP(B363,SecDB,3,FALSE),VLOOKUP(VLOOKUP(B363,SecFiberDB,2,FALSE),SecDB,3,FALSE)))</f>
        <v/>
      </c>
      <c r="D363" s="39" t="str">
        <f t="shared" si="5"/>
        <v/>
      </c>
    </row>
    <row r="364" spans="3:4" x14ac:dyDescent="0.25">
      <c r="C364" s="39" t="str">
        <f>IF(A364=0,"",IF(IF(COUNTIF(Sec_Fiber!$A$19:$A$1018,B364)&gt;0,TRUE,FALSE)=FALSE,VLOOKUP(B364,SecDB,3,FALSE),VLOOKUP(VLOOKUP(B364,SecFiberDB,2,FALSE),SecDB,3,FALSE)))</f>
        <v/>
      </c>
      <c r="D364" s="39" t="str">
        <f t="shared" si="5"/>
        <v/>
      </c>
    </row>
    <row r="365" spans="3:4" x14ac:dyDescent="0.25">
      <c r="C365" s="39" t="str">
        <f>IF(A365=0,"",IF(IF(COUNTIF(Sec_Fiber!$A$19:$A$1018,B365)&gt;0,TRUE,FALSE)=FALSE,VLOOKUP(B365,SecDB,3,FALSE),VLOOKUP(VLOOKUP(B365,SecFiberDB,2,FALSE),SecDB,3,FALSE)))</f>
        <v/>
      </c>
      <c r="D365" s="39" t="str">
        <f t="shared" si="5"/>
        <v/>
      </c>
    </row>
    <row r="366" spans="3:4" x14ac:dyDescent="0.25">
      <c r="C366" s="39" t="str">
        <f>IF(A366=0,"",IF(IF(COUNTIF(Sec_Fiber!$A$19:$A$1018,B366)&gt;0,TRUE,FALSE)=FALSE,VLOOKUP(B366,SecDB,3,FALSE),VLOOKUP(VLOOKUP(B366,SecFiberDB,2,FALSE),SecDB,3,FALSE)))</f>
        <v/>
      </c>
      <c r="D366" s="39" t="str">
        <f t="shared" si="5"/>
        <v/>
      </c>
    </row>
    <row r="367" spans="3:4" x14ac:dyDescent="0.25">
      <c r="C367" s="39" t="str">
        <f>IF(A367=0,"",IF(IF(COUNTIF(Sec_Fiber!$A$19:$A$1018,B367)&gt;0,TRUE,FALSE)=FALSE,VLOOKUP(B367,SecDB,3,FALSE),VLOOKUP(VLOOKUP(B367,SecFiberDB,2,FALSE),SecDB,3,FALSE)))</f>
        <v/>
      </c>
      <c r="D367" s="39" t="str">
        <f t="shared" si="5"/>
        <v/>
      </c>
    </row>
    <row r="368" spans="3:4" x14ac:dyDescent="0.25">
      <c r="C368" s="39" t="str">
        <f>IF(A368=0,"",IF(IF(COUNTIF(Sec_Fiber!$A$19:$A$1018,B368)&gt;0,TRUE,FALSE)=FALSE,VLOOKUP(B368,SecDB,3,FALSE),VLOOKUP(VLOOKUP(B368,SecFiberDB,2,FALSE),SecDB,3,FALSE)))</f>
        <v/>
      </c>
      <c r="D368" s="39" t="str">
        <f t="shared" si="5"/>
        <v/>
      </c>
    </row>
    <row r="369" spans="3:4" x14ac:dyDescent="0.25">
      <c r="C369" s="39" t="str">
        <f>IF(A369=0,"",IF(IF(COUNTIF(Sec_Fiber!$A$19:$A$1018,B369)&gt;0,TRUE,FALSE)=FALSE,VLOOKUP(B369,SecDB,3,FALSE),VLOOKUP(VLOOKUP(B369,SecFiberDB,2,FALSE),SecDB,3,FALSE)))</f>
        <v/>
      </c>
      <c r="D369" s="39" t="str">
        <f t="shared" si="5"/>
        <v/>
      </c>
    </row>
    <row r="370" spans="3:4" x14ac:dyDescent="0.25">
      <c r="C370" s="39" t="str">
        <f>IF(A370=0,"",IF(IF(COUNTIF(Sec_Fiber!$A$19:$A$1018,B370)&gt;0,TRUE,FALSE)=FALSE,VLOOKUP(B370,SecDB,3,FALSE),VLOOKUP(VLOOKUP(B370,SecFiberDB,2,FALSE),SecDB,3,FALSE)))</f>
        <v/>
      </c>
      <c r="D370" s="39" t="str">
        <f t="shared" si="5"/>
        <v/>
      </c>
    </row>
    <row r="371" spans="3:4" x14ac:dyDescent="0.25">
      <c r="C371" s="39" t="str">
        <f>IF(A371=0,"",IF(IF(COUNTIF(Sec_Fiber!$A$19:$A$1018,B371)&gt;0,TRUE,FALSE)=FALSE,VLOOKUP(B371,SecDB,3,FALSE),VLOOKUP(VLOOKUP(B371,SecFiberDB,2,FALSE),SecDB,3,FALSE)))</f>
        <v/>
      </c>
      <c r="D371" s="39" t="str">
        <f t="shared" si="5"/>
        <v/>
      </c>
    </row>
    <row r="372" spans="3:4" x14ac:dyDescent="0.25">
      <c r="C372" s="39" t="str">
        <f>IF(A372=0,"",IF(IF(COUNTIF(Sec_Fiber!$A$19:$A$1018,B372)&gt;0,TRUE,FALSE)=FALSE,VLOOKUP(B372,SecDB,3,FALSE),VLOOKUP(VLOOKUP(B372,SecFiberDB,2,FALSE),SecDB,3,FALSE)))</f>
        <v/>
      </c>
      <c r="D372" s="39" t="str">
        <f t="shared" si="5"/>
        <v/>
      </c>
    </row>
    <row r="373" spans="3:4" x14ac:dyDescent="0.25">
      <c r="C373" s="39" t="str">
        <f>IF(A373=0,"",IF(IF(COUNTIF(Sec_Fiber!$A$19:$A$1018,B373)&gt;0,TRUE,FALSE)=FALSE,VLOOKUP(B373,SecDB,3,FALSE),VLOOKUP(VLOOKUP(B373,SecFiberDB,2,FALSE),SecDB,3,FALSE)))</f>
        <v/>
      </c>
      <c r="D373" s="39" t="str">
        <f t="shared" si="5"/>
        <v/>
      </c>
    </row>
    <row r="374" spans="3:4" x14ac:dyDescent="0.25">
      <c r="C374" s="39" t="str">
        <f>IF(A374=0,"",IF(IF(COUNTIF(Sec_Fiber!$A$19:$A$1018,B374)&gt;0,TRUE,FALSE)=FALSE,VLOOKUP(B374,SecDB,3,FALSE),VLOOKUP(VLOOKUP(B374,SecFiberDB,2,FALSE),SecDB,3,FALSE)))</f>
        <v/>
      </c>
      <c r="D374" s="39" t="str">
        <f t="shared" si="5"/>
        <v/>
      </c>
    </row>
    <row r="375" spans="3:4" x14ac:dyDescent="0.25">
      <c r="C375" s="39" t="str">
        <f>IF(A375=0,"",IF(IF(COUNTIF(Sec_Fiber!$A$19:$A$1018,B375)&gt;0,TRUE,FALSE)=FALSE,VLOOKUP(B375,SecDB,3,FALSE),VLOOKUP(VLOOKUP(B375,SecFiberDB,2,FALSE),SecDB,3,FALSE)))</f>
        <v/>
      </c>
      <c r="D375" s="39" t="str">
        <f t="shared" si="5"/>
        <v/>
      </c>
    </row>
    <row r="376" spans="3:4" x14ac:dyDescent="0.25">
      <c r="C376" s="39" t="str">
        <f>IF(A376=0,"",IF(IF(COUNTIF(Sec_Fiber!$A$19:$A$1018,B376)&gt;0,TRUE,FALSE)=FALSE,VLOOKUP(B376,SecDB,3,FALSE),VLOOKUP(VLOOKUP(B376,SecFiberDB,2,FALSE),SecDB,3,FALSE)))</f>
        <v/>
      </c>
      <c r="D376" s="39" t="str">
        <f t="shared" si="5"/>
        <v/>
      </c>
    </row>
    <row r="377" spans="3:4" x14ac:dyDescent="0.25">
      <c r="C377" s="39" t="str">
        <f>IF(A377=0,"",IF(IF(COUNTIF(Sec_Fiber!$A$19:$A$1018,B377)&gt;0,TRUE,FALSE)=FALSE,VLOOKUP(B377,SecDB,3,FALSE),VLOOKUP(VLOOKUP(B377,SecFiberDB,2,FALSE),SecDB,3,FALSE)))</f>
        <v/>
      </c>
      <c r="D377" s="39" t="str">
        <f t="shared" si="5"/>
        <v/>
      </c>
    </row>
    <row r="378" spans="3:4" x14ac:dyDescent="0.25">
      <c r="C378" s="39" t="str">
        <f>IF(A378=0,"",IF(IF(COUNTIF(Sec_Fiber!$A$19:$A$1018,B378)&gt;0,TRUE,FALSE)=FALSE,VLOOKUP(B378,SecDB,3,FALSE),VLOOKUP(VLOOKUP(B378,SecFiberDB,2,FALSE),SecDB,3,FALSE)))</f>
        <v/>
      </c>
      <c r="D378" s="39" t="str">
        <f t="shared" si="5"/>
        <v/>
      </c>
    </row>
    <row r="379" spans="3:4" x14ac:dyDescent="0.25">
      <c r="C379" s="39" t="str">
        <f>IF(A379=0,"",IF(IF(COUNTIF(Sec_Fiber!$A$19:$A$1018,B379)&gt;0,TRUE,FALSE)=FALSE,VLOOKUP(B379,SecDB,3,FALSE),VLOOKUP(VLOOKUP(B379,SecFiberDB,2,FALSE),SecDB,3,FALSE)))</f>
        <v/>
      </c>
      <c r="D379" s="39" t="str">
        <f t="shared" si="5"/>
        <v/>
      </c>
    </row>
    <row r="380" spans="3:4" x14ac:dyDescent="0.25">
      <c r="C380" s="39" t="str">
        <f>IF(A380=0,"",IF(IF(COUNTIF(Sec_Fiber!$A$19:$A$1018,B380)&gt;0,TRUE,FALSE)=FALSE,VLOOKUP(B380,SecDB,3,FALSE),VLOOKUP(VLOOKUP(B380,SecFiberDB,2,FALSE),SecDB,3,FALSE)))</f>
        <v/>
      </c>
      <c r="D380" s="39" t="str">
        <f t="shared" si="5"/>
        <v/>
      </c>
    </row>
    <row r="381" spans="3:4" x14ac:dyDescent="0.25">
      <c r="C381" s="39" t="str">
        <f>IF(A381=0,"",IF(IF(COUNTIF(Sec_Fiber!$A$19:$A$1018,B381)&gt;0,TRUE,FALSE)=FALSE,VLOOKUP(B381,SecDB,3,FALSE),VLOOKUP(VLOOKUP(B381,SecFiberDB,2,FALSE),SecDB,3,FALSE)))</f>
        <v/>
      </c>
      <c r="D381" s="39" t="str">
        <f t="shared" si="5"/>
        <v/>
      </c>
    </row>
    <row r="382" spans="3:4" x14ac:dyDescent="0.25">
      <c r="C382" s="39" t="str">
        <f>IF(A382=0,"",IF(IF(COUNTIF(Sec_Fiber!$A$19:$A$1018,B382)&gt;0,TRUE,FALSE)=FALSE,VLOOKUP(B382,SecDB,3,FALSE),VLOOKUP(VLOOKUP(B382,SecFiberDB,2,FALSE),SecDB,3,FALSE)))</f>
        <v/>
      </c>
      <c r="D382" s="39" t="str">
        <f t="shared" si="5"/>
        <v/>
      </c>
    </row>
    <row r="383" spans="3:4" x14ac:dyDescent="0.25">
      <c r="C383" s="39" t="str">
        <f>IF(A383=0,"",IF(IF(COUNTIF(Sec_Fiber!$A$19:$A$1018,B383)&gt;0,TRUE,FALSE)=FALSE,VLOOKUP(B383,SecDB,3,FALSE),VLOOKUP(VLOOKUP(B383,SecFiberDB,2,FALSE),SecDB,3,FALSE)))</f>
        <v/>
      </c>
      <c r="D383" s="39" t="str">
        <f t="shared" si="5"/>
        <v/>
      </c>
    </row>
    <row r="384" spans="3:4" x14ac:dyDescent="0.25">
      <c r="C384" s="39" t="str">
        <f>IF(A384=0,"",IF(IF(COUNTIF(Sec_Fiber!$A$19:$A$1018,B384)&gt;0,TRUE,FALSE)=FALSE,VLOOKUP(B384,SecDB,3,FALSE),VLOOKUP(VLOOKUP(B384,SecFiberDB,2,FALSE),SecDB,3,FALSE)))</f>
        <v/>
      </c>
      <c r="D384" s="39" t="str">
        <f t="shared" si="5"/>
        <v/>
      </c>
    </row>
    <row r="385" spans="3:4" x14ac:dyDescent="0.25">
      <c r="C385" s="39" t="str">
        <f>IF(A385=0,"",IF(IF(COUNTIF(Sec_Fiber!$A$19:$A$1018,B385)&gt;0,TRUE,FALSE)=FALSE,VLOOKUP(B385,SecDB,3,FALSE),VLOOKUP(VLOOKUP(B385,SecFiberDB,2,FALSE),SecDB,3,FALSE)))</f>
        <v/>
      </c>
      <c r="D385" s="39" t="str">
        <f t="shared" si="5"/>
        <v/>
      </c>
    </row>
    <row r="386" spans="3:4" x14ac:dyDescent="0.25">
      <c r="C386" s="39" t="str">
        <f>IF(A386=0,"",IF(IF(COUNTIF(Sec_Fiber!$A$19:$A$1018,B386)&gt;0,TRUE,FALSE)=FALSE,VLOOKUP(B386,SecDB,3,FALSE),VLOOKUP(VLOOKUP(B386,SecFiberDB,2,FALSE),SecDB,3,FALSE)))</f>
        <v/>
      </c>
      <c r="D386" s="39" t="str">
        <f t="shared" si="5"/>
        <v/>
      </c>
    </row>
    <row r="387" spans="3:4" x14ac:dyDescent="0.25">
      <c r="C387" s="39" t="str">
        <f>IF(A387=0,"",IF(IF(COUNTIF(Sec_Fiber!$A$19:$A$1018,B387)&gt;0,TRUE,FALSE)=FALSE,VLOOKUP(B387,SecDB,3,FALSE),VLOOKUP(VLOOKUP(B387,SecFiberDB,2,FALSE),SecDB,3,FALSE)))</f>
        <v/>
      </c>
      <c r="D387" s="39" t="str">
        <f t="shared" si="5"/>
        <v/>
      </c>
    </row>
    <row r="388" spans="3:4" x14ac:dyDescent="0.25">
      <c r="C388" s="39" t="str">
        <f>IF(A388=0,"",IF(IF(COUNTIF(Sec_Fiber!$A$19:$A$1018,B388)&gt;0,TRUE,FALSE)=FALSE,VLOOKUP(B388,SecDB,3,FALSE),VLOOKUP(VLOOKUP(B388,SecFiberDB,2,FALSE),SecDB,3,FALSE)))</f>
        <v/>
      </c>
      <c r="D388" s="39" t="str">
        <f t="shared" si="5"/>
        <v/>
      </c>
    </row>
    <row r="389" spans="3:4" x14ac:dyDescent="0.25">
      <c r="C389" s="39" t="str">
        <f>IF(A389=0,"",IF(IF(COUNTIF(Sec_Fiber!$A$19:$A$1018,B389)&gt;0,TRUE,FALSE)=FALSE,VLOOKUP(B389,SecDB,3,FALSE),VLOOKUP(VLOOKUP(B389,SecFiberDB,2,FALSE),SecDB,3,FALSE)))</f>
        <v/>
      </c>
      <c r="D389" s="39" t="str">
        <f t="shared" si="5"/>
        <v/>
      </c>
    </row>
    <row r="390" spans="3:4" x14ac:dyDescent="0.25">
      <c r="C390" s="39" t="str">
        <f>IF(A390=0,"",IF(IF(COUNTIF(Sec_Fiber!$A$19:$A$1018,B390)&gt;0,TRUE,FALSE)=FALSE,VLOOKUP(B390,SecDB,3,FALSE),VLOOKUP(VLOOKUP(B390,SecFiberDB,2,FALSE),SecDB,3,FALSE)))</f>
        <v/>
      </c>
      <c r="D390" s="39" t="str">
        <f t="shared" si="5"/>
        <v/>
      </c>
    </row>
    <row r="391" spans="3:4" x14ac:dyDescent="0.25">
      <c r="C391" s="39" t="str">
        <f>IF(A391=0,"",IF(IF(COUNTIF(Sec_Fiber!$A$19:$A$1018,B391)&gt;0,TRUE,FALSE)=FALSE,VLOOKUP(B391,SecDB,3,FALSE),VLOOKUP(VLOOKUP(B391,SecFiberDB,2,FALSE),SecDB,3,FALSE)))</f>
        <v/>
      </c>
      <c r="D391" s="39" t="str">
        <f t="shared" si="5"/>
        <v/>
      </c>
    </row>
    <row r="392" spans="3:4" x14ac:dyDescent="0.25">
      <c r="C392" s="39" t="str">
        <f>IF(A392=0,"",IF(IF(COUNTIF(Sec_Fiber!$A$19:$A$1018,B392)&gt;0,TRUE,FALSE)=FALSE,VLOOKUP(B392,SecDB,3,FALSE),VLOOKUP(VLOOKUP(B392,SecFiberDB,2,FALSE),SecDB,3,FALSE)))</f>
        <v/>
      </c>
      <c r="D392" s="39" t="str">
        <f t="shared" si="5"/>
        <v/>
      </c>
    </row>
    <row r="393" spans="3:4" x14ac:dyDescent="0.25">
      <c r="C393" s="39" t="str">
        <f>IF(A393=0,"",IF(IF(COUNTIF(Sec_Fiber!$A$19:$A$1018,B393)&gt;0,TRUE,FALSE)=FALSE,VLOOKUP(B393,SecDB,3,FALSE),VLOOKUP(VLOOKUP(B393,SecFiberDB,2,FALSE),SecDB,3,FALSE)))</f>
        <v/>
      </c>
      <c r="D393" s="39" t="str">
        <f t="shared" ref="D393:D456" si="6">IF(A393=0,"","Aggregator")</f>
        <v/>
      </c>
    </row>
    <row r="394" spans="3:4" x14ac:dyDescent="0.25">
      <c r="C394" s="39" t="str">
        <f>IF(A394=0,"",IF(IF(COUNTIF(Sec_Fiber!$A$19:$A$1018,B394)&gt;0,TRUE,FALSE)=FALSE,VLOOKUP(B394,SecDB,3,FALSE),VLOOKUP(VLOOKUP(B394,SecFiberDB,2,FALSE),SecDB,3,FALSE)))</f>
        <v/>
      </c>
      <c r="D394" s="39" t="str">
        <f t="shared" si="6"/>
        <v/>
      </c>
    </row>
    <row r="395" spans="3:4" x14ac:dyDescent="0.25">
      <c r="C395" s="39" t="str">
        <f>IF(A395=0,"",IF(IF(COUNTIF(Sec_Fiber!$A$19:$A$1018,B395)&gt;0,TRUE,FALSE)=FALSE,VLOOKUP(B395,SecDB,3,FALSE),VLOOKUP(VLOOKUP(B395,SecFiberDB,2,FALSE),SecDB,3,FALSE)))</f>
        <v/>
      </c>
      <c r="D395" s="39" t="str">
        <f t="shared" si="6"/>
        <v/>
      </c>
    </row>
    <row r="396" spans="3:4" x14ac:dyDescent="0.25">
      <c r="C396" s="39" t="str">
        <f>IF(A396=0,"",IF(IF(COUNTIF(Sec_Fiber!$A$19:$A$1018,B396)&gt;0,TRUE,FALSE)=FALSE,VLOOKUP(B396,SecDB,3,FALSE),VLOOKUP(VLOOKUP(B396,SecFiberDB,2,FALSE),SecDB,3,FALSE)))</f>
        <v/>
      </c>
      <c r="D396" s="39" t="str">
        <f t="shared" si="6"/>
        <v/>
      </c>
    </row>
    <row r="397" spans="3:4" x14ac:dyDescent="0.25">
      <c r="C397" s="39" t="str">
        <f>IF(A397=0,"",IF(IF(COUNTIF(Sec_Fiber!$A$19:$A$1018,B397)&gt;0,TRUE,FALSE)=FALSE,VLOOKUP(B397,SecDB,3,FALSE),VLOOKUP(VLOOKUP(B397,SecFiberDB,2,FALSE),SecDB,3,FALSE)))</f>
        <v/>
      </c>
      <c r="D397" s="39" t="str">
        <f t="shared" si="6"/>
        <v/>
      </c>
    </row>
    <row r="398" spans="3:4" x14ac:dyDescent="0.25">
      <c r="C398" s="39" t="str">
        <f>IF(A398=0,"",IF(IF(COUNTIF(Sec_Fiber!$A$19:$A$1018,B398)&gt;0,TRUE,FALSE)=FALSE,VLOOKUP(B398,SecDB,3,FALSE),VLOOKUP(VLOOKUP(B398,SecFiberDB,2,FALSE),SecDB,3,FALSE)))</f>
        <v/>
      </c>
      <c r="D398" s="39" t="str">
        <f t="shared" si="6"/>
        <v/>
      </c>
    </row>
    <row r="399" spans="3:4" x14ac:dyDescent="0.25">
      <c r="C399" s="39" t="str">
        <f>IF(A399=0,"",IF(IF(COUNTIF(Sec_Fiber!$A$19:$A$1018,B399)&gt;0,TRUE,FALSE)=FALSE,VLOOKUP(B399,SecDB,3,FALSE),VLOOKUP(VLOOKUP(B399,SecFiberDB,2,FALSE),SecDB,3,FALSE)))</f>
        <v/>
      </c>
      <c r="D399" s="39" t="str">
        <f t="shared" si="6"/>
        <v/>
      </c>
    </row>
    <row r="400" spans="3:4" x14ac:dyDescent="0.25">
      <c r="C400" s="39" t="str">
        <f>IF(A400=0,"",IF(IF(COUNTIF(Sec_Fiber!$A$19:$A$1018,B400)&gt;0,TRUE,FALSE)=FALSE,VLOOKUP(B400,SecDB,3,FALSE),VLOOKUP(VLOOKUP(B400,SecFiberDB,2,FALSE),SecDB,3,FALSE)))</f>
        <v/>
      </c>
      <c r="D400" s="39" t="str">
        <f t="shared" si="6"/>
        <v/>
      </c>
    </row>
    <row r="401" spans="3:4" x14ac:dyDescent="0.25">
      <c r="C401" s="39" t="str">
        <f>IF(A401=0,"",IF(IF(COUNTIF(Sec_Fiber!$A$19:$A$1018,B401)&gt;0,TRUE,FALSE)=FALSE,VLOOKUP(B401,SecDB,3,FALSE),VLOOKUP(VLOOKUP(B401,SecFiberDB,2,FALSE),SecDB,3,FALSE)))</f>
        <v/>
      </c>
      <c r="D401" s="39" t="str">
        <f t="shared" si="6"/>
        <v/>
      </c>
    </row>
    <row r="402" spans="3:4" x14ac:dyDescent="0.25">
      <c r="C402" s="39" t="str">
        <f>IF(A402=0,"",IF(IF(COUNTIF(Sec_Fiber!$A$19:$A$1018,B402)&gt;0,TRUE,FALSE)=FALSE,VLOOKUP(B402,SecDB,3,FALSE),VLOOKUP(VLOOKUP(B402,SecFiberDB,2,FALSE),SecDB,3,FALSE)))</f>
        <v/>
      </c>
      <c r="D402" s="39" t="str">
        <f t="shared" si="6"/>
        <v/>
      </c>
    </row>
    <row r="403" spans="3:4" x14ac:dyDescent="0.25">
      <c r="C403" s="39" t="str">
        <f>IF(A403=0,"",IF(IF(COUNTIF(Sec_Fiber!$A$19:$A$1018,B403)&gt;0,TRUE,FALSE)=FALSE,VLOOKUP(B403,SecDB,3,FALSE),VLOOKUP(VLOOKUP(B403,SecFiberDB,2,FALSE),SecDB,3,FALSE)))</f>
        <v/>
      </c>
      <c r="D403" s="39" t="str">
        <f t="shared" si="6"/>
        <v/>
      </c>
    </row>
    <row r="404" spans="3:4" x14ac:dyDescent="0.25">
      <c r="C404" s="39" t="str">
        <f>IF(A404=0,"",IF(IF(COUNTIF(Sec_Fiber!$A$19:$A$1018,B404)&gt;0,TRUE,FALSE)=FALSE,VLOOKUP(B404,SecDB,3,FALSE),VLOOKUP(VLOOKUP(B404,SecFiberDB,2,FALSE),SecDB,3,FALSE)))</f>
        <v/>
      </c>
      <c r="D404" s="39" t="str">
        <f t="shared" si="6"/>
        <v/>
      </c>
    </row>
    <row r="405" spans="3:4" x14ac:dyDescent="0.25">
      <c r="C405" s="39" t="str">
        <f>IF(A405=0,"",IF(IF(COUNTIF(Sec_Fiber!$A$19:$A$1018,B405)&gt;0,TRUE,FALSE)=FALSE,VLOOKUP(B405,SecDB,3,FALSE),VLOOKUP(VLOOKUP(B405,SecFiberDB,2,FALSE),SecDB,3,FALSE)))</f>
        <v/>
      </c>
      <c r="D405" s="39" t="str">
        <f t="shared" si="6"/>
        <v/>
      </c>
    </row>
    <row r="406" spans="3:4" x14ac:dyDescent="0.25">
      <c r="C406" s="39" t="str">
        <f>IF(A406=0,"",IF(IF(COUNTIF(Sec_Fiber!$A$19:$A$1018,B406)&gt;0,TRUE,FALSE)=FALSE,VLOOKUP(B406,SecDB,3,FALSE),VLOOKUP(VLOOKUP(B406,SecFiberDB,2,FALSE),SecDB,3,FALSE)))</f>
        <v/>
      </c>
      <c r="D406" s="39" t="str">
        <f t="shared" si="6"/>
        <v/>
      </c>
    </row>
    <row r="407" spans="3:4" x14ac:dyDescent="0.25">
      <c r="C407" s="39" t="str">
        <f>IF(A407=0,"",IF(IF(COUNTIF(Sec_Fiber!$A$19:$A$1018,B407)&gt;0,TRUE,FALSE)=FALSE,VLOOKUP(B407,SecDB,3,FALSE),VLOOKUP(VLOOKUP(B407,SecFiberDB,2,FALSE),SecDB,3,FALSE)))</f>
        <v/>
      </c>
      <c r="D407" s="39" t="str">
        <f t="shared" si="6"/>
        <v/>
      </c>
    </row>
    <row r="408" spans="3:4" x14ac:dyDescent="0.25">
      <c r="C408" s="39" t="str">
        <f>IF(A408=0,"",IF(IF(COUNTIF(Sec_Fiber!$A$19:$A$1018,B408)&gt;0,TRUE,FALSE)=FALSE,VLOOKUP(B408,SecDB,3,FALSE),VLOOKUP(VLOOKUP(B408,SecFiberDB,2,FALSE),SecDB,3,FALSE)))</f>
        <v/>
      </c>
      <c r="D408" s="39" t="str">
        <f t="shared" si="6"/>
        <v/>
      </c>
    </row>
    <row r="409" spans="3:4" x14ac:dyDescent="0.25">
      <c r="C409" s="39" t="str">
        <f>IF(A409=0,"",IF(IF(COUNTIF(Sec_Fiber!$A$19:$A$1018,B409)&gt;0,TRUE,FALSE)=FALSE,VLOOKUP(B409,SecDB,3,FALSE),VLOOKUP(VLOOKUP(B409,SecFiberDB,2,FALSE),SecDB,3,FALSE)))</f>
        <v/>
      </c>
      <c r="D409" s="39" t="str">
        <f t="shared" si="6"/>
        <v/>
      </c>
    </row>
    <row r="410" spans="3:4" x14ac:dyDescent="0.25">
      <c r="C410" s="39" t="str">
        <f>IF(A410=0,"",IF(IF(COUNTIF(Sec_Fiber!$A$19:$A$1018,B410)&gt;0,TRUE,FALSE)=FALSE,VLOOKUP(B410,SecDB,3,FALSE),VLOOKUP(VLOOKUP(B410,SecFiberDB,2,FALSE),SecDB,3,FALSE)))</f>
        <v/>
      </c>
      <c r="D410" s="39" t="str">
        <f t="shared" si="6"/>
        <v/>
      </c>
    </row>
    <row r="411" spans="3:4" x14ac:dyDescent="0.25">
      <c r="C411" s="39" t="str">
        <f>IF(A411=0,"",IF(IF(COUNTIF(Sec_Fiber!$A$19:$A$1018,B411)&gt;0,TRUE,FALSE)=FALSE,VLOOKUP(B411,SecDB,3,FALSE),VLOOKUP(VLOOKUP(B411,SecFiberDB,2,FALSE),SecDB,3,FALSE)))</f>
        <v/>
      </c>
      <c r="D411" s="39" t="str">
        <f t="shared" si="6"/>
        <v/>
      </c>
    </row>
    <row r="412" spans="3:4" x14ac:dyDescent="0.25">
      <c r="C412" s="39" t="str">
        <f>IF(A412=0,"",IF(IF(COUNTIF(Sec_Fiber!$A$19:$A$1018,B412)&gt;0,TRUE,FALSE)=FALSE,VLOOKUP(B412,SecDB,3,FALSE),VLOOKUP(VLOOKUP(B412,SecFiberDB,2,FALSE),SecDB,3,FALSE)))</f>
        <v/>
      </c>
      <c r="D412" s="39" t="str">
        <f t="shared" si="6"/>
        <v/>
      </c>
    </row>
    <row r="413" spans="3:4" x14ac:dyDescent="0.25">
      <c r="C413" s="39" t="str">
        <f>IF(A413=0,"",IF(IF(COUNTIF(Sec_Fiber!$A$19:$A$1018,B413)&gt;0,TRUE,FALSE)=FALSE,VLOOKUP(B413,SecDB,3,FALSE),VLOOKUP(VLOOKUP(B413,SecFiberDB,2,FALSE),SecDB,3,FALSE)))</f>
        <v/>
      </c>
      <c r="D413" s="39" t="str">
        <f t="shared" si="6"/>
        <v/>
      </c>
    </row>
    <row r="414" spans="3:4" x14ac:dyDescent="0.25">
      <c r="C414" s="39" t="str">
        <f>IF(A414=0,"",IF(IF(COUNTIF(Sec_Fiber!$A$19:$A$1018,B414)&gt;0,TRUE,FALSE)=FALSE,VLOOKUP(B414,SecDB,3,FALSE),VLOOKUP(VLOOKUP(B414,SecFiberDB,2,FALSE),SecDB,3,FALSE)))</f>
        <v/>
      </c>
      <c r="D414" s="39" t="str">
        <f t="shared" si="6"/>
        <v/>
      </c>
    </row>
    <row r="415" spans="3:4" x14ac:dyDescent="0.25">
      <c r="C415" s="39" t="str">
        <f>IF(A415=0,"",IF(IF(COUNTIF(Sec_Fiber!$A$19:$A$1018,B415)&gt;0,TRUE,FALSE)=FALSE,VLOOKUP(B415,SecDB,3,FALSE),VLOOKUP(VLOOKUP(B415,SecFiberDB,2,FALSE),SecDB,3,FALSE)))</f>
        <v/>
      </c>
      <c r="D415" s="39" t="str">
        <f t="shared" si="6"/>
        <v/>
      </c>
    </row>
    <row r="416" spans="3:4" x14ac:dyDescent="0.25">
      <c r="C416" s="39" t="str">
        <f>IF(A416=0,"",IF(IF(COUNTIF(Sec_Fiber!$A$19:$A$1018,B416)&gt;0,TRUE,FALSE)=FALSE,VLOOKUP(B416,SecDB,3,FALSE),VLOOKUP(VLOOKUP(B416,SecFiberDB,2,FALSE),SecDB,3,FALSE)))</f>
        <v/>
      </c>
      <c r="D416" s="39" t="str">
        <f t="shared" si="6"/>
        <v/>
      </c>
    </row>
    <row r="417" spans="3:4" x14ac:dyDescent="0.25">
      <c r="C417" s="39" t="str">
        <f>IF(A417=0,"",IF(IF(COUNTIF(Sec_Fiber!$A$19:$A$1018,B417)&gt;0,TRUE,FALSE)=FALSE,VLOOKUP(B417,SecDB,3,FALSE),VLOOKUP(VLOOKUP(B417,SecFiberDB,2,FALSE),SecDB,3,FALSE)))</f>
        <v/>
      </c>
      <c r="D417" s="39" t="str">
        <f t="shared" si="6"/>
        <v/>
      </c>
    </row>
    <row r="418" spans="3:4" x14ac:dyDescent="0.25">
      <c r="C418" s="39" t="str">
        <f>IF(A418=0,"",IF(IF(COUNTIF(Sec_Fiber!$A$19:$A$1018,B418)&gt;0,TRUE,FALSE)=FALSE,VLOOKUP(B418,SecDB,3,FALSE),VLOOKUP(VLOOKUP(B418,SecFiberDB,2,FALSE),SecDB,3,FALSE)))</f>
        <v/>
      </c>
      <c r="D418" s="39" t="str">
        <f t="shared" si="6"/>
        <v/>
      </c>
    </row>
    <row r="419" spans="3:4" x14ac:dyDescent="0.25">
      <c r="C419" s="39" t="str">
        <f>IF(A419=0,"",IF(IF(COUNTIF(Sec_Fiber!$A$19:$A$1018,B419)&gt;0,TRUE,FALSE)=FALSE,VLOOKUP(B419,SecDB,3,FALSE),VLOOKUP(VLOOKUP(B419,SecFiberDB,2,FALSE),SecDB,3,FALSE)))</f>
        <v/>
      </c>
      <c r="D419" s="39" t="str">
        <f t="shared" si="6"/>
        <v/>
      </c>
    </row>
    <row r="420" spans="3:4" x14ac:dyDescent="0.25">
      <c r="C420" s="39" t="str">
        <f>IF(A420=0,"",IF(IF(COUNTIF(Sec_Fiber!$A$19:$A$1018,B420)&gt;0,TRUE,FALSE)=FALSE,VLOOKUP(B420,SecDB,3,FALSE),VLOOKUP(VLOOKUP(B420,SecFiberDB,2,FALSE),SecDB,3,FALSE)))</f>
        <v/>
      </c>
      <c r="D420" s="39" t="str">
        <f t="shared" si="6"/>
        <v/>
      </c>
    </row>
    <row r="421" spans="3:4" x14ac:dyDescent="0.25">
      <c r="C421" s="39" t="str">
        <f>IF(A421=0,"",IF(IF(COUNTIF(Sec_Fiber!$A$19:$A$1018,B421)&gt;0,TRUE,FALSE)=FALSE,VLOOKUP(B421,SecDB,3,FALSE),VLOOKUP(VLOOKUP(B421,SecFiberDB,2,FALSE),SecDB,3,FALSE)))</f>
        <v/>
      </c>
      <c r="D421" s="39" t="str">
        <f t="shared" si="6"/>
        <v/>
      </c>
    </row>
    <row r="422" spans="3:4" x14ac:dyDescent="0.25">
      <c r="C422" s="39" t="str">
        <f>IF(A422=0,"",IF(IF(COUNTIF(Sec_Fiber!$A$19:$A$1018,B422)&gt;0,TRUE,FALSE)=FALSE,VLOOKUP(B422,SecDB,3,FALSE),VLOOKUP(VLOOKUP(B422,SecFiberDB,2,FALSE),SecDB,3,FALSE)))</f>
        <v/>
      </c>
      <c r="D422" s="39" t="str">
        <f t="shared" si="6"/>
        <v/>
      </c>
    </row>
    <row r="423" spans="3:4" x14ac:dyDescent="0.25">
      <c r="C423" s="39" t="str">
        <f>IF(A423=0,"",IF(IF(COUNTIF(Sec_Fiber!$A$19:$A$1018,B423)&gt;0,TRUE,FALSE)=FALSE,VLOOKUP(B423,SecDB,3,FALSE),VLOOKUP(VLOOKUP(B423,SecFiberDB,2,FALSE),SecDB,3,FALSE)))</f>
        <v/>
      </c>
      <c r="D423" s="39" t="str">
        <f t="shared" si="6"/>
        <v/>
      </c>
    </row>
    <row r="424" spans="3:4" x14ac:dyDescent="0.25">
      <c r="C424" s="39" t="str">
        <f>IF(A424=0,"",IF(IF(COUNTIF(Sec_Fiber!$A$19:$A$1018,B424)&gt;0,TRUE,FALSE)=FALSE,VLOOKUP(B424,SecDB,3,FALSE),VLOOKUP(VLOOKUP(B424,SecFiberDB,2,FALSE),SecDB,3,FALSE)))</f>
        <v/>
      </c>
      <c r="D424" s="39" t="str">
        <f t="shared" si="6"/>
        <v/>
      </c>
    </row>
    <row r="425" spans="3:4" x14ac:dyDescent="0.25">
      <c r="C425" s="39" t="str">
        <f>IF(A425=0,"",IF(IF(COUNTIF(Sec_Fiber!$A$19:$A$1018,B425)&gt;0,TRUE,FALSE)=FALSE,VLOOKUP(B425,SecDB,3,FALSE),VLOOKUP(VLOOKUP(B425,SecFiberDB,2,FALSE),SecDB,3,FALSE)))</f>
        <v/>
      </c>
      <c r="D425" s="39" t="str">
        <f t="shared" si="6"/>
        <v/>
      </c>
    </row>
    <row r="426" spans="3:4" x14ac:dyDescent="0.25">
      <c r="C426" s="39" t="str">
        <f>IF(A426=0,"",IF(IF(COUNTIF(Sec_Fiber!$A$19:$A$1018,B426)&gt;0,TRUE,FALSE)=FALSE,VLOOKUP(B426,SecDB,3,FALSE),VLOOKUP(VLOOKUP(B426,SecFiberDB,2,FALSE),SecDB,3,FALSE)))</f>
        <v/>
      </c>
      <c r="D426" s="39" t="str">
        <f t="shared" si="6"/>
        <v/>
      </c>
    </row>
    <row r="427" spans="3:4" x14ac:dyDescent="0.25">
      <c r="C427" s="39" t="str">
        <f>IF(A427=0,"",IF(IF(COUNTIF(Sec_Fiber!$A$19:$A$1018,B427)&gt;0,TRUE,FALSE)=FALSE,VLOOKUP(B427,SecDB,3,FALSE),VLOOKUP(VLOOKUP(B427,SecFiberDB,2,FALSE),SecDB,3,FALSE)))</f>
        <v/>
      </c>
      <c r="D427" s="39" t="str">
        <f t="shared" si="6"/>
        <v/>
      </c>
    </row>
    <row r="428" spans="3:4" x14ac:dyDescent="0.25">
      <c r="C428" s="39" t="str">
        <f>IF(A428=0,"",IF(IF(COUNTIF(Sec_Fiber!$A$19:$A$1018,B428)&gt;0,TRUE,FALSE)=FALSE,VLOOKUP(B428,SecDB,3,FALSE),VLOOKUP(VLOOKUP(B428,SecFiberDB,2,FALSE),SecDB,3,FALSE)))</f>
        <v/>
      </c>
      <c r="D428" s="39" t="str">
        <f t="shared" si="6"/>
        <v/>
      </c>
    </row>
    <row r="429" spans="3:4" x14ac:dyDescent="0.25">
      <c r="C429" s="39" t="str">
        <f>IF(A429=0,"",IF(IF(COUNTIF(Sec_Fiber!$A$19:$A$1018,B429)&gt;0,TRUE,FALSE)=FALSE,VLOOKUP(B429,SecDB,3,FALSE),VLOOKUP(VLOOKUP(B429,SecFiberDB,2,FALSE),SecDB,3,FALSE)))</f>
        <v/>
      </c>
      <c r="D429" s="39" t="str">
        <f t="shared" si="6"/>
        <v/>
      </c>
    </row>
    <row r="430" spans="3:4" x14ac:dyDescent="0.25">
      <c r="C430" s="39" t="str">
        <f>IF(A430=0,"",IF(IF(COUNTIF(Sec_Fiber!$A$19:$A$1018,B430)&gt;0,TRUE,FALSE)=FALSE,VLOOKUP(B430,SecDB,3,FALSE),VLOOKUP(VLOOKUP(B430,SecFiberDB,2,FALSE),SecDB,3,FALSE)))</f>
        <v/>
      </c>
      <c r="D430" s="39" t="str">
        <f t="shared" si="6"/>
        <v/>
      </c>
    </row>
    <row r="431" spans="3:4" x14ac:dyDescent="0.25">
      <c r="C431" s="39" t="str">
        <f>IF(A431=0,"",IF(IF(COUNTIF(Sec_Fiber!$A$19:$A$1018,B431)&gt;0,TRUE,FALSE)=FALSE,VLOOKUP(B431,SecDB,3,FALSE),VLOOKUP(VLOOKUP(B431,SecFiberDB,2,FALSE),SecDB,3,FALSE)))</f>
        <v/>
      </c>
      <c r="D431" s="39" t="str">
        <f t="shared" si="6"/>
        <v/>
      </c>
    </row>
    <row r="432" spans="3:4" x14ac:dyDescent="0.25">
      <c r="C432" s="39" t="str">
        <f>IF(A432=0,"",IF(IF(COUNTIF(Sec_Fiber!$A$19:$A$1018,B432)&gt;0,TRUE,FALSE)=FALSE,VLOOKUP(B432,SecDB,3,FALSE),VLOOKUP(VLOOKUP(B432,SecFiberDB,2,FALSE),SecDB,3,FALSE)))</f>
        <v/>
      </c>
      <c r="D432" s="39" t="str">
        <f t="shared" si="6"/>
        <v/>
      </c>
    </row>
    <row r="433" spans="3:4" x14ac:dyDescent="0.25">
      <c r="C433" s="39" t="str">
        <f>IF(A433=0,"",IF(IF(COUNTIF(Sec_Fiber!$A$19:$A$1018,B433)&gt;0,TRUE,FALSE)=FALSE,VLOOKUP(B433,SecDB,3,FALSE),VLOOKUP(VLOOKUP(B433,SecFiberDB,2,FALSE),SecDB,3,FALSE)))</f>
        <v/>
      </c>
      <c r="D433" s="39" t="str">
        <f t="shared" si="6"/>
        <v/>
      </c>
    </row>
    <row r="434" spans="3:4" x14ac:dyDescent="0.25">
      <c r="C434" s="39" t="str">
        <f>IF(A434=0,"",IF(IF(COUNTIF(Sec_Fiber!$A$19:$A$1018,B434)&gt;0,TRUE,FALSE)=FALSE,VLOOKUP(B434,SecDB,3,FALSE),VLOOKUP(VLOOKUP(B434,SecFiberDB,2,FALSE),SecDB,3,FALSE)))</f>
        <v/>
      </c>
      <c r="D434" s="39" t="str">
        <f t="shared" si="6"/>
        <v/>
      </c>
    </row>
    <row r="435" spans="3:4" x14ac:dyDescent="0.25">
      <c r="C435" s="39" t="str">
        <f>IF(A435=0,"",IF(IF(COUNTIF(Sec_Fiber!$A$19:$A$1018,B435)&gt;0,TRUE,FALSE)=FALSE,VLOOKUP(B435,SecDB,3,FALSE),VLOOKUP(VLOOKUP(B435,SecFiberDB,2,FALSE),SecDB,3,FALSE)))</f>
        <v/>
      </c>
      <c r="D435" s="39" t="str">
        <f t="shared" si="6"/>
        <v/>
      </c>
    </row>
    <row r="436" spans="3:4" x14ac:dyDescent="0.25">
      <c r="C436" s="39" t="str">
        <f>IF(A436=0,"",IF(IF(COUNTIF(Sec_Fiber!$A$19:$A$1018,B436)&gt;0,TRUE,FALSE)=FALSE,VLOOKUP(B436,SecDB,3,FALSE),VLOOKUP(VLOOKUP(B436,SecFiberDB,2,FALSE),SecDB,3,FALSE)))</f>
        <v/>
      </c>
      <c r="D436" s="39" t="str">
        <f t="shared" si="6"/>
        <v/>
      </c>
    </row>
    <row r="437" spans="3:4" x14ac:dyDescent="0.25">
      <c r="C437" s="39" t="str">
        <f>IF(A437=0,"",IF(IF(COUNTIF(Sec_Fiber!$A$19:$A$1018,B437)&gt;0,TRUE,FALSE)=FALSE,VLOOKUP(B437,SecDB,3,FALSE),VLOOKUP(VLOOKUP(B437,SecFiberDB,2,FALSE),SecDB,3,FALSE)))</f>
        <v/>
      </c>
      <c r="D437" s="39" t="str">
        <f t="shared" si="6"/>
        <v/>
      </c>
    </row>
    <row r="438" spans="3:4" x14ac:dyDescent="0.25">
      <c r="C438" s="39" t="str">
        <f>IF(A438=0,"",IF(IF(COUNTIF(Sec_Fiber!$A$19:$A$1018,B438)&gt;0,TRUE,FALSE)=FALSE,VLOOKUP(B438,SecDB,3,FALSE),VLOOKUP(VLOOKUP(B438,SecFiberDB,2,FALSE),SecDB,3,FALSE)))</f>
        <v/>
      </c>
      <c r="D438" s="39" t="str">
        <f t="shared" si="6"/>
        <v/>
      </c>
    </row>
    <row r="439" spans="3:4" x14ac:dyDescent="0.25">
      <c r="C439" s="39" t="str">
        <f>IF(A439=0,"",IF(IF(COUNTIF(Sec_Fiber!$A$19:$A$1018,B439)&gt;0,TRUE,FALSE)=FALSE,VLOOKUP(B439,SecDB,3,FALSE),VLOOKUP(VLOOKUP(B439,SecFiberDB,2,FALSE),SecDB,3,FALSE)))</f>
        <v/>
      </c>
      <c r="D439" s="39" t="str">
        <f t="shared" si="6"/>
        <v/>
      </c>
    </row>
    <row r="440" spans="3:4" x14ac:dyDescent="0.25">
      <c r="C440" s="39" t="str">
        <f>IF(A440=0,"",IF(IF(COUNTIF(Sec_Fiber!$A$19:$A$1018,B440)&gt;0,TRUE,FALSE)=FALSE,VLOOKUP(B440,SecDB,3,FALSE),VLOOKUP(VLOOKUP(B440,SecFiberDB,2,FALSE),SecDB,3,FALSE)))</f>
        <v/>
      </c>
      <c r="D440" s="39" t="str">
        <f t="shared" si="6"/>
        <v/>
      </c>
    </row>
    <row r="441" spans="3:4" x14ac:dyDescent="0.25">
      <c r="C441" s="39" t="str">
        <f>IF(A441=0,"",IF(IF(COUNTIF(Sec_Fiber!$A$19:$A$1018,B441)&gt;0,TRUE,FALSE)=FALSE,VLOOKUP(B441,SecDB,3,FALSE),VLOOKUP(VLOOKUP(B441,SecFiberDB,2,FALSE),SecDB,3,FALSE)))</f>
        <v/>
      </c>
      <c r="D441" s="39" t="str">
        <f t="shared" si="6"/>
        <v/>
      </c>
    </row>
    <row r="442" spans="3:4" x14ac:dyDescent="0.25">
      <c r="C442" s="39" t="str">
        <f>IF(A442=0,"",IF(IF(COUNTIF(Sec_Fiber!$A$19:$A$1018,B442)&gt;0,TRUE,FALSE)=FALSE,VLOOKUP(B442,SecDB,3,FALSE),VLOOKUP(VLOOKUP(B442,SecFiberDB,2,FALSE),SecDB,3,FALSE)))</f>
        <v/>
      </c>
      <c r="D442" s="39" t="str">
        <f t="shared" si="6"/>
        <v/>
      </c>
    </row>
    <row r="443" spans="3:4" x14ac:dyDescent="0.25">
      <c r="C443" s="39" t="str">
        <f>IF(A443=0,"",IF(IF(COUNTIF(Sec_Fiber!$A$19:$A$1018,B443)&gt;0,TRUE,FALSE)=FALSE,VLOOKUP(B443,SecDB,3,FALSE),VLOOKUP(VLOOKUP(B443,SecFiberDB,2,FALSE),SecDB,3,FALSE)))</f>
        <v/>
      </c>
      <c r="D443" s="39" t="str">
        <f t="shared" si="6"/>
        <v/>
      </c>
    </row>
    <row r="444" spans="3:4" x14ac:dyDescent="0.25">
      <c r="C444" s="39" t="str">
        <f>IF(A444=0,"",IF(IF(COUNTIF(Sec_Fiber!$A$19:$A$1018,B444)&gt;0,TRUE,FALSE)=FALSE,VLOOKUP(B444,SecDB,3,FALSE),VLOOKUP(VLOOKUP(B444,SecFiberDB,2,FALSE),SecDB,3,FALSE)))</f>
        <v/>
      </c>
      <c r="D444" s="39" t="str">
        <f t="shared" si="6"/>
        <v/>
      </c>
    </row>
    <row r="445" spans="3:4" x14ac:dyDescent="0.25">
      <c r="C445" s="39" t="str">
        <f>IF(A445=0,"",IF(IF(COUNTIF(Sec_Fiber!$A$19:$A$1018,B445)&gt;0,TRUE,FALSE)=FALSE,VLOOKUP(B445,SecDB,3,FALSE),VLOOKUP(VLOOKUP(B445,SecFiberDB,2,FALSE),SecDB,3,FALSE)))</f>
        <v/>
      </c>
      <c r="D445" s="39" t="str">
        <f t="shared" si="6"/>
        <v/>
      </c>
    </row>
    <row r="446" spans="3:4" x14ac:dyDescent="0.25">
      <c r="C446" s="39" t="str">
        <f>IF(A446=0,"",IF(IF(COUNTIF(Sec_Fiber!$A$19:$A$1018,B446)&gt;0,TRUE,FALSE)=FALSE,VLOOKUP(B446,SecDB,3,FALSE),VLOOKUP(VLOOKUP(B446,SecFiberDB,2,FALSE),SecDB,3,FALSE)))</f>
        <v/>
      </c>
      <c r="D446" s="39" t="str">
        <f t="shared" si="6"/>
        <v/>
      </c>
    </row>
    <row r="447" spans="3:4" x14ac:dyDescent="0.25">
      <c r="C447" s="39" t="str">
        <f>IF(A447=0,"",IF(IF(COUNTIF(Sec_Fiber!$A$19:$A$1018,B447)&gt;0,TRUE,FALSE)=FALSE,VLOOKUP(B447,SecDB,3,FALSE),VLOOKUP(VLOOKUP(B447,SecFiberDB,2,FALSE),SecDB,3,FALSE)))</f>
        <v/>
      </c>
      <c r="D447" s="39" t="str">
        <f t="shared" si="6"/>
        <v/>
      </c>
    </row>
    <row r="448" spans="3:4" x14ac:dyDescent="0.25">
      <c r="C448" s="39" t="str">
        <f>IF(A448=0,"",IF(IF(COUNTIF(Sec_Fiber!$A$19:$A$1018,B448)&gt;0,TRUE,FALSE)=FALSE,VLOOKUP(B448,SecDB,3,FALSE),VLOOKUP(VLOOKUP(B448,SecFiberDB,2,FALSE),SecDB,3,FALSE)))</f>
        <v/>
      </c>
      <c r="D448" s="39" t="str">
        <f t="shared" si="6"/>
        <v/>
      </c>
    </row>
    <row r="449" spans="3:4" x14ac:dyDescent="0.25">
      <c r="C449" s="39" t="str">
        <f>IF(A449=0,"",IF(IF(COUNTIF(Sec_Fiber!$A$19:$A$1018,B449)&gt;0,TRUE,FALSE)=FALSE,VLOOKUP(B449,SecDB,3,FALSE),VLOOKUP(VLOOKUP(B449,SecFiberDB,2,FALSE),SecDB,3,FALSE)))</f>
        <v/>
      </c>
      <c r="D449" s="39" t="str">
        <f t="shared" si="6"/>
        <v/>
      </c>
    </row>
    <row r="450" spans="3:4" x14ac:dyDescent="0.25">
      <c r="C450" s="39" t="str">
        <f>IF(A450=0,"",IF(IF(COUNTIF(Sec_Fiber!$A$19:$A$1018,B450)&gt;0,TRUE,FALSE)=FALSE,VLOOKUP(B450,SecDB,3,FALSE),VLOOKUP(VLOOKUP(B450,SecFiberDB,2,FALSE),SecDB,3,FALSE)))</f>
        <v/>
      </c>
      <c r="D450" s="39" t="str">
        <f t="shared" si="6"/>
        <v/>
      </c>
    </row>
    <row r="451" spans="3:4" x14ac:dyDescent="0.25">
      <c r="C451" s="39" t="str">
        <f>IF(A451=0,"",IF(IF(COUNTIF(Sec_Fiber!$A$19:$A$1018,B451)&gt;0,TRUE,FALSE)=FALSE,VLOOKUP(B451,SecDB,3,FALSE),VLOOKUP(VLOOKUP(B451,SecFiberDB,2,FALSE),SecDB,3,FALSE)))</f>
        <v/>
      </c>
      <c r="D451" s="39" t="str">
        <f t="shared" si="6"/>
        <v/>
      </c>
    </row>
    <row r="452" spans="3:4" x14ac:dyDescent="0.25">
      <c r="C452" s="39" t="str">
        <f>IF(A452=0,"",IF(IF(COUNTIF(Sec_Fiber!$A$19:$A$1018,B452)&gt;0,TRUE,FALSE)=FALSE,VLOOKUP(B452,SecDB,3,FALSE),VLOOKUP(VLOOKUP(B452,SecFiberDB,2,FALSE),SecDB,3,FALSE)))</f>
        <v/>
      </c>
      <c r="D452" s="39" t="str">
        <f t="shared" si="6"/>
        <v/>
      </c>
    </row>
    <row r="453" spans="3:4" x14ac:dyDescent="0.25">
      <c r="C453" s="39" t="str">
        <f>IF(A453=0,"",IF(IF(COUNTIF(Sec_Fiber!$A$19:$A$1018,B453)&gt;0,TRUE,FALSE)=FALSE,VLOOKUP(B453,SecDB,3,FALSE),VLOOKUP(VLOOKUP(B453,SecFiberDB,2,FALSE),SecDB,3,FALSE)))</f>
        <v/>
      </c>
      <c r="D453" s="39" t="str">
        <f t="shared" si="6"/>
        <v/>
      </c>
    </row>
    <row r="454" spans="3:4" x14ac:dyDescent="0.25">
      <c r="C454" s="39" t="str">
        <f>IF(A454=0,"",IF(IF(COUNTIF(Sec_Fiber!$A$19:$A$1018,B454)&gt;0,TRUE,FALSE)=FALSE,VLOOKUP(B454,SecDB,3,FALSE),VLOOKUP(VLOOKUP(B454,SecFiberDB,2,FALSE),SecDB,3,FALSE)))</f>
        <v/>
      </c>
      <c r="D454" s="39" t="str">
        <f t="shared" si="6"/>
        <v/>
      </c>
    </row>
    <row r="455" spans="3:4" x14ac:dyDescent="0.25">
      <c r="C455" s="39" t="str">
        <f>IF(A455=0,"",IF(IF(COUNTIF(Sec_Fiber!$A$19:$A$1018,B455)&gt;0,TRUE,FALSE)=FALSE,VLOOKUP(B455,SecDB,3,FALSE),VLOOKUP(VLOOKUP(B455,SecFiberDB,2,FALSE),SecDB,3,FALSE)))</f>
        <v/>
      </c>
      <c r="D455" s="39" t="str">
        <f t="shared" si="6"/>
        <v/>
      </c>
    </row>
    <row r="456" spans="3:4" x14ac:dyDescent="0.25">
      <c r="C456" s="39" t="str">
        <f>IF(A456=0,"",IF(IF(COUNTIF(Sec_Fiber!$A$19:$A$1018,B456)&gt;0,TRUE,FALSE)=FALSE,VLOOKUP(B456,SecDB,3,FALSE),VLOOKUP(VLOOKUP(B456,SecFiberDB,2,FALSE),SecDB,3,FALSE)))</f>
        <v/>
      </c>
      <c r="D456" s="39" t="str">
        <f t="shared" si="6"/>
        <v/>
      </c>
    </row>
    <row r="457" spans="3:4" x14ac:dyDescent="0.25">
      <c r="C457" s="39" t="str">
        <f>IF(A457=0,"",IF(IF(COUNTIF(Sec_Fiber!$A$19:$A$1018,B457)&gt;0,TRUE,FALSE)=FALSE,VLOOKUP(B457,SecDB,3,FALSE),VLOOKUP(VLOOKUP(B457,SecFiberDB,2,FALSE),SecDB,3,FALSE)))</f>
        <v/>
      </c>
      <c r="D457" s="39" t="str">
        <f t="shared" ref="D457:D520" si="7">IF(A457=0,"","Aggregator")</f>
        <v/>
      </c>
    </row>
    <row r="458" spans="3:4" x14ac:dyDescent="0.25">
      <c r="C458" s="39" t="str">
        <f>IF(A458=0,"",IF(IF(COUNTIF(Sec_Fiber!$A$19:$A$1018,B458)&gt;0,TRUE,FALSE)=FALSE,VLOOKUP(B458,SecDB,3,FALSE),VLOOKUP(VLOOKUP(B458,SecFiberDB,2,FALSE),SecDB,3,FALSE)))</f>
        <v/>
      </c>
      <c r="D458" s="39" t="str">
        <f t="shared" si="7"/>
        <v/>
      </c>
    </row>
    <row r="459" spans="3:4" x14ac:dyDescent="0.25">
      <c r="C459" s="39" t="str">
        <f>IF(A459=0,"",IF(IF(COUNTIF(Sec_Fiber!$A$19:$A$1018,B459)&gt;0,TRUE,FALSE)=FALSE,VLOOKUP(B459,SecDB,3,FALSE),VLOOKUP(VLOOKUP(B459,SecFiberDB,2,FALSE),SecDB,3,FALSE)))</f>
        <v/>
      </c>
      <c r="D459" s="39" t="str">
        <f t="shared" si="7"/>
        <v/>
      </c>
    </row>
    <row r="460" spans="3:4" x14ac:dyDescent="0.25">
      <c r="C460" s="39" t="str">
        <f>IF(A460=0,"",IF(IF(COUNTIF(Sec_Fiber!$A$19:$A$1018,B460)&gt;0,TRUE,FALSE)=FALSE,VLOOKUP(B460,SecDB,3,FALSE),VLOOKUP(VLOOKUP(B460,SecFiberDB,2,FALSE),SecDB,3,FALSE)))</f>
        <v/>
      </c>
      <c r="D460" s="39" t="str">
        <f t="shared" si="7"/>
        <v/>
      </c>
    </row>
    <row r="461" spans="3:4" x14ac:dyDescent="0.25">
      <c r="C461" s="39" t="str">
        <f>IF(A461=0,"",IF(IF(COUNTIF(Sec_Fiber!$A$19:$A$1018,B461)&gt;0,TRUE,FALSE)=FALSE,VLOOKUP(B461,SecDB,3,FALSE),VLOOKUP(VLOOKUP(B461,SecFiberDB,2,FALSE),SecDB,3,FALSE)))</f>
        <v/>
      </c>
      <c r="D461" s="39" t="str">
        <f t="shared" si="7"/>
        <v/>
      </c>
    </row>
    <row r="462" spans="3:4" x14ac:dyDescent="0.25">
      <c r="C462" s="39" t="str">
        <f>IF(A462=0,"",IF(IF(COUNTIF(Sec_Fiber!$A$19:$A$1018,B462)&gt;0,TRUE,FALSE)=FALSE,VLOOKUP(B462,SecDB,3,FALSE),VLOOKUP(VLOOKUP(B462,SecFiberDB,2,FALSE),SecDB,3,FALSE)))</f>
        <v/>
      </c>
      <c r="D462" s="39" t="str">
        <f t="shared" si="7"/>
        <v/>
      </c>
    </row>
    <row r="463" spans="3:4" x14ac:dyDescent="0.25">
      <c r="C463" s="39" t="str">
        <f>IF(A463=0,"",IF(IF(COUNTIF(Sec_Fiber!$A$19:$A$1018,B463)&gt;0,TRUE,FALSE)=FALSE,VLOOKUP(B463,SecDB,3,FALSE),VLOOKUP(VLOOKUP(B463,SecFiberDB,2,FALSE),SecDB,3,FALSE)))</f>
        <v/>
      </c>
      <c r="D463" s="39" t="str">
        <f t="shared" si="7"/>
        <v/>
      </c>
    </row>
    <row r="464" spans="3:4" x14ac:dyDescent="0.25">
      <c r="C464" s="39" t="str">
        <f>IF(A464=0,"",IF(IF(COUNTIF(Sec_Fiber!$A$19:$A$1018,B464)&gt;0,TRUE,FALSE)=FALSE,VLOOKUP(B464,SecDB,3,FALSE),VLOOKUP(VLOOKUP(B464,SecFiberDB,2,FALSE),SecDB,3,FALSE)))</f>
        <v/>
      </c>
      <c r="D464" s="39" t="str">
        <f t="shared" si="7"/>
        <v/>
      </c>
    </row>
    <row r="465" spans="3:4" x14ac:dyDescent="0.25">
      <c r="C465" s="39" t="str">
        <f>IF(A465=0,"",IF(IF(COUNTIF(Sec_Fiber!$A$19:$A$1018,B465)&gt;0,TRUE,FALSE)=FALSE,VLOOKUP(B465,SecDB,3,FALSE),VLOOKUP(VLOOKUP(B465,SecFiberDB,2,FALSE),SecDB,3,FALSE)))</f>
        <v/>
      </c>
      <c r="D465" s="39" t="str">
        <f t="shared" si="7"/>
        <v/>
      </c>
    </row>
    <row r="466" spans="3:4" x14ac:dyDescent="0.25">
      <c r="C466" s="39" t="str">
        <f>IF(A466=0,"",IF(IF(COUNTIF(Sec_Fiber!$A$19:$A$1018,B466)&gt;0,TRUE,FALSE)=FALSE,VLOOKUP(B466,SecDB,3,FALSE),VLOOKUP(VLOOKUP(B466,SecFiberDB,2,FALSE),SecDB,3,FALSE)))</f>
        <v/>
      </c>
      <c r="D466" s="39" t="str">
        <f t="shared" si="7"/>
        <v/>
      </c>
    </row>
    <row r="467" spans="3:4" x14ac:dyDescent="0.25">
      <c r="C467" s="39" t="str">
        <f>IF(A467=0,"",IF(IF(COUNTIF(Sec_Fiber!$A$19:$A$1018,B467)&gt;0,TRUE,FALSE)=FALSE,VLOOKUP(B467,SecDB,3,FALSE),VLOOKUP(VLOOKUP(B467,SecFiberDB,2,FALSE),SecDB,3,FALSE)))</f>
        <v/>
      </c>
      <c r="D467" s="39" t="str">
        <f t="shared" si="7"/>
        <v/>
      </c>
    </row>
    <row r="468" spans="3:4" x14ac:dyDescent="0.25">
      <c r="C468" s="39" t="str">
        <f>IF(A468=0,"",IF(IF(COUNTIF(Sec_Fiber!$A$19:$A$1018,B468)&gt;0,TRUE,FALSE)=FALSE,VLOOKUP(B468,SecDB,3,FALSE),VLOOKUP(VLOOKUP(B468,SecFiberDB,2,FALSE),SecDB,3,FALSE)))</f>
        <v/>
      </c>
      <c r="D468" s="39" t="str">
        <f t="shared" si="7"/>
        <v/>
      </c>
    </row>
    <row r="469" spans="3:4" x14ac:dyDescent="0.25">
      <c r="C469" s="39" t="str">
        <f>IF(A469=0,"",IF(IF(COUNTIF(Sec_Fiber!$A$19:$A$1018,B469)&gt;0,TRUE,FALSE)=FALSE,VLOOKUP(B469,SecDB,3,FALSE),VLOOKUP(VLOOKUP(B469,SecFiberDB,2,FALSE),SecDB,3,FALSE)))</f>
        <v/>
      </c>
      <c r="D469" s="39" t="str">
        <f t="shared" si="7"/>
        <v/>
      </c>
    </row>
    <row r="470" spans="3:4" x14ac:dyDescent="0.25">
      <c r="C470" s="39" t="str">
        <f>IF(A470=0,"",IF(IF(COUNTIF(Sec_Fiber!$A$19:$A$1018,B470)&gt;0,TRUE,FALSE)=FALSE,VLOOKUP(B470,SecDB,3,FALSE),VLOOKUP(VLOOKUP(B470,SecFiberDB,2,FALSE),SecDB,3,FALSE)))</f>
        <v/>
      </c>
      <c r="D470" s="39" t="str">
        <f t="shared" si="7"/>
        <v/>
      </c>
    </row>
    <row r="471" spans="3:4" x14ac:dyDescent="0.25">
      <c r="C471" s="39" t="str">
        <f>IF(A471=0,"",IF(IF(COUNTIF(Sec_Fiber!$A$19:$A$1018,B471)&gt;0,TRUE,FALSE)=FALSE,VLOOKUP(B471,SecDB,3,FALSE),VLOOKUP(VLOOKUP(B471,SecFiberDB,2,FALSE),SecDB,3,FALSE)))</f>
        <v/>
      </c>
      <c r="D471" s="39" t="str">
        <f t="shared" si="7"/>
        <v/>
      </c>
    </row>
    <row r="472" spans="3:4" x14ac:dyDescent="0.25">
      <c r="C472" s="39" t="str">
        <f>IF(A472=0,"",IF(IF(COUNTIF(Sec_Fiber!$A$19:$A$1018,B472)&gt;0,TRUE,FALSE)=FALSE,VLOOKUP(B472,SecDB,3,FALSE),VLOOKUP(VLOOKUP(B472,SecFiberDB,2,FALSE),SecDB,3,FALSE)))</f>
        <v/>
      </c>
      <c r="D472" s="39" t="str">
        <f t="shared" si="7"/>
        <v/>
      </c>
    </row>
    <row r="473" spans="3:4" x14ac:dyDescent="0.25">
      <c r="C473" s="39" t="str">
        <f>IF(A473=0,"",IF(IF(COUNTIF(Sec_Fiber!$A$19:$A$1018,B473)&gt;0,TRUE,FALSE)=FALSE,VLOOKUP(B473,SecDB,3,FALSE),VLOOKUP(VLOOKUP(B473,SecFiberDB,2,FALSE),SecDB,3,FALSE)))</f>
        <v/>
      </c>
      <c r="D473" s="39" t="str">
        <f t="shared" si="7"/>
        <v/>
      </c>
    </row>
    <row r="474" spans="3:4" x14ac:dyDescent="0.25">
      <c r="C474" s="39" t="str">
        <f>IF(A474=0,"",IF(IF(COUNTIF(Sec_Fiber!$A$19:$A$1018,B474)&gt;0,TRUE,FALSE)=FALSE,VLOOKUP(B474,SecDB,3,FALSE),VLOOKUP(VLOOKUP(B474,SecFiberDB,2,FALSE),SecDB,3,FALSE)))</f>
        <v/>
      </c>
      <c r="D474" s="39" t="str">
        <f t="shared" si="7"/>
        <v/>
      </c>
    </row>
    <row r="475" spans="3:4" x14ac:dyDescent="0.25">
      <c r="C475" s="39" t="str">
        <f>IF(A475=0,"",IF(IF(COUNTIF(Sec_Fiber!$A$19:$A$1018,B475)&gt;0,TRUE,FALSE)=FALSE,VLOOKUP(B475,SecDB,3,FALSE),VLOOKUP(VLOOKUP(B475,SecFiberDB,2,FALSE),SecDB,3,FALSE)))</f>
        <v/>
      </c>
      <c r="D475" s="39" t="str">
        <f t="shared" si="7"/>
        <v/>
      </c>
    </row>
    <row r="476" spans="3:4" x14ac:dyDescent="0.25">
      <c r="C476" s="39" t="str">
        <f>IF(A476=0,"",IF(IF(COUNTIF(Sec_Fiber!$A$19:$A$1018,B476)&gt;0,TRUE,FALSE)=FALSE,VLOOKUP(B476,SecDB,3,FALSE),VLOOKUP(VLOOKUP(B476,SecFiberDB,2,FALSE),SecDB,3,FALSE)))</f>
        <v/>
      </c>
      <c r="D476" s="39" t="str">
        <f t="shared" si="7"/>
        <v/>
      </c>
    </row>
    <row r="477" spans="3:4" x14ac:dyDescent="0.25">
      <c r="C477" s="39" t="str">
        <f>IF(A477=0,"",IF(IF(COUNTIF(Sec_Fiber!$A$19:$A$1018,B477)&gt;0,TRUE,FALSE)=FALSE,VLOOKUP(B477,SecDB,3,FALSE),VLOOKUP(VLOOKUP(B477,SecFiberDB,2,FALSE),SecDB,3,FALSE)))</f>
        <v/>
      </c>
      <c r="D477" s="39" t="str">
        <f t="shared" si="7"/>
        <v/>
      </c>
    </row>
    <row r="478" spans="3:4" x14ac:dyDescent="0.25">
      <c r="C478" s="39" t="str">
        <f>IF(A478=0,"",IF(IF(COUNTIF(Sec_Fiber!$A$19:$A$1018,B478)&gt;0,TRUE,FALSE)=FALSE,VLOOKUP(B478,SecDB,3,FALSE),VLOOKUP(VLOOKUP(B478,SecFiberDB,2,FALSE),SecDB,3,FALSE)))</f>
        <v/>
      </c>
      <c r="D478" s="39" t="str">
        <f t="shared" si="7"/>
        <v/>
      </c>
    </row>
    <row r="479" spans="3:4" x14ac:dyDescent="0.25">
      <c r="C479" s="39" t="str">
        <f>IF(A479=0,"",IF(IF(COUNTIF(Sec_Fiber!$A$19:$A$1018,B479)&gt;0,TRUE,FALSE)=FALSE,VLOOKUP(B479,SecDB,3,FALSE),VLOOKUP(VLOOKUP(B479,SecFiberDB,2,FALSE),SecDB,3,FALSE)))</f>
        <v/>
      </c>
      <c r="D479" s="39" t="str">
        <f t="shared" si="7"/>
        <v/>
      </c>
    </row>
    <row r="480" spans="3:4" x14ac:dyDescent="0.25">
      <c r="C480" s="39" t="str">
        <f>IF(A480=0,"",IF(IF(COUNTIF(Sec_Fiber!$A$19:$A$1018,B480)&gt;0,TRUE,FALSE)=FALSE,VLOOKUP(B480,SecDB,3,FALSE),VLOOKUP(VLOOKUP(B480,SecFiberDB,2,FALSE),SecDB,3,FALSE)))</f>
        <v/>
      </c>
      <c r="D480" s="39" t="str">
        <f t="shared" si="7"/>
        <v/>
      </c>
    </row>
    <row r="481" spans="3:4" x14ac:dyDescent="0.25">
      <c r="C481" s="39" t="str">
        <f>IF(A481=0,"",IF(IF(COUNTIF(Sec_Fiber!$A$19:$A$1018,B481)&gt;0,TRUE,FALSE)=FALSE,VLOOKUP(B481,SecDB,3,FALSE),VLOOKUP(VLOOKUP(B481,SecFiberDB,2,FALSE),SecDB,3,FALSE)))</f>
        <v/>
      </c>
      <c r="D481" s="39" t="str">
        <f t="shared" si="7"/>
        <v/>
      </c>
    </row>
    <row r="482" spans="3:4" x14ac:dyDescent="0.25">
      <c r="C482" s="39" t="str">
        <f>IF(A482=0,"",IF(IF(COUNTIF(Sec_Fiber!$A$19:$A$1018,B482)&gt;0,TRUE,FALSE)=FALSE,VLOOKUP(B482,SecDB,3,FALSE),VLOOKUP(VLOOKUP(B482,SecFiberDB,2,FALSE),SecDB,3,FALSE)))</f>
        <v/>
      </c>
      <c r="D482" s="39" t="str">
        <f t="shared" si="7"/>
        <v/>
      </c>
    </row>
    <row r="483" spans="3:4" x14ac:dyDescent="0.25">
      <c r="C483" s="39" t="str">
        <f>IF(A483=0,"",IF(IF(COUNTIF(Sec_Fiber!$A$19:$A$1018,B483)&gt;0,TRUE,FALSE)=FALSE,VLOOKUP(B483,SecDB,3,FALSE),VLOOKUP(VLOOKUP(B483,SecFiberDB,2,FALSE),SecDB,3,FALSE)))</f>
        <v/>
      </c>
      <c r="D483" s="39" t="str">
        <f t="shared" si="7"/>
        <v/>
      </c>
    </row>
    <row r="484" spans="3:4" x14ac:dyDescent="0.25">
      <c r="C484" s="39" t="str">
        <f>IF(A484=0,"",IF(IF(COUNTIF(Sec_Fiber!$A$19:$A$1018,B484)&gt;0,TRUE,FALSE)=FALSE,VLOOKUP(B484,SecDB,3,FALSE),VLOOKUP(VLOOKUP(B484,SecFiberDB,2,FALSE),SecDB,3,FALSE)))</f>
        <v/>
      </c>
      <c r="D484" s="39" t="str">
        <f t="shared" si="7"/>
        <v/>
      </c>
    </row>
    <row r="485" spans="3:4" x14ac:dyDescent="0.25">
      <c r="C485" s="39" t="str">
        <f>IF(A485=0,"",IF(IF(COUNTIF(Sec_Fiber!$A$19:$A$1018,B485)&gt;0,TRUE,FALSE)=FALSE,VLOOKUP(B485,SecDB,3,FALSE),VLOOKUP(VLOOKUP(B485,SecFiberDB,2,FALSE),SecDB,3,FALSE)))</f>
        <v/>
      </c>
      <c r="D485" s="39" t="str">
        <f t="shared" si="7"/>
        <v/>
      </c>
    </row>
    <row r="486" spans="3:4" x14ac:dyDescent="0.25">
      <c r="C486" s="39" t="str">
        <f>IF(A486=0,"",IF(IF(COUNTIF(Sec_Fiber!$A$19:$A$1018,B486)&gt;0,TRUE,FALSE)=FALSE,VLOOKUP(B486,SecDB,3,FALSE),VLOOKUP(VLOOKUP(B486,SecFiberDB,2,FALSE),SecDB,3,FALSE)))</f>
        <v/>
      </c>
      <c r="D486" s="39" t="str">
        <f t="shared" si="7"/>
        <v/>
      </c>
    </row>
    <row r="487" spans="3:4" x14ac:dyDescent="0.25">
      <c r="C487" s="39" t="str">
        <f>IF(A487=0,"",IF(IF(COUNTIF(Sec_Fiber!$A$19:$A$1018,B487)&gt;0,TRUE,FALSE)=FALSE,VLOOKUP(B487,SecDB,3,FALSE),VLOOKUP(VLOOKUP(B487,SecFiberDB,2,FALSE),SecDB,3,FALSE)))</f>
        <v/>
      </c>
      <c r="D487" s="39" t="str">
        <f t="shared" si="7"/>
        <v/>
      </c>
    </row>
    <row r="488" spans="3:4" x14ac:dyDescent="0.25">
      <c r="C488" s="39" t="str">
        <f>IF(A488=0,"",IF(IF(COUNTIF(Sec_Fiber!$A$19:$A$1018,B488)&gt;0,TRUE,FALSE)=FALSE,VLOOKUP(B488,SecDB,3,FALSE),VLOOKUP(VLOOKUP(B488,SecFiberDB,2,FALSE),SecDB,3,FALSE)))</f>
        <v/>
      </c>
      <c r="D488" s="39" t="str">
        <f t="shared" si="7"/>
        <v/>
      </c>
    </row>
    <row r="489" spans="3:4" x14ac:dyDescent="0.25">
      <c r="C489" s="39" t="str">
        <f>IF(A489=0,"",IF(IF(COUNTIF(Sec_Fiber!$A$19:$A$1018,B489)&gt;0,TRUE,FALSE)=FALSE,VLOOKUP(B489,SecDB,3,FALSE),VLOOKUP(VLOOKUP(B489,SecFiberDB,2,FALSE),SecDB,3,FALSE)))</f>
        <v/>
      </c>
      <c r="D489" s="39" t="str">
        <f t="shared" si="7"/>
        <v/>
      </c>
    </row>
    <row r="490" spans="3:4" x14ac:dyDescent="0.25">
      <c r="C490" s="39" t="str">
        <f>IF(A490=0,"",IF(IF(COUNTIF(Sec_Fiber!$A$19:$A$1018,B490)&gt;0,TRUE,FALSE)=FALSE,VLOOKUP(B490,SecDB,3,FALSE),VLOOKUP(VLOOKUP(B490,SecFiberDB,2,FALSE),SecDB,3,FALSE)))</f>
        <v/>
      </c>
      <c r="D490" s="39" t="str">
        <f t="shared" si="7"/>
        <v/>
      </c>
    </row>
    <row r="491" spans="3:4" x14ac:dyDescent="0.25">
      <c r="C491" s="39" t="str">
        <f>IF(A491=0,"",IF(IF(COUNTIF(Sec_Fiber!$A$19:$A$1018,B491)&gt;0,TRUE,FALSE)=FALSE,VLOOKUP(B491,SecDB,3,FALSE),VLOOKUP(VLOOKUP(B491,SecFiberDB,2,FALSE),SecDB,3,FALSE)))</f>
        <v/>
      </c>
      <c r="D491" s="39" t="str">
        <f t="shared" si="7"/>
        <v/>
      </c>
    </row>
    <row r="492" spans="3:4" x14ac:dyDescent="0.25">
      <c r="C492" s="39" t="str">
        <f>IF(A492=0,"",IF(IF(COUNTIF(Sec_Fiber!$A$19:$A$1018,B492)&gt;0,TRUE,FALSE)=FALSE,VLOOKUP(B492,SecDB,3,FALSE),VLOOKUP(VLOOKUP(B492,SecFiberDB,2,FALSE),SecDB,3,FALSE)))</f>
        <v/>
      </c>
      <c r="D492" s="39" t="str">
        <f t="shared" si="7"/>
        <v/>
      </c>
    </row>
    <row r="493" spans="3:4" x14ac:dyDescent="0.25">
      <c r="C493" s="39" t="str">
        <f>IF(A493=0,"",IF(IF(COUNTIF(Sec_Fiber!$A$19:$A$1018,B493)&gt;0,TRUE,FALSE)=FALSE,VLOOKUP(B493,SecDB,3,FALSE),VLOOKUP(VLOOKUP(B493,SecFiberDB,2,FALSE),SecDB,3,FALSE)))</f>
        <v/>
      </c>
      <c r="D493" s="39" t="str">
        <f t="shared" si="7"/>
        <v/>
      </c>
    </row>
    <row r="494" spans="3:4" x14ac:dyDescent="0.25">
      <c r="C494" s="39" t="str">
        <f>IF(A494=0,"",IF(IF(COUNTIF(Sec_Fiber!$A$19:$A$1018,B494)&gt;0,TRUE,FALSE)=FALSE,VLOOKUP(B494,SecDB,3,FALSE),VLOOKUP(VLOOKUP(B494,SecFiberDB,2,FALSE),SecDB,3,FALSE)))</f>
        <v/>
      </c>
      <c r="D494" s="39" t="str">
        <f t="shared" si="7"/>
        <v/>
      </c>
    </row>
    <row r="495" spans="3:4" x14ac:dyDescent="0.25">
      <c r="C495" s="39" t="str">
        <f>IF(A495=0,"",IF(IF(COUNTIF(Sec_Fiber!$A$19:$A$1018,B495)&gt;0,TRUE,FALSE)=FALSE,VLOOKUP(B495,SecDB,3,FALSE),VLOOKUP(VLOOKUP(B495,SecFiberDB,2,FALSE),SecDB,3,FALSE)))</f>
        <v/>
      </c>
      <c r="D495" s="39" t="str">
        <f t="shared" si="7"/>
        <v/>
      </c>
    </row>
    <row r="496" spans="3:4" x14ac:dyDescent="0.25">
      <c r="C496" s="39" t="str">
        <f>IF(A496=0,"",IF(IF(COUNTIF(Sec_Fiber!$A$19:$A$1018,B496)&gt;0,TRUE,FALSE)=FALSE,VLOOKUP(B496,SecDB,3,FALSE),VLOOKUP(VLOOKUP(B496,SecFiberDB,2,FALSE),SecDB,3,FALSE)))</f>
        <v/>
      </c>
      <c r="D496" s="39" t="str">
        <f t="shared" si="7"/>
        <v/>
      </c>
    </row>
    <row r="497" spans="3:4" x14ac:dyDescent="0.25">
      <c r="C497" s="39" t="str">
        <f>IF(A497=0,"",IF(IF(COUNTIF(Sec_Fiber!$A$19:$A$1018,B497)&gt;0,TRUE,FALSE)=FALSE,VLOOKUP(B497,SecDB,3,FALSE),VLOOKUP(VLOOKUP(B497,SecFiberDB,2,FALSE),SecDB,3,FALSE)))</f>
        <v/>
      </c>
      <c r="D497" s="39" t="str">
        <f t="shared" si="7"/>
        <v/>
      </c>
    </row>
    <row r="498" spans="3:4" x14ac:dyDescent="0.25">
      <c r="C498" s="39" t="str">
        <f>IF(A498=0,"",IF(IF(COUNTIF(Sec_Fiber!$A$19:$A$1018,B498)&gt;0,TRUE,FALSE)=FALSE,VLOOKUP(B498,SecDB,3,FALSE),VLOOKUP(VLOOKUP(B498,SecFiberDB,2,FALSE),SecDB,3,FALSE)))</f>
        <v/>
      </c>
      <c r="D498" s="39" t="str">
        <f t="shared" si="7"/>
        <v/>
      </c>
    </row>
    <row r="499" spans="3:4" x14ac:dyDescent="0.25">
      <c r="C499" s="39" t="str">
        <f>IF(A499=0,"",IF(IF(COUNTIF(Sec_Fiber!$A$19:$A$1018,B499)&gt;0,TRUE,FALSE)=FALSE,VLOOKUP(B499,SecDB,3,FALSE),VLOOKUP(VLOOKUP(B499,SecFiberDB,2,FALSE),SecDB,3,FALSE)))</f>
        <v/>
      </c>
      <c r="D499" s="39" t="str">
        <f t="shared" si="7"/>
        <v/>
      </c>
    </row>
    <row r="500" spans="3:4" x14ac:dyDescent="0.25">
      <c r="C500" s="39" t="str">
        <f>IF(A500=0,"",IF(IF(COUNTIF(Sec_Fiber!$A$19:$A$1018,B500)&gt;0,TRUE,FALSE)=FALSE,VLOOKUP(B500,SecDB,3,FALSE),VLOOKUP(VLOOKUP(B500,SecFiberDB,2,FALSE),SecDB,3,FALSE)))</f>
        <v/>
      </c>
      <c r="D500" s="39" t="str">
        <f t="shared" si="7"/>
        <v/>
      </c>
    </row>
    <row r="501" spans="3:4" x14ac:dyDescent="0.25">
      <c r="C501" s="39" t="str">
        <f>IF(A501=0,"",IF(IF(COUNTIF(Sec_Fiber!$A$19:$A$1018,B501)&gt;0,TRUE,FALSE)=FALSE,VLOOKUP(B501,SecDB,3,FALSE),VLOOKUP(VLOOKUP(B501,SecFiberDB,2,FALSE),SecDB,3,FALSE)))</f>
        <v/>
      </c>
      <c r="D501" s="39" t="str">
        <f t="shared" si="7"/>
        <v/>
      </c>
    </row>
    <row r="502" spans="3:4" x14ac:dyDescent="0.25">
      <c r="C502" s="39" t="str">
        <f>IF(A502=0,"",IF(IF(COUNTIF(Sec_Fiber!$A$19:$A$1018,B502)&gt;0,TRUE,FALSE)=FALSE,VLOOKUP(B502,SecDB,3,FALSE),VLOOKUP(VLOOKUP(B502,SecFiberDB,2,FALSE),SecDB,3,FALSE)))</f>
        <v/>
      </c>
      <c r="D502" s="39" t="str">
        <f t="shared" si="7"/>
        <v/>
      </c>
    </row>
    <row r="503" spans="3:4" x14ac:dyDescent="0.25">
      <c r="C503" s="39" t="str">
        <f>IF(A503=0,"",IF(IF(COUNTIF(Sec_Fiber!$A$19:$A$1018,B503)&gt;0,TRUE,FALSE)=FALSE,VLOOKUP(B503,SecDB,3,FALSE),VLOOKUP(VLOOKUP(B503,SecFiberDB,2,FALSE),SecDB,3,FALSE)))</f>
        <v/>
      </c>
      <c r="D503" s="39" t="str">
        <f t="shared" si="7"/>
        <v/>
      </c>
    </row>
    <row r="504" spans="3:4" x14ac:dyDescent="0.25">
      <c r="C504" s="39" t="str">
        <f>IF(A504=0,"",IF(IF(COUNTIF(Sec_Fiber!$A$19:$A$1018,B504)&gt;0,TRUE,FALSE)=FALSE,VLOOKUP(B504,SecDB,3,FALSE),VLOOKUP(VLOOKUP(B504,SecFiberDB,2,FALSE),SecDB,3,FALSE)))</f>
        <v/>
      </c>
      <c r="D504" s="39" t="str">
        <f t="shared" si="7"/>
        <v/>
      </c>
    </row>
    <row r="505" spans="3:4" x14ac:dyDescent="0.25">
      <c r="C505" s="39" t="str">
        <f>IF(A505=0,"",IF(IF(COUNTIF(Sec_Fiber!$A$19:$A$1018,B505)&gt;0,TRUE,FALSE)=FALSE,VLOOKUP(B505,SecDB,3,FALSE),VLOOKUP(VLOOKUP(B505,SecFiberDB,2,FALSE),SecDB,3,FALSE)))</f>
        <v/>
      </c>
      <c r="D505" s="39" t="str">
        <f t="shared" si="7"/>
        <v/>
      </c>
    </row>
    <row r="506" spans="3:4" x14ac:dyDescent="0.25">
      <c r="C506" s="39" t="str">
        <f>IF(A506=0,"",IF(IF(COUNTIF(Sec_Fiber!$A$19:$A$1018,B506)&gt;0,TRUE,FALSE)=FALSE,VLOOKUP(B506,SecDB,3,FALSE),VLOOKUP(VLOOKUP(B506,SecFiberDB,2,FALSE),SecDB,3,FALSE)))</f>
        <v/>
      </c>
      <c r="D506" s="39" t="str">
        <f t="shared" si="7"/>
        <v/>
      </c>
    </row>
    <row r="507" spans="3:4" x14ac:dyDescent="0.25">
      <c r="C507" s="39" t="str">
        <f>IF(A507=0,"",IF(IF(COUNTIF(Sec_Fiber!$A$19:$A$1018,B507)&gt;0,TRUE,FALSE)=FALSE,VLOOKUP(B507,SecDB,3,FALSE),VLOOKUP(VLOOKUP(B507,SecFiberDB,2,FALSE),SecDB,3,FALSE)))</f>
        <v/>
      </c>
      <c r="D507" s="39" t="str">
        <f t="shared" si="7"/>
        <v/>
      </c>
    </row>
    <row r="508" spans="3:4" x14ac:dyDescent="0.25">
      <c r="C508" s="39" t="str">
        <f>IF(A508=0,"",IF(IF(COUNTIF(Sec_Fiber!$A$19:$A$1018,B508)&gt;0,TRUE,FALSE)=FALSE,VLOOKUP(B508,SecDB,3,FALSE),VLOOKUP(VLOOKUP(B508,SecFiberDB,2,FALSE),SecDB,3,FALSE)))</f>
        <v/>
      </c>
      <c r="D508" s="39" t="str">
        <f t="shared" si="7"/>
        <v/>
      </c>
    </row>
    <row r="509" spans="3:4" x14ac:dyDescent="0.25">
      <c r="C509" s="39" t="str">
        <f>IF(A509=0,"",IF(IF(COUNTIF(Sec_Fiber!$A$19:$A$1018,B509)&gt;0,TRUE,FALSE)=FALSE,VLOOKUP(B509,SecDB,3,FALSE),VLOOKUP(VLOOKUP(B509,SecFiberDB,2,FALSE),SecDB,3,FALSE)))</f>
        <v/>
      </c>
      <c r="D509" s="39" t="str">
        <f t="shared" si="7"/>
        <v/>
      </c>
    </row>
    <row r="510" spans="3:4" x14ac:dyDescent="0.25">
      <c r="C510" s="39" t="str">
        <f>IF(A510=0,"",IF(IF(COUNTIF(Sec_Fiber!$A$19:$A$1018,B510)&gt;0,TRUE,FALSE)=FALSE,VLOOKUP(B510,SecDB,3,FALSE),VLOOKUP(VLOOKUP(B510,SecFiberDB,2,FALSE),SecDB,3,FALSE)))</f>
        <v/>
      </c>
      <c r="D510" s="39" t="str">
        <f t="shared" si="7"/>
        <v/>
      </c>
    </row>
    <row r="511" spans="3:4" x14ac:dyDescent="0.25">
      <c r="C511" s="39" t="str">
        <f>IF(A511=0,"",IF(IF(COUNTIF(Sec_Fiber!$A$19:$A$1018,B511)&gt;0,TRUE,FALSE)=FALSE,VLOOKUP(B511,SecDB,3,FALSE),VLOOKUP(VLOOKUP(B511,SecFiberDB,2,FALSE),SecDB,3,FALSE)))</f>
        <v/>
      </c>
      <c r="D511" s="39" t="str">
        <f t="shared" si="7"/>
        <v/>
      </c>
    </row>
    <row r="512" spans="3:4" x14ac:dyDescent="0.25">
      <c r="C512" s="39" t="str">
        <f>IF(A512=0,"",IF(IF(COUNTIF(Sec_Fiber!$A$19:$A$1018,B512)&gt;0,TRUE,FALSE)=FALSE,VLOOKUP(B512,SecDB,3,FALSE),VLOOKUP(VLOOKUP(B512,SecFiberDB,2,FALSE),SecDB,3,FALSE)))</f>
        <v/>
      </c>
      <c r="D512" s="39" t="str">
        <f t="shared" si="7"/>
        <v/>
      </c>
    </row>
    <row r="513" spans="3:4" x14ac:dyDescent="0.25">
      <c r="C513" s="39" t="str">
        <f>IF(A513=0,"",IF(IF(COUNTIF(Sec_Fiber!$A$19:$A$1018,B513)&gt;0,TRUE,FALSE)=FALSE,VLOOKUP(B513,SecDB,3,FALSE),VLOOKUP(VLOOKUP(B513,SecFiberDB,2,FALSE),SecDB,3,FALSE)))</f>
        <v/>
      </c>
      <c r="D513" s="39" t="str">
        <f t="shared" si="7"/>
        <v/>
      </c>
    </row>
    <row r="514" spans="3:4" x14ac:dyDescent="0.25">
      <c r="C514" s="39" t="str">
        <f>IF(A514=0,"",IF(IF(COUNTIF(Sec_Fiber!$A$19:$A$1018,B514)&gt;0,TRUE,FALSE)=FALSE,VLOOKUP(B514,SecDB,3,FALSE),VLOOKUP(VLOOKUP(B514,SecFiberDB,2,FALSE),SecDB,3,FALSE)))</f>
        <v/>
      </c>
      <c r="D514" s="39" t="str">
        <f t="shared" si="7"/>
        <v/>
      </c>
    </row>
    <row r="515" spans="3:4" x14ac:dyDescent="0.25">
      <c r="C515" s="39" t="str">
        <f>IF(A515=0,"",IF(IF(COUNTIF(Sec_Fiber!$A$19:$A$1018,B515)&gt;0,TRUE,FALSE)=FALSE,VLOOKUP(B515,SecDB,3,FALSE),VLOOKUP(VLOOKUP(B515,SecFiberDB,2,FALSE),SecDB,3,FALSE)))</f>
        <v/>
      </c>
      <c r="D515" s="39" t="str">
        <f t="shared" si="7"/>
        <v/>
      </c>
    </row>
    <row r="516" spans="3:4" x14ac:dyDescent="0.25">
      <c r="C516" s="39" t="str">
        <f>IF(A516=0,"",IF(IF(COUNTIF(Sec_Fiber!$A$19:$A$1018,B516)&gt;0,TRUE,FALSE)=FALSE,VLOOKUP(B516,SecDB,3,FALSE),VLOOKUP(VLOOKUP(B516,SecFiberDB,2,FALSE),SecDB,3,FALSE)))</f>
        <v/>
      </c>
      <c r="D516" s="39" t="str">
        <f t="shared" si="7"/>
        <v/>
      </c>
    </row>
    <row r="517" spans="3:4" x14ac:dyDescent="0.25">
      <c r="C517" s="39" t="str">
        <f>IF(A517=0,"",IF(IF(COUNTIF(Sec_Fiber!$A$19:$A$1018,B517)&gt;0,TRUE,FALSE)=FALSE,VLOOKUP(B517,SecDB,3,FALSE),VLOOKUP(VLOOKUP(B517,SecFiberDB,2,FALSE),SecDB,3,FALSE)))</f>
        <v/>
      </c>
      <c r="D517" s="39" t="str">
        <f t="shared" si="7"/>
        <v/>
      </c>
    </row>
    <row r="518" spans="3:4" x14ac:dyDescent="0.25">
      <c r="C518" s="39" t="str">
        <f>IF(A518=0,"",IF(IF(COUNTIF(Sec_Fiber!$A$19:$A$1018,B518)&gt;0,TRUE,FALSE)=FALSE,VLOOKUP(B518,SecDB,3,FALSE),VLOOKUP(VLOOKUP(B518,SecFiberDB,2,FALSE),SecDB,3,FALSE)))</f>
        <v/>
      </c>
      <c r="D518" s="39" t="str">
        <f t="shared" si="7"/>
        <v/>
      </c>
    </row>
    <row r="519" spans="3:4" x14ac:dyDescent="0.25">
      <c r="C519" s="39" t="str">
        <f>IF(A519=0,"",IF(IF(COUNTIF(Sec_Fiber!$A$19:$A$1018,B519)&gt;0,TRUE,FALSE)=FALSE,VLOOKUP(B519,SecDB,3,FALSE),VLOOKUP(VLOOKUP(B519,SecFiberDB,2,FALSE),SecDB,3,FALSE)))</f>
        <v/>
      </c>
      <c r="D519" s="39" t="str">
        <f t="shared" si="7"/>
        <v/>
      </c>
    </row>
    <row r="520" spans="3:4" x14ac:dyDescent="0.25">
      <c r="C520" s="39" t="str">
        <f>IF(A520=0,"",IF(IF(COUNTIF(Sec_Fiber!$A$19:$A$1018,B520)&gt;0,TRUE,FALSE)=FALSE,VLOOKUP(B520,SecDB,3,FALSE),VLOOKUP(VLOOKUP(B520,SecFiberDB,2,FALSE),SecDB,3,FALSE)))</f>
        <v/>
      </c>
      <c r="D520" s="39" t="str">
        <f t="shared" si="7"/>
        <v/>
      </c>
    </row>
    <row r="521" spans="3:4" x14ac:dyDescent="0.25">
      <c r="C521" s="39" t="str">
        <f>IF(A521=0,"",IF(IF(COUNTIF(Sec_Fiber!$A$19:$A$1018,B521)&gt;0,TRUE,FALSE)=FALSE,VLOOKUP(B521,SecDB,3,FALSE),VLOOKUP(VLOOKUP(B521,SecFiberDB,2,FALSE),SecDB,3,FALSE)))</f>
        <v/>
      </c>
      <c r="D521" s="39" t="str">
        <f t="shared" ref="D521:D584" si="8">IF(A521=0,"","Aggregator")</f>
        <v/>
      </c>
    </row>
    <row r="522" spans="3:4" x14ac:dyDescent="0.25">
      <c r="C522" s="39" t="str">
        <f>IF(A522=0,"",IF(IF(COUNTIF(Sec_Fiber!$A$19:$A$1018,B522)&gt;0,TRUE,FALSE)=FALSE,VLOOKUP(B522,SecDB,3,FALSE),VLOOKUP(VLOOKUP(B522,SecFiberDB,2,FALSE),SecDB,3,FALSE)))</f>
        <v/>
      </c>
      <c r="D522" s="39" t="str">
        <f t="shared" si="8"/>
        <v/>
      </c>
    </row>
    <row r="523" spans="3:4" x14ac:dyDescent="0.25">
      <c r="C523" s="39" t="str">
        <f>IF(A523=0,"",IF(IF(COUNTIF(Sec_Fiber!$A$19:$A$1018,B523)&gt;0,TRUE,FALSE)=FALSE,VLOOKUP(B523,SecDB,3,FALSE),VLOOKUP(VLOOKUP(B523,SecFiberDB,2,FALSE),SecDB,3,FALSE)))</f>
        <v/>
      </c>
      <c r="D523" s="39" t="str">
        <f t="shared" si="8"/>
        <v/>
      </c>
    </row>
    <row r="524" spans="3:4" x14ac:dyDescent="0.25">
      <c r="C524" s="39" t="str">
        <f>IF(A524=0,"",IF(IF(COUNTIF(Sec_Fiber!$A$19:$A$1018,B524)&gt;0,TRUE,FALSE)=FALSE,VLOOKUP(B524,SecDB,3,FALSE),VLOOKUP(VLOOKUP(B524,SecFiberDB,2,FALSE),SecDB,3,FALSE)))</f>
        <v/>
      </c>
      <c r="D524" s="39" t="str">
        <f t="shared" si="8"/>
        <v/>
      </c>
    </row>
    <row r="525" spans="3:4" x14ac:dyDescent="0.25">
      <c r="C525" s="39" t="str">
        <f>IF(A525=0,"",IF(IF(COUNTIF(Sec_Fiber!$A$19:$A$1018,B525)&gt;0,TRUE,FALSE)=FALSE,VLOOKUP(B525,SecDB,3,FALSE),VLOOKUP(VLOOKUP(B525,SecFiberDB,2,FALSE),SecDB,3,FALSE)))</f>
        <v/>
      </c>
      <c r="D525" s="39" t="str">
        <f t="shared" si="8"/>
        <v/>
      </c>
    </row>
    <row r="526" spans="3:4" x14ac:dyDescent="0.25">
      <c r="C526" s="39" t="str">
        <f>IF(A526=0,"",IF(IF(COUNTIF(Sec_Fiber!$A$19:$A$1018,B526)&gt;0,TRUE,FALSE)=FALSE,VLOOKUP(B526,SecDB,3,FALSE),VLOOKUP(VLOOKUP(B526,SecFiberDB,2,FALSE),SecDB,3,FALSE)))</f>
        <v/>
      </c>
      <c r="D526" s="39" t="str">
        <f t="shared" si="8"/>
        <v/>
      </c>
    </row>
    <row r="527" spans="3:4" x14ac:dyDescent="0.25">
      <c r="C527" s="39" t="str">
        <f>IF(A527=0,"",IF(IF(COUNTIF(Sec_Fiber!$A$19:$A$1018,B527)&gt;0,TRUE,FALSE)=FALSE,VLOOKUP(B527,SecDB,3,FALSE),VLOOKUP(VLOOKUP(B527,SecFiberDB,2,FALSE),SecDB,3,FALSE)))</f>
        <v/>
      </c>
      <c r="D527" s="39" t="str">
        <f t="shared" si="8"/>
        <v/>
      </c>
    </row>
    <row r="528" spans="3:4" x14ac:dyDescent="0.25">
      <c r="C528" s="39" t="str">
        <f>IF(A528=0,"",IF(IF(COUNTIF(Sec_Fiber!$A$19:$A$1018,B528)&gt;0,TRUE,FALSE)=FALSE,VLOOKUP(B528,SecDB,3,FALSE),VLOOKUP(VLOOKUP(B528,SecFiberDB,2,FALSE),SecDB,3,FALSE)))</f>
        <v/>
      </c>
      <c r="D528" s="39" t="str">
        <f t="shared" si="8"/>
        <v/>
      </c>
    </row>
    <row r="529" spans="3:4" x14ac:dyDescent="0.25">
      <c r="C529" s="39" t="str">
        <f>IF(A529=0,"",IF(IF(COUNTIF(Sec_Fiber!$A$19:$A$1018,B529)&gt;0,TRUE,FALSE)=FALSE,VLOOKUP(B529,SecDB,3,FALSE),VLOOKUP(VLOOKUP(B529,SecFiberDB,2,FALSE),SecDB,3,FALSE)))</f>
        <v/>
      </c>
      <c r="D529" s="39" t="str">
        <f t="shared" si="8"/>
        <v/>
      </c>
    </row>
    <row r="530" spans="3:4" x14ac:dyDescent="0.25">
      <c r="C530" s="39" t="str">
        <f>IF(A530=0,"",IF(IF(COUNTIF(Sec_Fiber!$A$19:$A$1018,B530)&gt;0,TRUE,FALSE)=FALSE,VLOOKUP(B530,SecDB,3,FALSE),VLOOKUP(VLOOKUP(B530,SecFiberDB,2,FALSE),SecDB,3,FALSE)))</f>
        <v/>
      </c>
      <c r="D530" s="39" t="str">
        <f t="shared" si="8"/>
        <v/>
      </c>
    </row>
    <row r="531" spans="3:4" x14ac:dyDescent="0.25">
      <c r="C531" s="39" t="str">
        <f>IF(A531=0,"",IF(IF(COUNTIF(Sec_Fiber!$A$19:$A$1018,B531)&gt;0,TRUE,FALSE)=FALSE,VLOOKUP(B531,SecDB,3,FALSE),VLOOKUP(VLOOKUP(B531,SecFiberDB,2,FALSE),SecDB,3,FALSE)))</f>
        <v/>
      </c>
      <c r="D531" s="39" t="str">
        <f t="shared" si="8"/>
        <v/>
      </c>
    </row>
    <row r="532" spans="3:4" x14ac:dyDescent="0.25">
      <c r="C532" s="39" t="str">
        <f>IF(A532=0,"",IF(IF(COUNTIF(Sec_Fiber!$A$19:$A$1018,B532)&gt;0,TRUE,FALSE)=FALSE,VLOOKUP(B532,SecDB,3,FALSE),VLOOKUP(VLOOKUP(B532,SecFiberDB,2,FALSE),SecDB,3,FALSE)))</f>
        <v/>
      </c>
      <c r="D532" s="39" t="str">
        <f t="shared" si="8"/>
        <v/>
      </c>
    </row>
    <row r="533" spans="3:4" x14ac:dyDescent="0.25">
      <c r="C533" s="39" t="str">
        <f>IF(A533=0,"",IF(IF(COUNTIF(Sec_Fiber!$A$19:$A$1018,B533)&gt;0,TRUE,FALSE)=FALSE,VLOOKUP(B533,SecDB,3,FALSE),VLOOKUP(VLOOKUP(B533,SecFiberDB,2,FALSE),SecDB,3,FALSE)))</f>
        <v/>
      </c>
      <c r="D533" s="39" t="str">
        <f t="shared" si="8"/>
        <v/>
      </c>
    </row>
    <row r="534" spans="3:4" x14ac:dyDescent="0.25">
      <c r="C534" s="39" t="str">
        <f>IF(A534=0,"",IF(IF(COUNTIF(Sec_Fiber!$A$19:$A$1018,B534)&gt;0,TRUE,FALSE)=FALSE,VLOOKUP(B534,SecDB,3,FALSE),VLOOKUP(VLOOKUP(B534,SecFiberDB,2,FALSE),SecDB,3,FALSE)))</f>
        <v/>
      </c>
      <c r="D534" s="39" t="str">
        <f t="shared" si="8"/>
        <v/>
      </c>
    </row>
    <row r="535" spans="3:4" x14ac:dyDescent="0.25">
      <c r="C535" s="39" t="str">
        <f>IF(A535=0,"",IF(IF(COUNTIF(Sec_Fiber!$A$19:$A$1018,B535)&gt;0,TRUE,FALSE)=FALSE,VLOOKUP(B535,SecDB,3,FALSE),VLOOKUP(VLOOKUP(B535,SecFiberDB,2,FALSE),SecDB,3,FALSE)))</f>
        <v/>
      </c>
      <c r="D535" s="39" t="str">
        <f t="shared" si="8"/>
        <v/>
      </c>
    </row>
    <row r="536" spans="3:4" x14ac:dyDescent="0.25">
      <c r="C536" s="39" t="str">
        <f>IF(A536=0,"",IF(IF(COUNTIF(Sec_Fiber!$A$19:$A$1018,B536)&gt;0,TRUE,FALSE)=FALSE,VLOOKUP(B536,SecDB,3,FALSE),VLOOKUP(VLOOKUP(B536,SecFiberDB,2,FALSE),SecDB,3,FALSE)))</f>
        <v/>
      </c>
      <c r="D536" s="39" t="str">
        <f t="shared" si="8"/>
        <v/>
      </c>
    </row>
    <row r="537" spans="3:4" x14ac:dyDescent="0.25">
      <c r="C537" s="39" t="str">
        <f>IF(A537=0,"",IF(IF(COUNTIF(Sec_Fiber!$A$19:$A$1018,B537)&gt;0,TRUE,FALSE)=FALSE,VLOOKUP(B537,SecDB,3,FALSE),VLOOKUP(VLOOKUP(B537,SecFiberDB,2,FALSE),SecDB,3,FALSE)))</f>
        <v/>
      </c>
      <c r="D537" s="39" t="str">
        <f t="shared" si="8"/>
        <v/>
      </c>
    </row>
    <row r="538" spans="3:4" x14ac:dyDescent="0.25">
      <c r="C538" s="39" t="str">
        <f>IF(A538=0,"",IF(IF(COUNTIF(Sec_Fiber!$A$19:$A$1018,B538)&gt;0,TRUE,FALSE)=FALSE,VLOOKUP(B538,SecDB,3,FALSE),VLOOKUP(VLOOKUP(B538,SecFiberDB,2,FALSE),SecDB,3,FALSE)))</f>
        <v/>
      </c>
      <c r="D538" s="39" t="str">
        <f t="shared" si="8"/>
        <v/>
      </c>
    </row>
    <row r="539" spans="3:4" x14ac:dyDescent="0.25">
      <c r="C539" s="39" t="str">
        <f>IF(A539=0,"",IF(IF(COUNTIF(Sec_Fiber!$A$19:$A$1018,B539)&gt;0,TRUE,FALSE)=FALSE,VLOOKUP(B539,SecDB,3,FALSE),VLOOKUP(VLOOKUP(B539,SecFiberDB,2,FALSE),SecDB,3,FALSE)))</f>
        <v/>
      </c>
      <c r="D539" s="39" t="str">
        <f t="shared" si="8"/>
        <v/>
      </c>
    </row>
    <row r="540" spans="3:4" x14ac:dyDescent="0.25">
      <c r="C540" s="39" t="str">
        <f>IF(A540=0,"",IF(IF(COUNTIF(Sec_Fiber!$A$19:$A$1018,B540)&gt;0,TRUE,FALSE)=FALSE,VLOOKUP(B540,SecDB,3,FALSE),VLOOKUP(VLOOKUP(B540,SecFiberDB,2,FALSE),SecDB,3,FALSE)))</f>
        <v/>
      </c>
      <c r="D540" s="39" t="str">
        <f t="shared" si="8"/>
        <v/>
      </c>
    </row>
    <row r="541" spans="3:4" x14ac:dyDescent="0.25">
      <c r="C541" s="39" t="str">
        <f>IF(A541=0,"",IF(IF(COUNTIF(Sec_Fiber!$A$19:$A$1018,B541)&gt;0,TRUE,FALSE)=FALSE,VLOOKUP(B541,SecDB,3,FALSE),VLOOKUP(VLOOKUP(B541,SecFiberDB,2,FALSE),SecDB,3,FALSE)))</f>
        <v/>
      </c>
      <c r="D541" s="39" t="str">
        <f t="shared" si="8"/>
        <v/>
      </c>
    </row>
    <row r="542" spans="3:4" x14ac:dyDescent="0.25">
      <c r="C542" s="39" t="str">
        <f>IF(A542=0,"",IF(IF(COUNTIF(Sec_Fiber!$A$19:$A$1018,B542)&gt;0,TRUE,FALSE)=FALSE,VLOOKUP(B542,SecDB,3,FALSE),VLOOKUP(VLOOKUP(B542,SecFiberDB,2,FALSE),SecDB,3,FALSE)))</f>
        <v/>
      </c>
      <c r="D542" s="39" t="str">
        <f t="shared" si="8"/>
        <v/>
      </c>
    </row>
    <row r="543" spans="3:4" x14ac:dyDescent="0.25">
      <c r="C543" s="39" t="str">
        <f>IF(A543=0,"",IF(IF(COUNTIF(Sec_Fiber!$A$19:$A$1018,B543)&gt;0,TRUE,FALSE)=FALSE,VLOOKUP(B543,SecDB,3,FALSE),VLOOKUP(VLOOKUP(B543,SecFiberDB,2,FALSE),SecDB,3,FALSE)))</f>
        <v/>
      </c>
      <c r="D543" s="39" t="str">
        <f t="shared" si="8"/>
        <v/>
      </c>
    </row>
    <row r="544" spans="3:4" x14ac:dyDescent="0.25">
      <c r="C544" s="39" t="str">
        <f>IF(A544=0,"",IF(IF(COUNTIF(Sec_Fiber!$A$19:$A$1018,B544)&gt;0,TRUE,FALSE)=FALSE,VLOOKUP(B544,SecDB,3,FALSE),VLOOKUP(VLOOKUP(B544,SecFiberDB,2,FALSE),SecDB,3,FALSE)))</f>
        <v/>
      </c>
      <c r="D544" s="39" t="str">
        <f t="shared" si="8"/>
        <v/>
      </c>
    </row>
    <row r="545" spans="3:4" x14ac:dyDescent="0.25">
      <c r="C545" s="39" t="str">
        <f>IF(A545=0,"",IF(IF(COUNTIF(Sec_Fiber!$A$19:$A$1018,B545)&gt;0,TRUE,FALSE)=FALSE,VLOOKUP(B545,SecDB,3,FALSE),VLOOKUP(VLOOKUP(B545,SecFiberDB,2,FALSE),SecDB,3,FALSE)))</f>
        <v/>
      </c>
      <c r="D545" s="39" t="str">
        <f t="shared" si="8"/>
        <v/>
      </c>
    </row>
    <row r="546" spans="3:4" x14ac:dyDescent="0.25">
      <c r="C546" s="39" t="str">
        <f>IF(A546=0,"",IF(IF(COUNTIF(Sec_Fiber!$A$19:$A$1018,B546)&gt;0,TRUE,FALSE)=FALSE,VLOOKUP(B546,SecDB,3,FALSE),VLOOKUP(VLOOKUP(B546,SecFiberDB,2,FALSE),SecDB,3,FALSE)))</f>
        <v/>
      </c>
      <c r="D546" s="39" t="str">
        <f t="shared" si="8"/>
        <v/>
      </c>
    </row>
    <row r="547" spans="3:4" x14ac:dyDescent="0.25">
      <c r="C547" s="39" t="str">
        <f>IF(A547=0,"",IF(IF(COUNTIF(Sec_Fiber!$A$19:$A$1018,B547)&gt;0,TRUE,FALSE)=FALSE,VLOOKUP(B547,SecDB,3,FALSE),VLOOKUP(VLOOKUP(B547,SecFiberDB,2,FALSE),SecDB,3,FALSE)))</f>
        <v/>
      </c>
      <c r="D547" s="39" t="str">
        <f t="shared" si="8"/>
        <v/>
      </c>
    </row>
    <row r="548" spans="3:4" x14ac:dyDescent="0.25">
      <c r="C548" s="39" t="str">
        <f>IF(A548=0,"",IF(IF(COUNTIF(Sec_Fiber!$A$19:$A$1018,B548)&gt;0,TRUE,FALSE)=FALSE,VLOOKUP(B548,SecDB,3,FALSE),VLOOKUP(VLOOKUP(B548,SecFiberDB,2,FALSE),SecDB,3,FALSE)))</f>
        <v/>
      </c>
      <c r="D548" s="39" t="str">
        <f t="shared" si="8"/>
        <v/>
      </c>
    </row>
    <row r="549" spans="3:4" x14ac:dyDescent="0.25">
      <c r="C549" s="39" t="str">
        <f>IF(A549=0,"",IF(IF(COUNTIF(Sec_Fiber!$A$19:$A$1018,B549)&gt;0,TRUE,FALSE)=FALSE,VLOOKUP(B549,SecDB,3,FALSE),VLOOKUP(VLOOKUP(B549,SecFiberDB,2,FALSE),SecDB,3,FALSE)))</f>
        <v/>
      </c>
      <c r="D549" s="39" t="str">
        <f t="shared" si="8"/>
        <v/>
      </c>
    </row>
    <row r="550" spans="3:4" x14ac:dyDescent="0.25">
      <c r="C550" s="39" t="str">
        <f>IF(A550=0,"",IF(IF(COUNTIF(Sec_Fiber!$A$19:$A$1018,B550)&gt;0,TRUE,FALSE)=FALSE,VLOOKUP(B550,SecDB,3,FALSE),VLOOKUP(VLOOKUP(B550,SecFiberDB,2,FALSE),SecDB,3,FALSE)))</f>
        <v/>
      </c>
      <c r="D550" s="39" t="str">
        <f t="shared" si="8"/>
        <v/>
      </c>
    </row>
    <row r="551" spans="3:4" x14ac:dyDescent="0.25">
      <c r="C551" s="39" t="str">
        <f>IF(A551=0,"",IF(IF(COUNTIF(Sec_Fiber!$A$19:$A$1018,B551)&gt;0,TRUE,FALSE)=FALSE,VLOOKUP(B551,SecDB,3,FALSE),VLOOKUP(VLOOKUP(B551,SecFiberDB,2,FALSE),SecDB,3,FALSE)))</f>
        <v/>
      </c>
      <c r="D551" s="39" t="str">
        <f t="shared" si="8"/>
        <v/>
      </c>
    </row>
    <row r="552" spans="3:4" x14ac:dyDescent="0.25">
      <c r="C552" s="39" t="str">
        <f>IF(A552=0,"",IF(IF(COUNTIF(Sec_Fiber!$A$19:$A$1018,B552)&gt;0,TRUE,FALSE)=FALSE,VLOOKUP(B552,SecDB,3,FALSE),VLOOKUP(VLOOKUP(B552,SecFiberDB,2,FALSE),SecDB,3,FALSE)))</f>
        <v/>
      </c>
      <c r="D552" s="39" t="str">
        <f t="shared" si="8"/>
        <v/>
      </c>
    </row>
    <row r="553" spans="3:4" x14ac:dyDescent="0.25">
      <c r="C553" s="39" t="str">
        <f>IF(A553=0,"",IF(IF(COUNTIF(Sec_Fiber!$A$19:$A$1018,B553)&gt;0,TRUE,FALSE)=FALSE,VLOOKUP(B553,SecDB,3,FALSE),VLOOKUP(VLOOKUP(B553,SecFiberDB,2,FALSE),SecDB,3,FALSE)))</f>
        <v/>
      </c>
      <c r="D553" s="39" t="str">
        <f t="shared" si="8"/>
        <v/>
      </c>
    </row>
    <row r="554" spans="3:4" x14ac:dyDescent="0.25">
      <c r="C554" s="39" t="str">
        <f>IF(A554=0,"",IF(IF(COUNTIF(Sec_Fiber!$A$19:$A$1018,B554)&gt;0,TRUE,FALSE)=FALSE,VLOOKUP(B554,SecDB,3,FALSE),VLOOKUP(VLOOKUP(B554,SecFiberDB,2,FALSE),SecDB,3,FALSE)))</f>
        <v/>
      </c>
      <c r="D554" s="39" t="str">
        <f t="shared" si="8"/>
        <v/>
      </c>
    </row>
    <row r="555" spans="3:4" x14ac:dyDescent="0.25">
      <c r="C555" s="39" t="str">
        <f>IF(A555=0,"",IF(IF(COUNTIF(Sec_Fiber!$A$19:$A$1018,B555)&gt;0,TRUE,FALSE)=FALSE,VLOOKUP(B555,SecDB,3,FALSE),VLOOKUP(VLOOKUP(B555,SecFiberDB,2,FALSE),SecDB,3,FALSE)))</f>
        <v/>
      </c>
      <c r="D555" s="39" t="str">
        <f t="shared" si="8"/>
        <v/>
      </c>
    </row>
    <row r="556" spans="3:4" x14ac:dyDescent="0.25">
      <c r="C556" s="39" t="str">
        <f>IF(A556=0,"",IF(IF(COUNTIF(Sec_Fiber!$A$19:$A$1018,B556)&gt;0,TRUE,FALSE)=FALSE,VLOOKUP(B556,SecDB,3,FALSE),VLOOKUP(VLOOKUP(B556,SecFiberDB,2,FALSE),SecDB,3,FALSE)))</f>
        <v/>
      </c>
      <c r="D556" s="39" t="str">
        <f t="shared" si="8"/>
        <v/>
      </c>
    </row>
    <row r="557" spans="3:4" x14ac:dyDescent="0.25">
      <c r="C557" s="39" t="str">
        <f>IF(A557=0,"",IF(IF(COUNTIF(Sec_Fiber!$A$19:$A$1018,B557)&gt;0,TRUE,FALSE)=FALSE,VLOOKUP(B557,SecDB,3,FALSE),VLOOKUP(VLOOKUP(B557,SecFiberDB,2,FALSE),SecDB,3,FALSE)))</f>
        <v/>
      </c>
      <c r="D557" s="39" t="str">
        <f t="shared" si="8"/>
        <v/>
      </c>
    </row>
    <row r="558" spans="3:4" x14ac:dyDescent="0.25">
      <c r="C558" s="39" t="str">
        <f>IF(A558=0,"",IF(IF(COUNTIF(Sec_Fiber!$A$19:$A$1018,B558)&gt;0,TRUE,FALSE)=FALSE,VLOOKUP(B558,SecDB,3,FALSE),VLOOKUP(VLOOKUP(B558,SecFiberDB,2,FALSE),SecDB,3,FALSE)))</f>
        <v/>
      </c>
      <c r="D558" s="39" t="str">
        <f t="shared" si="8"/>
        <v/>
      </c>
    </row>
    <row r="559" spans="3:4" x14ac:dyDescent="0.25">
      <c r="C559" s="39" t="str">
        <f>IF(A559=0,"",IF(IF(COUNTIF(Sec_Fiber!$A$19:$A$1018,B559)&gt;0,TRUE,FALSE)=FALSE,VLOOKUP(B559,SecDB,3,FALSE),VLOOKUP(VLOOKUP(B559,SecFiberDB,2,FALSE),SecDB,3,FALSE)))</f>
        <v/>
      </c>
      <c r="D559" s="39" t="str">
        <f t="shared" si="8"/>
        <v/>
      </c>
    </row>
    <row r="560" spans="3:4" x14ac:dyDescent="0.25">
      <c r="C560" s="39" t="str">
        <f>IF(A560=0,"",IF(IF(COUNTIF(Sec_Fiber!$A$19:$A$1018,B560)&gt;0,TRUE,FALSE)=FALSE,VLOOKUP(B560,SecDB,3,FALSE),VLOOKUP(VLOOKUP(B560,SecFiberDB,2,FALSE),SecDB,3,FALSE)))</f>
        <v/>
      </c>
      <c r="D560" s="39" t="str">
        <f t="shared" si="8"/>
        <v/>
      </c>
    </row>
    <row r="561" spans="3:4" x14ac:dyDescent="0.25">
      <c r="C561" s="39" t="str">
        <f>IF(A561=0,"",IF(IF(COUNTIF(Sec_Fiber!$A$19:$A$1018,B561)&gt;0,TRUE,FALSE)=FALSE,VLOOKUP(B561,SecDB,3,FALSE),VLOOKUP(VLOOKUP(B561,SecFiberDB,2,FALSE),SecDB,3,FALSE)))</f>
        <v/>
      </c>
      <c r="D561" s="39" t="str">
        <f t="shared" si="8"/>
        <v/>
      </c>
    </row>
    <row r="562" spans="3:4" x14ac:dyDescent="0.25">
      <c r="C562" s="39" t="str">
        <f>IF(A562=0,"",IF(IF(COUNTIF(Sec_Fiber!$A$19:$A$1018,B562)&gt;0,TRUE,FALSE)=FALSE,VLOOKUP(B562,SecDB,3,FALSE),VLOOKUP(VLOOKUP(B562,SecFiberDB,2,FALSE),SecDB,3,FALSE)))</f>
        <v/>
      </c>
      <c r="D562" s="39" t="str">
        <f t="shared" si="8"/>
        <v/>
      </c>
    </row>
    <row r="563" spans="3:4" x14ac:dyDescent="0.25">
      <c r="C563" s="39" t="str">
        <f>IF(A563=0,"",IF(IF(COUNTIF(Sec_Fiber!$A$19:$A$1018,B563)&gt;0,TRUE,FALSE)=FALSE,VLOOKUP(B563,SecDB,3,FALSE),VLOOKUP(VLOOKUP(B563,SecFiberDB,2,FALSE),SecDB,3,FALSE)))</f>
        <v/>
      </c>
      <c r="D563" s="39" t="str">
        <f t="shared" si="8"/>
        <v/>
      </c>
    </row>
    <row r="564" spans="3:4" x14ac:dyDescent="0.25">
      <c r="C564" s="39" t="str">
        <f>IF(A564=0,"",IF(IF(COUNTIF(Sec_Fiber!$A$19:$A$1018,B564)&gt;0,TRUE,FALSE)=FALSE,VLOOKUP(B564,SecDB,3,FALSE),VLOOKUP(VLOOKUP(B564,SecFiberDB,2,FALSE),SecDB,3,FALSE)))</f>
        <v/>
      </c>
      <c r="D564" s="39" t="str">
        <f t="shared" si="8"/>
        <v/>
      </c>
    </row>
    <row r="565" spans="3:4" x14ac:dyDescent="0.25">
      <c r="C565" s="39" t="str">
        <f>IF(A565=0,"",IF(IF(COUNTIF(Sec_Fiber!$A$19:$A$1018,B565)&gt;0,TRUE,FALSE)=FALSE,VLOOKUP(B565,SecDB,3,FALSE),VLOOKUP(VLOOKUP(B565,SecFiberDB,2,FALSE),SecDB,3,FALSE)))</f>
        <v/>
      </c>
      <c r="D565" s="39" t="str">
        <f t="shared" si="8"/>
        <v/>
      </c>
    </row>
    <row r="566" spans="3:4" x14ac:dyDescent="0.25">
      <c r="C566" s="39" t="str">
        <f>IF(A566=0,"",IF(IF(COUNTIF(Sec_Fiber!$A$19:$A$1018,B566)&gt;0,TRUE,FALSE)=FALSE,VLOOKUP(B566,SecDB,3,FALSE),VLOOKUP(VLOOKUP(B566,SecFiberDB,2,FALSE),SecDB,3,FALSE)))</f>
        <v/>
      </c>
      <c r="D566" s="39" t="str">
        <f t="shared" si="8"/>
        <v/>
      </c>
    </row>
    <row r="567" spans="3:4" x14ac:dyDescent="0.25">
      <c r="C567" s="39" t="str">
        <f>IF(A567=0,"",IF(IF(COUNTIF(Sec_Fiber!$A$19:$A$1018,B567)&gt;0,TRUE,FALSE)=FALSE,VLOOKUP(B567,SecDB,3,FALSE),VLOOKUP(VLOOKUP(B567,SecFiberDB,2,FALSE),SecDB,3,FALSE)))</f>
        <v/>
      </c>
      <c r="D567" s="39" t="str">
        <f t="shared" si="8"/>
        <v/>
      </c>
    </row>
    <row r="568" spans="3:4" x14ac:dyDescent="0.25">
      <c r="C568" s="39" t="str">
        <f>IF(A568=0,"",IF(IF(COUNTIF(Sec_Fiber!$A$19:$A$1018,B568)&gt;0,TRUE,FALSE)=FALSE,VLOOKUP(B568,SecDB,3,FALSE),VLOOKUP(VLOOKUP(B568,SecFiberDB,2,FALSE),SecDB,3,FALSE)))</f>
        <v/>
      </c>
      <c r="D568" s="39" t="str">
        <f t="shared" si="8"/>
        <v/>
      </c>
    </row>
    <row r="569" spans="3:4" x14ac:dyDescent="0.25">
      <c r="C569" s="39" t="str">
        <f>IF(A569=0,"",IF(IF(COUNTIF(Sec_Fiber!$A$19:$A$1018,B569)&gt;0,TRUE,FALSE)=FALSE,VLOOKUP(B569,SecDB,3,FALSE),VLOOKUP(VLOOKUP(B569,SecFiberDB,2,FALSE),SecDB,3,FALSE)))</f>
        <v/>
      </c>
      <c r="D569" s="39" t="str">
        <f t="shared" si="8"/>
        <v/>
      </c>
    </row>
    <row r="570" spans="3:4" x14ac:dyDescent="0.25">
      <c r="C570" s="39" t="str">
        <f>IF(A570=0,"",IF(IF(COUNTIF(Sec_Fiber!$A$19:$A$1018,B570)&gt;0,TRUE,FALSE)=FALSE,VLOOKUP(B570,SecDB,3,FALSE),VLOOKUP(VLOOKUP(B570,SecFiberDB,2,FALSE),SecDB,3,FALSE)))</f>
        <v/>
      </c>
      <c r="D570" s="39" t="str">
        <f t="shared" si="8"/>
        <v/>
      </c>
    </row>
    <row r="571" spans="3:4" x14ac:dyDescent="0.25">
      <c r="C571" s="39" t="str">
        <f>IF(A571=0,"",IF(IF(COUNTIF(Sec_Fiber!$A$19:$A$1018,B571)&gt;0,TRUE,FALSE)=FALSE,VLOOKUP(B571,SecDB,3,FALSE),VLOOKUP(VLOOKUP(B571,SecFiberDB,2,FALSE),SecDB,3,FALSE)))</f>
        <v/>
      </c>
      <c r="D571" s="39" t="str">
        <f t="shared" si="8"/>
        <v/>
      </c>
    </row>
    <row r="572" spans="3:4" x14ac:dyDescent="0.25">
      <c r="C572" s="39" t="str">
        <f>IF(A572=0,"",IF(IF(COUNTIF(Sec_Fiber!$A$19:$A$1018,B572)&gt;0,TRUE,FALSE)=FALSE,VLOOKUP(B572,SecDB,3,FALSE),VLOOKUP(VLOOKUP(B572,SecFiberDB,2,FALSE),SecDB,3,FALSE)))</f>
        <v/>
      </c>
      <c r="D572" s="39" t="str">
        <f t="shared" si="8"/>
        <v/>
      </c>
    </row>
    <row r="573" spans="3:4" x14ac:dyDescent="0.25">
      <c r="C573" s="39" t="str">
        <f>IF(A573=0,"",IF(IF(COUNTIF(Sec_Fiber!$A$19:$A$1018,B573)&gt;0,TRUE,FALSE)=FALSE,VLOOKUP(B573,SecDB,3,FALSE),VLOOKUP(VLOOKUP(B573,SecFiberDB,2,FALSE),SecDB,3,FALSE)))</f>
        <v/>
      </c>
      <c r="D573" s="39" t="str">
        <f t="shared" si="8"/>
        <v/>
      </c>
    </row>
    <row r="574" spans="3:4" x14ac:dyDescent="0.25">
      <c r="C574" s="39" t="str">
        <f>IF(A574=0,"",IF(IF(COUNTIF(Sec_Fiber!$A$19:$A$1018,B574)&gt;0,TRUE,FALSE)=FALSE,VLOOKUP(B574,SecDB,3,FALSE),VLOOKUP(VLOOKUP(B574,SecFiberDB,2,FALSE),SecDB,3,FALSE)))</f>
        <v/>
      </c>
      <c r="D574" s="39" t="str">
        <f t="shared" si="8"/>
        <v/>
      </c>
    </row>
    <row r="575" spans="3:4" x14ac:dyDescent="0.25">
      <c r="C575" s="39" t="str">
        <f>IF(A575=0,"",IF(IF(COUNTIF(Sec_Fiber!$A$19:$A$1018,B575)&gt;0,TRUE,FALSE)=FALSE,VLOOKUP(B575,SecDB,3,FALSE),VLOOKUP(VLOOKUP(B575,SecFiberDB,2,FALSE),SecDB,3,FALSE)))</f>
        <v/>
      </c>
      <c r="D575" s="39" t="str">
        <f t="shared" si="8"/>
        <v/>
      </c>
    </row>
    <row r="576" spans="3:4" x14ac:dyDescent="0.25">
      <c r="C576" s="39" t="str">
        <f>IF(A576=0,"",IF(IF(COUNTIF(Sec_Fiber!$A$19:$A$1018,B576)&gt;0,TRUE,FALSE)=FALSE,VLOOKUP(B576,SecDB,3,FALSE),VLOOKUP(VLOOKUP(B576,SecFiberDB,2,FALSE),SecDB,3,FALSE)))</f>
        <v/>
      </c>
      <c r="D576" s="39" t="str">
        <f t="shared" si="8"/>
        <v/>
      </c>
    </row>
    <row r="577" spans="3:4" x14ac:dyDescent="0.25">
      <c r="C577" s="39" t="str">
        <f>IF(A577=0,"",IF(IF(COUNTIF(Sec_Fiber!$A$19:$A$1018,B577)&gt;0,TRUE,FALSE)=FALSE,VLOOKUP(B577,SecDB,3,FALSE),VLOOKUP(VLOOKUP(B577,SecFiberDB,2,FALSE),SecDB,3,FALSE)))</f>
        <v/>
      </c>
      <c r="D577" s="39" t="str">
        <f t="shared" si="8"/>
        <v/>
      </c>
    </row>
    <row r="578" spans="3:4" x14ac:dyDescent="0.25">
      <c r="C578" s="39" t="str">
        <f>IF(A578=0,"",IF(IF(COUNTIF(Sec_Fiber!$A$19:$A$1018,B578)&gt;0,TRUE,FALSE)=FALSE,VLOOKUP(B578,SecDB,3,FALSE),VLOOKUP(VLOOKUP(B578,SecFiberDB,2,FALSE),SecDB,3,FALSE)))</f>
        <v/>
      </c>
      <c r="D578" s="39" t="str">
        <f t="shared" si="8"/>
        <v/>
      </c>
    </row>
    <row r="579" spans="3:4" x14ac:dyDescent="0.25">
      <c r="C579" s="39" t="str">
        <f>IF(A579=0,"",IF(IF(COUNTIF(Sec_Fiber!$A$19:$A$1018,B579)&gt;0,TRUE,FALSE)=FALSE,VLOOKUP(B579,SecDB,3,FALSE),VLOOKUP(VLOOKUP(B579,SecFiberDB,2,FALSE),SecDB,3,FALSE)))</f>
        <v/>
      </c>
      <c r="D579" s="39" t="str">
        <f t="shared" si="8"/>
        <v/>
      </c>
    </row>
    <row r="580" spans="3:4" x14ac:dyDescent="0.25">
      <c r="C580" s="39" t="str">
        <f>IF(A580=0,"",IF(IF(COUNTIF(Sec_Fiber!$A$19:$A$1018,B580)&gt;0,TRUE,FALSE)=FALSE,VLOOKUP(B580,SecDB,3,FALSE),VLOOKUP(VLOOKUP(B580,SecFiberDB,2,FALSE),SecDB,3,FALSE)))</f>
        <v/>
      </c>
      <c r="D580" s="39" t="str">
        <f t="shared" si="8"/>
        <v/>
      </c>
    </row>
    <row r="581" spans="3:4" x14ac:dyDescent="0.25">
      <c r="C581" s="39" t="str">
        <f>IF(A581=0,"",IF(IF(COUNTIF(Sec_Fiber!$A$19:$A$1018,B581)&gt;0,TRUE,FALSE)=FALSE,VLOOKUP(B581,SecDB,3,FALSE),VLOOKUP(VLOOKUP(B581,SecFiberDB,2,FALSE),SecDB,3,FALSE)))</f>
        <v/>
      </c>
      <c r="D581" s="39" t="str">
        <f t="shared" si="8"/>
        <v/>
      </c>
    </row>
    <row r="582" spans="3:4" x14ac:dyDescent="0.25">
      <c r="C582" s="39" t="str">
        <f>IF(A582=0,"",IF(IF(COUNTIF(Sec_Fiber!$A$19:$A$1018,B582)&gt;0,TRUE,FALSE)=FALSE,VLOOKUP(B582,SecDB,3,FALSE),VLOOKUP(VLOOKUP(B582,SecFiberDB,2,FALSE),SecDB,3,FALSE)))</f>
        <v/>
      </c>
      <c r="D582" s="39" t="str">
        <f t="shared" si="8"/>
        <v/>
      </c>
    </row>
    <row r="583" spans="3:4" x14ac:dyDescent="0.25">
      <c r="C583" s="39" t="str">
        <f>IF(A583=0,"",IF(IF(COUNTIF(Sec_Fiber!$A$19:$A$1018,B583)&gt;0,TRUE,FALSE)=FALSE,VLOOKUP(B583,SecDB,3,FALSE),VLOOKUP(VLOOKUP(B583,SecFiberDB,2,FALSE),SecDB,3,FALSE)))</f>
        <v/>
      </c>
      <c r="D583" s="39" t="str">
        <f t="shared" si="8"/>
        <v/>
      </c>
    </row>
    <row r="584" spans="3:4" x14ac:dyDescent="0.25">
      <c r="C584" s="39" t="str">
        <f>IF(A584=0,"",IF(IF(COUNTIF(Sec_Fiber!$A$19:$A$1018,B584)&gt;0,TRUE,FALSE)=FALSE,VLOOKUP(B584,SecDB,3,FALSE),VLOOKUP(VLOOKUP(B584,SecFiberDB,2,FALSE),SecDB,3,FALSE)))</f>
        <v/>
      </c>
      <c r="D584" s="39" t="str">
        <f t="shared" si="8"/>
        <v/>
      </c>
    </row>
    <row r="585" spans="3:4" x14ac:dyDescent="0.25">
      <c r="C585" s="39" t="str">
        <f>IF(A585=0,"",IF(IF(COUNTIF(Sec_Fiber!$A$19:$A$1018,B585)&gt;0,TRUE,FALSE)=FALSE,VLOOKUP(B585,SecDB,3,FALSE),VLOOKUP(VLOOKUP(B585,SecFiberDB,2,FALSE),SecDB,3,FALSE)))</f>
        <v/>
      </c>
      <c r="D585" s="39" t="str">
        <f t="shared" ref="D585:D648" si="9">IF(A585=0,"","Aggregator")</f>
        <v/>
      </c>
    </row>
    <row r="586" spans="3:4" x14ac:dyDescent="0.25">
      <c r="C586" s="39" t="str">
        <f>IF(A586=0,"",IF(IF(COUNTIF(Sec_Fiber!$A$19:$A$1018,B586)&gt;0,TRUE,FALSE)=FALSE,VLOOKUP(B586,SecDB,3,FALSE),VLOOKUP(VLOOKUP(B586,SecFiberDB,2,FALSE),SecDB,3,FALSE)))</f>
        <v/>
      </c>
      <c r="D586" s="39" t="str">
        <f t="shared" si="9"/>
        <v/>
      </c>
    </row>
    <row r="587" spans="3:4" x14ac:dyDescent="0.25">
      <c r="C587" s="39" t="str">
        <f>IF(A587=0,"",IF(IF(COUNTIF(Sec_Fiber!$A$19:$A$1018,B587)&gt;0,TRUE,FALSE)=FALSE,VLOOKUP(B587,SecDB,3,FALSE),VLOOKUP(VLOOKUP(B587,SecFiberDB,2,FALSE),SecDB,3,FALSE)))</f>
        <v/>
      </c>
      <c r="D587" s="39" t="str">
        <f t="shared" si="9"/>
        <v/>
      </c>
    </row>
    <row r="588" spans="3:4" x14ac:dyDescent="0.25">
      <c r="C588" s="39" t="str">
        <f>IF(A588=0,"",IF(IF(COUNTIF(Sec_Fiber!$A$19:$A$1018,B588)&gt;0,TRUE,FALSE)=FALSE,VLOOKUP(B588,SecDB,3,FALSE),VLOOKUP(VLOOKUP(B588,SecFiberDB,2,FALSE),SecDB,3,FALSE)))</f>
        <v/>
      </c>
      <c r="D588" s="39" t="str">
        <f t="shared" si="9"/>
        <v/>
      </c>
    </row>
    <row r="589" spans="3:4" x14ac:dyDescent="0.25">
      <c r="C589" s="39" t="str">
        <f>IF(A589=0,"",IF(IF(COUNTIF(Sec_Fiber!$A$19:$A$1018,B589)&gt;0,TRUE,FALSE)=FALSE,VLOOKUP(B589,SecDB,3,FALSE),VLOOKUP(VLOOKUP(B589,SecFiberDB,2,FALSE),SecDB,3,FALSE)))</f>
        <v/>
      </c>
      <c r="D589" s="39" t="str">
        <f t="shared" si="9"/>
        <v/>
      </c>
    </row>
    <row r="590" spans="3:4" x14ac:dyDescent="0.25">
      <c r="C590" s="39" t="str">
        <f>IF(A590=0,"",IF(IF(COUNTIF(Sec_Fiber!$A$19:$A$1018,B590)&gt;0,TRUE,FALSE)=FALSE,VLOOKUP(B590,SecDB,3,FALSE),VLOOKUP(VLOOKUP(B590,SecFiberDB,2,FALSE),SecDB,3,FALSE)))</f>
        <v/>
      </c>
      <c r="D590" s="39" t="str">
        <f t="shared" si="9"/>
        <v/>
      </c>
    </row>
    <row r="591" spans="3:4" x14ac:dyDescent="0.25">
      <c r="C591" s="39" t="str">
        <f>IF(A591=0,"",IF(IF(COUNTIF(Sec_Fiber!$A$19:$A$1018,B591)&gt;0,TRUE,FALSE)=FALSE,VLOOKUP(B591,SecDB,3,FALSE),VLOOKUP(VLOOKUP(B591,SecFiberDB,2,FALSE),SecDB,3,FALSE)))</f>
        <v/>
      </c>
      <c r="D591" s="39" t="str">
        <f t="shared" si="9"/>
        <v/>
      </c>
    </row>
    <row r="592" spans="3:4" x14ac:dyDescent="0.25">
      <c r="C592" s="39" t="str">
        <f>IF(A592=0,"",IF(IF(COUNTIF(Sec_Fiber!$A$19:$A$1018,B592)&gt;0,TRUE,FALSE)=FALSE,VLOOKUP(B592,SecDB,3,FALSE),VLOOKUP(VLOOKUP(B592,SecFiberDB,2,FALSE),SecDB,3,FALSE)))</f>
        <v/>
      </c>
      <c r="D592" s="39" t="str">
        <f t="shared" si="9"/>
        <v/>
      </c>
    </row>
    <row r="593" spans="3:4" x14ac:dyDescent="0.25">
      <c r="C593" s="39" t="str">
        <f>IF(A593=0,"",IF(IF(COUNTIF(Sec_Fiber!$A$19:$A$1018,B593)&gt;0,TRUE,FALSE)=FALSE,VLOOKUP(B593,SecDB,3,FALSE),VLOOKUP(VLOOKUP(B593,SecFiberDB,2,FALSE),SecDB,3,FALSE)))</f>
        <v/>
      </c>
      <c r="D593" s="39" t="str">
        <f t="shared" si="9"/>
        <v/>
      </c>
    </row>
    <row r="594" spans="3:4" x14ac:dyDescent="0.25">
      <c r="C594" s="39" t="str">
        <f>IF(A594=0,"",IF(IF(COUNTIF(Sec_Fiber!$A$19:$A$1018,B594)&gt;0,TRUE,FALSE)=FALSE,VLOOKUP(B594,SecDB,3,FALSE),VLOOKUP(VLOOKUP(B594,SecFiberDB,2,FALSE),SecDB,3,FALSE)))</f>
        <v/>
      </c>
      <c r="D594" s="39" t="str">
        <f t="shared" si="9"/>
        <v/>
      </c>
    </row>
    <row r="595" spans="3:4" x14ac:dyDescent="0.25">
      <c r="C595" s="39" t="str">
        <f>IF(A595=0,"",IF(IF(COUNTIF(Sec_Fiber!$A$19:$A$1018,B595)&gt;0,TRUE,FALSE)=FALSE,VLOOKUP(B595,SecDB,3,FALSE),VLOOKUP(VLOOKUP(B595,SecFiberDB,2,FALSE),SecDB,3,FALSE)))</f>
        <v/>
      </c>
      <c r="D595" s="39" t="str">
        <f t="shared" si="9"/>
        <v/>
      </c>
    </row>
    <row r="596" spans="3:4" x14ac:dyDescent="0.25">
      <c r="C596" s="39" t="str">
        <f>IF(A596=0,"",IF(IF(COUNTIF(Sec_Fiber!$A$19:$A$1018,B596)&gt;0,TRUE,FALSE)=FALSE,VLOOKUP(B596,SecDB,3,FALSE),VLOOKUP(VLOOKUP(B596,SecFiberDB,2,FALSE),SecDB,3,FALSE)))</f>
        <v/>
      </c>
      <c r="D596" s="39" t="str">
        <f t="shared" si="9"/>
        <v/>
      </c>
    </row>
    <row r="597" spans="3:4" x14ac:dyDescent="0.25">
      <c r="C597" s="39" t="str">
        <f>IF(A597=0,"",IF(IF(COUNTIF(Sec_Fiber!$A$19:$A$1018,B597)&gt;0,TRUE,FALSE)=FALSE,VLOOKUP(B597,SecDB,3,FALSE),VLOOKUP(VLOOKUP(B597,SecFiberDB,2,FALSE),SecDB,3,FALSE)))</f>
        <v/>
      </c>
      <c r="D597" s="39" t="str">
        <f t="shared" si="9"/>
        <v/>
      </c>
    </row>
    <row r="598" spans="3:4" x14ac:dyDescent="0.25">
      <c r="C598" s="39" t="str">
        <f>IF(A598=0,"",IF(IF(COUNTIF(Sec_Fiber!$A$19:$A$1018,B598)&gt;0,TRUE,FALSE)=FALSE,VLOOKUP(B598,SecDB,3,FALSE),VLOOKUP(VLOOKUP(B598,SecFiberDB,2,FALSE),SecDB,3,FALSE)))</f>
        <v/>
      </c>
      <c r="D598" s="39" t="str">
        <f t="shared" si="9"/>
        <v/>
      </c>
    </row>
    <row r="599" spans="3:4" x14ac:dyDescent="0.25">
      <c r="C599" s="39" t="str">
        <f>IF(A599=0,"",IF(IF(COUNTIF(Sec_Fiber!$A$19:$A$1018,B599)&gt;0,TRUE,FALSE)=FALSE,VLOOKUP(B599,SecDB,3,FALSE),VLOOKUP(VLOOKUP(B599,SecFiberDB,2,FALSE),SecDB,3,FALSE)))</f>
        <v/>
      </c>
      <c r="D599" s="39" t="str">
        <f t="shared" si="9"/>
        <v/>
      </c>
    </row>
    <row r="600" spans="3:4" x14ac:dyDescent="0.25">
      <c r="C600" s="39" t="str">
        <f>IF(A600=0,"",IF(IF(COUNTIF(Sec_Fiber!$A$19:$A$1018,B600)&gt;0,TRUE,FALSE)=FALSE,VLOOKUP(B600,SecDB,3,FALSE),VLOOKUP(VLOOKUP(B600,SecFiberDB,2,FALSE),SecDB,3,FALSE)))</f>
        <v/>
      </c>
      <c r="D600" s="39" t="str">
        <f t="shared" si="9"/>
        <v/>
      </c>
    </row>
    <row r="601" spans="3:4" x14ac:dyDescent="0.25">
      <c r="C601" s="39" t="str">
        <f>IF(A601=0,"",IF(IF(COUNTIF(Sec_Fiber!$A$19:$A$1018,B601)&gt;0,TRUE,FALSE)=FALSE,VLOOKUP(B601,SecDB,3,FALSE),VLOOKUP(VLOOKUP(B601,SecFiberDB,2,FALSE),SecDB,3,FALSE)))</f>
        <v/>
      </c>
      <c r="D601" s="39" t="str">
        <f t="shared" si="9"/>
        <v/>
      </c>
    </row>
    <row r="602" spans="3:4" x14ac:dyDescent="0.25">
      <c r="C602" s="39" t="str">
        <f>IF(A602=0,"",IF(IF(COUNTIF(Sec_Fiber!$A$19:$A$1018,B602)&gt;0,TRUE,FALSE)=FALSE,VLOOKUP(B602,SecDB,3,FALSE),VLOOKUP(VLOOKUP(B602,SecFiberDB,2,FALSE),SecDB,3,FALSE)))</f>
        <v/>
      </c>
      <c r="D602" s="39" t="str">
        <f t="shared" si="9"/>
        <v/>
      </c>
    </row>
    <row r="603" spans="3:4" x14ac:dyDescent="0.25">
      <c r="C603" s="39" t="str">
        <f>IF(A603=0,"",IF(IF(COUNTIF(Sec_Fiber!$A$19:$A$1018,B603)&gt;0,TRUE,FALSE)=FALSE,VLOOKUP(B603,SecDB,3,FALSE),VLOOKUP(VLOOKUP(B603,SecFiberDB,2,FALSE),SecDB,3,FALSE)))</f>
        <v/>
      </c>
      <c r="D603" s="39" t="str">
        <f t="shared" si="9"/>
        <v/>
      </c>
    </row>
    <row r="604" spans="3:4" x14ac:dyDescent="0.25">
      <c r="C604" s="39" t="str">
        <f>IF(A604=0,"",IF(IF(COUNTIF(Sec_Fiber!$A$19:$A$1018,B604)&gt;0,TRUE,FALSE)=FALSE,VLOOKUP(B604,SecDB,3,FALSE),VLOOKUP(VLOOKUP(B604,SecFiberDB,2,FALSE),SecDB,3,FALSE)))</f>
        <v/>
      </c>
      <c r="D604" s="39" t="str">
        <f t="shared" si="9"/>
        <v/>
      </c>
    </row>
    <row r="605" spans="3:4" x14ac:dyDescent="0.25">
      <c r="C605" s="39" t="str">
        <f>IF(A605=0,"",IF(IF(COUNTIF(Sec_Fiber!$A$19:$A$1018,B605)&gt;0,TRUE,FALSE)=FALSE,VLOOKUP(B605,SecDB,3,FALSE),VLOOKUP(VLOOKUP(B605,SecFiberDB,2,FALSE),SecDB,3,FALSE)))</f>
        <v/>
      </c>
      <c r="D605" s="39" t="str">
        <f t="shared" si="9"/>
        <v/>
      </c>
    </row>
    <row r="606" spans="3:4" x14ac:dyDescent="0.25">
      <c r="C606" s="39" t="str">
        <f>IF(A606=0,"",IF(IF(COUNTIF(Sec_Fiber!$A$19:$A$1018,B606)&gt;0,TRUE,FALSE)=FALSE,VLOOKUP(B606,SecDB,3,FALSE),VLOOKUP(VLOOKUP(B606,SecFiberDB,2,FALSE),SecDB,3,FALSE)))</f>
        <v/>
      </c>
      <c r="D606" s="39" t="str">
        <f t="shared" si="9"/>
        <v/>
      </c>
    </row>
    <row r="607" spans="3:4" x14ac:dyDescent="0.25">
      <c r="C607" s="39" t="str">
        <f>IF(A607=0,"",IF(IF(COUNTIF(Sec_Fiber!$A$19:$A$1018,B607)&gt;0,TRUE,FALSE)=FALSE,VLOOKUP(B607,SecDB,3,FALSE),VLOOKUP(VLOOKUP(B607,SecFiberDB,2,FALSE),SecDB,3,FALSE)))</f>
        <v/>
      </c>
      <c r="D607" s="39" t="str">
        <f t="shared" si="9"/>
        <v/>
      </c>
    </row>
    <row r="608" spans="3:4" x14ac:dyDescent="0.25">
      <c r="C608" s="39" t="str">
        <f>IF(A608=0,"",IF(IF(COUNTIF(Sec_Fiber!$A$19:$A$1018,B608)&gt;0,TRUE,FALSE)=FALSE,VLOOKUP(B608,SecDB,3,FALSE),VLOOKUP(VLOOKUP(B608,SecFiberDB,2,FALSE),SecDB,3,FALSE)))</f>
        <v/>
      </c>
      <c r="D608" s="39" t="str">
        <f t="shared" si="9"/>
        <v/>
      </c>
    </row>
    <row r="609" spans="3:4" x14ac:dyDescent="0.25">
      <c r="C609" s="39" t="str">
        <f>IF(A609=0,"",IF(IF(COUNTIF(Sec_Fiber!$A$19:$A$1018,B609)&gt;0,TRUE,FALSE)=FALSE,VLOOKUP(B609,SecDB,3,FALSE),VLOOKUP(VLOOKUP(B609,SecFiberDB,2,FALSE),SecDB,3,FALSE)))</f>
        <v/>
      </c>
      <c r="D609" s="39" t="str">
        <f t="shared" si="9"/>
        <v/>
      </c>
    </row>
    <row r="610" spans="3:4" x14ac:dyDescent="0.25">
      <c r="C610" s="39" t="str">
        <f>IF(A610=0,"",IF(IF(COUNTIF(Sec_Fiber!$A$19:$A$1018,B610)&gt;0,TRUE,FALSE)=FALSE,VLOOKUP(B610,SecDB,3,FALSE),VLOOKUP(VLOOKUP(B610,SecFiberDB,2,FALSE),SecDB,3,FALSE)))</f>
        <v/>
      </c>
      <c r="D610" s="39" t="str">
        <f t="shared" si="9"/>
        <v/>
      </c>
    </row>
    <row r="611" spans="3:4" x14ac:dyDescent="0.25">
      <c r="C611" s="39" t="str">
        <f>IF(A611=0,"",IF(IF(COUNTIF(Sec_Fiber!$A$19:$A$1018,B611)&gt;0,TRUE,FALSE)=FALSE,VLOOKUP(B611,SecDB,3,FALSE),VLOOKUP(VLOOKUP(B611,SecFiberDB,2,FALSE),SecDB,3,FALSE)))</f>
        <v/>
      </c>
      <c r="D611" s="39" t="str">
        <f t="shared" si="9"/>
        <v/>
      </c>
    </row>
    <row r="612" spans="3:4" x14ac:dyDescent="0.25">
      <c r="C612" s="39" t="str">
        <f>IF(A612=0,"",IF(IF(COUNTIF(Sec_Fiber!$A$19:$A$1018,B612)&gt;0,TRUE,FALSE)=FALSE,VLOOKUP(B612,SecDB,3,FALSE),VLOOKUP(VLOOKUP(B612,SecFiberDB,2,FALSE),SecDB,3,FALSE)))</f>
        <v/>
      </c>
      <c r="D612" s="39" t="str">
        <f t="shared" si="9"/>
        <v/>
      </c>
    </row>
    <row r="613" spans="3:4" x14ac:dyDescent="0.25">
      <c r="C613" s="39" t="str">
        <f>IF(A613=0,"",IF(IF(COUNTIF(Sec_Fiber!$A$19:$A$1018,B613)&gt;0,TRUE,FALSE)=FALSE,VLOOKUP(B613,SecDB,3,FALSE),VLOOKUP(VLOOKUP(B613,SecFiberDB,2,FALSE),SecDB,3,FALSE)))</f>
        <v/>
      </c>
      <c r="D613" s="39" t="str">
        <f t="shared" si="9"/>
        <v/>
      </c>
    </row>
    <row r="614" spans="3:4" x14ac:dyDescent="0.25">
      <c r="C614" s="39" t="str">
        <f>IF(A614=0,"",IF(IF(COUNTIF(Sec_Fiber!$A$19:$A$1018,B614)&gt;0,TRUE,FALSE)=FALSE,VLOOKUP(B614,SecDB,3,FALSE),VLOOKUP(VLOOKUP(B614,SecFiberDB,2,FALSE),SecDB,3,FALSE)))</f>
        <v/>
      </c>
      <c r="D614" s="39" t="str">
        <f t="shared" si="9"/>
        <v/>
      </c>
    </row>
    <row r="615" spans="3:4" x14ac:dyDescent="0.25">
      <c r="C615" s="39" t="str">
        <f>IF(A615=0,"",IF(IF(COUNTIF(Sec_Fiber!$A$19:$A$1018,B615)&gt;0,TRUE,FALSE)=FALSE,VLOOKUP(B615,SecDB,3,FALSE),VLOOKUP(VLOOKUP(B615,SecFiberDB,2,FALSE),SecDB,3,FALSE)))</f>
        <v/>
      </c>
      <c r="D615" s="39" t="str">
        <f t="shared" si="9"/>
        <v/>
      </c>
    </row>
    <row r="616" spans="3:4" x14ac:dyDescent="0.25">
      <c r="C616" s="39" t="str">
        <f>IF(A616=0,"",IF(IF(COUNTIF(Sec_Fiber!$A$19:$A$1018,B616)&gt;0,TRUE,FALSE)=FALSE,VLOOKUP(B616,SecDB,3,FALSE),VLOOKUP(VLOOKUP(B616,SecFiberDB,2,FALSE),SecDB,3,FALSE)))</f>
        <v/>
      </c>
      <c r="D616" s="39" t="str">
        <f t="shared" si="9"/>
        <v/>
      </c>
    </row>
    <row r="617" spans="3:4" x14ac:dyDescent="0.25">
      <c r="C617" s="39" t="str">
        <f>IF(A617=0,"",IF(IF(COUNTIF(Sec_Fiber!$A$19:$A$1018,B617)&gt;0,TRUE,FALSE)=FALSE,VLOOKUP(B617,SecDB,3,FALSE),VLOOKUP(VLOOKUP(B617,SecFiberDB,2,FALSE),SecDB,3,FALSE)))</f>
        <v/>
      </c>
      <c r="D617" s="39" t="str">
        <f t="shared" si="9"/>
        <v/>
      </c>
    </row>
    <row r="618" spans="3:4" x14ac:dyDescent="0.25">
      <c r="C618" s="39" t="str">
        <f>IF(A618=0,"",IF(IF(COUNTIF(Sec_Fiber!$A$19:$A$1018,B618)&gt;0,TRUE,FALSE)=FALSE,VLOOKUP(B618,SecDB,3,FALSE),VLOOKUP(VLOOKUP(B618,SecFiberDB,2,FALSE),SecDB,3,FALSE)))</f>
        <v/>
      </c>
      <c r="D618" s="39" t="str">
        <f t="shared" si="9"/>
        <v/>
      </c>
    </row>
    <row r="619" spans="3:4" x14ac:dyDescent="0.25">
      <c r="C619" s="39" t="str">
        <f>IF(A619=0,"",IF(IF(COUNTIF(Sec_Fiber!$A$19:$A$1018,B619)&gt;0,TRUE,FALSE)=FALSE,VLOOKUP(B619,SecDB,3,FALSE),VLOOKUP(VLOOKUP(B619,SecFiberDB,2,FALSE),SecDB,3,FALSE)))</f>
        <v/>
      </c>
      <c r="D619" s="39" t="str">
        <f t="shared" si="9"/>
        <v/>
      </c>
    </row>
    <row r="620" spans="3:4" x14ac:dyDescent="0.25">
      <c r="C620" s="39" t="str">
        <f>IF(A620=0,"",IF(IF(COUNTIF(Sec_Fiber!$A$19:$A$1018,B620)&gt;0,TRUE,FALSE)=FALSE,VLOOKUP(B620,SecDB,3,FALSE),VLOOKUP(VLOOKUP(B620,SecFiberDB,2,FALSE),SecDB,3,FALSE)))</f>
        <v/>
      </c>
      <c r="D620" s="39" t="str">
        <f t="shared" si="9"/>
        <v/>
      </c>
    </row>
    <row r="621" spans="3:4" x14ac:dyDescent="0.25">
      <c r="C621" s="39" t="str">
        <f>IF(A621=0,"",IF(IF(COUNTIF(Sec_Fiber!$A$19:$A$1018,B621)&gt;0,TRUE,FALSE)=FALSE,VLOOKUP(B621,SecDB,3,FALSE),VLOOKUP(VLOOKUP(B621,SecFiberDB,2,FALSE),SecDB,3,FALSE)))</f>
        <v/>
      </c>
      <c r="D621" s="39" t="str">
        <f t="shared" si="9"/>
        <v/>
      </c>
    </row>
    <row r="622" spans="3:4" x14ac:dyDescent="0.25">
      <c r="C622" s="39" t="str">
        <f>IF(A622=0,"",IF(IF(COUNTIF(Sec_Fiber!$A$19:$A$1018,B622)&gt;0,TRUE,FALSE)=FALSE,VLOOKUP(B622,SecDB,3,FALSE),VLOOKUP(VLOOKUP(B622,SecFiberDB,2,FALSE),SecDB,3,FALSE)))</f>
        <v/>
      </c>
      <c r="D622" s="39" t="str">
        <f t="shared" si="9"/>
        <v/>
      </c>
    </row>
    <row r="623" spans="3:4" x14ac:dyDescent="0.25">
      <c r="C623" s="39" t="str">
        <f>IF(A623=0,"",IF(IF(COUNTIF(Sec_Fiber!$A$19:$A$1018,B623)&gt;0,TRUE,FALSE)=FALSE,VLOOKUP(B623,SecDB,3,FALSE),VLOOKUP(VLOOKUP(B623,SecFiberDB,2,FALSE),SecDB,3,FALSE)))</f>
        <v/>
      </c>
      <c r="D623" s="39" t="str">
        <f t="shared" si="9"/>
        <v/>
      </c>
    </row>
    <row r="624" spans="3:4" x14ac:dyDescent="0.25">
      <c r="C624" s="39" t="str">
        <f>IF(A624=0,"",IF(IF(COUNTIF(Sec_Fiber!$A$19:$A$1018,B624)&gt;0,TRUE,FALSE)=FALSE,VLOOKUP(B624,SecDB,3,FALSE),VLOOKUP(VLOOKUP(B624,SecFiberDB,2,FALSE),SecDB,3,FALSE)))</f>
        <v/>
      </c>
      <c r="D624" s="39" t="str">
        <f t="shared" si="9"/>
        <v/>
      </c>
    </row>
    <row r="625" spans="3:4" x14ac:dyDescent="0.25">
      <c r="C625" s="39" t="str">
        <f>IF(A625=0,"",IF(IF(COUNTIF(Sec_Fiber!$A$19:$A$1018,B625)&gt;0,TRUE,FALSE)=FALSE,VLOOKUP(B625,SecDB,3,FALSE),VLOOKUP(VLOOKUP(B625,SecFiberDB,2,FALSE),SecDB,3,FALSE)))</f>
        <v/>
      </c>
      <c r="D625" s="39" t="str">
        <f t="shared" si="9"/>
        <v/>
      </c>
    </row>
    <row r="626" spans="3:4" x14ac:dyDescent="0.25">
      <c r="C626" s="39" t="str">
        <f>IF(A626=0,"",IF(IF(COUNTIF(Sec_Fiber!$A$19:$A$1018,B626)&gt;0,TRUE,FALSE)=FALSE,VLOOKUP(B626,SecDB,3,FALSE),VLOOKUP(VLOOKUP(B626,SecFiberDB,2,FALSE),SecDB,3,FALSE)))</f>
        <v/>
      </c>
      <c r="D626" s="39" t="str">
        <f t="shared" si="9"/>
        <v/>
      </c>
    </row>
    <row r="627" spans="3:4" x14ac:dyDescent="0.25">
      <c r="C627" s="39" t="str">
        <f>IF(A627=0,"",IF(IF(COUNTIF(Sec_Fiber!$A$19:$A$1018,B627)&gt;0,TRUE,FALSE)=FALSE,VLOOKUP(B627,SecDB,3,FALSE),VLOOKUP(VLOOKUP(B627,SecFiberDB,2,FALSE),SecDB,3,FALSE)))</f>
        <v/>
      </c>
      <c r="D627" s="39" t="str">
        <f t="shared" si="9"/>
        <v/>
      </c>
    </row>
    <row r="628" spans="3:4" x14ac:dyDescent="0.25">
      <c r="C628" s="39" t="str">
        <f>IF(A628=0,"",IF(IF(COUNTIF(Sec_Fiber!$A$19:$A$1018,B628)&gt;0,TRUE,FALSE)=FALSE,VLOOKUP(B628,SecDB,3,FALSE),VLOOKUP(VLOOKUP(B628,SecFiberDB,2,FALSE),SecDB,3,FALSE)))</f>
        <v/>
      </c>
      <c r="D628" s="39" t="str">
        <f t="shared" si="9"/>
        <v/>
      </c>
    </row>
    <row r="629" spans="3:4" x14ac:dyDescent="0.25">
      <c r="C629" s="39" t="str">
        <f>IF(A629=0,"",IF(IF(COUNTIF(Sec_Fiber!$A$19:$A$1018,B629)&gt;0,TRUE,FALSE)=FALSE,VLOOKUP(B629,SecDB,3,FALSE),VLOOKUP(VLOOKUP(B629,SecFiberDB,2,FALSE),SecDB,3,FALSE)))</f>
        <v/>
      </c>
      <c r="D629" s="39" t="str">
        <f t="shared" si="9"/>
        <v/>
      </c>
    </row>
    <row r="630" spans="3:4" x14ac:dyDescent="0.25">
      <c r="C630" s="39" t="str">
        <f>IF(A630=0,"",IF(IF(COUNTIF(Sec_Fiber!$A$19:$A$1018,B630)&gt;0,TRUE,FALSE)=FALSE,VLOOKUP(B630,SecDB,3,FALSE),VLOOKUP(VLOOKUP(B630,SecFiberDB,2,FALSE),SecDB,3,FALSE)))</f>
        <v/>
      </c>
      <c r="D630" s="39" t="str">
        <f t="shared" si="9"/>
        <v/>
      </c>
    </row>
    <row r="631" spans="3:4" x14ac:dyDescent="0.25">
      <c r="C631" s="39" t="str">
        <f>IF(A631=0,"",IF(IF(COUNTIF(Sec_Fiber!$A$19:$A$1018,B631)&gt;0,TRUE,FALSE)=FALSE,VLOOKUP(B631,SecDB,3,FALSE),VLOOKUP(VLOOKUP(B631,SecFiberDB,2,FALSE),SecDB,3,FALSE)))</f>
        <v/>
      </c>
      <c r="D631" s="39" t="str">
        <f t="shared" si="9"/>
        <v/>
      </c>
    </row>
    <row r="632" spans="3:4" x14ac:dyDescent="0.25">
      <c r="C632" s="39" t="str">
        <f>IF(A632=0,"",IF(IF(COUNTIF(Sec_Fiber!$A$19:$A$1018,B632)&gt;0,TRUE,FALSE)=FALSE,VLOOKUP(B632,SecDB,3,FALSE),VLOOKUP(VLOOKUP(B632,SecFiberDB,2,FALSE),SecDB,3,FALSE)))</f>
        <v/>
      </c>
      <c r="D632" s="39" t="str">
        <f t="shared" si="9"/>
        <v/>
      </c>
    </row>
    <row r="633" spans="3:4" x14ac:dyDescent="0.25">
      <c r="C633" s="39" t="str">
        <f>IF(A633=0,"",IF(IF(COUNTIF(Sec_Fiber!$A$19:$A$1018,B633)&gt;0,TRUE,FALSE)=FALSE,VLOOKUP(B633,SecDB,3,FALSE),VLOOKUP(VLOOKUP(B633,SecFiberDB,2,FALSE),SecDB,3,FALSE)))</f>
        <v/>
      </c>
      <c r="D633" s="39" t="str">
        <f t="shared" si="9"/>
        <v/>
      </c>
    </row>
    <row r="634" spans="3:4" x14ac:dyDescent="0.25">
      <c r="C634" s="39" t="str">
        <f>IF(A634=0,"",IF(IF(COUNTIF(Sec_Fiber!$A$19:$A$1018,B634)&gt;0,TRUE,FALSE)=FALSE,VLOOKUP(B634,SecDB,3,FALSE),VLOOKUP(VLOOKUP(B634,SecFiberDB,2,FALSE),SecDB,3,FALSE)))</f>
        <v/>
      </c>
      <c r="D634" s="39" t="str">
        <f t="shared" si="9"/>
        <v/>
      </c>
    </row>
    <row r="635" spans="3:4" x14ac:dyDescent="0.25">
      <c r="C635" s="39" t="str">
        <f>IF(A635=0,"",IF(IF(COUNTIF(Sec_Fiber!$A$19:$A$1018,B635)&gt;0,TRUE,FALSE)=FALSE,VLOOKUP(B635,SecDB,3,FALSE),VLOOKUP(VLOOKUP(B635,SecFiberDB,2,FALSE),SecDB,3,FALSE)))</f>
        <v/>
      </c>
      <c r="D635" s="39" t="str">
        <f t="shared" si="9"/>
        <v/>
      </c>
    </row>
    <row r="636" spans="3:4" x14ac:dyDescent="0.25">
      <c r="C636" s="39" t="str">
        <f>IF(A636=0,"",IF(IF(COUNTIF(Sec_Fiber!$A$19:$A$1018,B636)&gt;0,TRUE,FALSE)=FALSE,VLOOKUP(B636,SecDB,3,FALSE),VLOOKUP(VLOOKUP(B636,SecFiberDB,2,FALSE),SecDB,3,FALSE)))</f>
        <v/>
      </c>
      <c r="D636" s="39" t="str">
        <f t="shared" si="9"/>
        <v/>
      </c>
    </row>
    <row r="637" spans="3:4" x14ac:dyDescent="0.25">
      <c r="C637" s="39" t="str">
        <f>IF(A637=0,"",IF(IF(COUNTIF(Sec_Fiber!$A$19:$A$1018,B637)&gt;0,TRUE,FALSE)=FALSE,VLOOKUP(B637,SecDB,3,FALSE),VLOOKUP(VLOOKUP(B637,SecFiberDB,2,FALSE),SecDB,3,FALSE)))</f>
        <v/>
      </c>
      <c r="D637" s="39" t="str">
        <f t="shared" si="9"/>
        <v/>
      </c>
    </row>
    <row r="638" spans="3:4" x14ac:dyDescent="0.25">
      <c r="C638" s="39" t="str">
        <f>IF(A638=0,"",IF(IF(COUNTIF(Sec_Fiber!$A$19:$A$1018,B638)&gt;0,TRUE,FALSE)=FALSE,VLOOKUP(B638,SecDB,3,FALSE),VLOOKUP(VLOOKUP(B638,SecFiberDB,2,FALSE),SecDB,3,FALSE)))</f>
        <v/>
      </c>
      <c r="D638" s="39" t="str">
        <f t="shared" si="9"/>
        <v/>
      </c>
    </row>
    <row r="639" spans="3:4" x14ac:dyDescent="0.25">
      <c r="C639" s="39" t="str">
        <f>IF(A639=0,"",IF(IF(COUNTIF(Sec_Fiber!$A$19:$A$1018,B639)&gt;0,TRUE,FALSE)=FALSE,VLOOKUP(B639,SecDB,3,FALSE),VLOOKUP(VLOOKUP(B639,SecFiberDB,2,FALSE),SecDB,3,FALSE)))</f>
        <v/>
      </c>
      <c r="D639" s="39" t="str">
        <f t="shared" si="9"/>
        <v/>
      </c>
    </row>
    <row r="640" spans="3:4" x14ac:dyDescent="0.25">
      <c r="C640" s="39" t="str">
        <f>IF(A640=0,"",IF(IF(COUNTIF(Sec_Fiber!$A$19:$A$1018,B640)&gt;0,TRUE,FALSE)=FALSE,VLOOKUP(B640,SecDB,3,FALSE),VLOOKUP(VLOOKUP(B640,SecFiberDB,2,FALSE),SecDB,3,FALSE)))</f>
        <v/>
      </c>
      <c r="D640" s="39" t="str">
        <f t="shared" si="9"/>
        <v/>
      </c>
    </row>
    <row r="641" spans="3:4" x14ac:dyDescent="0.25">
      <c r="C641" s="39" t="str">
        <f>IF(A641=0,"",IF(IF(COUNTIF(Sec_Fiber!$A$19:$A$1018,B641)&gt;0,TRUE,FALSE)=FALSE,VLOOKUP(B641,SecDB,3,FALSE),VLOOKUP(VLOOKUP(B641,SecFiberDB,2,FALSE),SecDB,3,FALSE)))</f>
        <v/>
      </c>
      <c r="D641" s="39" t="str">
        <f t="shared" si="9"/>
        <v/>
      </c>
    </row>
    <row r="642" spans="3:4" x14ac:dyDescent="0.25">
      <c r="C642" s="39" t="str">
        <f>IF(A642=0,"",IF(IF(COUNTIF(Sec_Fiber!$A$19:$A$1018,B642)&gt;0,TRUE,FALSE)=FALSE,VLOOKUP(B642,SecDB,3,FALSE),VLOOKUP(VLOOKUP(B642,SecFiberDB,2,FALSE),SecDB,3,FALSE)))</f>
        <v/>
      </c>
      <c r="D642" s="39" t="str">
        <f t="shared" si="9"/>
        <v/>
      </c>
    </row>
    <row r="643" spans="3:4" x14ac:dyDescent="0.25">
      <c r="C643" s="39" t="str">
        <f>IF(A643=0,"",IF(IF(COUNTIF(Sec_Fiber!$A$19:$A$1018,B643)&gt;0,TRUE,FALSE)=FALSE,VLOOKUP(B643,SecDB,3,FALSE),VLOOKUP(VLOOKUP(B643,SecFiberDB,2,FALSE),SecDB,3,FALSE)))</f>
        <v/>
      </c>
      <c r="D643" s="39" t="str">
        <f t="shared" si="9"/>
        <v/>
      </c>
    </row>
    <row r="644" spans="3:4" x14ac:dyDescent="0.25">
      <c r="C644" s="39" t="str">
        <f>IF(A644=0,"",IF(IF(COUNTIF(Sec_Fiber!$A$19:$A$1018,B644)&gt;0,TRUE,FALSE)=FALSE,VLOOKUP(B644,SecDB,3,FALSE),VLOOKUP(VLOOKUP(B644,SecFiberDB,2,FALSE),SecDB,3,FALSE)))</f>
        <v/>
      </c>
      <c r="D644" s="39" t="str">
        <f t="shared" si="9"/>
        <v/>
      </c>
    </row>
    <row r="645" spans="3:4" x14ac:dyDescent="0.25">
      <c r="C645" s="39" t="str">
        <f>IF(A645=0,"",IF(IF(COUNTIF(Sec_Fiber!$A$19:$A$1018,B645)&gt;0,TRUE,FALSE)=FALSE,VLOOKUP(B645,SecDB,3,FALSE),VLOOKUP(VLOOKUP(B645,SecFiberDB,2,FALSE),SecDB,3,FALSE)))</f>
        <v/>
      </c>
      <c r="D645" s="39" t="str">
        <f t="shared" si="9"/>
        <v/>
      </c>
    </row>
    <row r="646" spans="3:4" x14ac:dyDescent="0.25">
      <c r="C646" s="39" t="str">
        <f>IF(A646=0,"",IF(IF(COUNTIF(Sec_Fiber!$A$19:$A$1018,B646)&gt;0,TRUE,FALSE)=FALSE,VLOOKUP(B646,SecDB,3,FALSE),VLOOKUP(VLOOKUP(B646,SecFiberDB,2,FALSE),SecDB,3,FALSE)))</f>
        <v/>
      </c>
      <c r="D646" s="39" t="str">
        <f t="shared" si="9"/>
        <v/>
      </c>
    </row>
    <row r="647" spans="3:4" x14ac:dyDescent="0.25">
      <c r="C647" s="39" t="str">
        <f>IF(A647=0,"",IF(IF(COUNTIF(Sec_Fiber!$A$19:$A$1018,B647)&gt;0,TRUE,FALSE)=FALSE,VLOOKUP(B647,SecDB,3,FALSE),VLOOKUP(VLOOKUP(B647,SecFiberDB,2,FALSE),SecDB,3,FALSE)))</f>
        <v/>
      </c>
      <c r="D647" s="39" t="str">
        <f t="shared" si="9"/>
        <v/>
      </c>
    </row>
    <row r="648" spans="3:4" x14ac:dyDescent="0.25">
      <c r="C648" s="39" t="str">
        <f>IF(A648=0,"",IF(IF(COUNTIF(Sec_Fiber!$A$19:$A$1018,B648)&gt;0,TRUE,FALSE)=FALSE,VLOOKUP(B648,SecDB,3,FALSE),VLOOKUP(VLOOKUP(B648,SecFiberDB,2,FALSE),SecDB,3,FALSE)))</f>
        <v/>
      </c>
      <c r="D648" s="39" t="str">
        <f t="shared" si="9"/>
        <v/>
      </c>
    </row>
    <row r="649" spans="3:4" x14ac:dyDescent="0.25">
      <c r="C649" s="39" t="str">
        <f>IF(A649=0,"",IF(IF(COUNTIF(Sec_Fiber!$A$19:$A$1018,B649)&gt;0,TRUE,FALSE)=FALSE,VLOOKUP(B649,SecDB,3,FALSE),VLOOKUP(VLOOKUP(B649,SecFiberDB,2,FALSE),SecDB,3,FALSE)))</f>
        <v/>
      </c>
      <c r="D649" s="39" t="str">
        <f t="shared" ref="D649:D712" si="10">IF(A649=0,"","Aggregator")</f>
        <v/>
      </c>
    </row>
    <row r="650" spans="3:4" x14ac:dyDescent="0.25">
      <c r="C650" s="39" t="str">
        <f>IF(A650=0,"",IF(IF(COUNTIF(Sec_Fiber!$A$19:$A$1018,B650)&gt;0,TRUE,FALSE)=FALSE,VLOOKUP(B650,SecDB,3,FALSE),VLOOKUP(VLOOKUP(B650,SecFiberDB,2,FALSE),SecDB,3,FALSE)))</f>
        <v/>
      </c>
      <c r="D650" s="39" t="str">
        <f t="shared" si="10"/>
        <v/>
      </c>
    </row>
    <row r="651" spans="3:4" x14ac:dyDescent="0.25">
      <c r="C651" s="39" t="str">
        <f>IF(A651=0,"",IF(IF(COUNTIF(Sec_Fiber!$A$19:$A$1018,B651)&gt;0,TRUE,FALSE)=FALSE,VLOOKUP(B651,SecDB,3,FALSE),VLOOKUP(VLOOKUP(B651,SecFiberDB,2,FALSE),SecDB,3,FALSE)))</f>
        <v/>
      </c>
      <c r="D651" s="39" t="str">
        <f t="shared" si="10"/>
        <v/>
      </c>
    </row>
    <row r="652" spans="3:4" x14ac:dyDescent="0.25">
      <c r="C652" s="39" t="str">
        <f>IF(A652=0,"",IF(IF(COUNTIF(Sec_Fiber!$A$19:$A$1018,B652)&gt;0,TRUE,FALSE)=FALSE,VLOOKUP(B652,SecDB,3,FALSE),VLOOKUP(VLOOKUP(B652,SecFiberDB,2,FALSE),SecDB,3,FALSE)))</f>
        <v/>
      </c>
      <c r="D652" s="39" t="str">
        <f t="shared" si="10"/>
        <v/>
      </c>
    </row>
    <row r="653" spans="3:4" x14ac:dyDescent="0.25">
      <c r="C653" s="39" t="str">
        <f>IF(A653=0,"",IF(IF(COUNTIF(Sec_Fiber!$A$19:$A$1018,B653)&gt;0,TRUE,FALSE)=FALSE,VLOOKUP(B653,SecDB,3,FALSE),VLOOKUP(VLOOKUP(B653,SecFiberDB,2,FALSE),SecDB,3,FALSE)))</f>
        <v/>
      </c>
      <c r="D653" s="39" t="str">
        <f t="shared" si="10"/>
        <v/>
      </c>
    </row>
    <row r="654" spans="3:4" x14ac:dyDescent="0.25">
      <c r="C654" s="39" t="str">
        <f>IF(A654=0,"",IF(IF(COUNTIF(Sec_Fiber!$A$19:$A$1018,B654)&gt;0,TRUE,FALSE)=FALSE,VLOOKUP(B654,SecDB,3,FALSE),VLOOKUP(VLOOKUP(B654,SecFiberDB,2,FALSE),SecDB,3,FALSE)))</f>
        <v/>
      </c>
      <c r="D654" s="39" t="str">
        <f t="shared" si="10"/>
        <v/>
      </c>
    </row>
    <row r="655" spans="3:4" x14ac:dyDescent="0.25">
      <c r="C655" s="39" t="str">
        <f>IF(A655=0,"",IF(IF(COUNTIF(Sec_Fiber!$A$19:$A$1018,B655)&gt;0,TRUE,FALSE)=FALSE,VLOOKUP(B655,SecDB,3,FALSE),VLOOKUP(VLOOKUP(B655,SecFiberDB,2,FALSE),SecDB,3,FALSE)))</f>
        <v/>
      </c>
      <c r="D655" s="39" t="str">
        <f t="shared" si="10"/>
        <v/>
      </c>
    </row>
    <row r="656" spans="3:4" x14ac:dyDescent="0.25">
      <c r="C656" s="39" t="str">
        <f>IF(A656=0,"",IF(IF(COUNTIF(Sec_Fiber!$A$19:$A$1018,B656)&gt;0,TRUE,FALSE)=FALSE,VLOOKUP(B656,SecDB,3,FALSE),VLOOKUP(VLOOKUP(B656,SecFiberDB,2,FALSE),SecDB,3,FALSE)))</f>
        <v/>
      </c>
      <c r="D656" s="39" t="str">
        <f t="shared" si="10"/>
        <v/>
      </c>
    </row>
    <row r="657" spans="3:4" x14ac:dyDescent="0.25">
      <c r="C657" s="39" t="str">
        <f>IF(A657=0,"",IF(IF(COUNTIF(Sec_Fiber!$A$19:$A$1018,B657)&gt;0,TRUE,FALSE)=FALSE,VLOOKUP(B657,SecDB,3,FALSE),VLOOKUP(VLOOKUP(B657,SecFiberDB,2,FALSE),SecDB,3,FALSE)))</f>
        <v/>
      </c>
      <c r="D657" s="39" t="str">
        <f t="shared" si="10"/>
        <v/>
      </c>
    </row>
    <row r="658" spans="3:4" x14ac:dyDescent="0.25">
      <c r="C658" s="39" t="str">
        <f>IF(A658=0,"",IF(IF(COUNTIF(Sec_Fiber!$A$19:$A$1018,B658)&gt;0,TRUE,FALSE)=FALSE,VLOOKUP(B658,SecDB,3,FALSE),VLOOKUP(VLOOKUP(B658,SecFiberDB,2,FALSE),SecDB,3,FALSE)))</f>
        <v/>
      </c>
      <c r="D658" s="39" t="str">
        <f t="shared" si="10"/>
        <v/>
      </c>
    </row>
    <row r="659" spans="3:4" x14ac:dyDescent="0.25">
      <c r="C659" s="39" t="str">
        <f>IF(A659=0,"",IF(IF(COUNTIF(Sec_Fiber!$A$19:$A$1018,B659)&gt;0,TRUE,FALSE)=FALSE,VLOOKUP(B659,SecDB,3,FALSE),VLOOKUP(VLOOKUP(B659,SecFiberDB,2,FALSE),SecDB,3,FALSE)))</f>
        <v/>
      </c>
      <c r="D659" s="39" t="str">
        <f t="shared" si="10"/>
        <v/>
      </c>
    </row>
    <row r="660" spans="3:4" x14ac:dyDescent="0.25">
      <c r="C660" s="39" t="str">
        <f>IF(A660=0,"",IF(IF(COUNTIF(Sec_Fiber!$A$19:$A$1018,B660)&gt;0,TRUE,FALSE)=FALSE,VLOOKUP(B660,SecDB,3,FALSE),VLOOKUP(VLOOKUP(B660,SecFiberDB,2,FALSE),SecDB,3,FALSE)))</f>
        <v/>
      </c>
      <c r="D660" s="39" t="str">
        <f t="shared" si="10"/>
        <v/>
      </c>
    </row>
    <row r="661" spans="3:4" x14ac:dyDescent="0.25">
      <c r="C661" s="39" t="str">
        <f>IF(A661=0,"",IF(IF(COUNTIF(Sec_Fiber!$A$19:$A$1018,B661)&gt;0,TRUE,FALSE)=FALSE,VLOOKUP(B661,SecDB,3,FALSE),VLOOKUP(VLOOKUP(B661,SecFiberDB,2,FALSE),SecDB,3,FALSE)))</f>
        <v/>
      </c>
      <c r="D661" s="39" t="str">
        <f t="shared" si="10"/>
        <v/>
      </c>
    </row>
    <row r="662" spans="3:4" x14ac:dyDescent="0.25">
      <c r="C662" s="39" t="str">
        <f>IF(A662=0,"",IF(IF(COUNTIF(Sec_Fiber!$A$19:$A$1018,B662)&gt;0,TRUE,FALSE)=FALSE,VLOOKUP(B662,SecDB,3,FALSE),VLOOKUP(VLOOKUP(B662,SecFiberDB,2,FALSE),SecDB,3,FALSE)))</f>
        <v/>
      </c>
      <c r="D662" s="39" t="str">
        <f t="shared" si="10"/>
        <v/>
      </c>
    </row>
    <row r="663" spans="3:4" x14ac:dyDescent="0.25">
      <c r="C663" s="39" t="str">
        <f>IF(A663=0,"",IF(IF(COUNTIF(Sec_Fiber!$A$19:$A$1018,B663)&gt;0,TRUE,FALSE)=FALSE,VLOOKUP(B663,SecDB,3,FALSE),VLOOKUP(VLOOKUP(B663,SecFiberDB,2,FALSE),SecDB,3,FALSE)))</f>
        <v/>
      </c>
      <c r="D663" s="39" t="str">
        <f t="shared" si="10"/>
        <v/>
      </c>
    </row>
    <row r="664" spans="3:4" x14ac:dyDescent="0.25">
      <c r="C664" s="39" t="str">
        <f>IF(A664=0,"",IF(IF(COUNTIF(Sec_Fiber!$A$19:$A$1018,B664)&gt;0,TRUE,FALSE)=FALSE,VLOOKUP(B664,SecDB,3,FALSE),VLOOKUP(VLOOKUP(B664,SecFiberDB,2,FALSE),SecDB,3,FALSE)))</f>
        <v/>
      </c>
      <c r="D664" s="39" t="str">
        <f t="shared" si="10"/>
        <v/>
      </c>
    </row>
    <row r="665" spans="3:4" x14ac:dyDescent="0.25">
      <c r="C665" s="39" t="str">
        <f>IF(A665=0,"",IF(IF(COUNTIF(Sec_Fiber!$A$19:$A$1018,B665)&gt;0,TRUE,FALSE)=FALSE,VLOOKUP(B665,SecDB,3,FALSE),VLOOKUP(VLOOKUP(B665,SecFiberDB,2,FALSE),SecDB,3,FALSE)))</f>
        <v/>
      </c>
      <c r="D665" s="39" t="str">
        <f t="shared" si="10"/>
        <v/>
      </c>
    </row>
    <row r="666" spans="3:4" x14ac:dyDescent="0.25">
      <c r="C666" s="39" t="str">
        <f>IF(A666=0,"",IF(IF(COUNTIF(Sec_Fiber!$A$19:$A$1018,B666)&gt;0,TRUE,FALSE)=FALSE,VLOOKUP(B666,SecDB,3,FALSE),VLOOKUP(VLOOKUP(B666,SecFiberDB,2,FALSE),SecDB,3,FALSE)))</f>
        <v/>
      </c>
      <c r="D666" s="39" t="str">
        <f t="shared" si="10"/>
        <v/>
      </c>
    </row>
    <row r="667" spans="3:4" x14ac:dyDescent="0.25">
      <c r="C667" s="39" t="str">
        <f>IF(A667=0,"",IF(IF(COUNTIF(Sec_Fiber!$A$19:$A$1018,B667)&gt;0,TRUE,FALSE)=FALSE,VLOOKUP(B667,SecDB,3,FALSE),VLOOKUP(VLOOKUP(B667,SecFiberDB,2,FALSE),SecDB,3,FALSE)))</f>
        <v/>
      </c>
      <c r="D667" s="39" t="str">
        <f t="shared" si="10"/>
        <v/>
      </c>
    </row>
    <row r="668" spans="3:4" x14ac:dyDescent="0.25">
      <c r="C668" s="39" t="str">
        <f>IF(A668=0,"",IF(IF(COUNTIF(Sec_Fiber!$A$19:$A$1018,B668)&gt;0,TRUE,FALSE)=FALSE,VLOOKUP(B668,SecDB,3,FALSE),VLOOKUP(VLOOKUP(B668,SecFiberDB,2,FALSE),SecDB,3,FALSE)))</f>
        <v/>
      </c>
      <c r="D668" s="39" t="str">
        <f t="shared" si="10"/>
        <v/>
      </c>
    </row>
    <row r="669" spans="3:4" x14ac:dyDescent="0.25">
      <c r="C669" s="39" t="str">
        <f>IF(A669=0,"",IF(IF(COUNTIF(Sec_Fiber!$A$19:$A$1018,B669)&gt;0,TRUE,FALSE)=FALSE,VLOOKUP(B669,SecDB,3,FALSE),VLOOKUP(VLOOKUP(B669,SecFiberDB,2,FALSE),SecDB,3,FALSE)))</f>
        <v/>
      </c>
      <c r="D669" s="39" t="str">
        <f t="shared" si="10"/>
        <v/>
      </c>
    </row>
    <row r="670" spans="3:4" x14ac:dyDescent="0.25">
      <c r="C670" s="39" t="str">
        <f>IF(A670=0,"",IF(IF(COUNTIF(Sec_Fiber!$A$19:$A$1018,B670)&gt;0,TRUE,FALSE)=FALSE,VLOOKUP(B670,SecDB,3,FALSE),VLOOKUP(VLOOKUP(B670,SecFiberDB,2,FALSE),SecDB,3,FALSE)))</f>
        <v/>
      </c>
      <c r="D670" s="39" t="str">
        <f t="shared" si="10"/>
        <v/>
      </c>
    </row>
    <row r="671" spans="3:4" x14ac:dyDescent="0.25">
      <c r="C671" s="39" t="str">
        <f>IF(A671=0,"",IF(IF(COUNTIF(Sec_Fiber!$A$19:$A$1018,B671)&gt;0,TRUE,FALSE)=FALSE,VLOOKUP(B671,SecDB,3,FALSE),VLOOKUP(VLOOKUP(B671,SecFiberDB,2,FALSE),SecDB,3,FALSE)))</f>
        <v/>
      </c>
      <c r="D671" s="39" t="str">
        <f t="shared" si="10"/>
        <v/>
      </c>
    </row>
    <row r="672" spans="3:4" x14ac:dyDescent="0.25">
      <c r="C672" s="39" t="str">
        <f>IF(A672=0,"",IF(IF(COUNTIF(Sec_Fiber!$A$19:$A$1018,B672)&gt;0,TRUE,FALSE)=FALSE,VLOOKUP(B672,SecDB,3,FALSE),VLOOKUP(VLOOKUP(B672,SecFiberDB,2,FALSE),SecDB,3,FALSE)))</f>
        <v/>
      </c>
      <c r="D672" s="39" t="str">
        <f t="shared" si="10"/>
        <v/>
      </c>
    </row>
    <row r="673" spans="3:4" x14ac:dyDescent="0.25">
      <c r="C673" s="39" t="str">
        <f>IF(A673=0,"",IF(IF(COUNTIF(Sec_Fiber!$A$19:$A$1018,B673)&gt;0,TRUE,FALSE)=FALSE,VLOOKUP(B673,SecDB,3,FALSE),VLOOKUP(VLOOKUP(B673,SecFiberDB,2,FALSE),SecDB,3,FALSE)))</f>
        <v/>
      </c>
      <c r="D673" s="39" t="str">
        <f t="shared" si="10"/>
        <v/>
      </c>
    </row>
    <row r="674" spans="3:4" x14ac:dyDescent="0.25">
      <c r="C674" s="39" t="str">
        <f>IF(A674=0,"",IF(IF(COUNTIF(Sec_Fiber!$A$19:$A$1018,B674)&gt;0,TRUE,FALSE)=FALSE,VLOOKUP(B674,SecDB,3,FALSE),VLOOKUP(VLOOKUP(B674,SecFiberDB,2,FALSE),SecDB,3,FALSE)))</f>
        <v/>
      </c>
      <c r="D674" s="39" t="str">
        <f t="shared" si="10"/>
        <v/>
      </c>
    </row>
    <row r="675" spans="3:4" x14ac:dyDescent="0.25">
      <c r="C675" s="39" t="str">
        <f>IF(A675=0,"",IF(IF(COUNTIF(Sec_Fiber!$A$19:$A$1018,B675)&gt;0,TRUE,FALSE)=FALSE,VLOOKUP(B675,SecDB,3,FALSE),VLOOKUP(VLOOKUP(B675,SecFiberDB,2,FALSE),SecDB,3,FALSE)))</f>
        <v/>
      </c>
      <c r="D675" s="39" t="str">
        <f t="shared" si="10"/>
        <v/>
      </c>
    </row>
    <row r="676" spans="3:4" x14ac:dyDescent="0.25">
      <c r="C676" s="39" t="str">
        <f>IF(A676=0,"",IF(IF(COUNTIF(Sec_Fiber!$A$19:$A$1018,B676)&gt;0,TRUE,FALSE)=FALSE,VLOOKUP(B676,SecDB,3,FALSE),VLOOKUP(VLOOKUP(B676,SecFiberDB,2,FALSE),SecDB,3,FALSE)))</f>
        <v/>
      </c>
      <c r="D676" s="39" t="str">
        <f t="shared" si="10"/>
        <v/>
      </c>
    </row>
    <row r="677" spans="3:4" x14ac:dyDescent="0.25">
      <c r="C677" s="39" t="str">
        <f>IF(A677=0,"",IF(IF(COUNTIF(Sec_Fiber!$A$19:$A$1018,B677)&gt;0,TRUE,FALSE)=FALSE,VLOOKUP(B677,SecDB,3,FALSE),VLOOKUP(VLOOKUP(B677,SecFiberDB,2,FALSE),SecDB,3,FALSE)))</f>
        <v/>
      </c>
      <c r="D677" s="39" t="str">
        <f t="shared" si="10"/>
        <v/>
      </c>
    </row>
    <row r="678" spans="3:4" x14ac:dyDescent="0.25">
      <c r="C678" s="39" t="str">
        <f>IF(A678=0,"",IF(IF(COUNTIF(Sec_Fiber!$A$19:$A$1018,B678)&gt;0,TRUE,FALSE)=FALSE,VLOOKUP(B678,SecDB,3,FALSE),VLOOKUP(VLOOKUP(B678,SecFiberDB,2,FALSE),SecDB,3,FALSE)))</f>
        <v/>
      </c>
      <c r="D678" s="39" t="str">
        <f t="shared" si="10"/>
        <v/>
      </c>
    </row>
    <row r="679" spans="3:4" x14ac:dyDescent="0.25">
      <c r="C679" s="39" t="str">
        <f>IF(A679=0,"",IF(IF(COUNTIF(Sec_Fiber!$A$19:$A$1018,B679)&gt;0,TRUE,FALSE)=FALSE,VLOOKUP(B679,SecDB,3,FALSE),VLOOKUP(VLOOKUP(B679,SecFiberDB,2,FALSE),SecDB,3,FALSE)))</f>
        <v/>
      </c>
      <c r="D679" s="39" t="str">
        <f t="shared" si="10"/>
        <v/>
      </c>
    </row>
    <row r="680" spans="3:4" x14ac:dyDescent="0.25">
      <c r="C680" s="39" t="str">
        <f>IF(A680=0,"",IF(IF(COUNTIF(Sec_Fiber!$A$19:$A$1018,B680)&gt;0,TRUE,FALSE)=FALSE,VLOOKUP(B680,SecDB,3,FALSE),VLOOKUP(VLOOKUP(B680,SecFiberDB,2,FALSE),SecDB,3,FALSE)))</f>
        <v/>
      </c>
      <c r="D680" s="39" t="str">
        <f t="shared" si="10"/>
        <v/>
      </c>
    </row>
    <row r="681" spans="3:4" x14ac:dyDescent="0.25">
      <c r="C681" s="39" t="str">
        <f>IF(A681=0,"",IF(IF(COUNTIF(Sec_Fiber!$A$19:$A$1018,B681)&gt;0,TRUE,FALSE)=FALSE,VLOOKUP(B681,SecDB,3,FALSE),VLOOKUP(VLOOKUP(B681,SecFiberDB,2,FALSE),SecDB,3,FALSE)))</f>
        <v/>
      </c>
      <c r="D681" s="39" t="str">
        <f t="shared" si="10"/>
        <v/>
      </c>
    </row>
    <row r="682" spans="3:4" x14ac:dyDescent="0.25">
      <c r="C682" s="39" t="str">
        <f>IF(A682=0,"",IF(IF(COUNTIF(Sec_Fiber!$A$19:$A$1018,B682)&gt;0,TRUE,FALSE)=FALSE,VLOOKUP(B682,SecDB,3,FALSE),VLOOKUP(VLOOKUP(B682,SecFiberDB,2,FALSE),SecDB,3,FALSE)))</f>
        <v/>
      </c>
      <c r="D682" s="39" t="str">
        <f t="shared" si="10"/>
        <v/>
      </c>
    </row>
    <row r="683" spans="3:4" x14ac:dyDescent="0.25">
      <c r="C683" s="39" t="str">
        <f>IF(A683=0,"",IF(IF(COUNTIF(Sec_Fiber!$A$19:$A$1018,B683)&gt;0,TRUE,FALSE)=FALSE,VLOOKUP(B683,SecDB,3,FALSE),VLOOKUP(VLOOKUP(B683,SecFiberDB,2,FALSE),SecDB,3,FALSE)))</f>
        <v/>
      </c>
      <c r="D683" s="39" t="str">
        <f t="shared" si="10"/>
        <v/>
      </c>
    </row>
    <row r="684" spans="3:4" x14ac:dyDescent="0.25">
      <c r="C684" s="39" t="str">
        <f>IF(A684=0,"",IF(IF(COUNTIF(Sec_Fiber!$A$19:$A$1018,B684)&gt;0,TRUE,FALSE)=FALSE,VLOOKUP(B684,SecDB,3,FALSE),VLOOKUP(VLOOKUP(B684,SecFiberDB,2,FALSE),SecDB,3,FALSE)))</f>
        <v/>
      </c>
      <c r="D684" s="39" t="str">
        <f t="shared" si="10"/>
        <v/>
      </c>
    </row>
    <row r="685" spans="3:4" x14ac:dyDescent="0.25">
      <c r="C685" s="39" t="str">
        <f>IF(A685=0,"",IF(IF(COUNTIF(Sec_Fiber!$A$19:$A$1018,B685)&gt;0,TRUE,FALSE)=FALSE,VLOOKUP(B685,SecDB,3,FALSE),VLOOKUP(VLOOKUP(B685,SecFiberDB,2,FALSE),SecDB,3,FALSE)))</f>
        <v/>
      </c>
      <c r="D685" s="39" t="str">
        <f t="shared" si="10"/>
        <v/>
      </c>
    </row>
    <row r="686" spans="3:4" x14ac:dyDescent="0.25">
      <c r="C686" s="39" t="str">
        <f>IF(A686=0,"",IF(IF(COUNTIF(Sec_Fiber!$A$19:$A$1018,B686)&gt;0,TRUE,FALSE)=FALSE,VLOOKUP(B686,SecDB,3,FALSE),VLOOKUP(VLOOKUP(B686,SecFiberDB,2,FALSE),SecDB,3,FALSE)))</f>
        <v/>
      </c>
      <c r="D686" s="39" t="str">
        <f t="shared" si="10"/>
        <v/>
      </c>
    </row>
    <row r="687" spans="3:4" x14ac:dyDescent="0.25">
      <c r="C687" s="39" t="str">
        <f>IF(A687=0,"",IF(IF(COUNTIF(Sec_Fiber!$A$19:$A$1018,B687)&gt;0,TRUE,FALSE)=FALSE,VLOOKUP(B687,SecDB,3,FALSE),VLOOKUP(VLOOKUP(B687,SecFiberDB,2,FALSE),SecDB,3,FALSE)))</f>
        <v/>
      </c>
      <c r="D687" s="39" t="str">
        <f t="shared" si="10"/>
        <v/>
      </c>
    </row>
    <row r="688" spans="3:4" x14ac:dyDescent="0.25">
      <c r="C688" s="39" t="str">
        <f>IF(A688=0,"",IF(IF(COUNTIF(Sec_Fiber!$A$19:$A$1018,B688)&gt;0,TRUE,FALSE)=FALSE,VLOOKUP(B688,SecDB,3,FALSE),VLOOKUP(VLOOKUP(B688,SecFiberDB,2,FALSE),SecDB,3,FALSE)))</f>
        <v/>
      </c>
      <c r="D688" s="39" t="str">
        <f t="shared" si="10"/>
        <v/>
      </c>
    </row>
    <row r="689" spans="3:4" x14ac:dyDescent="0.25">
      <c r="C689" s="39" t="str">
        <f>IF(A689=0,"",IF(IF(COUNTIF(Sec_Fiber!$A$19:$A$1018,B689)&gt;0,TRUE,FALSE)=FALSE,VLOOKUP(B689,SecDB,3,FALSE),VLOOKUP(VLOOKUP(B689,SecFiberDB,2,FALSE),SecDB,3,FALSE)))</f>
        <v/>
      </c>
      <c r="D689" s="39" t="str">
        <f t="shared" si="10"/>
        <v/>
      </c>
    </row>
    <row r="690" spans="3:4" x14ac:dyDescent="0.25">
      <c r="C690" s="39" t="str">
        <f>IF(A690=0,"",IF(IF(COUNTIF(Sec_Fiber!$A$19:$A$1018,B690)&gt;0,TRUE,FALSE)=FALSE,VLOOKUP(B690,SecDB,3,FALSE),VLOOKUP(VLOOKUP(B690,SecFiberDB,2,FALSE),SecDB,3,FALSE)))</f>
        <v/>
      </c>
      <c r="D690" s="39" t="str">
        <f t="shared" si="10"/>
        <v/>
      </c>
    </row>
    <row r="691" spans="3:4" x14ac:dyDescent="0.25">
      <c r="C691" s="39" t="str">
        <f>IF(A691=0,"",IF(IF(COUNTIF(Sec_Fiber!$A$19:$A$1018,B691)&gt;0,TRUE,FALSE)=FALSE,VLOOKUP(B691,SecDB,3,FALSE),VLOOKUP(VLOOKUP(B691,SecFiberDB,2,FALSE),SecDB,3,FALSE)))</f>
        <v/>
      </c>
      <c r="D691" s="39" t="str">
        <f t="shared" si="10"/>
        <v/>
      </c>
    </row>
    <row r="692" spans="3:4" x14ac:dyDescent="0.25">
      <c r="C692" s="39" t="str">
        <f>IF(A692=0,"",IF(IF(COUNTIF(Sec_Fiber!$A$19:$A$1018,B692)&gt;0,TRUE,FALSE)=FALSE,VLOOKUP(B692,SecDB,3,FALSE),VLOOKUP(VLOOKUP(B692,SecFiberDB,2,FALSE),SecDB,3,FALSE)))</f>
        <v/>
      </c>
      <c r="D692" s="39" t="str">
        <f t="shared" si="10"/>
        <v/>
      </c>
    </row>
    <row r="693" spans="3:4" x14ac:dyDescent="0.25">
      <c r="C693" s="39" t="str">
        <f>IF(A693=0,"",IF(IF(COUNTIF(Sec_Fiber!$A$19:$A$1018,B693)&gt;0,TRUE,FALSE)=FALSE,VLOOKUP(B693,SecDB,3,FALSE),VLOOKUP(VLOOKUP(B693,SecFiberDB,2,FALSE),SecDB,3,FALSE)))</f>
        <v/>
      </c>
      <c r="D693" s="39" t="str">
        <f t="shared" si="10"/>
        <v/>
      </c>
    </row>
    <row r="694" spans="3:4" x14ac:dyDescent="0.25">
      <c r="C694" s="39" t="str">
        <f>IF(A694=0,"",IF(IF(COUNTIF(Sec_Fiber!$A$19:$A$1018,B694)&gt;0,TRUE,FALSE)=FALSE,VLOOKUP(B694,SecDB,3,FALSE),VLOOKUP(VLOOKUP(B694,SecFiberDB,2,FALSE),SecDB,3,FALSE)))</f>
        <v/>
      </c>
      <c r="D694" s="39" t="str">
        <f t="shared" si="10"/>
        <v/>
      </c>
    </row>
    <row r="695" spans="3:4" x14ac:dyDescent="0.25">
      <c r="C695" s="39" t="str">
        <f>IF(A695=0,"",IF(IF(COUNTIF(Sec_Fiber!$A$19:$A$1018,B695)&gt;0,TRUE,FALSE)=FALSE,VLOOKUP(B695,SecDB,3,FALSE),VLOOKUP(VLOOKUP(B695,SecFiberDB,2,FALSE),SecDB,3,FALSE)))</f>
        <v/>
      </c>
      <c r="D695" s="39" t="str">
        <f t="shared" si="10"/>
        <v/>
      </c>
    </row>
    <row r="696" spans="3:4" x14ac:dyDescent="0.25">
      <c r="C696" s="39" t="str">
        <f>IF(A696=0,"",IF(IF(COUNTIF(Sec_Fiber!$A$19:$A$1018,B696)&gt;0,TRUE,FALSE)=FALSE,VLOOKUP(B696,SecDB,3,FALSE),VLOOKUP(VLOOKUP(B696,SecFiberDB,2,FALSE),SecDB,3,FALSE)))</f>
        <v/>
      </c>
      <c r="D696" s="39" t="str">
        <f t="shared" si="10"/>
        <v/>
      </c>
    </row>
    <row r="697" spans="3:4" x14ac:dyDescent="0.25">
      <c r="C697" s="39" t="str">
        <f>IF(A697=0,"",IF(IF(COUNTIF(Sec_Fiber!$A$19:$A$1018,B697)&gt;0,TRUE,FALSE)=FALSE,VLOOKUP(B697,SecDB,3,FALSE),VLOOKUP(VLOOKUP(B697,SecFiberDB,2,FALSE),SecDB,3,FALSE)))</f>
        <v/>
      </c>
      <c r="D697" s="39" t="str">
        <f t="shared" si="10"/>
        <v/>
      </c>
    </row>
    <row r="698" spans="3:4" x14ac:dyDescent="0.25">
      <c r="C698" s="39" t="str">
        <f>IF(A698=0,"",IF(IF(COUNTIF(Sec_Fiber!$A$19:$A$1018,B698)&gt;0,TRUE,FALSE)=FALSE,VLOOKUP(B698,SecDB,3,FALSE),VLOOKUP(VLOOKUP(B698,SecFiberDB,2,FALSE),SecDB,3,FALSE)))</f>
        <v/>
      </c>
      <c r="D698" s="39" t="str">
        <f t="shared" si="10"/>
        <v/>
      </c>
    </row>
    <row r="699" spans="3:4" x14ac:dyDescent="0.25">
      <c r="C699" s="39" t="str">
        <f>IF(A699=0,"",IF(IF(COUNTIF(Sec_Fiber!$A$19:$A$1018,B699)&gt;0,TRUE,FALSE)=FALSE,VLOOKUP(B699,SecDB,3,FALSE),VLOOKUP(VLOOKUP(B699,SecFiberDB,2,FALSE),SecDB,3,FALSE)))</f>
        <v/>
      </c>
      <c r="D699" s="39" t="str">
        <f t="shared" si="10"/>
        <v/>
      </c>
    </row>
    <row r="700" spans="3:4" x14ac:dyDescent="0.25">
      <c r="C700" s="39" t="str">
        <f>IF(A700=0,"",IF(IF(COUNTIF(Sec_Fiber!$A$19:$A$1018,B700)&gt;0,TRUE,FALSE)=FALSE,VLOOKUP(B700,SecDB,3,FALSE),VLOOKUP(VLOOKUP(B700,SecFiberDB,2,FALSE),SecDB,3,FALSE)))</f>
        <v/>
      </c>
      <c r="D700" s="39" t="str">
        <f t="shared" si="10"/>
        <v/>
      </c>
    </row>
    <row r="701" spans="3:4" x14ac:dyDescent="0.25">
      <c r="C701" s="39" t="str">
        <f>IF(A701=0,"",IF(IF(COUNTIF(Sec_Fiber!$A$19:$A$1018,B701)&gt;0,TRUE,FALSE)=FALSE,VLOOKUP(B701,SecDB,3,FALSE),VLOOKUP(VLOOKUP(B701,SecFiberDB,2,FALSE),SecDB,3,FALSE)))</f>
        <v/>
      </c>
      <c r="D701" s="39" t="str">
        <f t="shared" si="10"/>
        <v/>
      </c>
    </row>
    <row r="702" spans="3:4" x14ac:dyDescent="0.25">
      <c r="C702" s="39" t="str">
        <f>IF(A702=0,"",IF(IF(COUNTIF(Sec_Fiber!$A$19:$A$1018,B702)&gt;0,TRUE,FALSE)=FALSE,VLOOKUP(B702,SecDB,3,FALSE),VLOOKUP(VLOOKUP(B702,SecFiberDB,2,FALSE),SecDB,3,FALSE)))</f>
        <v/>
      </c>
      <c r="D702" s="39" t="str">
        <f t="shared" si="10"/>
        <v/>
      </c>
    </row>
    <row r="703" spans="3:4" x14ac:dyDescent="0.25">
      <c r="C703" s="39" t="str">
        <f>IF(A703=0,"",IF(IF(COUNTIF(Sec_Fiber!$A$19:$A$1018,B703)&gt;0,TRUE,FALSE)=FALSE,VLOOKUP(B703,SecDB,3,FALSE),VLOOKUP(VLOOKUP(B703,SecFiberDB,2,FALSE),SecDB,3,FALSE)))</f>
        <v/>
      </c>
      <c r="D703" s="39" t="str">
        <f t="shared" si="10"/>
        <v/>
      </c>
    </row>
    <row r="704" spans="3:4" x14ac:dyDescent="0.25">
      <c r="C704" s="39" t="str">
        <f>IF(A704=0,"",IF(IF(COUNTIF(Sec_Fiber!$A$19:$A$1018,B704)&gt;0,TRUE,FALSE)=FALSE,VLOOKUP(B704,SecDB,3,FALSE),VLOOKUP(VLOOKUP(B704,SecFiberDB,2,FALSE),SecDB,3,FALSE)))</f>
        <v/>
      </c>
      <c r="D704" s="39" t="str">
        <f t="shared" si="10"/>
        <v/>
      </c>
    </row>
    <row r="705" spans="3:4" x14ac:dyDescent="0.25">
      <c r="C705" s="39" t="str">
        <f>IF(A705=0,"",IF(IF(COUNTIF(Sec_Fiber!$A$19:$A$1018,B705)&gt;0,TRUE,FALSE)=FALSE,VLOOKUP(B705,SecDB,3,FALSE),VLOOKUP(VLOOKUP(B705,SecFiberDB,2,FALSE),SecDB,3,FALSE)))</f>
        <v/>
      </c>
      <c r="D705" s="39" t="str">
        <f t="shared" si="10"/>
        <v/>
      </c>
    </row>
    <row r="706" spans="3:4" x14ac:dyDescent="0.25">
      <c r="C706" s="39" t="str">
        <f>IF(A706=0,"",IF(IF(COUNTIF(Sec_Fiber!$A$19:$A$1018,B706)&gt;0,TRUE,FALSE)=FALSE,VLOOKUP(B706,SecDB,3,FALSE),VLOOKUP(VLOOKUP(B706,SecFiberDB,2,FALSE),SecDB,3,FALSE)))</f>
        <v/>
      </c>
      <c r="D706" s="39" t="str">
        <f t="shared" si="10"/>
        <v/>
      </c>
    </row>
    <row r="707" spans="3:4" x14ac:dyDescent="0.25">
      <c r="C707" s="39" t="str">
        <f>IF(A707=0,"",IF(IF(COUNTIF(Sec_Fiber!$A$19:$A$1018,B707)&gt;0,TRUE,FALSE)=FALSE,VLOOKUP(B707,SecDB,3,FALSE),VLOOKUP(VLOOKUP(B707,SecFiberDB,2,FALSE),SecDB,3,FALSE)))</f>
        <v/>
      </c>
      <c r="D707" s="39" t="str">
        <f t="shared" si="10"/>
        <v/>
      </c>
    </row>
    <row r="708" spans="3:4" x14ac:dyDescent="0.25">
      <c r="C708" s="39" t="str">
        <f>IF(A708=0,"",IF(IF(COUNTIF(Sec_Fiber!$A$19:$A$1018,B708)&gt;0,TRUE,FALSE)=FALSE,VLOOKUP(B708,SecDB,3,FALSE),VLOOKUP(VLOOKUP(B708,SecFiberDB,2,FALSE),SecDB,3,FALSE)))</f>
        <v/>
      </c>
      <c r="D708" s="39" t="str">
        <f t="shared" si="10"/>
        <v/>
      </c>
    </row>
    <row r="709" spans="3:4" x14ac:dyDescent="0.25">
      <c r="C709" s="39" t="str">
        <f>IF(A709=0,"",IF(IF(COUNTIF(Sec_Fiber!$A$19:$A$1018,B709)&gt;0,TRUE,FALSE)=FALSE,VLOOKUP(B709,SecDB,3,FALSE),VLOOKUP(VLOOKUP(B709,SecFiberDB,2,FALSE),SecDB,3,FALSE)))</f>
        <v/>
      </c>
      <c r="D709" s="39" t="str">
        <f t="shared" si="10"/>
        <v/>
      </c>
    </row>
    <row r="710" spans="3:4" x14ac:dyDescent="0.25">
      <c r="C710" s="39" t="str">
        <f>IF(A710=0,"",IF(IF(COUNTIF(Sec_Fiber!$A$19:$A$1018,B710)&gt;0,TRUE,FALSE)=FALSE,VLOOKUP(B710,SecDB,3,FALSE),VLOOKUP(VLOOKUP(B710,SecFiberDB,2,FALSE),SecDB,3,FALSE)))</f>
        <v/>
      </c>
      <c r="D710" s="39" t="str">
        <f t="shared" si="10"/>
        <v/>
      </c>
    </row>
    <row r="711" spans="3:4" x14ac:dyDescent="0.25">
      <c r="C711" s="39" t="str">
        <f>IF(A711=0,"",IF(IF(COUNTIF(Sec_Fiber!$A$19:$A$1018,B711)&gt;0,TRUE,FALSE)=FALSE,VLOOKUP(B711,SecDB,3,FALSE),VLOOKUP(VLOOKUP(B711,SecFiberDB,2,FALSE),SecDB,3,FALSE)))</f>
        <v/>
      </c>
      <c r="D711" s="39" t="str">
        <f t="shared" si="10"/>
        <v/>
      </c>
    </row>
    <row r="712" spans="3:4" x14ac:dyDescent="0.25">
      <c r="C712" s="39" t="str">
        <f>IF(A712=0,"",IF(IF(COUNTIF(Sec_Fiber!$A$19:$A$1018,B712)&gt;0,TRUE,FALSE)=FALSE,VLOOKUP(B712,SecDB,3,FALSE),VLOOKUP(VLOOKUP(B712,SecFiberDB,2,FALSE),SecDB,3,FALSE)))</f>
        <v/>
      </c>
      <c r="D712" s="39" t="str">
        <f t="shared" si="10"/>
        <v/>
      </c>
    </row>
    <row r="713" spans="3:4" x14ac:dyDescent="0.25">
      <c r="C713" s="39" t="str">
        <f>IF(A713=0,"",IF(IF(COUNTIF(Sec_Fiber!$A$19:$A$1018,B713)&gt;0,TRUE,FALSE)=FALSE,VLOOKUP(B713,SecDB,3,FALSE),VLOOKUP(VLOOKUP(B713,SecFiberDB,2,FALSE),SecDB,3,FALSE)))</f>
        <v/>
      </c>
      <c r="D713" s="39" t="str">
        <f t="shared" ref="D713:D776" si="11">IF(A713=0,"","Aggregator")</f>
        <v/>
      </c>
    </row>
    <row r="714" spans="3:4" x14ac:dyDescent="0.25">
      <c r="C714" s="39" t="str">
        <f>IF(A714=0,"",IF(IF(COUNTIF(Sec_Fiber!$A$19:$A$1018,B714)&gt;0,TRUE,FALSE)=FALSE,VLOOKUP(B714,SecDB,3,FALSE),VLOOKUP(VLOOKUP(B714,SecFiberDB,2,FALSE),SecDB,3,FALSE)))</f>
        <v/>
      </c>
      <c r="D714" s="39" t="str">
        <f t="shared" si="11"/>
        <v/>
      </c>
    </row>
    <row r="715" spans="3:4" x14ac:dyDescent="0.25">
      <c r="C715" s="39" t="str">
        <f>IF(A715=0,"",IF(IF(COUNTIF(Sec_Fiber!$A$19:$A$1018,B715)&gt;0,TRUE,FALSE)=FALSE,VLOOKUP(B715,SecDB,3,FALSE),VLOOKUP(VLOOKUP(B715,SecFiberDB,2,FALSE),SecDB,3,FALSE)))</f>
        <v/>
      </c>
      <c r="D715" s="39" t="str">
        <f t="shared" si="11"/>
        <v/>
      </c>
    </row>
    <row r="716" spans="3:4" x14ac:dyDescent="0.25">
      <c r="C716" s="39" t="str">
        <f>IF(A716=0,"",IF(IF(COUNTIF(Sec_Fiber!$A$19:$A$1018,B716)&gt;0,TRUE,FALSE)=FALSE,VLOOKUP(B716,SecDB,3,FALSE),VLOOKUP(VLOOKUP(B716,SecFiberDB,2,FALSE),SecDB,3,FALSE)))</f>
        <v/>
      </c>
      <c r="D716" s="39" t="str">
        <f t="shared" si="11"/>
        <v/>
      </c>
    </row>
    <row r="717" spans="3:4" x14ac:dyDescent="0.25">
      <c r="C717" s="39" t="str">
        <f>IF(A717=0,"",IF(IF(COUNTIF(Sec_Fiber!$A$19:$A$1018,B717)&gt;0,TRUE,FALSE)=FALSE,VLOOKUP(B717,SecDB,3,FALSE),VLOOKUP(VLOOKUP(B717,SecFiberDB,2,FALSE),SecDB,3,FALSE)))</f>
        <v/>
      </c>
      <c r="D717" s="39" t="str">
        <f t="shared" si="11"/>
        <v/>
      </c>
    </row>
    <row r="718" spans="3:4" x14ac:dyDescent="0.25">
      <c r="C718" s="39" t="str">
        <f>IF(A718=0,"",IF(IF(COUNTIF(Sec_Fiber!$A$19:$A$1018,B718)&gt;0,TRUE,FALSE)=FALSE,VLOOKUP(B718,SecDB,3,FALSE),VLOOKUP(VLOOKUP(B718,SecFiberDB,2,FALSE),SecDB,3,FALSE)))</f>
        <v/>
      </c>
      <c r="D718" s="39" t="str">
        <f t="shared" si="11"/>
        <v/>
      </c>
    </row>
    <row r="719" spans="3:4" x14ac:dyDescent="0.25">
      <c r="C719" s="39" t="str">
        <f>IF(A719=0,"",IF(IF(COUNTIF(Sec_Fiber!$A$19:$A$1018,B719)&gt;0,TRUE,FALSE)=FALSE,VLOOKUP(B719,SecDB,3,FALSE),VLOOKUP(VLOOKUP(B719,SecFiberDB,2,FALSE),SecDB,3,FALSE)))</f>
        <v/>
      </c>
      <c r="D719" s="39" t="str">
        <f t="shared" si="11"/>
        <v/>
      </c>
    </row>
    <row r="720" spans="3:4" x14ac:dyDescent="0.25">
      <c r="C720" s="39" t="str">
        <f>IF(A720=0,"",IF(IF(COUNTIF(Sec_Fiber!$A$19:$A$1018,B720)&gt;0,TRUE,FALSE)=FALSE,VLOOKUP(B720,SecDB,3,FALSE),VLOOKUP(VLOOKUP(B720,SecFiberDB,2,FALSE),SecDB,3,FALSE)))</f>
        <v/>
      </c>
      <c r="D720" s="39" t="str">
        <f t="shared" si="11"/>
        <v/>
      </c>
    </row>
    <row r="721" spans="3:4" x14ac:dyDescent="0.25">
      <c r="C721" s="39" t="str">
        <f>IF(A721=0,"",IF(IF(COUNTIF(Sec_Fiber!$A$19:$A$1018,B721)&gt;0,TRUE,FALSE)=FALSE,VLOOKUP(B721,SecDB,3,FALSE),VLOOKUP(VLOOKUP(B721,SecFiberDB,2,FALSE),SecDB,3,FALSE)))</f>
        <v/>
      </c>
      <c r="D721" s="39" t="str">
        <f t="shared" si="11"/>
        <v/>
      </c>
    </row>
    <row r="722" spans="3:4" x14ac:dyDescent="0.25">
      <c r="C722" s="39" t="str">
        <f>IF(A722=0,"",IF(IF(COUNTIF(Sec_Fiber!$A$19:$A$1018,B722)&gt;0,TRUE,FALSE)=FALSE,VLOOKUP(B722,SecDB,3,FALSE),VLOOKUP(VLOOKUP(B722,SecFiberDB,2,FALSE),SecDB,3,FALSE)))</f>
        <v/>
      </c>
      <c r="D722" s="39" t="str">
        <f t="shared" si="11"/>
        <v/>
      </c>
    </row>
    <row r="723" spans="3:4" x14ac:dyDescent="0.25">
      <c r="C723" s="39" t="str">
        <f>IF(A723=0,"",IF(IF(COUNTIF(Sec_Fiber!$A$19:$A$1018,B723)&gt;0,TRUE,FALSE)=FALSE,VLOOKUP(B723,SecDB,3,FALSE),VLOOKUP(VLOOKUP(B723,SecFiberDB,2,FALSE),SecDB,3,FALSE)))</f>
        <v/>
      </c>
      <c r="D723" s="39" t="str">
        <f t="shared" si="11"/>
        <v/>
      </c>
    </row>
    <row r="724" spans="3:4" x14ac:dyDescent="0.25">
      <c r="C724" s="39" t="str">
        <f>IF(A724=0,"",IF(IF(COUNTIF(Sec_Fiber!$A$19:$A$1018,B724)&gt;0,TRUE,FALSE)=FALSE,VLOOKUP(B724,SecDB,3,FALSE),VLOOKUP(VLOOKUP(B724,SecFiberDB,2,FALSE),SecDB,3,FALSE)))</f>
        <v/>
      </c>
      <c r="D724" s="39" t="str">
        <f t="shared" si="11"/>
        <v/>
      </c>
    </row>
    <row r="725" spans="3:4" x14ac:dyDescent="0.25">
      <c r="C725" s="39" t="str">
        <f>IF(A725=0,"",IF(IF(COUNTIF(Sec_Fiber!$A$19:$A$1018,B725)&gt;0,TRUE,FALSE)=FALSE,VLOOKUP(B725,SecDB,3,FALSE),VLOOKUP(VLOOKUP(B725,SecFiberDB,2,FALSE),SecDB,3,FALSE)))</f>
        <v/>
      </c>
      <c r="D725" s="39" t="str">
        <f t="shared" si="11"/>
        <v/>
      </c>
    </row>
    <row r="726" spans="3:4" x14ac:dyDescent="0.25">
      <c r="C726" s="39" t="str">
        <f>IF(A726=0,"",IF(IF(COUNTIF(Sec_Fiber!$A$19:$A$1018,B726)&gt;0,TRUE,FALSE)=FALSE,VLOOKUP(B726,SecDB,3,FALSE),VLOOKUP(VLOOKUP(B726,SecFiberDB,2,FALSE),SecDB,3,FALSE)))</f>
        <v/>
      </c>
      <c r="D726" s="39" t="str">
        <f t="shared" si="11"/>
        <v/>
      </c>
    </row>
    <row r="727" spans="3:4" x14ac:dyDescent="0.25">
      <c r="C727" s="39" t="str">
        <f>IF(A727=0,"",IF(IF(COUNTIF(Sec_Fiber!$A$19:$A$1018,B727)&gt;0,TRUE,FALSE)=FALSE,VLOOKUP(B727,SecDB,3,FALSE),VLOOKUP(VLOOKUP(B727,SecFiberDB,2,FALSE),SecDB,3,FALSE)))</f>
        <v/>
      </c>
      <c r="D727" s="39" t="str">
        <f t="shared" si="11"/>
        <v/>
      </c>
    </row>
    <row r="728" spans="3:4" x14ac:dyDescent="0.25">
      <c r="C728" s="39" t="str">
        <f>IF(A728=0,"",IF(IF(COUNTIF(Sec_Fiber!$A$19:$A$1018,B728)&gt;0,TRUE,FALSE)=FALSE,VLOOKUP(B728,SecDB,3,FALSE),VLOOKUP(VLOOKUP(B728,SecFiberDB,2,FALSE),SecDB,3,FALSE)))</f>
        <v/>
      </c>
      <c r="D728" s="39" t="str">
        <f t="shared" si="11"/>
        <v/>
      </c>
    </row>
    <row r="729" spans="3:4" x14ac:dyDescent="0.25">
      <c r="C729" s="39" t="str">
        <f>IF(A729=0,"",IF(IF(COUNTIF(Sec_Fiber!$A$19:$A$1018,B729)&gt;0,TRUE,FALSE)=FALSE,VLOOKUP(B729,SecDB,3,FALSE),VLOOKUP(VLOOKUP(B729,SecFiberDB,2,FALSE),SecDB,3,FALSE)))</f>
        <v/>
      </c>
      <c r="D729" s="39" t="str">
        <f t="shared" si="11"/>
        <v/>
      </c>
    </row>
    <row r="730" spans="3:4" x14ac:dyDescent="0.25">
      <c r="C730" s="39" t="str">
        <f>IF(A730=0,"",IF(IF(COUNTIF(Sec_Fiber!$A$19:$A$1018,B730)&gt;0,TRUE,FALSE)=FALSE,VLOOKUP(B730,SecDB,3,FALSE),VLOOKUP(VLOOKUP(B730,SecFiberDB,2,FALSE),SecDB,3,FALSE)))</f>
        <v/>
      </c>
      <c r="D730" s="39" t="str">
        <f t="shared" si="11"/>
        <v/>
      </c>
    </row>
    <row r="731" spans="3:4" x14ac:dyDescent="0.25">
      <c r="C731" s="39" t="str">
        <f>IF(A731=0,"",IF(IF(COUNTIF(Sec_Fiber!$A$19:$A$1018,B731)&gt;0,TRUE,FALSE)=FALSE,VLOOKUP(B731,SecDB,3,FALSE),VLOOKUP(VLOOKUP(B731,SecFiberDB,2,FALSE),SecDB,3,FALSE)))</f>
        <v/>
      </c>
      <c r="D731" s="39" t="str">
        <f t="shared" si="11"/>
        <v/>
      </c>
    </row>
    <row r="732" spans="3:4" x14ac:dyDescent="0.25">
      <c r="C732" s="39" t="str">
        <f>IF(A732=0,"",IF(IF(COUNTIF(Sec_Fiber!$A$19:$A$1018,B732)&gt;0,TRUE,FALSE)=FALSE,VLOOKUP(B732,SecDB,3,FALSE),VLOOKUP(VLOOKUP(B732,SecFiberDB,2,FALSE),SecDB,3,FALSE)))</f>
        <v/>
      </c>
      <c r="D732" s="39" t="str">
        <f t="shared" si="11"/>
        <v/>
      </c>
    </row>
    <row r="733" spans="3:4" x14ac:dyDescent="0.25">
      <c r="C733" s="39" t="str">
        <f>IF(A733=0,"",IF(IF(COUNTIF(Sec_Fiber!$A$19:$A$1018,B733)&gt;0,TRUE,FALSE)=FALSE,VLOOKUP(B733,SecDB,3,FALSE),VLOOKUP(VLOOKUP(B733,SecFiberDB,2,FALSE),SecDB,3,FALSE)))</f>
        <v/>
      </c>
      <c r="D733" s="39" t="str">
        <f t="shared" si="11"/>
        <v/>
      </c>
    </row>
    <row r="734" spans="3:4" x14ac:dyDescent="0.25">
      <c r="C734" s="39" t="str">
        <f>IF(A734=0,"",IF(IF(COUNTIF(Sec_Fiber!$A$19:$A$1018,B734)&gt;0,TRUE,FALSE)=FALSE,VLOOKUP(B734,SecDB,3,FALSE),VLOOKUP(VLOOKUP(B734,SecFiberDB,2,FALSE),SecDB,3,FALSE)))</f>
        <v/>
      </c>
      <c r="D734" s="39" t="str">
        <f t="shared" si="11"/>
        <v/>
      </c>
    </row>
    <row r="735" spans="3:4" x14ac:dyDescent="0.25">
      <c r="C735" s="39" t="str">
        <f>IF(A735=0,"",IF(IF(COUNTIF(Sec_Fiber!$A$19:$A$1018,B735)&gt;0,TRUE,FALSE)=FALSE,VLOOKUP(B735,SecDB,3,FALSE),VLOOKUP(VLOOKUP(B735,SecFiberDB,2,FALSE),SecDB,3,FALSE)))</f>
        <v/>
      </c>
      <c r="D735" s="39" t="str">
        <f t="shared" si="11"/>
        <v/>
      </c>
    </row>
    <row r="736" spans="3:4" x14ac:dyDescent="0.25">
      <c r="C736" s="39" t="str">
        <f>IF(A736=0,"",IF(IF(COUNTIF(Sec_Fiber!$A$19:$A$1018,B736)&gt;0,TRUE,FALSE)=FALSE,VLOOKUP(B736,SecDB,3,FALSE),VLOOKUP(VLOOKUP(B736,SecFiberDB,2,FALSE),SecDB,3,FALSE)))</f>
        <v/>
      </c>
      <c r="D736" s="39" t="str">
        <f t="shared" si="11"/>
        <v/>
      </c>
    </row>
    <row r="737" spans="3:4" x14ac:dyDescent="0.25">
      <c r="C737" s="39" t="str">
        <f>IF(A737=0,"",IF(IF(COUNTIF(Sec_Fiber!$A$19:$A$1018,B737)&gt;0,TRUE,FALSE)=FALSE,VLOOKUP(B737,SecDB,3,FALSE),VLOOKUP(VLOOKUP(B737,SecFiberDB,2,FALSE),SecDB,3,FALSE)))</f>
        <v/>
      </c>
      <c r="D737" s="39" t="str">
        <f t="shared" si="11"/>
        <v/>
      </c>
    </row>
    <row r="738" spans="3:4" x14ac:dyDescent="0.25">
      <c r="C738" s="39" t="str">
        <f>IF(A738=0,"",IF(IF(COUNTIF(Sec_Fiber!$A$19:$A$1018,B738)&gt;0,TRUE,FALSE)=FALSE,VLOOKUP(B738,SecDB,3,FALSE),VLOOKUP(VLOOKUP(B738,SecFiberDB,2,FALSE),SecDB,3,FALSE)))</f>
        <v/>
      </c>
      <c r="D738" s="39" t="str">
        <f t="shared" si="11"/>
        <v/>
      </c>
    </row>
    <row r="739" spans="3:4" x14ac:dyDescent="0.25">
      <c r="C739" s="39" t="str">
        <f>IF(A739=0,"",IF(IF(COUNTIF(Sec_Fiber!$A$19:$A$1018,B739)&gt;0,TRUE,FALSE)=FALSE,VLOOKUP(B739,SecDB,3,FALSE),VLOOKUP(VLOOKUP(B739,SecFiberDB,2,FALSE),SecDB,3,FALSE)))</f>
        <v/>
      </c>
      <c r="D739" s="39" t="str">
        <f t="shared" si="11"/>
        <v/>
      </c>
    </row>
    <row r="740" spans="3:4" x14ac:dyDescent="0.25">
      <c r="C740" s="39" t="str">
        <f>IF(A740=0,"",IF(IF(COUNTIF(Sec_Fiber!$A$19:$A$1018,B740)&gt;0,TRUE,FALSE)=FALSE,VLOOKUP(B740,SecDB,3,FALSE),VLOOKUP(VLOOKUP(B740,SecFiberDB,2,FALSE),SecDB,3,FALSE)))</f>
        <v/>
      </c>
      <c r="D740" s="39" t="str">
        <f t="shared" si="11"/>
        <v/>
      </c>
    </row>
    <row r="741" spans="3:4" x14ac:dyDescent="0.25">
      <c r="C741" s="39" t="str">
        <f>IF(A741=0,"",IF(IF(COUNTIF(Sec_Fiber!$A$19:$A$1018,B741)&gt;0,TRUE,FALSE)=FALSE,VLOOKUP(B741,SecDB,3,FALSE),VLOOKUP(VLOOKUP(B741,SecFiberDB,2,FALSE),SecDB,3,FALSE)))</f>
        <v/>
      </c>
      <c r="D741" s="39" t="str">
        <f t="shared" si="11"/>
        <v/>
      </c>
    </row>
    <row r="742" spans="3:4" x14ac:dyDescent="0.25">
      <c r="C742" s="39" t="str">
        <f>IF(A742=0,"",IF(IF(COUNTIF(Sec_Fiber!$A$19:$A$1018,B742)&gt;0,TRUE,FALSE)=FALSE,VLOOKUP(B742,SecDB,3,FALSE),VLOOKUP(VLOOKUP(B742,SecFiberDB,2,FALSE),SecDB,3,FALSE)))</f>
        <v/>
      </c>
      <c r="D742" s="39" t="str">
        <f t="shared" si="11"/>
        <v/>
      </c>
    </row>
    <row r="743" spans="3:4" x14ac:dyDescent="0.25">
      <c r="C743" s="39" t="str">
        <f>IF(A743=0,"",IF(IF(COUNTIF(Sec_Fiber!$A$19:$A$1018,B743)&gt;0,TRUE,FALSE)=FALSE,VLOOKUP(B743,SecDB,3,FALSE),VLOOKUP(VLOOKUP(B743,SecFiberDB,2,FALSE),SecDB,3,FALSE)))</f>
        <v/>
      </c>
      <c r="D743" s="39" t="str">
        <f t="shared" si="11"/>
        <v/>
      </c>
    </row>
    <row r="744" spans="3:4" x14ac:dyDescent="0.25">
      <c r="C744" s="39" t="str">
        <f>IF(A744=0,"",IF(IF(COUNTIF(Sec_Fiber!$A$19:$A$1018,B744)&gt;0,TRUE,FALSE)=FALSE,VLOOKUP(B744,SecDB,3,FALSE),VLOOKUP(VLOOKUP(B744,SecFiberDB,2,FALSE),SecDB,3,FALSE)))</f>
        <v/>
      </c>
      <c r="D744" s="39" t="str">
        <f t="shared" si="11"/>
        <v/>
      </c>
    </row>
    <row r="745" spans="3:4" x14ac:dyDescent="0.25">
      <c r="C745" s="39" t="str">
        <f>IF(A745=0,"",IF(IF(COUNTIF(Sec_Fiber!$A$19:$A$1018,B745)&gt;0,TRUE,FALSE)=FALSE,VLOOKUP(B745,SecDB,3,FALSE),VLOOKUP(VLOOKUP(B745,SecFiberDB,2,FALSE),SecDB,3,FALSE)))</f>
        <v/>
      </c>
      <c r="D745" s="39" t="str">
        <f t="shared" si="11"/>
        <v/>
      </c>
    </row>
    <row r="746" spans="3:4" x14ac:dyDescent="0.25">
      <c r="C746" s="39" t="str">
        <f>IF(A746=0,"",IF(IF(COUNTIF(Sec_Fiber!$A$19:$A$1018,B746)&gt;0,TRUE,FALSE)=FALSE,VLOOKUP(B746,SecDB,3,FALSE),VLOOKUP(VLOOKUP(B746,SecFiberDB,2,FALSE),SecDB,3,FALSE)))</f>
        <v/>
      </c>
      <c r="D746" s="39" t="str">
        <f t="shared" si="11"/>
        <v/>
      </c>
    </row>
    <row r="747" spans="3:4" x14ac:dyDescent="0.25">
      <c r="C747" s="39" t="str">
        <f>IF(A747=0,"",IF(IF(COUNTIF(Sec_Fiber!$A$19:$A$1018,B747)&gt;0,TRUE,FALSE)=FALSE,VLOOKUP(B747,SecDB,3,FALSE),VLOOKUP(VLOOKUP(B747,SecFiberDB,2,FALSE),SecDB,3,FALSE)))</f>
        <v/>
      </c>
      <c r="D747" s="39" t="str">
        <f t="shared" si="11"/>
        <v/>
      </c>
    </row>
    <row r="748" spans="3:4" x14ac:dyDescent="0.25">
      <c r="C748" s="39" t="str">
        <f>IF(A748=0,"",IF(IF(COUNTIF(Sec_Fiber!$A$19:$A$1018,B748)&gt;0,TRUE,FALSE)=FALSE,VLOOKUP(B748,SecDB,3,FALSE),VLOOKUP(VLOOKUP(B748,SecFiberDB,2,FALSE),SecDB,3,FALSE)))</f>
        <v/>
      </c>
      <c r="D748" s="39" t="str">
        <f t="shared" si="11"/>
        <v/>
      </c>
    </row>
    <row r="749" spans="3:4" x14ac:dyDescent="0.25">
      <c r="C749" s="39" t="str">
        <f>IF(A749=0,"",IF(IF(COUNTIF(Sec_Fiber!$A$19:$A$1018,B749)&gt;0,TRUE,FALSE)=FALSE,VLOOKUP(B749,SecDB,3,FALSE),VLOOKUP(VLOOKUP(B749,SecFiberDB,2,FALSE),SecDB,3,FALSE)))</f>
        <v/>
      </c>
      <c r="D749" s="39" t="str">
        <f t="shared" si="11"/>
        <v/>
      </c>
    </row>
    <row r="750" spans="3:4" x14ac:dyDescent="0.25">
      <c r="C750" s="39" t="str">
        <f>IF(A750=0,"",IF(IF(COUNTIF(Sec_Fiber!$A$19:$A$1018,B750)&gt;0,TRUE,FALSE)=FALSE,VLOOKUP(B750,SecDB,3,FALSE),VLOOKUP(VLOOKUP(B750,SecFiberDB,2,FALSE),SecDB,3,FALSE)))</f>
        <v/>
      </c>
      <c r="D750" s="39" t="str">
        <f t="shared" si="11"/>
        <v/>
      </c>
    </row>
    <row r="751" spans="3:4" x14ac:dyDescent="0.25">
      <c r="C751" s="39" t="str">
        <f>IF(A751=0,"",IF(IF(COUNTIF(Sec_Fiber!$A$19:$A$1018,B751)&gt;0,TRUE,FALSE)=FALSE,VLOOKUP(B751,SecDB,3,FALSE),VLOOKUP(VLOOKUP(B751,SecFiberDB,2,FALSE),SecDB,3,FALSE)))</f>
        <v/>
      </c>
      <c r="D751" s="39" t="str">
        <f t="shared" si="11"/>
        <v/>
      </c>
    </row>
    <row r="752" spans="3:4" x14ac:dyDescent="0.25">
      <c r="C752" s="39" t="str">
        <f>IF(A752=0,"",IF(IF(COUNTIF(Sec_Fiber!$A$19:$A$1018,B752)&gt;0,TRUE,FALSE)=FALSE,VLOOKUP(B752,SecDB,3,FALSE),VLOOKUP(VLOOKUP(B752,SecFiberDB,2,FALSE),SecDB,3,FALSE)))</f>
        <v/>
      </c>
      <c r="D752" s="39" t="str">
        <f t="shared" si="11"/>
        <v/>
      </c>
    </row>
    <row r="753" spans="3:4" x14ac:dyDescent="0.25">
      <c r="C753" s="39" t="str">
        <f>IF(A753=0,"",IF(IF(COUNTIF(Sec_Fiber!$A$19:$A$1018,B753)&gt;0,TRUE,FALSE)=FALSE,VLOOKUP(B753,SecDB,3,FALSE),VLOOKUP(VLOOKUP(B753,SecFiberDB,2,FALSE),SecDB,3,FALSE)))</f>
        <v/>
      </c>
      <c r="D753" s="39" t="str">
        <f t="shared" si="11"/>
        <v/>
      </c>
    </row>
    <row r="754" spans="3:4" x14ac:dyDescent="0.25">
      <c r="C754" s="39" t="str">
        <f>IF(A754=0,"",IF(IF(COUNTIF(Sec_Fiber!$A$19:$A$1018,B754)&gt;0,TRUE,FALSE)=FALSE,VLOOKUP(B754,SecDB,3,FALSE),VLOOKUP(VLOOKUP(B754,SecFiberDB,2,FALSE),SecDB,3,FALSE)))</f>
        <v/>
      </c>
      <c r="D754" s="39" t="str">
        <f t="shared" si="11"/>
        <v/>
      </c>
    </row>
    <row r="755" spans="3:4" x14ac:dyDescent="0.25">
      <c r="C755" s="39" t="str">
        <f>IF(A755=0,"",IF(IF(COUNTIF(Sec_Fiber!$A$19:$A$1018,B755)&gt;0,TRUE,FALSE)=FALSE,VLOOKUP(B755,SecDB,3,FALSE),VLOOKUP(VLOOKUP(B755,SecFiberDB,2,FALSE),SecDB,3,FALSE)))</f>
        <v/>
      </c>
      <c r="D755" s="39" t="str">
        <f t="shared" si="11"/>
        <v/>
      </c>
    </row>
    <row r="756" spans="3:4" x14ac:dyDescent="0.25">
      <c r="C756" s="39" t="str">
        <f>IF(A756=0,"",IF(IF(COUNTIF(Sec_Fiber!$A$19:$A$1018,B756)&gt;0,TRUE,FALSE)=FALSE,VLOOKUP(B756,SecDB,3,FALSE),VLOOKUP(VLOOKUP(B756,SecFiberDB,2,FALSE),SecDB,3,FALSE)))</f>
        <v/>
      </c>
      <c r="D756" s="39" t="str">
        <f t="shared" si="11"/>
        <v/>
      </c>
    </row>
    <row r="757" spans="3:4" x14ac:dyDescent="0.25">
      <c r="C757" s="39" t="str">
        <f>IF(A757=0,"",IF(IF(COUNTIF(Sec_Fiber!$A$19:$A$1018,B757)&gt;0,TRUE,FALSE)=FALSE,VLOOKUP(B757,SecDB,3,FALSE),VLOOKUP(VLOOKUP(B757,SecFiberDB,2,FALSE),SecDB,3,FALSE)))</f>
        <v/>
      </c>
      <c r="D757" s="39" t="str">
        <f t="shared" si="11"/>
        <v/>
      </c>
    </row>
    <row r="758" spans="3:4" x14ac:dyDescent="0.25">
      <c r="C758" s="39" t="str">
        <f>IF(A758=0,"",IF(IF(COUNTIF(Sec_Fiber!$A$19:$A$1018,B758)&gt;0,TRUE,FALSE)=FALSE,VLOOKUP(B758,SecDB,3,FALSE),VLOOKUP(VLOOKUP(B758,SecFiberDB,2,FALSE),SecDB,3,FALSE)))</f>
        <v/>
      </c>
      <c r="D758" s="39" t="str">
        <f t="shared" si="11"/>
        <v/>
      </c>
    </row>
    <row r="759" spans="3:4" x14ac:dyDescent="0.25">
      <c r="C759" s="39" t="str">
        <f>IF(A759=0,"",IF(IF(COUNTIF(Sec_Fiber!$A$19:$A$1018,B759)&gt;0,TRUE,FALSE)=FALSE,VLOOKUP(B759,SecDB,3,FALSE),VLOOKUP(VLOOKUP(B759,SecFiberDB,2,FALSE),SecDB,3,FALSE)))</f>
        <v/>
      </c>
      <c r="D759" s="39" t="str">
        <f t="shared" si="11"/>
        <v/>
      </c>
    </row>
    <row r="760" spans="3:4" x14ac:dyDescent="0.25">
      <c r="C760" s="39" t="str">
        <f>IF(A760=0,"",IF(IF(COUNTIF(Sec_Fiber!$A$19:$A$1018,B760)&gt;0,TRUE,FALSE)=FALSE,VLOOKUP(B760,SecDB,3,FALSE),VLOOKUP(VLOOKUP(B760,SecFiberDB,2,FALSE),SecDB,3,FALSE)))</f>
        <v/>
      </c>
      <c r="D760" s="39" t="str">
        <f t="shared" si="11"/>
        <v/>
      </c>
    </row>
    <row r="761" spans="3:4" x14ac:dyDescent="0.25">
      <c r="C761" s="39" t="str">
        <f>IF(A761=0,"",IF(IF(COUNTIF(Sec_Fiber!$A$19:$A$1018,B761)&gt;0,TRUE,FALSE)=FALSE,VLOOKUP(B761,SecDB,3,FALSE),VLOOKUP(VLOOKUP(B761,SecFiberDB,2,FALSE),SecDB,3,FALSE)))</f>
        <v/>
      </c>
      <c r="D761" s="39" t="str">
        <f t="shared" si="11"/>
        <v/>
      </c>
    </row>
    <row r="762" spans="3:4" x14ac:dyDescent="0.25">
      <c r="C762" s="39" t="str">
        <f>IF(A762=0,"",IF(IF(COUNTIF(Sec_Fiber!$A$19:$A$1018,B762)&gt;0,TRUE,FALSE)=FALSE,VLOOKUP(B762,SecDB,3,FALSE),VLOOKUP(VLOOKUP(B762,SecFiberDB,2,FALSE),SecDB,3,FALSE)))</f>
        <v/>
      </c>
      <c r="D762" s="39" t="str">
        <f t="shared" si="11"/>
        <v/>
      </c>
    </row>
    <row r="763" spans="3:4" x14ac:dyDescent="0.25">
      <c r="C763" s="39" t="str">
        <f>IF(A763=0,"",IF(IF(COUNTIF(Sec_Fiber!$A$19:$A$1018,B763)&gt;0,TRUE,FALSE)=FALSE,VLOOKUP(B763,SecDB,3,FALSE),VLOOKUP(VLOOKUP(B763,SecFiberDB,2,FALSE),SecDB,3,FALSE)))</f>
        <v/>
      </c>
      <c r="D763" s="39" t="str">
        <f t="shared" si="11"/>
        <v/>
      </c>
    </row>
    <row r="764" spans="3:4" x14ac:dyDescent="0.25">
      <c r="C764" s="39" t="str">
        <f>IF(A764=0,"",IF(IF(COUNTIF(Sec_Fiber!$A$19:$A$1018,B764)&gt;0,TRUE,FALSE)=FALSE,VLOOKUP(B764,SecDB,3,FALSE),VLOOKUP(VLOOKUP(B764,SecFiberDB,2,FALSE),SecDB,3,FALSE)))</f>
        <v/>
      </c>
      <c r="D764" s="39" t="str">
        <f t="shared" si="11"/>
        <v/>
      </c>
    </row>
    <row r="765" spans="3:4" x14ac:dyDescent="0.25">
      <c r="C765" s="39" t="str">
        <f>IF(A765=0,"",IF(IF(COUNTIF(Sec_Fiber!$A$19:$A$1018,B765)&gt;0,TRUE,FALSE)=FALSE,VLOOKUP(B765,SecDB,3,FALSE),VLOOKUP(VLOOKUP(B765,SecFiberDB,2,FALSE),SecDB,3,FALSE)))</f>
        <v/>
      </c>
      <c r="D765" s="39" t="str">
        <f t="shared" si="11"/>
        <v/>
      </c>
    </row>
    <row r="766" spans="3:4" x14ac:dyDescent="0.25">
      <c r="C766" s="39" t="str">
        <f>IF(A766=0,"",IF(IF(COUNTIF(Sec_Fiber!$A$19:$A$1018,B766)&gt;0,TRUE,FALSE)=FALSE,VLOOKUP(B766,SecDB,3,FALSE),VLOOKUP(VLOOKUP(B766,SecFiberDB,2,FALSE),SecDB,3,FALSE)))</f>
        <v/>
      </c>
      <c r="D766" s="39" t="str">
        <f t="shared" si="11"/>
        <v/>
      </c>
    </row>
    <row r="767" spans="3:4" x14ac:dyDescent="0.25">
      <c r="C767" s="39" t="str">
        <f>IF(A767=0,"",IF(IF(COUNTIF(Sec_Fiber!$A$19:$A$1018,B767)&gt;0,TRUE,FALSE)=FALSE,VLOOKUP(B767,SecDB,3,FALSE),VLOOKUP(VLOOKUP(B767,SecFiberDB,2,FALSE),SecDB,3,FALSE)))</f>
        <v/>
      </c>
      <c r="D767" s="39" t="str">
        <f t="shared" si="11"/>
        <v/>
      </c>
    </row>
    <row r="768" spans="3:4" x14ac:dyDescent="0.25">
      <c r="C768" s="39" t="str">
        <f>IF(A768=0,"",IF(IF(COUNTIF(Sec_Fiber!$A$19:$A$1018,B768)&gt;0,TRUE,FALSE)=FALSE,VLOOKUP(B768,SecDB,3,FALSE),VLOOKUP(VLOOKUP(B768,SecFiberDB,2,FALSE),SecDB,3,FALSE)))</f>
        <v/>
      </c>
      <c r="D768" s="39" t="str">
        <f t="shared" si="11"/>
        <v/>
      </c>
    </row>
    <row r="769" spans="3:4" x14ac:dyDescent="0.25">
      <c r="C769" s="39" t="str">
        <f>IF(A769=0,"",IF(IF(COUNTIF(Sec_Fiber!$A$19:$A$1018,B769)&gt;0,TRUE,FALSE)=FALSE,VLOOKUP(B769,SecDB,3,FALSE),VLOOKUP(VLOOKUP(B769,SecFiberDB,2,FALSE),SecDB,3,FALSE)))</f>
        <v/>
      </c>
      <c r="D769" s="39" t="str">
        <f t="shared" si="11"/>
        <v/>
      </c>
    </row>
    <row r="770" spans="3:4" x14ac:dyDescent="0.25">
      <c r="C770" s="39" t="str">
        <f>IF(A770=0,"",IF(IF(COUNTIF(Sec_Fiber!$A$19:$A$1018,B770)&gt;0,TRUE,FALSE)=FALSE,VLOOKUP(B770,SecDB,3,FALSE),VLOOKUP(VLOOKUP(B770,SecFiberDB,2,FALSE),SecDB,3,FALSE)))</f>
        <v/>
      </c>
      <c r="D770" s="39" t="str">
        <f t="shared" si="11"/>
        <v/>
      </c>
    </row>
    <row r="771" spans="3:4" x14ac:dyDescent="0.25">
      <c r="C771" s="39" t="str">
        <f>IF(A771=0,"",IF(IF(COUNTIF(Sec_Fiber!$A$19:$A$1018,B771)&gt;0,TRUE,FALSE)=FALSE,VLOOKUP(B771,SecDB,3,FALSE),VLOOKUP(VLOOKUP(B771,SecFiberDB,2,FALSE),SecDB,3,FALSE)))</f>
        <v/>
      </c>
      <c r="D771" s="39" t="str">
        <f t="shared" si="11"/>
        <v/>
      </c>
    </row>
    <row r="772" spans="3:4" x14ac:dyDescent="0.25">
      <c r="C772" s="39" t="str">
        <f>IF(A772=0,"",IF(IF(COUNTIF(Sec_Fiber!$A$19:$A$1018,B772)&gt;0,TRUE,FALSE)=FALSE,VLOOKUP(B772,SecDB,3,FALSE),VLOOKUP(VLOOKUP(B772,SecFiberDB,2,FALSE),SecDB,3,FALSE)))</f>
        <v/>
      </c>
      <c r="D772" s="39" t="str">
        <f t="shared" si="11"/>
        <v/>
      </c>
    </row>
    <row r="773" spans="3:4" x14ac:dyDescent="0.25">
      <c r="C773" s="39" t="str">
        <f>IF(A773=0,"",IF(IF(COUNTIF(Sec_Fiber!$A$19:$A$1018,B773)&gt;0,TRUE,FALSE)=FALSE,VLOOKUP(B773,SecDB,3,FALSE),VLOOKUP(VLOOKUP(B773,SecFiberDB,2,FALSE),SecDB,3,FALSE)))</f>
        <v/>
      </c>
      <c r="D773" s="39" t="str">
        <f t="shared" si="11"/>
        <v/>
      </c>
    </row>
    <row r="774" spans="3:4" x14ac:dyDescent="0.25">
      <c r="C774" s="39" t="str">
        <f>IF(A774=0,"",IF(IF(COUNTIF(Sec_Fiber!$A$19:$A$1018,B774)&gt;0,TRUE,FALSE)=FALSE,VLOOKUP(B774,SecDB,3,FALSE),VLOOKUP(VLOOKUP(B774,SecFiberDB,2,FALSE),SecDB,3,FALSE)))</f>
        <v/>
      </c>
      <c r="D774" s="39" t="str">
        <f t="shared" si="11"/>
        <v/>
      </c>
    </row>
    <row r="775" spans="3:4" x14ac:dyDescent="0.25">
      <c r="C775" s="39" t="str">
        <f>IF(A775=0,"",IF(IF(COUNTIF(Sec_Fiber!$A$19:$A$1018,B775)&gt;0,TRUE,FALSE)=FALSE,VLOOKUP(B775,SecDB,3,FALSE),VLOOKUP(VLOOKUP(B775,SecFiberDB,2,FALSE),SecDB,3,FALSE)))</f>
        <v/>
      </c>
      <c r="D775" s="39" t="str">
        <f t="shared" si="11"/>
        <v/>
      </c>
    </row>
    <row r="776" spans="3:4" x14ac:dyDescent="0.25">
      <c r="C776" s="39" t="str">
        <f>IF(A776=0,"",IF(IF(COUNTIF(Sec_Fiber!$A$19:$A$1018,B776)&gt;0,TRUE,FALSE)=FALSE,VLOOKUP(B776,SecDB,3,FALSE),VLOOKUP(VLOOKUP(B776,SecFiberDB,2,FALSE),SecDB,3,FALSE)))</f>
        <v/>
      </c>
      <c r="D776" s="39" t="str">
        <f t="shared" si="11"/>
        <v/>
      </c>
    </row>
    <row r="777" spans="3:4" x14ac:dyDescent="0.25">
      <c r="C777" s="39" t="str">
        <f>IF(A777=0,"",IF(IF(COUNTIF(Sec_Fiber!$A$19:$A$1018,B777)&gt;0,TRUE,FALSE)=FALSE,VLOOKUP(B777,SecDB,3,FALSE),VLOOKUP(VLOOKUP(B777,SecFiberDB,2,FALSE),SecDB,3,FALSE)))</f>
        <v/>
      </c>
      <c r="D777" s="39" t="str">
        <f t="shared" ref="D777:D840" si="12">IF(A777=0,"","Aggregator")</f>
        <v/>
      </c>
    </row>
    <row r="778" spans="3:4" x14ac:dyDescent="0.25">
      <c r="C778" s="39" t="str">
        <f>IF(A778=0,"",IF(IF(COUNTIF(Sec_Fiber!$A$19:$A$1018,B778)&gt;0,TRUE,FALSE)=FALSE,VLOOKUP(B778,SecDB,3,FALSE),VLOOKUP(VLOOKUP(B778,SecFiberDB,2,FALSE),SecDB,3,FALSE)))</f>
        <v/>
      </c>
      <c r="D778" s="39" t="str">
        <f t="shared" si="12"/>
        <v/>
      </c>
    </row>
    <row r="779" spans="3:4" x14ac:dyDescent="0.25">
      <c r="C779" s="39" t="str">
        <f>IF(A779=0,"",IF(IF(COUNTIF(Sec_Fiber!$A$19:$A$1018,B779)&gt;0,TRUE,FALSE)=FALSE,VLOOKUP(B779,SecDB,3,FALSE),VLOOKUP(VLOOKUP(B779,SecFiberDB,2,FALSE),SecDB,3,FALSE)))</f>
        <v/>
      </c>
      <c r="D779" s="39" t="str">
        <f t="shared" si="12"/>
        <v/>
      </c>
    </row>
    <row r="780" spans="3:4" x14ac:dyDescent="0.25">
      <c r="C780" s="39" t="str">
        <f>IF(A780=0,"",IF(IF(COUNTIF(Sec_Fiber!$A$19:$A$1018,B780)&gt;0,TRUE,FALSE)=FALSE,VLOOKUP(B780,SecDB,3,FALSE),VLOOKUP(VLOOKUP(B780,SecFiberDB,2,FALSE),SecDB,3,FALSE)))</f>
        <v/>
      </c>
      <c r="D780" s="39" t="str">
        <f t="shared" si="12"/>
        <v/>
      </c>
    </row>
    <row r="781" spans="3:4" x14ac:dyDescent="0.25">
      <c r="C781" s="39" t="str">
        <f>IF(A781=0,"",IF(IF(COUNTIF(Sec_Fiber!$A$19:$A$1018,B781)&gt;0,TRUE,FALSE)=FALSE,VLOOKUP(B781,SecDB,3,FALSE),VLOOKUP(VLOOKUP(B781,SecFiberDB,2,FALSE),SecDB,3,FALSE)))</f>
        <v/>
      </c>
      <c r="D781" s="39" t="str">
        <f t="shared" si="12"/>
        <v/>
      </c>
    </row>
    <row r="782" spans="3:4" x14ac:dyDescent="0.25">
      <c r="C782" s="39" t="str">
        <f>IF(A782=0,"",IF(IF(COUNTIF(Sec_Fiber!$A$19:$A$1018,B782)&gt;0,TRUE,FALSE)=FALSE,VLOOKUP(B782,SecDB,3,FALSE),VLOOKUP(VLOOKUP(B782,SecFiberDB,2,FALSE),SecDB,3,FALSE)))</f>
        <v/>
      </c>
      <c r="D782" s="39" t="str">
        <f t="shared" si="12"/>
        <v/>
      </c>
    </row>
    <row r="783" spans="3:4" x14ac:dyDescent="0.25">
      <c r="C783" s="39" t="str">
        <f>IF(A783=0,"",IF(IF(COUNTIF(Sec_Fiber!$A$19:$A$1018,B783)&gt;0,TRUE,FALSE)=FALSE,VLOOKUP(B783,SecDB,3,FALSE),VLOOKUP(VLOOKUP(B783,SecFiberDB,2,FALSE),SecDB,3,FALSE)))</f>
        <v/>
      </c>
      <c r="D783" s="39" t="str">
        <f t="shared" si="12"/>
        <v/>
      </c>
    </row>
    <row r="784" spans="3:4" x14ac:dyDescent="0.25">
      <c r="C784" s="39" t="str">
        <f>IF(A784=0,"",IF(IF(COUNTIF(Sec_Fiber!$A$19:$A$1018,B784)&gt;0,TRUE,FALSE)=FALSE,VLOOKUP(B784,SecDB,3,FALSE),VLOOKUP(VLOOKUP(B784,SecFiberDB,2,FALSE),SecDB,3,FALSE)))</f>
        <v/>
      </c>
      <c r="D784" s="39" t="str">
        <f t="shared" si="12"/>
        <v/>
      </c>
    </row>
    <row r="785" spans="3:4" x14ac:dyDescent="0.25">
      <c r="C785" s="39" t="str">
        <f>IF(A785=0,"",IF(IF(COUNTIF(Sec_Fiber!$A$19:$A$1018,B785)&gt;0,TRUE,FALSE)=FALSE,VLOOKUP(B785,SecDB,3,FALSE),VLOOKUP(VLOOKUP(B785,SecFiberDB,2,FALSE),SecDB,3,FALSE)))</f>
        <v/>
      </c>
      <c r="D785" s="39" t="str">
        <f t="shared" si="12"/>
        <v/>
      </c>
    </row>
    <row r="786" spans="3:4" x14ac:dyDescent="0.25">
      <c r="C786" s="39" t="str">
        <f>IF(A786=0,"",IF(IF(COUNTIF(Sec_Fiber!$A$19:$A$1018,B786)&gt;0,TRUE,FALSE)=FALSE,VLOOKUP(B786,SecDB,3,FALSE),VLOOKUP(VLOOKUP(B786,SecFiberDB,2,FALSE),SecDB,3,FALSE)))</f>
        <v/>
      </c>
      <c r="D786" s="39" t="str">
        <f t="shared" si="12"/>
        <v/>
      </c>
    </row>
    <row r="787" spans="3:4" x14ac:dyDescent="0.25">
      <c r="C787" s="39" t="str">
        <f>IF(A787=0,"",IF(IF(COUNTIF(Sec_Fiber!$A$19:$A$1018,B787)&gt;0,TRUE,FALSE)=FALSE,VLOOKUP(B787,SecDB,3,FALSE),VLOOKUP(VLOOKUP(B787,SecFiberDB,2,FALSE),SecDB,3,FALSE)))</f>
        <v/>
      </c>
      <c r="D787" s="39" t="str">
        <f t="shared" si="12"/>
        <v/>
      </c>
    </row>
    <row r="788" spans="3:4" x14ac:dyDescent="0.25">
      <c r="C788" s="39" t="str">
        <f>IF(A788=0,"",IF(IF(COUNTIF(Sec_Fiber!$A$19:$A$1018,B788)&gt;0,TRUE,FALSE)=FALSE,VLOOKUP(B788,SecDB,3,FALSE),VLOOKUP(VLOOKUP(B788,SecFiberDB,2,FALSE),SecDB,3,FALSE)))</f>
        <v/>
      </c>
      <c r="D788" s="39" t="str">
        <f t="shared" si="12"/>
        <v/>
      </c>
    </row>
    <row r="789" spans="3:4" x14ac:dyDescent="0.25">
      <c r="C789" s="39" t="str">
        <f>IF(A789=0,"",IF(IF(COUNTIF(Sec_Fiber!$A$19:$A$1018,B789)&gt;0,TRUE,FALSE)=FALSE,VLOOKUP(B789,SecDB,3,FALSE),VLOOKUP(VLOOKUP(B789,SecFiberDB,2,FALSE),SecDB,3,FALSE)))</f>
        <v/>
      </c>
      <c r="D789" s="39" t="str">
        <f t="shared" si="12"/>
        <v/>
      </c>
    </row>
    <row r="790" spans="3:4" x14ac:dyDescent="0.25">
      <c r="C790" s="39" t="str">
        <f>IF(A790=0,"",IF(IF(COUNTIF(Sec_Fiber!$A$19:$A$1018,B790)&gt;0,TRUE,FALSE)=FALSE,VLOOKUP(B790,SecDB,3,FALSE),VLOOKUP(VLOOKUP(B790,SecFiberDB,2,FALSE),SecDB,3,FALSE)))</f>
        <v/>
      </c>
      <c r="D790" s="39" t="str">
        <f t="shared" si="12"/>
        <v/>
      </c>
    </row>
    <row r="791" spans="3:4" x14ac:dyDescent="0.25">
      <c r="C791" s="39" t="str">
        <f>IF(A791=0,"",IF(IF(COUNTIF(Sec_Fiber!$A$19:$A$1018,B791)&gt;0,TRUE,FALSE)=FALSE,VLOOKUP(B791,SecDB,3,FALSE),VLOOKUP(VLOOKUP(B791,SecFiberDB,2,FALSE),SecDB,3,FALSE)))</f>
        <v/>
      </c>
      <c r="D791" s="39" t="str">
        <f t="shared" si="12"/>
        <v/>
      </c>
    </row>
    <row r="792" spans="3:4" x14ac:dyDescent="0.25">
      <c r="C792" s="39" t="str">
        <f>IF(A792=0,"",IF(IF(COUNTIF(Sec_Fiber!$A$19:$A$1018,B792)&gt;0,TRUE,FALSE)=FALSE,VLOOKUP(B792,SecDB,3,FALSE),VLOOKUP(VLOOKUP(B792,SecFiberDB,2,FALSE),SecDB,3,FALSE)))</f>
        <v/>
      </c>
      <c r="D792" s="39" t="str">
        <f t="shared" si="12"/>
        <v/>
      </c>
    </row>
    <row r="793" spans="3:4" x14ac:dyDescent="0.25">
      <c r="C793" s="39" t="str">
        <f>IF(A793=0,"",IF(IF(COUNTIF(Sec_Fiber!$A$19:$A$1018,B793)&gt;0,TRUE,FALSE)=FALSE,VLOOKUP(B793,SecDB,3,FALSE),VLOOKUP(VLOOKUP(B793,SecFiberDB,2,FALSE),SecDB,3,FALSE)))</f>
        <v/>
      </c>
      <c r="D793" s="39" t="str">
        <f t="shared" si="12"/>
        <v/>
      </c>
    </row>
    <row r="794" spans="3:4" x14ac:dyDescent="0.25">
      <c r="C794" s="39" t="str">
        <f>IF(A794=0,"",IF(IF(COUNTIF(Sec_Fiber!$A$19:$A$1018,B794)&gt;0,TRUE,FALSE)=FALSE,VLOOKUP(B794,SecDB,3,FALSE),VLOOKUP(VLOOKUP(B794,SecFiberDB,2,FALSE),SecDB,3,FALSE)))</f>
        <v/>
      </c>
      <c r="D794" s="39" t="str">
        <f t="shared" si="12"/>
        <v/>
      </c>
    </row>
    <row r="795" spans="3:4" x14ac:dyDescent="0.25">
      <c r="C795" s="39" t="str">
        <f>IF(A795=0,"",IF(IF(COUNTIF(Sec_Fiber!$A$19:$A$1018,B795)&gt;0,TRUE,FALSE)=FALSE,VLOOKUP(B795,SecDB,3,FALSE),VLOOKUP(VLOOKUP(B795,SecFiberDB,2,FALSE),SecDB,3,FALSE)))</f>
        <v/>
      </c>
      <c r="D795" s="39" t="str">
        <f t="shared" si="12"/>
        <v/>
      </c>
    </row>
    <row r="796" spans="3:4" x14ac:dyDescent="0.25">
      <c r="C796" s="39" t="str">
        <f>IF(A796=0,"",IF(IF(COUNTIF(Sec_Fiber!$A$19:$A$1018,B796)&gt;0,TRUE,FALSE)=FALSE,VLOOKUP(B796,SecDB,3,FALSE),VLOOKUP(VLOOKUP(B796,SecFiberDB,2,FALSE),SecDB,3,FALSE)))</f>
        <v/>
      </c>
      <c r="D796" s="39" t="str">
        <f t="shared" si="12"/>
        <v/>
      </c>
    </row>
    <row r="797" spans="3:4" x14ac:dyDescent="0.25">
      <c r="C797" s="39" t="str">
        <f>IF(A797=0,"",IF(IF(COUNTIF(Sec_Fiber!$A$19:$A$1018,B797)&gt;0,TRUE,FALSE)=FALSE,VLOOKUP(B797,SecDB,3,FALSE),VLOOKUP(VLOOKUP(B797,SecFiberDB,2,FALSE),SecDB,3,FALSE)))</f>
        <v/>
      </c>
      <c r="D797" s="39" t="str">
        <f t="shared" si="12"/>
        <v/>
      </c>
    </row>
    <row r="798" spans="3:4" x14ac:dyDescent="0.25">
      <c r="C798" s="39" t="str">
        <f>IF(A798=0,"",IF(IF(COUNTIF(Sec_Fiber!$A$19:$A$1018,B798)&gt;0,TRUE,FALSE)=FALSE,VLOOKUP(B798,SecDB,3,FALSE),VLOOKUP(VLOOKUP(B798,SecFiberDB,2,FALSE),SecDB,3,FALSE)))</f>
        <v/>
      </c>
      <c r="D798" s="39" t="str">
        <f t="shared" si="12"/>
        <v/>
      </c>
    </row>
    <row r="799" spans="3:4" x14ac:dyDescent="0.25">
      <c r="C799" s="39" t="str">
        <f>IF(A799=0,"",IF(IF(COUNTIF(Sec_Fiber!$A$19:$A$1018,B799)&gt;0,TRUE,FALSE)=FALSE,VLOOKUP(B799,SecDB,3,FALSE),VLOOKUP(VLOOKUP(B799,SecFiberDB,2,FALSE),SecDB,3,FALSE)))</f>
        <v/>
      </c>
      <c r="D799" s="39" t="str">
        <f t="shared" si="12"/>
        <v/>
      </c>
    </row>
    <row r="800" spans="3:4" x14ac:dyDescent="0.25">
      <c r="C800" s="39" t="str">
        <f>IF(A800=0,"",IF(IF(COUNTIF(Sec_Fiber!$A$19:$A$1018,B800)&gt;0,TRUE,FALSE)=FALSE,VLOOKUP(B800,SecDB,3,FALSE),VLOOKUP(VLOOKUP(B800,SecFiberDB,2,FALSE),SecDB,3,FALSE)))</f>
        <v/>
      </c>
      <c r="D800" s="39" t="str">
        <f t="shared" si="12"/>
        <v/>
      </c>
    </row>
    <row r="801" spans="3:4" x14ac:dyDescent="0.25">
      <c r="C801" s="39" t="str">
        <f>IF(A801=0,"",IF(IF(COUNTIF(Sec_Fiber!$A$19:$A$1018,B801)&gt;0,TRUE,FALSE)=FALSE,VLOOKUP(B801,SecDB,3,FALSE),VLOOKUP(VLOOKUP(B801,SecFiberDB,2,FALSE),SecDB,3,FALSE)))</f>
        <v/>
      </c>
      <c r="D801" s="39" t="str">
        <f t="shared" si="12"/>
        <v/>
      </c>
    </row>
    <row r="802" spans="3:4" x14ac:dyDescent="0.25">
      <c r="C802" s="39" t="str">
        <f>IF(A802=0,"",IF(IF(COUNTIF(Sec_Fiber!$A$19:$A$1018,B802)&gt;0,TRUE,FALSE)=FALSE,VLOOKUP(B802,SecDB,3,FALSE),VLOOKUP(VLOOKUP(B802,SecFiberDB,2,FALSE),SecDB,3,FALSE)))</f>
        <v/>
      </c>
      <c r="D802" s="39" t="str">
        <f t="shared" si="12"/>
        <v/>
      </c>
    </row>
    <row r="803" spans="3:4" x14ac:dyDescent="0.25">
      <c r="C803" s="39" t="str">
        <f>IF(A803=0,"",IF(IF(COUNTIF(Sec_Fiber!$A$19:$A$1018,B803)&gt;0,TRUE,FALSE)=FALSE,VLOOKUP(B803,SecDB,3,FALSE),VLOOKUP(VLOOKUP(B803,SecFiberDB,2,FALSE),SecDB,3,FALSE)))</f>
        <v/>
      </c>
      <c r="D803" s="39" t="str">
        <f t="shared" si="12"/>
        <v/>
      </c>
    </row>
    <row r="804" spans="3:4" x14ac:dyDescent="0.25">
      <c r="C804" s="39" t="str">
        <f>IF(A804=0,"",IF(IF(COUNTIF(Sec_Fiber!$A$19:$A$1018,B804)&gt;0,TRUE,FALSE)=FALSE,VLOOKUP(B804,SecDB,3,FALSE),VLOOKUP(VLOOKUP(B804,SecFiberDB,2,FALSE),SecDB,3,FALSE)))</f>
        <v/>
      </c>
      <c r="D804" s="39" t="str">
        <f t="shared" si="12"/>
        <v/>
      </c>
    </row>
    <row r="805" spans="3:4" x14ac:dyDescent="0.25">
      <c r="C805" s="39" t="str">
        <f>IF(A805=0,"",IF(IF(COUNTIF(Sec_Fiber!$A$19:$A$1018,B805)&gt;0,TRUE,FALSE)=FALSE,VLOOKUP(B805,SecDB,3,FALSE),VLOOKUP(VLOOKUP(B805,SecFiberDB,2,FALSE),SecDB,3,FALSE)))</f>
        <v/>
      </c>
      <c r="D805" s="39" t="str">
        <f t="shared" si="12"/>
        <v/>
      </c>
    </row>
    <row r="806" spans="3:4" x14ac:dyDescent="0.25">
      <c r="C806" s="39" t="str">
        <f>IF(A806=0,"",IF(IF(COUNTIF(Sec_Fiber!$A$19:$A$1018,B806)&gt;0,TRUE,FALSE)=FALSE,VLOOKUP(B806,SecDB,3,FALSE),VLOOKUP(VLOOKUP(B806,SecFiberDB,2,FALSE),SecDB,3,FALSE)))</f>
        <v/>
      </c>
      <c r="D806" s="39" t="str">
        <f t="shared" si="12"/>
        <v/>
      </c>
    </row>
    <row r="807" spans="3:4" x14ac:dyDescent="0.25">
      <c r="C807" s="39" t="str">
        <f>IF(A807=0,"",IF(IF(COUNTIF(Sec_Fiber!$A$19:$A$1018,B807)&gt;0,TRUE,FALSE)=FALSE,VLOOKUP(B807,SecDB,3,FALSE),VLOOKUP(VLOOKUP(B807,SecFiberDB,2,FALSE),SecDB,3,FALSE)))</f>
        <v/>
      </c>
      <c r="D807" s="39" t="str">
        <f t="shared" si="12"/>
        <v/>
      </c>
    </row>
    <row r="808" spans="3:4" x14ac:dyDescent="0.25">
      <c r="C808" s="39" t="str">
        <f>IF(A808=0,"",IF(IF(COUNTIF(Sec_Fiber!$A$19:$A$1018,B808)&gt;0,TRUE,FALSE)=FALSE,VLOOKUP(B808,SecDB,3,FALSE),VLOOKUP(VLOOKUP(B808,SecFiberDB,2,FALSE),SecDB,3,FALSE)))</f>
        <v/>
      </c>
      <c r="D808" s="39" t="str">
        <f t="shared" si="12"/>
        <v/>
      </c>
    </row>
    <row r="809" spans="3:4" x14ac:dyDescent="0.25">
      <c r="C809" s="39" t="str">
        <f>IF(A809=0,"",IF(IF(COUNTIF(Sec_Fiber!$A$19:$A$1018,B809)&gt;0,TRUE,FALSE)=FALSE,VLOOKUP(B809,SecDB,3,FALSE),VLOOKUP(VLOOKUP(B809,SecFiberDB,2,FALSE),SecDB,3,FALSE)))</f>
        <v/>
      </c>
      <c r="D809" s="39" t="str">
        <f t="shared" si="12"/>
        <v/>
      </c>
    </row>
    <row r="810" spans="3:4" x14ac:dyDescent="0.25">
      <c r="C810" s="39" t="str">
        <f>IF(A810=0,"",IF(IF(COUNTIF(Sec_Fiber!$A$19:$A$1018,B810)&gt;0,TRUE,FALSE)=FALSE,VLOOKUP(B810,SecDB,3,FALSE),VLOOKUP(VLOOKUP(B810,SecFiberDB,2,FALSE),SecDB,3,FALSE)))</f>
        <v/>
      </c>
      <c r="D810" s="39" t="str">
        <f t="shared" si="12"/>
        <v/>
      </c>
    </row>
    <row r="811" spans="3:4" x14ac:dyDescent="0.25">
      <c r="C811" s="39" t="str">
        <f>IF(A811=0,"",IF(IF(COUNTIF(Sec_Fiber!$A$19:$A$1018,B811)&gt;0,TRUE,FALSE)=FALSE,VLOOKUP(B811,SecDB,3,FALSE),VLOOKUP(VLOOKUP(B811,SecFiberDB,2,FALSE),SecDB,3,FALSE)))</f>
        <v/>
      </c>
      <c r="D811" s="39" t="str">
        <f t="shared" si="12"/>
        <v/>
      </c>
    </row>
    <row r="812" spans="3:4" x14ac:dyDescent="0.25">
      <c r="C812" s="39" t="str">
        <f>IF(A812=0,"",IF(IF(COUNTIF(Sec_Fiber!$A$19:$A$1018,B812)&gt;0,TRUE,FALSE)=FALSE,VLOOKUP(B812,SecDB,3,FALSE),VLOOKUP(VLOOKUP(B812,SecFiberDB,2,FALSE),SecDB,3,FALSE)))</f>
        <v/>
      </c>
      <c r="D812" s="39" t="str">
        <f t="shared" si="12"/>
        <v/>
      </c>
    </row>
    <row r="813" spans="3:4" x14ac:dyDescent="0.25">
      <c r="C813" s="39" t="str">
        <f>IF(A813=0,"",IF(IF(COUNTIF(Sec_Fiber!$A$19:$A$1018,B813)&gt;0,TRUE,FALSE)=FALSE,VLOOKUP(B813,SecDB,3,FALSE),VLOOKUP(VLOOKUP(B813,SecFiberDB,2,FALSE),SecDB,3,FALSE)))</f>
        <v/>
      </c>
      <c r="D813" s="39" t="str">
        <f t="shared" si="12"/>
        <v/>
      </c>
    </row>
    <row r="814" spans="3:4" x14ac:dyDescent="0.25">
      <c r="C814" s="39" t="str">
        <f>IF(A814=0,"",IF(IF(COUNTIF(Sec_Fiber!$A$19:$A$1018,B814)&gt;0,TRUE,FALSE)=FALSE,VLOOKUP(B814,SecDB,3,FALSE),VLOOKUP(VLOOKUP(B814,SecFiberDB,2,FALSE),SecDB,3,FALSE)))</f>
        <v/>
      </c>
      <c r="D814" s="39" t="str">
        <f t="shared" si="12"/>
        <v/>
      </c>
    </row>
    <row r="815" spans="3:4" x14ac:dyDescent="0.25">
      <c r="C815" s="39" t="str">
        <f>IF(A815=0,"",IF(IF(COUNTIF(Sec_Fiber!$A$19:$A$1018,B815)&gt;0,TRUE,FALSE)=FALSE,VLOOKUP(B815,SecDB,3,FALSE),VLOOKUP(VLOOKUP(B815,SecFiberDB,2,FALSE),SecDB,3,FALSE)))</f>
        <v/>
      </c>
      <c r="D815" s="39" t="str">
        <f t="shared" si="12"/>
        <v/>
      </c>
    </row>
    <row r="816" spans="3:4" x14ac:dyDescent="0.25">
      <c r="C816" s="39" t="str">
        <f>IF(A816=0,"",IF(IF(COUNTIF(Sec_Fiber!$A$19:$A$1018,B816)&gt;0,TRUE,FALSE)=FALSE,VLOOKUP(B816,SecDB,3,FALSE),VLOOKUP(VLOOKUP(B816,SecFiberDB,2,FALSE),SecDB,3,FALSE)))</f>
        <v/>
      </c>
      <c r="D816" s="39" t="str">
        <f t="shared" si="12"/>
        <v/>
      </c>
    </row>
    <row r="817" spans="3:4" x14ac:dyDescent="0.25">
      <c r="C817" s="39" t="str">
        <f>IF(A817=0,"",IF(IF(COUNTIF(Sec_Fiber!$A$19:$A$1018,B817)&gt;0,TRUE,FALSE)=FALSE,VLOOKUP(B817,SecDB,3,FALSE),VLOOKUP(VLOOKUP(B817,SecFiberDB,2,FALSE),SecDB,3,FALSE)))</f>
        <v/>
      </c>
      <c r="D817" s="39" t="str">
        <f t="shared" si="12"/>
        <v/>
      </c>
    </row>
    <row r="818" spans="3:4" x14ac:dyDescent="0.25">
      <c r="C818" s="39" t="str">
        <f>IF(A818=0,"",IF(IF(COUNTIF(Sec_Fiber!$A$19:$A$1018,B818)&gt;0,TRUE,FALSE)=FALSE,VLOOKUP(B818,SecDB,3,FALSE),VLOOKUP(VLOOKUP(B818,SecFiberDB,2,FALSE),SecDB,3,FALSE)))</f>
        <v/>
      </c>
      <c r="D818" s="39" t="str">
        <f t="shared" si="12"/>
        <v/>
      </c>
    </row>
    <row r="819" spans="3:4" x14ac:dyDescent="0.25">
      <c r="C819" s="39" t="str">
        <f>IF(A819=0,"",IF(IF(COUNTIF(Sec_Fiber!$A$19:$A$1018,B819)&gt;0,TRUE,FALSE)=FALSE,VLOOKUP(B819,SecDB,3,FALSE),VLOOKUP(VLOOKUP(B819,SecFiberDB,2,FALSE),SecDB,3,FALSE)))</f>
        <v/>
      </c>
      <c r="D819" s="39" t="str">
        <f t="shared" si="12"/>
        <v/>
      </c>
    </row>
    <row r="820" spans="3:4" x14ac:dyDescent="0.25">
      <c r="C820" s="39" t="str">
        <f>IF(A820=0,"",IF(IF(COUNTIF(Sec_Fiber!$A$19:$A$1018,B820)&gt;0,TRUE,FALSE)=FALSE,VLOOKUP(B820,SecDB,3,FALSE),VLOOKUP(VLOOKUP(B820,SecFiberDB,2,FALSE),SecDB,3,FALSE)))</f>
        <v/>
      </c>
      <c r="D820" s="39" t="str">
        <f t="shared" si="12"/>
        <v/>
      </c>
    </row>
    <row r="821" spans="3:4" x14ac:dyDescent="0.25">
      <c r="C821" s="39" t="str">
        <f>IF(A821=0,"",IF(IF(COUNTIF(Sec_Fiber!$A$19:$A$1018,B821)&gt;0,TRUE,FALSE)=FALSE,VLOOKUP(B821,SecDB,3,FALSE),VLOOKUP(VLOOKUP(B821,SecFiberDB,2,FALSE),SecDB,3,FALSE)))</f>
        <v/>
      </c>
      <c r="D821" s="39" t="str">
        <f t="shared" si="12"/>
        <v/>
      </c>
    </row>
    <row r="822" spans="3:4" x14ac:dyDescent="0.25">
      <c r="C822" s="39" t="str">
        <f>IF(A822=0,"",IF(IF(COUNTIF(Sec_Fiber!$A$19:$A$1018,B822)&gt;0,TRUE,FALSE)=FALSE,VLOOKUP(B822,SecDB,3,FALSE),VLOOKUP(VLOOKUP(B822,SecFiberDB,2,FALSE),SecDB,3,FALSE)))</f>
        <v/>
      </c>
      <c r="D822" s="39" t="str">
        <f t="shared" si="12"/>
        <v/>
      </c>
    </row>
    <row r="823" spans="3:4" x14ac:dyDescent="0.25">
      <c r="C823" s="39" t="str">
        <f>IF(A823=0,"",IF(IF(COUNTIF(Sec_Fiber!$A$19:$A$1018,B823)&gt;0,TRUE,FALSE)=FALSE,VLOOKUP(B823,SecDB,3,FALSE),VLOOKUP(VLOOKUP(B823,SecFiberDB,2,FALSE),SecDB,3,FALSE)))</f>
        <v/>
      </c>
      <c r="D823" s="39" t="str">
        <f t="shared" si="12"/>
        <v/>
      </c>
    </row>
    <row r="824" spans="3:4" x14ac:dyDescent="0.25">
      <c r="C824" s="39" t="str">
        <f>IF(A824=0,"",IF(IF(COUNTIF(Sec_Fiber!$A$19:$A$1018,B824)&gt;0,TRUE,FALSE)=FALSE,VLOOKUP(B824,SecDB,3,FALSE),VLOOKUP(VLOOKUP(B824,SecFiberDB,2,FALSE),SecDB,3,FALSE)))</f>
        <v/>
      </c>
      <c r="D824" s="39" t="str">
        <f t="shared" si="12"/>
        <v/>
      </c>
    </row>
    <row r="825" spans="3:4" x14ac:dyDescent="0.25">
      <c r="C825" s="39" t="str">
        <f>IF(A825=0,"",IF(IF(COUNTIF(Sec_Fiber!$A$19:$A$1018,B825)&gt;0,TRUE,FALSE)=FALSE,VLOOKUP(B825,SecDB,3,FALSE),VLOOKUP(VLOOKUP(B825,SecFiberDB,2,FALSE),SecDB,3,FALSE)))</f>
        <v/>
      </c>
      <c r="D825" s="39" t="str">
        <f t="shared" si="12"/>
        <v/>
      </c>
    </row>
    <row r="826" spans="3:4" x14ac:dyDescent="0.25">
      <c r="C826" s="39" t="str">
        <f>IF(A826=0,"",IF(IF(COUNTIF(Sec_Fiber!$A$19:$A$1018,B826)&gt;0,TRUE,FALSE)=FALSE,VLOOKUP(B826,SecDB,3,FALSE),VLOOKUP(VLOOKUP(B826,SecFiberDB,2,FALSE),SecDB,3,FALSE)))</f>
        <v/>
      </c>
      <c r="D826" s="39" t="str">
        <f t="shared" si="12"/>
        <v/>
      </c>
    </row>
    <row r="827" spans="3:4" x14ac:dyDescent="0.25">
      <c r="C827" s="39" t="str">
        <f>IF(A827=0,"",IF(IF(COUNTIF(Sec_Fiber!$A$19:$A$1018,B827)&gt;0,TRUE,FALSE)=FALSE,VLOOKUP(B827,SecDB,3,FALSE),VLOOKUP(VLOOKUP(B827,SecFiberDB,2,FALSE),SecDB,3,FALSE)))</f>
        <v/>
      </c>
      <c r="D827" s="39" t="str">
        <f t="shared" si="12"/>
        <v/>
      </c>
    </row>
    <row r="828" spans="3:4" x14ac:dyDescent="0.25">
      <c r="C828" s="39" t="str">
        <f>IF(A828=0,"",IF(IF(COUNTIF(Sec_Fiber!$A$19:$A$1018,B828)&gt;0,TRUE,FALSE)=FALSE,VLOOKUP(B828,SecDB,3,FALSE),VLOOKUP(VLOOKUP(B828,SecFiberDB,2,FALSE),SecDB,3,FALSE)))</f>
        <v/>
      </c>
      <c r="D828" s="39" t="str">
        <f t="shared" si="12"/>
        <v/>
      </c>
    </row>
    <row r="829" spans="3:4" x14ac:dyDescent="0.25">
      <c r="C829" s="39" t="str">
        <f>IF(A829=0,"",IF(IF(COUNTIF(Sec_Fiber!$A$19:$A$1018,B829)&gt;0,TRUE,FALSE)=FALSE,VLOOKUP(B829,SecDB,3,FALSE),VLOOKUP(VLOOKUP(B829,SecFiberDB,2,FALSE),SecDB,3,FALSE)))</f>
        <v/>
      </c>
      <c r="D829" s="39" t="str">
        <f t="shared" si="12"/>
        <v/>
      </c>
    </row>
    <row r="830" spans="3:4" x14ac:dyDescent="0.25">
      <c r="C830" s="39" t="str">
        <f>IF(A830=0,"",IF(IF(COUNTIF(Sec_Fiber!$A$19:$A$1018,B830)&gt;0,TRUE,FALSE)=FALSE,VLOOKUP(B830,SecDB,3,FALSE),VLOOKUP(VLOOKUP(B830,SecFiberDB,2,FALSE),SecDB,3,FALSE)))</f>
        <v/>
      </c>
      <c r="D830" s="39" t="str">
        <f t="shared" si="12"/>
        <v/>
      </c>
    </row>
    <row r="831" spans="3:4" x14ac:dyDescent="0.25">
      <c r="C831" s="39" t="str">
        <f>IF(A831=0,"",IF(IF(COUNTIF(Sec_Fiber!$A$19:$A$1018,B831)&gt;0,TRUE,FALSE)=FALSE,VLOOKUP(B831,SecDB,3,FALSE),VLOOKUP(VLOOKUP(B831,SecFiberDB,2,FALSE),SecDB,3,FALSE)))</f>
        <v/>
      </c>
      <c r="D831" s="39" t="str">
        <f t="shared" si="12"/>
        <v/>
      </c>
    </row>
    <row r="832" spans="3:4" x14ac:dyDescent="0.25">
      <c r="C832" s="39" t="str">
        <f>IF(A832=0,"",IF(IF(COUNTIF(Sec_Fiber!$A$19:$A$1018,B832)&gt;0,TRUE,FALSE)=FALSE,VLOOKUP(B832,SecDB,3,FALSE),VLOOKUP(VLOOKUP(B832,SecFiberDB,2,FALSE),SecDB,3,FALSE)))</f>
        <v/>
      </c>
      <c r="D832" s="39" t="str">
        <f t="shared" si="12"/>
        <v/>
      </c>
    </row>
    <row r="833" spans="3:4" x14ac:dyDescent="0.25">
      <c r="C833" s="39" t="str">
        <f>IF(A833=0,"",IF(IF(COUNTIF(Sec_Fiber!$A$19:$A$1018,B833)&gt;0,TRUE,FALSE)=FALSE,VLOOKUP(B833,SecDB,3,FALSE),VLOOKUP(VLOOKUP(B833,SecFiberDB,2,FALSE),SecDB,3,FALSE)))</f>
        <v/>
      </c>
      <c r="D833" s="39" t="str">
        <f t="shared" si="12"/>
        <v/>
      </c>
    </row>
    <row r="834" spans="3:4" x14ac:dyDescent="0.25">
      <c r="C834" s="39" t="str">
        <f>IF(A834=0,"",IF(IF(COUNTIF(Sec_Fiber!$A$19:$A$1018,B834)&gt;0,TRUE,FALSE)=FALSE,VLOOKUP(B834,SecDB,3,FALSE),VLOOKUP(VLOOKUP(B834,SecFiberDB,2,FALSE),SecDB,3,FALSE)))</f>
        <v/>
      </c>
      <c r="D834" s="39" t="str">
        <f t="shared" si="12"/>
        <v/>
      </c>
    </row>
    <row r="835" spans="3:4" x14ac:dyDescent="0.25">
      <c r="C835" s="39" t="str">
        <f>IF(A835=0,"",IF(IF(COUNTIF(Sec_Fiber!$A$19:$A$1018,B835)&gt;0,TRUE,FALSE)=FALSE,VLOOKUP(B835,SecDB,3,FALSE),VLOOKUP(VLOOKUP(B835,SecFiberDB,2,FALSE),SecDB,3,FALSE)))</f>
        <v/>
      </c>
      <c r="D835" s="39" t="str">
        <f t="shared" si="12"/>
        <v/>
      </c>
    </row>
    <row r="836" spans="3:4" x14ac:dyDescent="0.25">
      <c r="C836" s="39" t="str">
        <f>IF(A836=0,"",IF(IF(COUNTIF(Sec_Fiber!$A$19:$A$1018,B836)&gt;0,TRUE,FALSE)=FALSE,VLOOKUP(B836,SecDB,3,FALSE),VLOOKUP(VLOOKUP(B836,SecFiberDB,2,FALSE),SecDB,3,FALSE)))</f>
        <v/>
      </c>
      <c r="D836" s="39" t="str">
        <f t="shared" si="12"/>
        <v/>
      </c>
    </row>
    <row r="837" spans="3:4" x14ac:dyDescent="0.25">
      <c r="C837" s="39" t="str">
        <f>IF(A837=0,"",IF(IF(COUNTIF(Sec_Fiber!$A$19:$A$1018,B837)&gt;0,TRUE,FALSE)=FALSE,VLOOKUP(B837,SecDB,3,FALSE),VLOOKUP(VLOOKUP(B837,SecFiberDB,2,FALSE),SecDB,3,FALSE)))</f>
        <v/>
      </c>
      <c r="D837" s="39" t="str">
        <f t="shared" si="12"/>
        <v/>
      </c>
    </row>
    <row r="838" spans="3:4" x14ac:dyDescent="0.25">
      <c r="C838" s="39" t="str">
        <f>IF(A838=0,"",IF(IF(COUNTIF(Sec_Fiber!$A$19:$A$1018,B838)&gt;0,TRUE,FALSE)=FALSE,VLOOKUP(B838,SecDB,3,FALSE),VLOOKUP(VLOOKUP(B838,SecFiberDB,2,FALSE),SecDB,3,FALSE)))</f>
        <v/>
      </c>
      <c r="D838" s="39" t="str">
        <f t="shared" si="12"/>
        <v/>
      </c>
    </row>
    <row r="839" spans="3:4" x14ac:dyDescent="0.25">
      <c r="C839" s="39" t="str">
        <f>IF(A839=0,"",IF(IF(COUNTIF(Sec_Fiber!$A$19:$A$1018,B839)&gt;0,TRUE,FALSE)=FALSE,VLOOKUP(B839,SecDB,3,FALSE),VLOOKUP(VLOOKUP(B839,SecFiberDB,2,FALSE),SecDB,3,FALSE)))</f>
        <v/>
      </c>
      <c r="D839" s="39" t="str">
        <f t="shared" si="12"/>
        <v/>
      </c>
    </row>
    <row r="840" spans="3:4" x14ac:dyDescent="0.25">
      <c r="C840" s="39" t="str">
        <f>IF(A840=0,"",IF(IF(COUNTIF(Sec_Fiber!$A$19:$A$1018,B840)&gt;0,TRUE,FALSE)=FALSE,VLOOKUP(B840,SecDB,3,FALSE),VLOOKUP(VLOOKUP(B840,SecFiberDB,2,FALSE),SecDB,3,FALSE)))</f>
        <v/>
      </c>
      <c r="D840" s="39" t="str">
        <f t="shared" si="12"/>
        <v/>
      </c>
    </row>
    <row r="841" spans="3:4" x14ac:dyDescent="0.25">
      <c r="C841" s="39" t="str">
        <f>IF(A841=0,"",IF(IF(COUNTIF(Sec_Fiber!$A$19:$A$1018,B841)&gt;0,TRUE,FALSE)=FALSE,VLOOKUP(B841,SecDB,3,FALSE),VLOOKUP(VLOOKUP(B841,SecFiberDB,2,FALSE),SecDB,3,FALSE)))</f>
        <v/>
      </c>
      <c r="D841" s="39" t="str">
        <f t="shared" ref="D841:D904" si="13">IF(A841=0,"","Aggregator")</f>
        <v/>
      </c>
    </row>
    <row r="842" spans="3:4" x14ac:dyDescent="0.25">
      <c r="C842" s="39" t="str">
        <f>IF(A842=0,"",IF(IF(COUNTIF(Sec_Fiber!$A$19:$A$1018,B842)&gt;0,TRUE,FALSE)=FALSE,VLOOKUP(B842,SecDB,3,FALSE),VLOOKUP(VLOOKUP(B842,SecFiberDB,2,FALSE),SecDB,3,FALSE)))</f>
        <v/>
      </c>
      <c r="D842" s="39" t="str">
        <f t="shared" si="13"/>
        <v/>
      </c>
    </row>
    <row r="843" spans="3:4" x14ac:dyDescent="0.25">
      <c r="C843" s="39" t="str">
        <f>IF(A843=0,"",IF(IF(COUNTIF(Sec_Fiber!$A$19:$A$1018,B843)&gt;0,TRUE,FALSE)=FALSE,VLOOKUP(B843,SecDB,3,FALSE),VLOOKUP(VLOOKUP(B843,SecFiberDB,2,FALSE),SecDB,3,FALSE)))</f>
        <v/>
      </c>
      <c r="D843" s="39" t="str">
        <f t="shared" si="13"/>
        <v/>
      </c>
    </row>
    <row r="844" spans="3:4" x14ac:dyDescent="0.25">
      <c r="C844" s="39" t="str">
        <f>IF(A844=0,"",IF(IF(COUNTIF(Sec_Fiber!$A$19:$A$1018,B844)&gt;0,TRUE,FALSE)=FALSE,VLOOKUP(B844,SecDB,3,FALSE),VLOOKUP(VLOOKUP(B844,SecFiberDB,2,FALSE),SecDB,3,FALSE)))</f>
        <v/>
      </c>
      <c r="D844" s="39" t="str">
        <f t="shared" si="13"/>
        <v/>
      </c>
    </row>
    <row r="845" spans="3:4" x14ac:dyDescent="0.25">
      <c r="C845" s="39" t="str">
        <f>IF(A845=0,"",IF(IF(COUNTIF(Sec_Fiber!$A$19:$A$1018,B845)&gt;0,TRUE,FALSE)=FALSE,VLOOKUP(B845,SecDB,3,FALSE),VLOOKUP(VLOOKUP(B845,SecFiberDB,2,FALSE),SecDB,3,FALSE)))</f>
        <v/>
      </c>
      <c r="D845" s="39" t="str">
        <f t="shared" si="13"/>
        <v/>
      </c>
    </row>
    <row r="846" spans="3:4" x14ac:dyDescent="0.25">
      <c r="C846" s="39" t="str">
        <f>IF(A846=0,"",IF(IF(COUNTIF(Sec_Fiber!$A$19:$A$1018,B846)&gt;0,TRUE,FALSE)=FALSE,VLOOKUP(B846,SecDB,3,FALSE),VLOOKUP(VLOOKUP(B846,SecFiberDB,2,FALSE),SecDB,3,FALSE)))</f>
        <v/>
      </c>
      <c r="D846" s="39" t="str">
        <f t="shared" si="13"/>
        <v/>
      </c>
    </row>
    <row r="847" spans="3:4" x14ac:dyDescent="0.25">
      <c r="C847" s="39" t="str">
        <f>IF(A847=0,"",IF(IF(COUNTIF(Sec_Fiber!$A$19:$A$1018,B847)&gt;0,TRUE,FALSE)=FALSE,VLOOKUP(B847,SecDB,3,FALSE),VLOOKUP(VLOOKUP(B847,SecFiberDB,2,FALSE),SecDB,3,FALSE)))</f>
        <v/>
      </c>
      <c r="D847" s="39" t="str">
        <f t="shared" si="13"/>
        <v/>
      </c>
    </row>
    <row r="848" spans="3:4" x14ac:dyDescent="0.25">
      <c r="C848" s="39" t="str">
        <f>IF(A848=0,"",IF(IF(COUNTIF(Sec_Fiber!$A$19:$A$1018,B848)&gt;0,TRUE,FALSE)=FALSE,VLOOKUP(B848,SecDB,3,FALSE),VLOOKUP(VLOOKUP(B848,SecFiberDB,2,FALSE),SecDB,3,FALSE)))</f>
        <v/>
      </c>
      <c r="D848" s="39" t="str">
        <f t="shared" si="13"/>
        <v/>
      </c>
    </row>
    <row r="849" spans="3:4" x14ac:dyDescent="0.25">
      <c r="C849" s="39" t="str">
        <f>IF(A849=0,"",IF(IF(COUNTIF(Sec_Fiber!$A$19:$A$1018,B849)&gt;0,TRUE,FALSE)=FALSE,VLOOKUP(B849,SecDB,3,FALSE),VLOOKUP(VLOOKUP(B849,SecFiberDB,2,FALSE),SecDB,3,FALSE)))</f>
        <v/>
      </c>
      <c r="D849" s="39" t="str">
        <f t="shared" si="13"/>
        <v/>
      </c>
    </row>
    <row r="850" spans="3:4" x14ac:dyDescent="0.25">
      <c r="C850" s="39" t="str">
        <f>IF(A850=0,"",IF(IF(COUNTIF(Sec_Fiber!$A$19:$A$1018,B850)&gt;0,TRUE,FALSE)=FALSE,VLOOKUP(B850,SecDB,3,FALSE),VLOOKUP(VLOOKUP(B850,SecFiberDB,2,FALSE),SecDB,3,FALSE)))</f>
        <v/>
      </c>
      <c r="D850" s="39" t="str">
        <f t="shared" si="13"/>
        <v/>
      </c>
    </row>
    <row r="851" spans="3:4" x14ac:dyDescent="0.25">
      <c r="C851" s="39" t="str">
        <f>IF(A851=0,"",IF(IF(COUNTIF(Sec_Fiber!$A$19:$A$1018,B851)&gt;0,TRUE,FALSE)=FALSE,VLOOKUP(B851,SecDB,3,FALSE),VLOOKUP(VLOOKUP(B851,SecFiberDB,2,FALSE),SecDB,3,FALSE)))</f>
        <v/>
      </c>
      <c r="D851" s="39" t="str">
        <f t="shared" si="13"/>
        <v/>
      </c>
    </row>
    <row r="852" spans="3:4" x14ac:dyDescent="0.25">
      <c r="C852" s="39" t="str">
        <f>IF(A852=0,"",IF(IF(COUNTIF(Sec_Fiber!$A$19:$A$1018,B852)&gt;0,TRUE,FALSE)=FALSE,VLOOKUP(B852,SecDB,3,FALSE),VLOOKUP(VLOOKUP(B852,SecFiberDB,2,FALSE),SecDB,3,FALSE)))</f>
        <v/>
      </c>
      <c r="D852" s="39" t="str">
        <f t="shared" si="13"/>
        <v/>
      </c>
    </row>
    <row r="853" spans="3:4" x14ac:dyDescent="0.25">
      <c r="C853" s="39" t="str">
        <f>IF(A853=0,"",IF(IF(COUNTIF(Sec_Fiber!$A$19:$A$1018,B853)&gt;0,TRUE,FALSE)=FALSE,VLOOKUP(B853,SecDB,3,FALSE),VLOOKUP(VLOOKUP(B853,SecFiberDB,2,FALSE),SecDB,3,FALSE)))</f>
        <v/>
      </c>
      <c r="D853" s="39" t="str">
        <f t="shared" si="13"/>
        <v/>
      </c>
    </row>
    <row r="854" spans="3:4" x14ac:dyDescent="0.25">
      <c r="C854" s="39" t="str">
        <f>IF(A854=0,"",IF(IF(COUNTIF(Sec_Fiber!$A$19:$A$1018,B854)&gt;0,TRUE,FALSE)=FALSE,VLOOKUP(B854,SecDB,3,FALSE),VLOOKUP(VLOOKUP(B854,SecFiberDB,2,FALSE),SecDB,3,FALSE)))</f>
        <v/>
      </c>
      <c r="D854" s="39" t="str">
        <f t="shared" si="13"/>
        <v/>
      </c>
    </row>
    <row r="855" spans="3:4" x14ac:dyDescent="0.25">
      <c r="C855" s="39" t="str">
        <f>IF(A855=0,"",IF(IF(COUNTIF(Sec_Fiber!$A$19:$A$1018,B855)&gt;0,TRUE,FALSE)=FALSE,VLOOKUP(B855,SecDB,3,FALSE),VLOOKUP(VLOOKUP(B855,SecFiberDB,2,FALSE),SecDB,3,FALSE)))</f>
        <v/>
      </c>
      <c r="D855" s="39" t="str">
        <f t="shared" si="13"/>
        <v/>
      </c>
    </row>
    <row r="856" spans="3:4" x14ac:dyDescent="0.25">
      <c r="C856" s="39" t="str">
        <f>IF(A856=0,"",IF(IF(COUNTIF(Sec_Fiber!$A$19:$A$1018,B856)&gt;0,TRUE,FALSE)=FALSE,VLOOKUP(B856,SecDB,3,FALSE),VLOOKUP(VLOOKUP(B856,SecFiberDB,2,FALSE),SecDB,3,FALSE)))</f>
        <v/>
      </c>
      <c r="D856" s="39" t="str">
        <f t="shared" si="13"/>
        <v/>
      </c>
    </row>
    <row r="857" spans="3:4" x14ac:dyDescent="0.25">
      <c r="C857" s="39" t="str">
        <f>IF(A857=0,"",IF(IF(COUNTIF(Sec_Fiber!$A$19:$A$1018,B857)&gt;0,TRUE,FALSE)=FALSE,VLOOKUP(B857,SecDB,3,FALSE),VLOOKUP(VLOOKUP(B857,SecFiberDB,2,FALSE),SecDB,3,FALSE)))</f>
        <v/>
      </c>
      <c r="D857" s="39" t="str">
        <f t="shared" si="13"/>
        <v/>
      </c>
    </row>
    <row r="858" spans="3:4" x14ac:dyDescent="0.25">
      <c r="C858" s="39" t="str">
        <f>IF(A858=0,"",IF(IF(COUNTIF(Sec_Fiber!$A$19:$A$1018,B858)&gt;0,TRUE,FALSE)=FALSE,VLOOKUP(B858,SecDB,3,FALSE),VLOOKUP(VLOOKUP(B858,SecFiberDB,2,FALSE),SecDB,3,FALSE)))</f>
        <v/>
      </c>
      <c r="D858" s="39" t="str">
        <f t="shared" si="13"/>
        <v/>
      </c>
    </row>
    <row r="859" spans="3:4" x14ac:dyDescent="0.25">
      <c r="C859" s="39" t="str">
        <f>IF(A859=0,"",IF(IF(COUNTIF(Sec_Fiber!$A$19:$A$1018,B859)&gt;0,TRUE,FALSE)=FALSE,VLOOKUP(B859,SecDB,3,FALSE),VLOOKUP(VLOOKUP(B859,SecFiberDB,2,FALSE),SecDB,3,FALSE)))</f>
        <v/>
      </c>
      <c r="D859" s="39" t="str">
        <f t="shared" si="13"/>
        <v/>
      </c>
    </row>
    <row r="860" spans="3:4" x14ac:dyDescent="0.25">
      <c r="C860" s="39" t="str">
        <f>IF(A860=0,"",IF(IF(COUNTIF(Sec_Fiber!$A$19:$A$1018,B860)&gt;0,TRUE,FALSE)=FALSE,VLOOKUP(B860,SecDB,3,FALSE),VLOOKUP(VLOOKUP(B860,SecFiberDB,2,FALSE),SecDB,3,FALSE)))</f>
        <v/>
      </c>
      <c r="D860" s="39" t="str">
        <f t="shared" si="13"/>
        <v/>
      </c>
    </row>
    <row r="861" spans="3:4" x14ac:dyDescent="0.25">
      <c r="C861" s="39" t="str">
        <f>IF(A861=0,"",IF(IF(COUNTIF(Sec_Fiber!$A$19:$A$1018,B861)&gt;0,TRUE,FALSE)=FALSE,VLOOKUP(B861,SecDB,3,FALSE),VLOOKUP(VLOOKUP(B861,SecFiberDB,2,FALSE),SecDB,3,FALSE)))</f>
        <v/>
      </c>
      <c r="D861" s="39" t="str">
        <f t="shared" si="13"/>
        <v/>
      </c>
    </row>
    <row r="862" spans="3:4" x14ac:dyDescent="0.25">
      <c r="C862" s="39" t="str">
        <f>IF(A862=0,"",IF(IF(COUNTIF(Sec_Fiber!$A$19:$A$1018,B862)&gt;0,TRUE,FALSE)=FALSE,VLOOKUP(B862,SecDB,3,FALSE),VLOOKUP(VLOOKUP(B862,SecFiberDB,2,FALSE),SecDB,3,FALSE)))</f>
        <v/>
      </c>
      <c r="D862" s="39" t="str">
        <f t="shared" si="13"/>
        <v/>
      </c>
    </row>
    <row r="863" spans="3:4" x14ac:dyDescent="0.25">
      <c r="C863" s="39" t="str">
        <f>IF(A863=0,"",IF(IF(COUNTIF(Sec_Fiber!$A$19:$A$1018,B863)&gt;0,TRUE,FALSE)=FALSE,VLOOKUP(B863,SecDB,3,FALSE),VLOOKUP(VLOOKUP(B863,SecFiberDB,2,FALSE),SecDB,3,FALSE)))</f>
        <v/>
      </c>
      <c r="D863" s="39" t="str">
        <f t="shared" si="13"/>
        <v/>
      </c>
    </row>
    <row r="864" spans="3:4" x14ac:dyDescent="0.25">
      <c r="C864" s="39" t="str">
        <f>IF(A864=0,"",IF(IF(COUNTIF(Sec_Fiber!$A$19:$A$1018,B864)&gt;0,TRUE,FALSE)=FALSE,VLOOKUP(B864,SecDB,3,FALSE),VLOOKUP(VLOOKUP(B864,SecFiberDB,2,FALSE),SecDB,3,FALSE)))</f>
        <v/>
      </c>
      <c r="D864" s="39" t="str">
        <f t="shared" si="13"/>
        <v/>
      </c>
    </row>
    <row r="865" spans="3:4" x14ac:dyDescent="0.25">
      <c r="C865" s="39" t="str">
        <f>IF(A865=0,"",IF(IF(COUNTIF(Sec_Fiber!$A$19:$A$1018,B865)&gt;0,TRUE,FALSE)=FALSE,VLOOKUP(B865,SecDB,3,FALSE),VLOOKUP(VLOOKUP(B865,SecFiberDB,2,FALSE),SecDB,3,FALSE)))</f>
        <v/>
      </c>
      <c r="D865" s="39" t="str">
        <f t="shared" si="13"/>
        <v/>
      </c>
    </row>
    <row r="866" spans="3:4" x14ac:dyDescent="0.25">
      <c r="C866" s="39" t="str">
        <f>IF(A866=0,"",IF(IF(COUNTIF(Sec_Fiber!$A$19:$A$1018,B866)&gt;0,TRUE,FALSE)=FALSE,VLOOKUP(B866,SecDB,3,FALSE),VLOOKUP(VLOOKUP(B866,SecFiberDB,2,FALSE),SecDB,3,FALSE)))</f>
        <v/>
      </c>
      <c r="D866" s="39" t="str">
        <f t="shared" si="13"/>
        <v/>
      </c>
    </row>
    <row r="867" spans="3:4" x14ac:dyDescent="0.25">
      <c r="C867" s="39" t="str">
        <f>IF(A867=0,"",IF(IF(COUNTIF(Sec_Fiber!$A$19:$A$1018,B867)&gt;0,TRUE,FALSE)=FALSE,VLOOKUP(B867,SecDB,3,FALSE),VLOOKUP(VLOOKUP(B867,SecFiberDB,2,FALSE),SecDB,3,FALSE)))</f>
        <v/>
      </c>
      <c r="D867" s="39" t="str">
        <f t="shared" si="13"/>
        <v/>
      </c>
    </row>
    <row r="868" spans="3:4" x14ac:dyDescent="0.25">
      <c r="C868" s="39" t="str">
        <f>IF(A868=0,"",IF(IF(COUNTIF(Sec_Fiber!$A$19:$A$1018,B868)&gt;0,TRUE,FALSE)=FALSE,VLOOKUP(B868,SecDB,3,FALSE),VLOOKUP(VLOOKUP(B868,SecFiberDB,2,FALSE),SecDB,3,FALSE)))</f>
        <v/>
      </c>
      <c r="D868" s="39" t="str">
        <f t="shared" si="13"/>
        <v/>
      </c>
    </row>
    <row r="869" spans="3:4" x14ac:dyDescent="0.25">
      <c r="C869" s="39" t="str">
        <f>IF(A869=0,"",IF(IF(COUNTIF(Sec_Fiber!$A$19:$A$1018,B869)&gt;0,TRUE,FALSE)=FALSE,VLOOKUP(B869,SecDB,3,FALSE),VLOOKUP(VLOOKUP(B869,SecFiberDB,2,FALSE),SecDB,3,FALSE)))</f>
        <v/>
      </c>
      <c r="D869" s="39" t="str">
        <f t="shared" si="13"/>
        <v/>
      </c>
    </row>
    <row r="870" spans="3:4" x14ac:dyDescent="0.25">
      <c r="C870" s="39" t="str">
        <f>IF(A870=0,"",IF(IF(COUNTIF(Sec_Fiber!$A$19:$A$1018,B870)&gt;0,TRUE,FALSE)=FALSE,VLOOKUP(B870,SecDB,3,FALSE),VLOOKUP(VLOOKUP(B870,SecFiberDB,2,FALSE),SecDB,3,FALSE)))</f>
        <v/>
      </c>
      <c r="D870" s="39" t="str">
        <f t="shared" si="13"/>
        <v/>
      </c>
    </row>
    <row r="871" spans="3:4" x14ac:dyDescent="0.25">
      <c r="C871" s="39" t="str">
        <f>IF(A871=0,"",IF(IF(COUNTIF(Sec_Fiber!$A$19:$A$1018,B871)&gt;0,TRUE,FALSE)=FALSE,VLOOKUP(B871,SecDB,3,FALSE),VLOOKUP(VLOOKUP(B871,SecFiberDB,2,FALSE),SecDB,3,FALSE)))</f>
        <v/>
      </c>
      <c r="D871" s="39" t="str">
        <f t="shared" si="13"/>
        <v/>
      </c>
    </row>
    <row r="872" spans="3:4" x14ac:dyDescent="0.25">
      <c r="C872" s="39" t="str">
        <f>IF(A872=0,"",IF(IF(COUNTIF(Sec_Fiber!$A$19:$A$1018,B872)&gt;0,TRUE,FALSE)=FALSE,VLOOKUP(B872,SecDB,3,FALSE),VLOOKUP(VLOOKUP(B872,SecFiberDB,2,FALSE),SecDB,3,FALSE)))</f>
        <v/>
      </c>
      <c r="D872" s="39" t="str">
        <f t="shared" si="13"/>
        <v/>
      </c>
    </row>
    <row r="873" spans="3:4" x14ac:dyDescent="0.25">
      <c r="C873" s="39" t="str">
        <f>IF(A873=0,"",IF(IF(COUNTIF(Sec_Fiber!$A$19:$A$1018,B873)&gt;0,TRUE,FALSE)=FALSE,VLOOKUP(B873,SecDB,3,FALSE),VLOOKUP(VLOOKUP(B873,SecFiberDB,2,FALSE),SecDB,3,FALSE)))</f>
        <v/>
      </c>
      <c r="D873" s="39" t="str">
        <f t="shared" si="13"/>
        <v/>
      </c>
    </row>
    <row r="874" spans="3:4" x14ac:dyDescent="0.25">
      <c r="C874" s="39" t="str">
        <f>IF(A874=0,"",IF(IF(COUNTIF(Sec_Fiber!$A$19:$A$1018,B874)&gt;0,TRUE,FALSE)=FALSE,VLOOKUP(B874,SecDB,3,FALSE),VLOOKUP(VLOOKUP(B874,SecFiberDB,2,FALSE),SecDB,3,FALSE)))</f>
        <v/>
      </c>
      <c r="D874" s="39" t="str">
        <f t="shared" si="13"/>
        <v/>
      </c>
    </row>
    <row r="875" spans="3:4" x14ac:dyDescent="0.25">
      <c r="C875" s="39" t="str">
        <f>IF(A875=0,"",IF(IF(COUNTIF(Sec_Fiber!$A$19:$A$1018,B875)&gt;0,TRUE,FALSE)=FALSE,VLOOKUP(B875,SecDB,3,FALSE),VLOOKUP(VLOOKUP(B875,SecFiberDB,2,FALSE),SecDB,3,FALSE)))</f>
        <v/>
      </c>
      <c r="D875" s="39" t="str">
        <f t="shared" si="13"/>
        <v/>
      </c>
    </row>
    <row r="876" spans="3:4" x14ac:dyDescent="0.25">
      <c r="C876" s="39" t="str">
        <f>IF(A876=0,"",IF(IF(COUNTIF(Sec_Fiber!$A$19:$A$1018,B876)&gt;0,TRUE,FALSE)=FALSE,VLOOKUP(B876,SecDB,3,FALSE),VLOOKUP(VLOOKUP(B876,SecFiberDB,2,FALSE),SecDB,3,FALSE)))</f>
        <v/>
      </c>
      <c r="D876" s="39" t="str">
        <f t="shared" si="13"/>
        <v/>
      </c>
    </row>
    <row r="877" spans="3:4" x14ac:dyDescent="0.25">
      <c r="C877" s="39" t="str">
        <f>IF(A877=0,"",IF(IF(COUNTIF(Sec_Fiber!$A$19:$A$1018,B877)&gt;0,TRUE,FALSE)=FALSE,VLOOKUP(B877,SecDB,3,FALSE),VLOOKUP(VLOOKUP(B877,SecFiberDB,2,FALSE),SecDB,3,FALSE)))</f>
        <v/>
      </c>
      <c r="D877" s="39" t="str">
        <f t="shared" si="13"/>
        <v/>
      </c>
    </row>
    <row r="878" spans="3:4" x14ac:dyDescent="0.25">
      <c r="C878" s="39" t="str">
        <f>IF(A878=0,"",IF(IF(COUNTIF(Sec_Fiber!$A$19:$A$1018,B878)&gt;0,TRUE,FALSE)=FALSE,VLOOKUP(B878,SecDB,3,FALSE),VLOOKUP(VLOOKUP(B878,SecFiberDB,2,FALSE),SecDB,3,FALSE)))</f>
        <v/>
      </c>
      <c r="D878" s="39" t="str">
        <f t="shared" si="13"/>
        <v/>
      </c>
    </row>
    <row r="879" spans="3:4" x14ac:dyDescent="0.25">
      <c r="C879" s="39" t="str">
        <f>IF(A879=0,"",IF(IF(COUNTIF(Sec_Fiber!$A$19:$A$1018,B879)&gt;0,TRUE,FALSE)=FALSE,VLOOKUP(B879,SecDB,3,FALSE),VLOOKUP(VLOOKUP(B879,SecFiberDB,2,FALSE),SecDB,3,FALSE)))</f>
        <v/>
      </c>
      <c r="D879" s="39" t="str">
        <f t="shared" si="13"/>
        <v/>
      </c>
    </row>
    <row r="880" spans="3:4" x14ac:dyDescent="0.25">
      <c r="C880" s="39" t="str">
        <f>IF(A880=0,"",IF(IF(COUNTIF(Sec_Fiber!$A$19:$A$1018,B880)&gt;0,TRUE,FALSE)=FALSE,VLOOKUP(B880,SecDB,3,FALSE),VLOOKUP(VLOOKUP(B880,SecFiberDB,2,FALSE),SecDB,3,FALSE)))</f>
        <v/>
      </c>
      <c r="D880" s="39" t="str">
        <f t="shared" si="13"/>
        <v/>
      </c>
    </row>
    <row r="881" spans="3:4" x14ac:dyDescent="0.25">
      <c r="C881" s="39" t="str">
        <f>IF(A881=0,"",IF(IF(COUNTIF(Sec_Fiber!$A$19:$A$1018,B881)&gt;0,TRUE,FALSE)=FALSE,VLOOKUP(B881,SecDB,3,FALSE),VLOOKUP(VLOOKUP(B881,SecFiberDB,2,FALSE),SecDB,3,FALSE)))</f>
        <v/>
      </c>
      <c r="D881" s="39" t="str">
        <f t="shared" si="13"/>
        <v/>
      </c>
    </row>
    <row r="882" spans="3:4" x14ac:dyDescent="0.25">
      <c r="C882" s="39" t="str">
        <f>IF(A882=0,"",IF(IF(COUNTIF(Sec_Fiber!$A$19:$A$1018,B882)&gt;0,TRUE,FALSE)=FALSE,VLOOKUP(B882,SecDB,3,FALSE),VLOOKUP(VLOOKUP(B882,SecFiberDB,2,FALSE),SecDB,3,FALSE)))</f>
        <v/>
      </c>
      <c r="D882" s="39" t="str">
        <f t="shared" si="13"/>
        <v/>
      </c>
    </row>
    <row r="883" spans="3:4" x14ac:dyDescent="0.25">
      <c r="C883" s="39" t="str">
        <f>IF(A883=0,"",IF(IF(COUNTIF(Sec_Fiber!$A$19:$A$1018,B883)&gt;0,TRUE,FALSE)=FALSE,VLOOKUP(B883,SecDB,3,FALSE),VLOOKUP(VLOOKUP(B883,SecFiberDB,2,FALSE),SecDB,3,FALSE)))</f>
        <v/>
      </c>
      <c r="D883" s="39" t="str">
        <f t="shared" si="13"/>
        <v/>
      </c>
    </row>
    <row r="884" spans="3:4" x14ac:dyDescent="0.25">
      <c r="C884" s="39" t="str">
        <f>IF(A884=0,"",IF(IF(COUNTIF(Sec_Fiber!$A$19:$A$1018,B884)&gt;0,TRUE,FALSE)=FALSE,VLOOKUP(B884,SecDB,3,FALSE),VLOOKUP(VLOOKUP(B884,SecFiberDB,2,FALSE),SecDB,3,FALSE)))</f>
        <v/>
      </c>
      <c r="D884" s="39" t="str">
        <f t="shared" si="13"/>
        <v/>
      </c>
    </row>
    <row r="885" spans="3:4" x14ac:dyDescent="0.25">
      <c r="C885" s="39" t="str">
        <f>IF(A885=0,"",IF(IF(COUNTIF(Sec_Fiber!$A$19:$A$1018,B885)&gt;0,TRUE,FALSE)=FALSE,VLOOKUP(B885,SecDB,3,FALSE),VLOOKUP(VLOOKUP(B885,SecFiberDB,2,FALSE),SecDB,3,FALSE)))</f>
        <v/>
      </c>
      <c r="D885" s="39" t="str">
        <f t="shared" si="13"/>
        <v/>
      </c>
    </row>
    <row r="886" spans="3:4" x14ac:dyDescent="0.25">
      <c r="C886" s="39" t="str">
        <f>IF(A886=0,"",IF(IF(COUNTIF(Sec_Fiber!$A$19:$A$1018,B886)&gt;0,TRUE,FALSE)=FALSE,VLOOKUP(B886,SecDB,3,FALSE),VLOOKUP(VLOOKUP(B886,SecFiberDB,2,FALSE),SecDB,3,FALSE)))</f>
        <v/>
      </c>
      <c r="D886" s="39" t="str">
        <f t="shared" si="13"/>
        <v/>
      </c>
    </row>
    <row r="887" spans="3:4" x14ac:dyDescent="0.25">
      <c r="C887" s="39" t="str">
        <f>IF(A887=0,"",IF(IF(COUNTIF(Sec_Fiber!$A$19:$A$1018,B887)&gt;0,TRUE,FALSE)=FALSE,VLOOKUP(B887,SecDB,3,FALSE),VLOOKUP(VLOOKUP(B887,SecFiberDB,2,FALSE),SecDB,3,FALSE)))</f>
        <v/>
      </c>
      <c r="D887" s="39" t="str">
        <f t="shared" si="13"/>
        <v/>
      </c>
    </row>
    <row r="888" spans="3:4" x14ac:dyDescent="0.25">
      <c r="C888" s="39" t="str">
        <f>IF(A888=0,"",IF(IF(COUNTIF(Sec_Fiber!$A$19:$A$1018,B888)&gt;0,TRUE,FALSE)=FALSE,VLOOKUP(B888,SecDB,3,FALSE),VLOOKUP(VLOOKUP(B888,SecFiberDB,2,FALSE),SecDB,3,FALSE)))</f>
        <v/>
      </c>
      <c r="D888" s="39" t="str">
        <f t="shared" si="13"/>
        <v/>
      </c>
    </row>
    <row r="889" spans="3:4" x14ac:dyDescent="0.25">
      <c r="C889" s="39" t="str">
        <f>IF(A889=0,"",IF(IF(COUNTIF(Sec_Fiber!$A$19:$A$1018,B889)&gt;0,TRUE,FALSE)=FALSE,VLOOKUP(B889,SecDB,3,FALSE),VLOOKUP(VLOOKUP(B889,SecFiberDB,2,FALSE),SecDB,3,FALSE)))</f>
        <v/>
      </c>
      <c r="D889" s="39" t="str">
        <f t="shared" si="13"/>
        <v/>
      </c>
    </row>
    <row r="890" spans="3:4" x14ac:dyDescent="0.25">
      <c r="C890" s="39" t="str">
        <f>IF(A890=0,"",IF(IF(COUNTIF(Sec_Fiber!$A$19:$A$1018,B890)&gt;0,TRUE,FALSE)=FALSE,VLOOKUP(B890,SecDB,3,FALSE),VLOOKUP(VLOOKUP(B890,SecFiberDB,2,FALSE),SecDB,3,FALSE)))</f>
        <v/>
      </c>
      <c r="D890" s="39" t="str">
        <f t="shared" si="13"/>
        <v/>
      </c>
    </row>
    <row r="891" spans="3:4" x14ac:dyDescent="0.25">
      <c r="C891" s="39" t="str">
        <f>IF(A891=0,"",IF(IF(COUNTIF(Sec_Fiber!$A$19:$A$1018,B891)&gt;0,TRUE,FALSE)=FALSE,VLOOKUP(B891,SecDB,3,FALSE),VLOOKUP(VLOOKUP(B891,SecFiberDB,2,FALSE),SecDB,3,FALSE)))</f>
        <v/>
      </c>
      <c r="D891" s="39" t="str">
        <f t="shared" si="13"/>
        <v/>
      </c>
    </row>
    <row r="892" spans="3:4" x14ac:dyDescent="0.25">
      <c r="C892" s="39" t="str">
        <f>IF(A892=0,"",IF(IF(COUNTIF(Sec_Fiber!$A$19:$A$1018,B892)&gt;0,TRUE,FALSE)=FALSE,VLOOKUP(B892,SecDB,3,FALSE),VLOOKUP(VLOOKUP(B892,SecFiberDB,2,FALSE),SecDB,3,FALSE)))</f>
        <v/>
      </c>
      <c r="D892" s="39" t="str">
        <f t="shared" si="13"/>
        <v/>
      </c>
    </row>
    <row r="893" spans="3:4" x14ac:dyDescent="0.25">
      <c r="C893" s="39" t="str">
        <f>IF(A893=0,"",IF(IF(COUNTIF(Sec_Fiber!$A$19:$A$1018,B893)&gt;0,TRUE,FALSE)=FALSE,VLOOKUP(B893,SecDB,3,FALSE),VLOOKUP(VLOOKUP(B893,SecFiberDB,2,FALSE),SecDB,3,FALSE)))</f>
        <v/>
      </c>
      <c r="D893" s="39" t="str">
        <f t="shared" si="13"/>
        <v/>
      </c>
    </row>
    <row r="894" spans="3:4" x14ac:dyDescent="0.25">
      <c r="C894" s="39" t="str">
        <f>IF(A894=0,"",IF(IF(COUNTIF(Sec_Fiber!$A$19:$A$1018,B894)&gt;0,TRUE,FALSE)=FALSE,VLOOKUP(B894,SecDB,3,FALSE),VLOOKUP(VLOOKUP(B894,SecFiberDB,2,FALSE),SecDB,3,FALSE)))</f>
        <v/>
      </c>
      <c r="D894" s="39" t="str">
        <f t="shared" si="13"/>
        <v/>
      </c>
    </row>
    <row r="895" spans="3:4" x14ac:dyDescent="0.25">
      <c r="C895" s="39" t="str">
        <f>IF(A895=0,"",IF(IF(COUNTIF(Sec_Fiber!$A$19:$A$1018,B895)&gt;0,TRUE,FALSE)=FALSE,VLOOKUP(B895,SecDB,3,FALSE),VLOOKUP(VLOOKUP(B895,SecFiberDB,2,FALSE),SecDB,3,FALSE)))</f>
        <v/>
      </c>
      <c r="D895" s="39" t="str">
        <f t="shared" si="13"/>
        <v/>
      </c>
    </row>
    <row r="896" spans="3:4" x14ac:dyDescent="0.25">
      <c r="C896" s="39" t="str">
        <f>IF(A896=0,"",IF(IF(COUNTIF(Sec_Fiber!$A$19:$A$1018,B896)&gt;0,TRUE,FALSE)=FALSE,VLOOKUP(B896,SecDB,3,FALSE),VLOOKUP(VLOOKUP(B896,SecFiberDB,2,FALSE),SecDB,3,FALSE)))</f>
        <v/>
      </c>
      <c r="D896" s="39" t="str">
        <f t="shared" si="13"/>
        <v/>
      </c>
    </row>
    <row r="897" spans="3:4" x14ac:dyDescent="0.25">
      <c r="C897" s="39" t="str">
        <f>IF(A897=0,"",IF(IF(COUNTIF(Sec_Fiber!$A$19:$A$1018,B897)&gt;0,TRUE,FALSE)=FALSE,VLOOKUP(B897,SecDB,3,FALSE),VLOOKUP(VLOOKUP(B897,SecFiberDB,2,FALSE),SecDB,3,FALSE)))</f>
        <v/>
      </c>
      <c r="D897" s="39" t="str">
        <f t="shared" si="13"/>
        <v/>
      </c>
    </row>
    <row r="898" spans="3:4" x14ac:dyDescent="0.25">
      <c r="C898" s="39" t="str">
        <f>IF(A898=0,"",IF(IF(COUNTIF(Sec_Fiber!$A$19:$A$1018,B898)&gt;0,TRUE,FALSE)=FALSE,VLOOKUP(B898,SecDB,3,FALSE),VLOOKUP(VLOOKUP(B898,SecFiberDB,2,FALSE),SecDB,3,FALSE)))</f>
        <v/>
      </c>
      <c r="D898" s="39" t="str">
        <f t="shared" si="13"/>
        <v/>
      </c>
    </row>
    <row r="899" spans="3:4" x14ac:dyDescent="0.25">
      <c r="C899" s="39" t="str">
        <f>IF(A899=0,"",IF(IF(COUNTIF(Sec_Fiber!$A$19:$A$1018,B899)&gt;0,TRUE,FALSE)=FALSE,VLOOKUP(B899,SecDB,3,FALSE),VLOOKUP(VLOOKUP(B899,SecFiberDB,2,FALSE),SecDB,3,FALSE)))</f>
        <v/>
      </c>
      <c r="D899" s="39" t="str">
        <f t="shared" si="13"/>
        <v/>
      </c>
    </row>
    <row r="900" spans="3:4" x14ac:dyDescent="0.25">
      <c r="C900" s="39" t="str">
        <f>IF(A900=0,"",IF(IF(COUNTIF(Sec_Fiber!$A$19:$A$1018,B900)&gt;0,TRUE,FALSE)=FALSE,VLOOKUP(B900,SecDB,3,FALSE),VLOOKUP(VLOOKUP(B900,SecFiberDB,2,FALSE),SecDB,3,FALSE)))</f>
        <v/>
      </c>
      <c r="D900" s="39" t="str">
        <f t="shared" si="13"/>
        <v/>
      </c>
    </row>
    <row r="901" spans="3:4" x14ac:dyDescent="0.25">
      <c r="C901" s="39" t="str">
        <f>IF(A901=0,"",IF(IF(COUNTIF(Sec_Fiber!$A$19:$A$1018,B901)&gt;0,TRUE,FALSE)=FALSE,VLOOKUP(B901,SecDB,3,FALSE),VLOOKUP(VLOOKUP(B901,SecFiberDB,2,FALSE),SecDB,3,FALSE)))</f>
        <v/>
      </c>
      <c r="D901" s="39" t="str">
        <f t="shared" si="13"/>
        <v/>
      </c>
    </row>
    <row r="902" spans="3:4" x14ac:dyDescent="0.25">
      <c r="C902" s="39" t="str">
        <f>IF(A902=0,"",IF(IF(COUNTIF(Sec_Fiber!$A$19:$A$1018,B902)&gt;0,TRUE,FALSE)=FALSE,VLOOKUP(B902,SecDB,3,FALSE),VLOOKUP(VLOOKUP(B902,SecFiberDB,2,FALSE),SecDB,3,FALSE)))</f>
        <v/>
      </c>
      <c r="D902" s="39" t="str">
        <f t="shared" si="13"/>
        <v/>
      </c>
    </row>
    <row r="903" spans="3:4" x14ac:dyDescent="0.25">
      <c r="C903" s="39" t="str">
        <f>IF(A903=0,"",IF(IF(COUNTIF(Sec_Fiber!$A$19:$A$1018,B903)&gt;0,TRUE,FALSE)=FALSE,VLOOKUP(B903,SecDB,3,FALSE),VLOOKUP(VLOOKUP(B903,SecFiberDB,2,FALSE),SecDB,3,FALSE)))</f>
        <v/>
      </c>
      <c r="D903" s="39" t="str">
        <f t="shared" si="13"/>
        <v/>
      </c>
    </row>
    <row r="904" spans="3:4" x14ac:dyDescent="0.25">
      <c r="C904" s="39" t="str">
        <f>IF(A904=0,"",IF(IF(COUNTIF(Sec_Fiber!$A$19:$A$1018,B904)&gt;0,TRUE,FALSE)=FALSE,VLOOKUP(B904,SecDB,3,FALSE),VLOOKUP(VLOOKUP(B904,SecFiberDB,2,FALSE),SecDB,3,FALSE)))</f>
        <v/>
      </c>
      <c r="D904" s="39" t="str">
        <f t="shared" si="13"/>
        <v/>
      </c>
    </row>
    <row r="905" spans="3:4" x14ac:dyDescent="0.25">
      <c r="C905" s="39" t="str">
        <f>IF(A905=0,"",IF(IF(COUNTIF(Sec_Fiber!$A$19:$A$1018,B905)&gt;0,TRUE,FALSE)=FALSE,VLOOKUP(B905,SecDB,3,FALSE),VLOOKUP(VLOOKUP(B905,SecFiberDB,2,FALSE),SecDB,3,FALSE)))</f>
        <v/>
      </c>
      <c r="D905" s="39" t="str">
        <f t="shared" ref="D905:D968" si="14">IF(A905=0,"","Aggregator")</f>
        <v/>
      </c>
    </row>
    <row r="906" spans="3:4" x14ac:dyDescent="0.25">
      <c r="C906" s="39" t="str">
        <f>IF(A906=0,"",IF(IF(COUNTIF(Sec_Fiber!$A$19:$A$1018,B906)&gt;0,TRUE,FALSE)=FALSE,VLOOKUP(B906,SecDB,3,FALSE),VLOOKUP(VLOOKUP(B906,SecFiberDB,2,FALSE),SecDB,3,FALSE)))</f>
        <v/>
      </c>
      <c r="D906" s="39" t="str">
        <f t="shared" si="14"/>
        <v/>
      </c>
    </row>
    <row r="907" spans="3:4" x14ac:dyDescent="0.25">
      <c r="C907" s="39" t="str">
        <f>IF(A907=0,"",IF(IF(COUNTIF(Sec_Fiber!$A$19:$A$1018,B907)&gt;0,TRUE,FALSE)=FALSE,VLOOKUP(B907,SecDB,3,FALSE),VLOOKUP(VLOOKUP(B907,SecFiberDB,2,FALSE),SecDB,3,FALSE)))</f>
        <v/>
      </c>
      <c r="D907" s="39" t="str">
        <f t="shared" si="14"/>
        <v/>
      </c>
    </row>
    <row r="908" spans="3:4" x14ac:dyDescent="0.25">
      <c r="C908" s="39" t="str">
        <f>IF(A908=0,"",IF(IF(COUNTIF(Sec_Fiber!$A$19:$A$1018,B908)&gt;0,TRUE,FALSE)=FALSE,VLOOKUP(B908,SecDB,3,FALSE),VLOOKUP(VLOOKUP(B908,SecFiberDB,2,FALSE),SecDB,3,FALSE)))</f>
        <v/>
      </c>
      <c r="D908" s="39" t="str">
        <f t="shared" si="14"/>
        <v/>
      </c>
    </row>
    <row r="909" spans="3:4" x14ac:dyDescent="0.25">
      <c r="C909" s="39" t="str">
        <f>IF(A909=0,"",IF(IF(COUNTIF(Sec_Fiber!$A$19:$A$1018,B909)&gt;0,TRUE,FALSE)=FALSE,VLOOKUP(B909,SecDB,3,FALSE),VLOOKUP(VLOOKUP(B909,SecFiberDB,2,FALSE),SecDB,3,FALSE)))</f>
        <v/>
      </c>
      <c r="D909" s="39" t="str">
        <f t="shared" si="14"/>
        <v/>
      </c>
    </row>
    <row r="910" spans="3:4" x14ac:dyDescent="0.25">
      <c r="C910" s="39" t="str">
        <f>IF(A910=0,"",IF(IF(COUNTIF(Sec_Fiber!$A$19:$A$1018,B910)&gt;0,TRUE,FALSE)=FALSE,VLOOKUP(B910,SecDB,3,FALSE),VLOOKUP(VLOOKUP(B910,SecFiberDB,2,FALSE),SecDB,3,FALSE)))</f>
        <v/>
      </c>
      <c r="D910" s="39" t="str">
        <f t="shared" si="14"/>
        <v/>
      </c>
    </row>
    <row r="911" spans="3:4" x14ac:dyDescent="0.25">
      <c r="C911" s="39" t="str">
        <f>IF(A911=0,"",IF(IF(COUNTIF(Sec_Fiber!$A$19:$A$1018,B911)&gt;0,TRUE,FALSE)=FALSE,VLOOKUP(B911,SecDB,3,FALSE),VLOOKUP(VLOOKUP(B911,SecFiberDB,2,FALSE),SecDB,3,FALSE)))</f>
        <v/>
      </c>
      <c r="D911" s="39" t="str">
        <f t="shared" si="14"/>
        <v/>
      </c>
    </row>
    <row r="912" spans="3:4" x14ac:dyDescent="0.25">
      <c r="C912" s="39" t="str">
        <f>IF(A912=0,"",IF(IF(COUNTIF(Sec_Fiber!$A$19:$A$1018,B912)&gt;0,TRUE,FALSE)=FALSE,VLOOKUP(B912,SecDB,3,FALSE),VLOOKUP(VLOOKUP(B912,SecFiberDB,2,FALSE),SecDB,3,FALSE)))</f>
        <v/>
      </c>
      <c r="D912" s="39" t="str">
        <f t="shared" si="14"/>
        <v/>
      </c>
    </row>
    <row r="913" spans="3:4" x14ac:dyDescent="0.25">
      <c r="C913" s="39" t="str">
        <f>IF(A913=0,"",IF(IF(COUNTIF(Sec_Fiber!$A$19:$A$1018,B913)&gt;0,TRUE,FALSE)=FALSE,VLOOKUP(B913,SecDB,3,FALSE),VLOOKUP(VLOOKUP(B913,SecFiberDB,2,FALSE),SecDB,3,FALSE)))</f>
        <v/>
      </c>
      <c r="D913" s="39" t="str">
        <f t="shared" si="14"/>
        <v/>
      </c>
    </row>
    <row r="914" spans="3:4" x14ac:dyDescent="0.25">
      <c r="C914" s="39" t="str">
        <f>IF(A914=0,"",IF(IF(COUNTIF(Sec_Fiber!$A$19:$A$1018,B914)&gt;0,TRUE,FALSE)=FALSE,VLOOKUP(B914,SecDB,3,FALSE),VLOOKUP(VLOOKUP(B914,SecFiberDB,2,FALSE),SecDB,3,FALSE)))</f>
        <v/>
      </c>
      <c r="D914" s="39" t="str">
        <f t="shared" si="14"/>
        <v/>
      </c>
    </row>
    <row r="915" spans="3:4" x14ac:dyDescent="0.25">
      <c r="C915" s="39" t="str">
        <f>IF(A915=0,"",IF(IF(COUNTIF(Sec_Fiber!$A$19:$A$1018,B915)&gt;0,TRUE,FALSE)=FALSE,VLOOKUP(B915,SecDB,3,FALSE),VLOOKUP(VLOOKUP(B915,SecFiberDB,2,FALSE),SecDB,3,FALSE)))</f>
        <v/>
      </c>
      <c r="D915" s="39" t="str">
        <f t="shared" si="14"/>
        <v/>
      </c>
    </row>
    <row r="916" spans="3:4" x14ac:dyDescent="0.25">
      <c r="C916" s="39" t="str">
        <f>IF(A916=0,"",IF(IF(COUNTIF(Sec_Fiber!$A$19:$A$1018,B916)&gt;0,TRUE,FALSE)=FALSE,VLOOKUP(B916,SecDB,3,FALSE),VLOOKUP(VLOOKUP(B916,SecFiberDB,2,FALSE),SecDB,3,FALSE)))</f>
        <v/>
      </c>
      <c r="D916" s="39" t="str">
        <f t="shared" si="14"/>
        <v/>
      </c>
    </row>
    <row r="917" spans="3:4" x14ac:dyDescent="0.25">
      <c r="C917" s="39" t="str">
        <f>IF(A917=0,"",IF(IF(COUNTIF(Sec_Fiber!$A$19:$A$1018,B917)&gt;0,TRUE,FALSE)=FALSE,VLOOKUP(B917,SecDB,3,FALSE),VLOOKUP(VLOOKUP(B917,SecFiberDB,2,FALSE),SecDB,3,FALSE)))</f>
        <v/>
      </c>
      <c r="D917" s="39" t="str">
        <f t="shared" si="14"/>
        <v/>
      </c>
    </row>
    <row r="918" spans="3:4" x14ac:dyDescent="0.25">
      <c r="C918" s="39" t="str">
        <f>IF(A918=0,"",IF(IF(COUNTIF(Sec_Fiber!$A$19:$A$1018,B918)&gt;0,TRUE,FALSE)=FALSE,VLOOKUP(B918,SecDB,3,FALSE),VLOOKUP(VLOOKUP(B918,SecFiberDB,2,FALSE),SecDB,3,FALSE)))</f>
        <v/>
      </c>
      <c r="D918" s="39" t="str">
        <f t="shared" si="14"/>
        <v/>
      </c>
    </row>
    <row r="919" spans="3:4" x14ac:dyDescent="0.25">
      <c r="C919" s="39" t="str">
        <f>IF(A919=0,"",IF(IF(COUNTIF(Sec_Fiber!$A$19:$A$1018,B919)&gt;0,TRUE,FALSE)=FALSE,VLOOKUP(B919,SecDB,3,FALSE),VLOOKUP(VLOOKUP(B919,SecFiberDB,2,FALSE),SecDB,3,FALSE)))</f>
        <v/>
      </c>
      <c r="D919" s="39" t="str">
        <f t="shared" si="14"/>
        <v/>
      </c>
    </row>
    <row r="920" spans="3:4" x14ac:dyDescent="0.25">
      <c r="C920" s="39" t="str">
        <f>IF(A920=0,"",IF(IF(COUNTIF(Sec_Fiber!$A$19:$A$1018,B920)&gt;0,TRUE,FALSE)=FALSE,VLOOKUP(B920,SecDB,3,FALSE),VLOOKUP(VLOOKUP(B920,SecFiberDB,2,FALSE),SecDB,3,FALSE)))</f>
        <v/>
      </c>
      <c r="D920" s="39" t="str">
        <f t="shared" si="14"/>
        <v/>
      </c>
    </row>
    <row r="921" spans="3:4" x14ac:dyDescent="0.25">
      <c r="C921" s="39" t="str">
        <f>IF(A921=0,"",IF(IF(COUNTIF(Sec_Fiber!$A$19:$A$1018,B921)&gt;0,TRUE,FALSE)=FALSE,VLOOKUP(B921,SecDB,3,FALSE),VLOOKUP(VLOOKUP(B921,SecFiberDB,2,FALSE),SecDB,3,FALSE)))</f>
        <v/>
      </c>
      <c r="D921" s="39" t="str">
        <f t="shared" si="14"/>
        <v/>
      </c>
    </row>
    <row r="922" spans="3:4" x14ac:dyDescent="0.25">
      <c r="C922" s="39" t="str">
        <f>IF(A922=0,"",IF(IF(COUNTIF(Sec_Fiber!$A$19:$A$1018,B922)&gt;0,TRUE,FALSE)=FALSE,VLOOKUP(B922,SecDB,3,FALSE),VLOOKUP(VLOOKUP(B922,SecFiberDB,2,FALSE),SecDB,3,FALSE)))</f>
        <v/>
      </c>
      <c r="D922" s="39" t="str">
        <f t="shared" si="14"/>
        <v/>
      </c>
    </row>
    <row r="923" spans="3:4" x14ac:dyDescent="0.25">
      <c r="C923" s="39" t="str">
        <f>IF(A923=0,"",IF(IF(COUNTIF(Sec_Fiber!$A$19:$A$1018,B923)&gt;0,TRUE,FALSE)=FALSE,VLOOKUP(B923,SecDB,3,FALSE),VLOOKUP(VLOOKUP(B923,SecFiberDB,2,FALSE),SecDB,3,FALSE)))</f>
        <v/>
      </c>
      <c r="D923" s="39" t="str">
        <f t="shared" si="14"/>
        <v/>
      </c>
    </row>
    <row r="924" spans="3:4" x14ac:dyDescent="0.25">
      <c r="C924" s="39" t="str">
        <f>IF(A924=0,"",IF(IF(COUNTIF(Sec_Fiber!$A$19:$A$1018,B924)&gt;0,TRUE,FALSE)=FALSE,VLOOKUP(B924,SecDB,3,FALSE),VLOOKUP(VLOOKUP(B924,SecFiberDB,2,FALSE),SecDB,3,FALSE)))</f>
        <v/>
      </c>
      <c r="D924" s="39" t="str">
        <f t="shared" si="14"/>
        <v/>
      </c>
    </row>
    <row r="925" spans="3:4" x14ac:dyDescent="0.25">
      <c r="C925" s="39" t="str">
        <f>IF(A925=0,"",IF(IF(COUNTIF(Sec_Fiber!$A$19:$A$1018,B925)&gt;0,TRUE,FALSE)=FALSE,VLOOKUP(B925,SecDB,3,FALSE),VLOOKUP(VLOOKUP(B925,SecFiberDB,2,FALSE),SecDB,3,FALSE)))</f>
        <v/>
      </c>
      <c r="D925" s="39" t="str">
        <f t="shared" si="14"/>
        <v/>
      </c>
    </row>
    <row r="926" spans="3:4" x14ac:dyDescent="0.25">
      <c r="C926" s="39" t="str">
        <f>IF(A926=0,"",IF(IF(COUNTIF(Sec_Fiber!$A$19:$A$1018,B926)&gt;0,TRUE,FALSE)=FALSE,VLOOKUP(B926,SecDB,3,FALSE),VLOOKUP(VLOOKUP(B926,SecFiberDB,2,FALSE),SecDB,3,FALSE)))</f>
        <v/>
      </c>
      <c r="D926" s="39" t="str">
        <f t="shared" si="14"/>
        <v/>
      </c>
    </row>
    <row r="927" spans="3:4" x14ac:dyDescent="0.25">
      <c r="C927" s="39" t="str">
        <f>IF(A927=0,"",IF(IF(COUNTIF(Sec_Fiber!$A$19:$A$1018,B927)&gt;0,TRUE,FALSE)=FALSE,VLOOKUP(B927,SecDB,3,FALSE),VLOOKUP(VLOOKUP(B927,SecFiberDB,2,FALSE),SecDB,3,FALSE)))</f>
        <v/>
      </c>
      <c r="D927" s="39" t="str">
        <f t="shared" si="14"/>
        <v/>
      </c>
    </row>
    <row r="928" spans="3:4" x14ac:dyDescent="0.25">
      <c r="C928" s="39" t="str">
        <f>IF(A928=0,"",IF(IF(COUNTIF(Sec_Fiber!$A$19:$A$1018,B928)&gt;0,TRUE,FALSE)=FALSE,VLOOKUP(B928,SecDB,3,FALSE),VLOOKUP(VLOOKUP(B928,SecFiberDB,2,FALSE),SecDB,3,FALSE)))</f>
        <v/>
      </c>
      <c r="D928" s="39" t="str">
        <f t="shared" si="14"/>
        <v/>
      </c>
    </row>
    <row r="929" spans="3:4" x14ac:dyDescent="0.25">
      <c r="C929" s="39" t="str">
        <f>IF(A929=0,"",IF(IF(COUNTIF(Sec_Fiber!$A$19:$A$1018,B929)&gt;0,TRUE,FALSE)=FALSE,VLOOKUP(B929,SecDB,3,FALSE),VLOOKUP(VLOOKUP(B929,SecFiberDB,2,FALSE),SecDB,3,FALSE)))</f>
        <v/>
      </c>
      <c r="D929" s="39" t="str">
        <f t="shared" si="14"/>
        <v/>
      </c>
    </row>
    <row r="930" spans="3:4" x14ac:dyDescent="0.25">
      <c r="C930" s="39" t="str">
        <f>IF(A930=0,"",IF(IF(COUNTIF(Sec_Fiber!$A$19:$A$1018,B930)&gt;0,TRUE,FALSE)=FALSE,VLOOKUP(B930,SecDB,3,FALSE),VLOOKUP(VLOOKUP(B930,SecFiberDB,2,FALSE),SecDB,3,FALSE)))</f>
        <v/>
      </c>
      <c r="D930" s="39" t="str">
        <f t="shared" si="14"/>
        <v/>
      </c>
    </row>
    <row r="931" spans="3:4" x14ac:dyDescent="0.25">
      <c r="C931" s="39" t="str">
        <f>IF(A931=0,"",IF(IF(COUNTIF(Sec_Fiber!$A$19:$A$1018,B931)&gt;0,TRUE,FALSE)=FALSE,VLOOKUP(B931,SecDB,3,FALSE),VLOOKUP(VLOOKUP(B931,SecFiberDB,2,FALSE),SecDB,3,FALSE)))</f>
        <v/>
      </c>
      <c r="D931" s="39" t="str">
        <f t="shared" si="14"/>
        <v/>
      </c>
    </row>
    <row r="932" spans="3:4" x14ac:dyDescent="0.25">
      <c r="C932" s="39" t="str">
        <f>IF(A932=0,"",IF(IF(COUNTIF(Sec_Fiber!$A$19:$A$1018,B932)&gt;0,TRUE,FALSE)=FALSE,VLOOKUP(B932,SecDB,3,FALSE),VLOOKUP(VLOOKUP(B932,SecFiberDB,2,FALSE),SecDB,3,FALSE)))</f>
        <v/>
      </c>
      <c r="D932" s="39" t="str">
        <f t="shared" si="14"/>
        <v/>
      </c>
    </row>
    <row r="933" spans="3:4" x14ac:dyDescent="0.25">
      <c r="C933" s="39" t="str">
        <f>IF(A933=0,"",IF(IF(COUNTIF(Sec_Fiber!$A$19:$A$1018,B933)&gt;0,TRUE,FALSE)=FALSE,VLOOKUP(B933,SecDB,3,FALSE),VLOOKUP(VLOOKUP(B933,SecFiberDB,2,FALSE),SecDB,3,FALSE)))</f>
        <v/>
      </c>
      <c r="D933" s="39" t="str">
        <f t="shared" si="14"/>
        <v/>
      </c>
    </row>
    <row r="934" spans="3:4" x14ac:dyDescent="0.25">
      <c r="C934" s="39" t="str">
        <f>IF(A934=0,"",IF(IF(COUNTIF(Sec_Fiber!$A$19:$A$1018,B934)&gt;0,TRUE,FALSE)=FALSE,VLOOKUP(B934,SecDB,3,FALSE),VLOOKUP(VLOOKUP(B934,SecFiberDB,2,FALSE),SecDB,3,FALSE)))</f>
        <v/>
      </c>
      <c r="D934" s="39" t="str">
        <f t="shared" si="14"/>
        <v/>
      </c>
    </row>
    <row r="935" spans="3:4" x14ac:dyDescent="0.25">
      <c r="C935" s="39" t="str">
        <f>IF(A935=0,"",IF(IF(COUNTIF(Sec_Fiber!$A$19:$A$1018,B935)&gt;0,TRUE,FALSE)=FALSE,VLOOKUP(B935,SecDB,3,FALSE),VLOOKUP(VLOOKUP(B935,SecFiberDB,2,FALSE),SecDB,3,FALSE)))</f>
        <v/>
      </c>
      <c r="D935" s="39" t="str">
        <f t="shared" si="14"/>
        <v/>
      </c>
    </row>
    <row r="936" spans="3:4" x14ac:dyDescent="0.25">
      <c r="C936" s="39" t="str">
        <f>IF(A936=0,"",IF(IF(COUNTIF(Sec_Fiber!$A$19:$A$1018,B936)&gt;0,TRUE,FALSE)=FALSE,VLOOKUP(B936,SecDB,3,FALSE),VLOOKUP(VLOOKUP(B936,SecFiberDB,2,FALSE),SecDB,3,FALSE)))</f>
        <v/>
      </c>
      <c r="D936" s="39" t="str">
        <f t="shared" si="14"/>
        <v/>
      </c>
    </row>
    <row r="937" spans="3:4" x14ac:dyDescent="0.25">
      <c r="C937" s="39" t="str">
        <f>IF(A937=0,"",IF(IF(COUNTIF(Sec_Fiber!$A$19:$A$1018,B937)&gt;0,TRUE,FALSE)=FALSE,VLOOKUP(B937,SecDB,3,FALSE),VLOOKUP(VLOOKUP(B937,SecFiberDB,2,FALSE),SecDB,3,FALSE)))</f>
        <v/>
      </c>
      <c r="D937" s="39" t="str">
        <f t="shared" si="14"/>
        <v/>
      </c>
    </row>
    <row r="938" spans="3:4" x14ac:dyDescent="0.25">
      <c r="C938" s="39" t="str">
        <f>IF(A938=0,"",IF(IF(COUNTIF(Sec_Fiber!$A$19:$A$1018,B938)&gt;0,TRUE,FALSE)=FALSE,VLOOKUP(B938,SecDB,3,FALSE),VLOOKUP(VLOOKUP(B938,SecFiberDB,2,FALSE),SecDB,3,FALSE)))</f>
        <v/>
      </c>
      <c r="D938" s="39" t="str">
        <f t="shared" si="14"/>
        <v/>
      </c>
    </row>
    <row r="939" spans="3:4" x14ac:dyDescent="0.25">
      <c r="C939" s="39" t="str">
        <f>IF(A939=0,"",IF(IF(COUNTIF(Sec_Fiber!$A$19:$A$1018,B939)&gt;0,TRUE,FALSE)=FALSE,VLOOKUP(B939,SecDB,3,FALSE),VLOOKUP(VLOOKUP(B939,SecFiberDB,2,FALSE),SecDB,3,FALSE)))</f>
        <v/>
      </c>
      <c r="D939" s="39" t="str">
        <f t="shared" si="14"/>
        <v/>
      </c>
    </row>
    <row r="940" spans="3:4" x14ac:dyDescent="0.25">
      <c r="C940" s="39" t="str">
        <f>IF(A940=0,"",IF(IF(COUNTIF(Sec_Fiber!$A$19:$A$1018,B940)&gt;0,TRUE,FALSE)=FALSE,VLOOKUP(B940,SecDB,3,FALSE),VLOOKUP(VLOOKUP(B940,SecFiberDB,2,FALSE),SecDB,3,FALSE)))</f>
        <v/>
      </c>
      <c r="D940" s="39" t="str">
        <f t="shared" si="14"/>
        <v/>
      </c>
    </row>
    <row r="941" spans="3:4" x14ac:dyDescent="0.25">
      <c r="C941" s="39" t="str">
        <f>IF(A941=0,"",IF(IF(COUNTIF(Sec_Fiber!$A$19:$A$1018,B941)&gt;0,TRUE,FALSE)=FALSE,VLOOKUP(B941,SecDB,3,FALSE),VLOOKUP(VLOOKUP(B941,SecFiberDB,2,FALSE),SecDB,3,FALSE)))</f>
        <v/>
      </c>
      <c r="D941" s="39" t="str">
        <f t="shared" si="14"/>
        <v/>
      </c>
    </row>
    <row r="942" spans="3:4" x14ac:dyDescent="0.25">
      <c r="C942" s="39" t="str">
        <f>IF(A942=0,"",IF(IF(COUNTIF(Sec_Fiber!$A$19:$A$1018,B942)&gt;0,TRUE,FALSE)=FALSE,VLOOKUP(B942,SecDB,3,FALSE),VLOOKUP(VLOOKUP(B942,SecFiberDB,2,FALSE),SecDB,3,FALSE)))</f>
        <v/>
      </c>
      <c r="D942" s="39" t="str">
        <f t="shared" si="14"/>
        <v/>
      </c>
    </row>
    <row r="943" spans="3:4" x14ac:dyDescent="0.25">
      <c r="C943" s="39" t="str">
        <f>IF(A943=0,"",IF(IF(COUNTIF(Sec_Fiber!$A$19:$A$1018,B943)&gt;0,TRUE,FALSE)=FALSE,VLOOKUP(B943,SecDB,3,FALSE),VLOOKUP(VLOOKUP(B943,SecFiberDB,2,FALSE),SecDB,3,FALSE)))</f>
        <v/>
      </c>
      <c r="D943" s="39" t="str">
        <f t="shared" si="14"/>
        <v/>
      </c>
    </row>
    <row r="944" spans="3:4" x14ac:dyDescent="0.25">
      <c r="C944" s="39" t="str">
        <f>IF(A944=0,"",IF(IF(COUNTIF(Sec_Fiber!$A$19:$A$1018,B944)&gt;0,TRUE,FALSE)=FALSE,VLOOKUP(B944,SecDB,3,FALSE),VLOOKUP(VLOOKUP(B944,SecFiberDB,2,FALSE),SecDB,3,FALSE)))</f>
        <v/>
      </c>
      <c r="D944" s="39" t="str">
        <f t="shared" si="14"/>
        <v/>
      </c>
    </row>
    <row r="945" spans="3:4" x14ac:dyDescent="0.25">
      <c r="C945" s="39" t="str">
        <f>IF(A945=0,"",IF(IF(COUNTIF(Sec_Fiber!$A$19:$A$1018,B945)&gt;0,TRUE,FALSE)=FALSE,VLOOKUP(B945,SecDB,3,FALSE),VLOOKUP(VLOOKUP(B945,SecFiberDB,2,FALSE),SecDB,3,FALSE)))</f>
        <v/>
      </c>
      <c r="D945" s="39" t="str">
        <f t="shared" si="14"/>
        <v/>
      </c>
    </row>
    <row r="946" spans="3:4" x14ac:dyDescent="0.25">
      <c r="C946" s="39" t="str">
        <f>IF(A946=0,"",IF(IF(COUNTIF(Sec_Fiber!$A$19:$A$1018,B946)&gt;0,TRUE,FALSE)=FALSE,VLOOKUP(B946,SecDB,3,FALSE),VLOOKUP(VLOOKUP(B946,SecFiberDB,2,FALSE),SecDB,3,FALSE)))</f>
        <v/>
      </c>
      <c r="D946" s="39" t="str">
        <f t="shared" si="14"/>
        <v/>
      </c>
    </row>
    <row r="947" spans="3:4" x14ac:dyDescent="0.25">
      <c r="C947" s="39" t="str">
        <f>IF(A947=0,"",IF(IF(COUNTIF(Sec_Fiber!$A$19:$A$1018,B947)&gt;0,TRUE,FALSE)=FALSE,VLOOKUP(B947,SecDB,3,FALSE),VLOOKUP(VLOOKUP(B947,SecFiberDB,2,FALSE),SecDB,3,FALSE)))</f>
        <v/>
      </c>
      <c r="D947" s="39" t="str">
        <f t="shared" si="14"/>
        <v/>
      </c>
    </row>
    <row r="948" spans="3:4" x14ac:dyDescent="0.25">
      <c r="C948" s="39" t="str">
        <f>IF(A948=0,"",IF(IF(COUNTIF(Sec_Fiber!$A$19:$A$1018,B948)&gt;0,TRUE,FALSE)=FALSE,VLOOKUP(B948,SecDB,3,FALSE),VLOOKUP(VLOOKUP(B948,SecFiberDB,2,FALSE),SecDB,3,FALSE)))</f>
        <v/>
      </c>
      <c r="D948" s="39" t="str">
        <f t="shared" si="14"/>
        <v/>
      </c>
    </row>
    <row r="949" spans="3:4" x14ac:dyDescent="0.25">
      <c r="C949" s="39" t="str">
        <f>IF(A949=0,"",IF(IF(COUNTIF(Sec_Fiber!$A$19:$A$1018,B949)&gt;0,TRUE,FALSE)=FALSE,VLOOKUP(B949,SecDB,3,FALSE),VLOOKUP(VLOOKUP(B949,SecFiberDB,2,FALSE),SecDB,3,FALSE)))</f>
        <v/>
      </c>
      <c r="D949" s="39" t="str">
        <f t="shared" si="14"/>
        <v/>
      </c>
    </row>
    <row r="950" spans="3:4" x14ac:dyDescent="0.25">
      <c r="C950" s="39" t="str">
        <f>IF(A950=0,"",IF(IF(COUNTIF(Sec_Fiber!$A$19:$A$1018,B950)&gt;0,TRUE,FALSE)=FALSE,VLOOKUP(B950,SecDB,3,FALSE),VLOOKUP(VLOOKUP(B950,SecFiberDB,2,FALSE),SecDB,3,FALSE)))</f>
        <v/>
      </c>
      <c r="D950" s="39" t="str">
        <f t="shared" si="14"/>
        <v/>
      </c>
    </row>
    <row r="951" spans="3:4" x14ac:dyDescent="0.25">
      <c r="C951" s="39" t="str">
        <f>IF(A951=0,"",IF(IF(COUNTIF(Sec_Fiber!$A$19:$A$1018,B951)&gt;0,TRUE,FALSE)=FALSE,VLOOKUP(B951,SecDB,3,FALSE),VLOOKUP(VLOOKUP(B951,SecFiberDB,2,FALSE),SecDB,3,FALSE)))</f>
        <v/>
      </c>
      <c r="D951" s="39" t="str">
        <f t="shared" si="14"/>
        <v/>
      </c>
    </row>
    <row r="952" spans="3:4" x14ac:dyDescent="0.25">
      <c r="C952" s="39" t="str">
        <f>IF(A952=0,"",IF(IF(COUNTIF(Sec_Fiber!$A$19:$A$1018,B952)&gt;0,TRUE,FALSE)=FALSE,VLOOKUP(B952,SecDB,3,FALSE),VLOOKUP(VLOOKUP(B952,SecFiberDB,2,FALSE),SecDB,3,FALSE)))</f>
        <v/>
      </c>
      <c r="D952" s="39" t="str">
        <f t="shared" si="14"/>
        <v/>
      </c>
    </row>
    <row r="953" spans="3:4" x14ac:dyDescent="0.25">
      <c r="C953" s="39" t="str">
        <f>IF(A953=0,"",IF(IF(COUNTIF(Sec_Fiber!$A$19:$A$1018,B953)&gt;0,TRUE,FALSE)=FALSE,VLOOKUP(B953,SecDB,3,FALSE),VLOOKUP(VLOOKUP(B953,SecFiberDB,2,FALSE),SecDB,3,FALSE)))</f>
        <v/>
      </c>
      <c r="D953" s="39" t="str">
        <f t="shared" si="14"/>
        <v/>
      </c>
    </row>
    <row r="954" spans="3:4" x14ac:dyDescent="0.25">
      <c r="C954" s="39" t="str">
        <f>IF(A954=0,"",IF(IF(COUNTIF(Sec_Fiber!$A$19:$A$1018,B954)&gt;0,TRUE,FALSE)=FALSE,VLOOKUP(B954,SecDB,3,FALSE),VLOOKUP(VLOOKUP(B954,SecFiberDB,2,FALSE),SecDB,3,FALSE)))</f>
        <v/>
      </c>
      <c r="D954" s="39" t="str">
        <f t="shared" si="14"/>
        <v/>
      </c>
    </row>
    <row r="955" spans="3:4" x14ac:dyDescent="0.25">
      <c r="C955" s="39" t="str">
        <f>IF(A955=0,"",IF(IF(COUNTIF(Sec_Fiber!$A$19:$A$1018,B955)&gt;0,TRUE,FALSE)=FALSE,VLOOKUP(B955,SecDB,3,FALSE),VLOOKUP(VLOOKUP(B955,SecFiberDB,2,FALSE),SecDB,3,FALSE)))</f>
        <v/>
      </c>
      <c r="D955" s="39" t="str">
        <f t="shared" si="14"/>
        <v/>
      </c>
    </row>
    <row r="956" spans="3:4" x14ac:dyDescent="0.25">
      <c r="C956" s="39" t="str">
        <f>IF(A956=0,"",IF(IF(COUNTIF(Sec_Fiber!$A$19:$A$1018,B956)&gt;0,TRUE,FALSE)=FALSE,VLOOKUP(B956,SecDB,3,FALSE),VLOOKUP(VLOOKUP(B956,SecFiberDB,2,FALSE),SecDB,3,FALSE)))</f>
        <v/>
      </c>
      <c r="D956" s="39" t="str">
        <f t="shared" si="14"/>
        <v/>
      </c>
    </row>
    <row r="957" spans="3:4" x14ac:dyDescent="0.25">
      <c r="C957" s="39" t="str">
        <f>IF(A957=0,"",IF(IF(COUNTIF(Sec_Fiber!$A$19:$A$1018,B957)&gt;0,TRUE,FALSE)=FALSE,VLOOKUP(B957,SecDB,3,FALSE),VLOOKUP(VLOOKUP(B957,SecFiberDB,2,FALSE),SecDB,3,FALSE)))</f>
        <v/>
      </c>
      <c r="D957" s="39" t="str">
        <f t="shared" si="14"/>
        <v/>
      </c>
    </row>
    <row r="958" spans="3:4" x14ac:dyDescent="0.25">
      <c r="C958" s="39" t="str">
        <f>IF(A958=0,"",IF(IF(COUNTIF(Sec_Fiber!$A$19:$A$1018,B958)&gt;0,TRUE,FALSE)=FALSE,VLOOKUP(B958,SecDB,3,FALSE),VLOOKUP(VLOOKUP(B958,SecFiberDB,2,FALSE),SecDB,3,FALSE)))</f>
        <v/>
      </c>
      <c r="D958" s="39" t="str">
        <f t="shared" si="14"/>
        <v/>
      </c>
    </row>
    <row r="959" spans="3:4" x14ac:dyDescent="0.25">
      <c r="C959" s="39" t="str">
        <f>IF(A959=0,"",IF(IF(COUNTIF(Sec_Fiber!$A$19:$A$1018,B959)&gt;0,TRUE,FALSE)=FALSE,VLOOKUP(B959,SecDB,3,FALSE),VLOOKUP(VLOOKUP(B959,SecFiberDB,2,FALSE),SecDB,3,FALSE)))</f>
        <v/>
      </c>
      <c r="D959" s="39" t="str">
        <f t="shared" si="14"/>
        <v/>
      </c>
    </row>
    <row r="960" spans="3:4" x14ac:dyDescent="0.25">
      <c r="C960" s="39" t="str">
        <f>IF(A960=0,"",IF(IF(COUNTIF(Sec_Fiber!$A$19:$A$1018,B960)&gt;0,TRUE,FALSE)=FALSE,VLOOKUP(B960,SecDB,3,FALSE),VLOOKUP(VLOOKUP(B960,SecFiberDB,2,FALSE),SecDB,3,FALSE)))</f>
        <v/>
      </c>
      <c r="D960" s="39" t="str">
        <f t="shared" si="14"/>
        <v/>
      </c>
    </row>
    <row r="961" spans="3:4" x14ac:dyDescent="0.25">
      <c r="C961" s="39" t="str">
        <f>IF(A961=0,"",IF(IF(COUNTIF(Sec_Fiber!$A$19:$A$1018,B961)&gt;0,TRUE,FALSE)=FALSE,VLOOKUP(B961,SecDB,3,FALSE),VLOOKUP(VLOOKUP(B961,SecFiberDB,2,FALSE),SecDB,3,FALSE)))</f>
        <v/>
      </c>
      <c r="D961" s="39" t="str">
        <f t="shared" si="14"/>
        <v/>
      </c>
    </row>
    <row r="962" spans="3:4" x14ac:dyDescent="0.25">
      <c r="C962" s="39" t="str">
        <f>IF(A962=0,"",IF(IF(COUNTIF(Sec_Fiber!$A$19:$A$1018,B962)&gt;0,TRUE,FALSE)=FALSE,VLOOKUP(B962,SecDB,3,FALSE),VLOOKUP(VLOOKUP(B962,SecFiberDB,2,FALSE),SecDB,3,FALSE)))</f>
        <v/>
      </c>
      <c r="D962" s="39" t="str">
        <f t="shared" si="14"/>
        <v/>
      </c>
    </row>
    <row r="963" spans="3:4" x14ac:dyDescent="0.25">
      <c r="C963" s="39" t="str">
        <f>IF(A963=0,"",IF(IF(COUNTIF(Sec_Fiber!$A$19:$A$1018,B963)&gt;0,TRUE,FALSE)=FALSE,VLOOKUP(B963,SecDB,3,FALSE),VLOOKUP(VLOOKUP(B963,SecFiberDB,2,FALSE),SecDB,3,FALSE)))</f>
        <v/>
      </c>
      <c r="D963" s="39" t="str">
        <f t="shared" si="14"/>
        <v/>
      </c>
    </row>
    <row r="964" spans="3:4" x14ac:dyDescent="0.25">
      <c r="C964" s="39" t="str">
        <f>IF(A964=0,"",IF(IF(COUNTIF(Sec_Fiber!$A$19:$A$1018,B964)&gt;0,TRUE,FALSE)=FALSE,VLOOKUP(B964,SecDB,3,FALSE),VLOOKUP(VLOOKUP(B964,SecFiberDB,2,FALSE),SecDB,3,FALSE)))</f>
        <v/>
      </c>
      <c r="D964" s="39" t="str">
        <f t="shared" si="14"/>
        <v/>
      </c>
    </row>
    <row r="965" spans="3:4" x14ac:dyDescent="0.25">
      <c r="C965" s="39" t="str">
        <f>IF(A965=0,"",IF(IF(COUNTIF(Sec_Fiber!$A$19:$A$1018,B965)&gt;0,TRUE,FALSE)=FALSE,VLOOKUP(B965,SecDB,3,FALSE),VLOOKUP(VLOOKUP(B965,SecFiberDB,2,FALSE),SecDB,3,FALSE)))</f>
        <v/>
      </c>
      <c r="D965" s="39" t="str">
        <f t="shared" si="14"/>
        <v/>
      </c>
    </row>
    <row r="966" spans="3:4" x14ac:dyDescent="0.25">
      <c r="C966" s="39" t="str">
        <f>IF(A966=0,"",IF(IF(COUNTIF(Sec_Fiber!$A$19:$A$1018,B966)&gt;0,TRUE,FALSE)=FALSE,VLOOKUP(B966,SecDB,3,FALSE),VLOOKUP(VLOOKUP(B966,SecFiberDB,2,FALSE),SecDB,3,FALSE)))</f>
        <v/>
      </c>
      <c r="D966" s="39" t="str">
        <f t="shared" si="14"/>
        <v/>
      </c>
    </row>
    <row r="967" spans="3:4" x14ac:dyDescent="0.25">
      <c r="C967" s="39" t="str">
        <f>IF(A967=0,"",IF(IF(COUNTIF(Sec_Fiber!$A$19:$A$1018,B967)&gt;0,TRUE,FALSE)=FALSE,VLOOKUP(B967,SecDB,3,FALSE),VLOOKUP(VLOOKUP(B967,SecFiberDB,2,FALSE),SecDB,3,FALSE)))</f>
        <v/>
      </c>
      <c r="D967" s="39" t="str">
        <f t="shared" si="14"/>
        <v/>
      </c>
    </row>
    <row r="968" spans="3:4" x14ac:dyDescent="0.25">
      <c r="C968" s="39" t="str">
        <f>IF(A968=0,"",IF(IF(COUNTIF(Sec_Fiber!$A$19:$A$1018,B968)&gt;0,TRUE,FALSE)=FALSE,VLOOKUP(B968,SecDB,3,FALSE),VLOOKUP(VLOOKUP(B968,SecFiberDB,2,FALSE),SecDB,3,FALSE)))</f>
        <v/>
      </c>
      <c r="D968" s="39" t="str">
        <f t="shared" si="14"/>
        <v/>
      </c>
    </row>
    <row r="969" spans="3:4" x14ac:dyDescent="0.25">
      <c r="C969" s="39" t="str">
        <f>IF(A969=0,"",IF(IF(COUNTIF(Sec_Fiber!$A$19:$A$1018,B969)&gt;0,TRUE,FALSE)=FALSE,VLOOKUP(B969,SecDB,3,FALSE),VLOOKUP(VLOOKUP(B969,SecFiberDB,2,FALSE),SecDB,3,FALSE)))</f>
        <v/>
      </c>
      <c r="D969" s="39" t="str">
        <f t="shared" ref="D969:D1008" si="15">IF(A969=0,"","Aggregator")</f>
        <v/>
      </c>
    </row>
    <row r="970" spans="3:4" x14ac:dyDescent="0.25">
      <c r="C970" s="39" t="str">
        <f>IF(A970=0,"",IF(IF(COUNTIF(Sec_Fiber!$A$19:$A$1018,B970)&gt;0,TRUE,FALSE)=FALSE,VLOOKUP(B970,SecDB,3,FALSE),VLOOKUP(VLOOKUP(B970,SecFiberDB,2,FALSE),SecDB,3,FALSE)))</f>
        <v/>
      </c>
      <c r="D970" s="39" t="str">
        <f t="shared" si="15"/>
        <v/>
      </c>
    </row>
    <row r="971" spans="3:4" x14ac:dyDescent="0.25">
      <c r="C971" s="39" t="str">
        <f>IF(A971=0,"",IF(IF(COUNTIF(Sec_Fiber!$A$19:$A$1018,B971)&gt;0,TRUE,FALSE)=FALSE,VLOOKUP(B971,SecDB,3,FALSE),VLOOKUP(VLOOKUP(B971,SecFiberDB,2,FALSE),SecDB,3,FALSE)))</f>
        <v/>
      </c>
      <c r="D971" s="39" t="str">
        <f t="shared" si="15"/>
        <v/>
      </c>
    </row>
    <row r="972" spans="3:4" x14ac:dyDescent="0.25">
      <c r="C972" s="39" t="str">
        <f>IF(A972=0,"",IF(IF(COUNTIF(Sec_Fiber!$A$19:$A$1018,B972)&gt;0,TRUE,FALSE)=FALSE,VLOOKUP(B972,SecDB,3,FALSE),VLOOKUP(VLOOKUP(B972,SecFiberDB,2,FALSE),SecDB,3,FALSE)))</f>
        <v/>
      </c>
      <c r="D972" s="39" t="str">
        <f t="shared" si="15"/>
        <v/>
      </c>
    </row>
    <row r="973" spans="3:4" x14ac:dyDescent="0.25">
      <c r="C973" s="39" t="str">
        <f>IF(A973=0,"",IF(IF(COUNTIF(Sec_Fiber!$A$19:$A$1018,B973)&gt;0,TRUE,FALSE)=FALSE,VLOOKUP(B973,SecDB,3,FALSE),VLOOKUP(VLOOKUP(B973,SecFiberDB,2,FALSE),SecDB,3,FALSE)))</f>
        <v/>
      </c>
      <c r="D973" s="39" t="str">
        <f t="shared" si="15"/>
        <v/>
      </c>
    </row>
    <row r="974" spans="3:4" x14ac:dyDescent="0.25">
      <c r="C974" s="39" t="str">
        <f>IF(A974=0,"",IF(IF(COUNTIF(Sec_Fiber!$A$19:$A$1018,B974)&gt;0,TRUE,FALSE)=FALSE,VLOOKUP(B974,SecDB,3,FALSE),VLOOKUP(VLOOKUP(B974,SecFiberDB,2,FALSE),SecDB,3,FALSE)))</f>
        <v/>
      </c>
      <c r="D974" s="39" t="str">
        <f t="shared" si="15"/>
        <v/>
      </c>
    </row>
    <row r="975" spans="3:4" x14ac:dyDescent="0.25">
      <c r="C975" s="39" t="str">
        <f>IF(A975=0,"",IF(IF(COUNTIF(Sec_Fiber!$A$19:$A$1018,B975)&gt;0,TRUE,FALSE)=FALSE,VLOOKUP(B975,SecDB,3,FALSE),VLOOKUP(VLOOKUP(B975,SecFiberDB,2,FALSE),SecDB,3,FALSE)))</f>
        <v/>
      </c>
      <c r="D975" s="39" t="str">
        <f t="shared" si="15"/>
        <v/>
      </c>
    </row>
    <row r="976" spans="3:4" x14ac:dyDescent="0.25">
      <c r="C976" s="39" t="str">
        <f>IF(A976=0,"",IF(IF(COUNTIF(Sec_Fiber!$A$19:$A$1018,B976)&gt;0,TRUE,FALSE)=FALSE,VLOOKUP(B976,SecDB,3,FALSE),VLOOKUP(VLOOKUP(B976,SecFiberDB,2,FALSE),SecDB,3,FALSE)))</f>
        <v/>
      </c>
      <c r="D976" s="39" t="str">
        <f t="shared" si="15"/>
        <v/>
      </c>
    </row>
    <row r="977" spans="3:4" x14ac:dyDescent="0.25">
      <c r="C977" s="39" t="str">
        <f>IF(A977=0,"",IF(IF(COUNTIF(Sec_Fiber!$A$19:$A$1018,B977)&gt;0,TRUE,FALSE)=FALSE,VLOOKUP(B977,SecDB,3,FALSE),VLOOKUP(VLOOKUP(B977,SecFiberDB,2,FALSE),SecDB,3,FALSE)))</f>
        <v/>
      </c>
      <c r="D977" s="39" t="str">
        <f t="shared" si="15"/>
        <v/>
      </c>
    </row>
    <row r="978" spans="3:4" x14ac:dyDescent="0.25">
      <c r="C978" s="39" t="str">
        <f>IF(A978=0,"",IF(IF(COUNTIF(Sec_Fiber!$A$19:$A$1018,B978)&gt;0,TRUE,FALSE)=FALSE,VLOOKUP(B978,SecDB,3,FALSE),VLOOKUP(VLOOKUP(B978,SecFiberDB,2,FALSE),SecDB,3,FALSE)))</f>
        <v/>
      </c>
      <c r="D978" s="39" t="str">
        <f t="shared" si="15"/>
        <v/>
      </c>
    </row>
    <row r="979" spans="3:4" x14ac:dyDescent="0.25">
      <c r="C979" s="39" t="str">
        <f>IF(A979=0,"",IF(IF(COUNTIF(Sec_Fiber!$A$19:$A$1018,B979)&gt;0,TRUE,FALSE)=FALSE,VLOOKUP(B979,SecDB,3,FALSE),VLOOKUP(VLOOKUP(B979,SecFiberDB,2,FALSE),SecDB,3,FALSE)))</f>
        <v/>
      </c>
      <c r="D979" s="39" t="str">
        <f t="shared" si="15"/>
        <v/>
      </c>
    </row>
    <row r="980" spans="3:4" x14ac:dyDescent="0.25">
      <c r="C980" s="39" t="str">
        <f>IF(A980=0,"",IF(IF(COUNTIF(Sec_Fiber!$A$19:$A$1018,B980)&gt;0,TRUE,FALSE)=FALSE,VLOOKUP(B980,SecDB,3,FALSE),VLOOKUP(VLOOKUP(B980,SecFiberDB,2,FALSE),SecDB,3,FALSE)))</f>
        <v/>
      </c>
      <c r="D980" s="39" t="str">
        <f t="shared" si="15"/>
        <v/>
      </c>
    </row>
    <row r="981" spans="3:4" x14ac:dyDescent="0.25">
      <c r="C981" s="39" t="str">
        <f>IF(A981=0,"",IF(IF(COUNTIF(Sec_Fiber!$A$19:$A$1018,B981)&gt;0,TRUE,FALSE)=FALSE,VLOOKUP(B981,SecDB,3,FALSE),VLOOKUP(VLOOKUP(B981,SecFiberDB,2,FALSE),SecDB,3,FALSE)))</f>
        <v/>
      </c>
      <c r="D981" s="39" t="str">
        <f t="shared" si="15"/>
        <v/>
      </c>
    </row>
    <row r="982" spans="3:4" x14ac:dyDescent="0.25">
      <c r="C982" s="39" t="str">
        <f>IF(A982=0,"",IF(IF(COUNTIF(Sec_Fiber!$A$19:$A$1018,B982)&gt;0,TRUE,FALSE)=FALSE,VLOOKUP(B982,SecDB,3,FALSE),VLOOKUP(VLOOKUP(B982,SecFiberDB,2,FALSE),SecDB,3,FALSE)))</f>
        <v/>
      </c>
      <c r="D982" s="39" t="str">
        <f t="shared" si="15"/>
        <v/>
      </c>
    </row>
    <row r="983" spans="3:4" x14ac:dyDescent="0.25">
      <c r="C983" s="39" t="str">
        <f>IF(A983=0,"",IF(IF(COUNTIF(Sec_Fiber!$A$19:$A$1018,B983)&gt;0,TRUE,FALSE)=FALSE,VLOOKUP(B983,SecDB,3,FALSE),VLOOKUP(VLOOKUP(B983,SecFiberDB,2,FALSE),SecDB,3,FALSE)))</f>
        <v/>
      </c>
      <c r="D983" s="39" t="str">
        <f t="shared" si="15"/>
        <v/>
      </c>
    </row>
    <row r="984" spans="3:4" x14ac:dyDescent="0.25">
      <c r="C984" s="39" t="str">
        <f>IF(A984=0,"",IF(IF(COUNTIF(Sec_Fiber!$A$19:$A$1018,B984)&gt;0,TRUE,FALSE)=FALSE,VLOOKUP(B984,SecDB,3,FALSE),VLOOKUP(VLOOKUP(B984,SecFiberDB,2,FALSE),SecDB,3,FALSE)))</f>
        <v/>
      </c>
      <c r="D984" s="39" t="str">
        <f t="shared" si="15"/>
        <v/>
      </c>
    </row>
    <row r="985" spans="3:4" x14ac:dyDescent="0.25">
      <c r="C985" s="39" t="str">
        <f>IF(A985=0,"",IF(IF(COUNTIF(Sec_Fiber!$A$19:$A$1018,B985)&gt;0,TRUE,FALSE)=FALSE,VLOOKUP(B985,SecDB,3,FALSE),VLOOKUP(VLOOKUP(B985,SecFiberDB,2,FALSE),SecDB,3,FALSE)))</f>
        <v/>
      </c>
      <c r="D985" s="39" t="str">
        <f t="shared" si="15"/>
        <v/>
      </c>
    </row>
    <row r="986" spans="3:4" x14ac:dyDescent="0.25">
      <c r="C986" s="39" t="str">
        <f>IF(A986=0,"",IF(IF(COUNTIF(Sec_Fiber!$A$19:$A$1018,B986)&gt;0,TRUE,FALSE)=FALSE,VLOOKUP(B986,SecDB,3,FALSE),VLOOKUP(VLOOKUP(B986,SecFiberDB,2,FALSE),SecDB,3,FALSE)))</f>
        <v/>
      </c>
      <c r="D986" s="39" t="str">
        <f t="shared" si="15"/>
        <v/>
      </c>
    </row>
    <row r="987" spans="3:4" x14ac:dyDescent="0.25">
      <c r="C987" s="39" t="str">
        <f>IF(A987=0,"",IF(IF(COUNTIF(Sec_Fiber!$A$19:$A$1018,B987)&gt;0,TRUE,FALSE)=FALSE,VLOOKUP(B987,SecDB,3,FALSE),VLOOKUP(VLOOKUP(B987,SecFiberDB,2,FALSE),SecDB,3,FALSE)))</f>
        <v/>
      </c>
      <c r="D987" s="39" t="str">
        <f t="shared" si="15"/>
        <v/>
      </c>
    </row>
    <row r="988" spans="3:4" x14ac:dyDescent="0.25">
      <c r="C988" s="39" t="str">
        <f>IF(A988=0,"",IF(IF(COUNTIF(Sec_Fiber!$A$19:$A$1018,B988)&gt;0,TRUE,FALSE)=FALSE,VLOOKUP(B988,SecDB,3,FALSE),VLOOKUP(VLOOKUP(B988,SecFiberDB,2,FALSE),SecDB,3,FALSE)))</f>
        <v/>
      </c>
      <c r="D988" s="39" t="str">
        <f t="shared" si="15"/>
        <v/>
      </c>
    </row>
    <row r="989" spans="3:4" x14ac:dyDescent="0.25">
      <c r="C989" s="39" t="str">
        <f>IF(A989=0,"",IF(IF(COUNTIF(Sec_Fiber!$A$19:$A$1018,B989)&gt;0,TRUE,FALSE)=FALSE,VLOOKUP(B989,SecDB,3,FALSE),VLOOKUP(VLOOKUP(B989,SecFiberDB,2,FALSE),SecDB,3,FALSE)))</f>
        <v/>
      </c>
      <c r="D989" s="39" t="str">
        <f t="shared" si="15"/>
        <v/>
      </c>
    </row>
    <row r="990" spans="3:4" x14ac:dyDescent="0.25">
      <c r="C990" s="39" t="str">
        <f>IF(A990=0,"",IF(IF(COUNTIF(Sec_Fiber!$A$19:$A$1018,B990)&gt;0,TRUE,FALSE)=FALSE,VLOOKUP(B990,SecDB,3,FALSE),VLOOKUP(VLOOKUP(B990,SecFiberDB,2,FALSE),SecDB,3,FALSE)))</f>
        <v/>
      </c>
      <c r="D990" s="39" t="str">
        <f t="shared" si="15"/>
        <v/>
      </c>
    </row>
    <row r="991" spans="3:4" x14ac:dyDescent="0.25">
      <c r="C991" s="39" t="str">
        <f>IF(A991=0,"",IF(IF(COUNTIF(Sec_Fiber!$A$19:$A$1018,B991)&gt;0,TRUE,FALSE)=FALSE,VLOOKUP(B991,SecDB,3,FALSE),VLOOKUP(VLOOKUP(B991,SecFiberDB,2,FALSE),SecDB,3,FALSE)))</f>
        <v/>
      </c>
      <c r="D991" s="39" t="str">
        <f t="shared" si="15"/>
        <v/>
      </c>
    </row>
    <row r="992" spans="3:4" x14ac:dyDescent="0.25">
      <c r="C992" s="39" t="str">
        <f>IF(A992=0,"",IF(IF(COUNTIF(Sec_Fiber!$A$19:$A$1018,B992)&gt;0,TRUE,FALSE)=FALSE,VLOOKUP(B992,SecDB,3,FALSE),VLOOKUP(VLOOKUP(B992,SecFiberDB,2,FALSE),SecDB,3,FALSE)))</f>
        <v/>
      </c>
      <c r="D992" s="39" t="str">
        <f t="shared" si="15"/>
        <v/>
      </c>
    </row>
    <row r="993" spans="3:4" x14ac:dyDescent="0.25">
      <c r="C993" s="39" t="str">
        <f>IF(A993=0,"",IF(IF(COUNTIF(Sec_Fiber!$A$19:$A$1018,B993)&gt;0,TRUE,FALSE)=FALSE,VLOOKUP(B993,SecDB,3,FALSE),VLOOKUP(VLOOKUP(B993,SecFiberDB,2,FALSE),SecDB,3,FALSE)))</f>
        <v/>
      </c>
      <c r="D993" s="39" t="str">
        <f t="shared" si="15"/>
        <v/>
      </c>
    </row>
    <row r="994" spans="3:4" x14ac:dyDescent="0.25">
      <c r="C994" s="39" t="str">
        <f>IF(A994=0,"",IF(IF(COUNTIF(Sec_Fiber!$A$19:$A$1018,B994)&gt;0,TRUE,FALSE)=FALSE,VLOOKUP(B994,SecDB,3,FALSE),VLOOKUP(VLOOKUP(B994,SecFiberDB,2,FALSE),SecDB,3,FALSE)))</f>
        <v/>
      </c>
      <c r="D994" s="39" t="str">
        <f t="shared" si="15"/>
        <v/>
      </c>
    </row>
    <row r="995" spans="3:4" x14ac:dyDescent="0.25">
      <c r="C995" s="39" t="str">
        <f>IF(A995=0,"",IF(IF(COUNTIF(Sec_Fiber!$A$19:$A$1018,B995)&gt;0,TRUE,FALSE)=FALSE,VLOOKUP(B995,SecDB,3,FALSE),VLOOKUP(VLOOKUP(B995,SecFiberDB,2,FALSE),SecDB,3,FALSE)))</f>
        <v/>
      </c>
      <c r="D995" s="39" t="str">
        <f t="shared" si="15"/>
        <v/>
      </c>
    </row>
    <row r="996" spans="3:4" x14ac:dyDescent="0.25">
      <c r="C996" s="39" t="str">
        <f>IF(A996=0,"",IF(IF(COUNTIF(Sec_Fiber!$A$19:$A$1018,B996)&gt;0,TRUE,FALSE)=FALSE,VLOOKUP(B996,SecDB,3,FALSE),VLOOKUP(VLOOKUP(B996,SecFiberDB,2,FALSE),SecDB,3,FALSE)))</f>
        <v/>
      </c>
      <c r="D996" s="39" t="str">
        <f t="shared" si="15"/>
        <v/>
      </c>
    </row>
    <row r="997" spans="3:4" x14ac:dyDescent="0.25">
      <c r="C997" s="39" t="str">
        <f>IF(A997=0,"",IF(IF(COUNTIF(Sec_Fiber!$A$19:$A$1018,B997)&gt;0,TRUE,FALSE)=FALSE,VLOOKUP(B997,SecDB,3,FALSE),VLOOKUP(VLOOKUP(B997,SecFiberDB,2,FALSE),SecDB,3,FALSE)))</f>
        <v/>
      </c>
      <c r="D997" s="39" t="str">
        <f t="shared" si="15"/>
        <v/>
      </c>
    </row>
    <row r="998" spans="3:4" x14ac:dyDescent="0.25">
      <c r="C998" s="39" t="str">
        <f>IF(A998=0,"",IF(IF(COUNTIF(Sec_Fiber!$A$19:$A$1018,B998)&gt;0,TRUE,FALSE)=FALSE,VLOOKUP(B998,SecDB,3,FALSE),VLOOKUP(VLOOKUP(B998,SecFiberDB,2,FALSE),SecDB,3,FALSE)))</f>
        <v/>
      </c>
      <c r="D998" s="39" t="str">
        <f t="shared" si="15"/>
        <v/>
      </c>
    </row>
    <row r="999" spans="3:4" x14ac:dyDescent="0.25">
      <c r="C999" s="39" t="str">
        <f>IF(A999=0,"",IF(IF(COUNTIF(Sec_Fiber!$A$19:$A$1018,B999)&gt;0,TRUE,FALSE)=FALSE,VLOOKUP(B999,SecDB,3,FALSE),VLOOKUP(VLOOKUP(B999,SecFiberDB,2,FALSE),SecDB,3,FALSE)))</f>
        <v/>
      </c>
      <c r="D999" s="39" t="str">
        <f t="shared" si="15"/>
        <v/>
      </c>
    </row>
    <row r="1000" spans="3:4" x14ac:dyDescent="0.25">
      <c r="C1000" s="39" t="str">
        <f>IF(A1000=0,"",IF(IF(COUNTIF(Sec_Fiber!$A$19:$A$1018,B1000)&gt;0,TRUE,FALSE)=FALSE,VLOOKUP(B1000,SecDB,3,FALSE),VLOOKUP(VLOOKUP(B1000,SecFiberDB,2,FALSE),SecDB,3,FALSE)))</f>
        <v/>
      </c>
      <c r="D1000" s="39" t="str">
        <f t="shared" si="15"/>
        <v/>
      </c>
    </row>
    <row r="1001" spans="3:4" x14ac:dyDescent="0.25">
      <c r="C1001" s="39" t="str">
        <f>IF(A1001=0,"",IF(IF(COUNTIF(Sec_Fiber!$A$19:$A$1018,B1001)&gt;0,TRUE,FALSE)=FALSE,VLOOKUP(B1001,SecDB,3,FALSE),VLOOKUP(VLOOKUP(B1001,SecFiberDB,2,FALSE),SecDB,3,FALSE)))</f>
        <v/>
      </c>
      <c r="D1001" s="39" t="str">
        <f t="shared" si="15"/>
        <v/>
      </c>
    </row>
    <row r="1002" spans="3:4" x14ac:dyDescent="0.25">
      <c r="C1002" s="39" t="str">
        <f>IF(A1002=0,"",IF(IF(COUNTIF(Sec_Fiber!$A$19:$A$1018,B1002)&gt;0,TRUE,FALSE)=FALSE,VLOOKUP(B1002,SecDB,3,FALSE),VLOOKUP(VLOOKUP(B1002,SecFiberDB,2,FALSE),SecDB,3,FALSE)))</f>
        <v/>
      </c>
      <c r="D1002" s="39" t="str">
        <f t="shared" si="15"/>
        <v/>
      </c>
    </row>
    <row r="1003" spans="3:4" x14ac:dyDescent="0.25">
      <c r="C1003" s="39" t="str">
        <f>IF(A1003=0,"",IF(IF(COUNTIF(Sec_Fiber!$A$19:$A$1018,B1003)&gt;0,TRUE,FALSE)=FALSE,VLOOKUP(B1003,SecDB,3,FALSE),VLOOKUP(VLOOKUP(B1003,SecFiberDB,2,FALSE),SecDB,3,FALSE)))</f>
        <v/>
      </c>
      <c r="D1003" s="39" t="str">
        <f t="shared" si="15"/>
        <v/>
      </c>
    </row>
    <row r="1004" spans="3:4" x14ac:dyDescent="0.25">
      <c r="C1004" s="39" t="str">
        <f>IF(A1004=0,"",IF(IF(COUNTIF(Sec_Fiber!$A$19:$A$1018,B1004)&gt;0,TRUE,FALSE)=FALSE,VLOOKUP(B1004,SecDB,3,FALSE),VLOOKUP(VLOOKUP(B1004,SecFiberDB,2,FALSE),SecDB,3,FALSE)))</f>
        <v/>
      </c>
      <c r="D1004" s="39" t="str">
        <f t="shared" si="15"/>
        <v/>
      </c>
    </row>
    <row r="1005" spans="3:4" x14ac:dyDescent="0.25">
      <c r="C1005" s="39" t="str">
        <f>IF(A1005=0,"",IF(IF(COUNTIF(Sec_Fiber!$A$19:$A$1018,B1005)&gt;0,TRUE,FALSE)=FALSE,VLOOKUP(B1005,SecDB,3,FALSE),VLOOKUP(VLOOKUP(B1005,SecFiberDB,2,FALSE),SecDB,3,FALSE)))</f>
        <v/>
      </c>
      <c r="D1005" s="39" t="str">
        <f t="shared" si="15"/>
        <v/>
      </c>
    </row>
    <row r="1006" spans="3:4" x14ac:dyDescent="0.25">
      <c r="C1006" s="39" t="str">
        <f>IF(A1006=0,"",IF(IF(COUNTIF(Sec_Fiber!$A$19:$A$1018,B1006)&gt;0,TRUE,FALSE)=FALSE,VLOOKUP(B1006,SecDB,3,FALSE),VLOOKUP(VLOOKUP(B1006,SecFiberDB,2,FALSE),SecDB,3,FALSE)))</f>
        <v/>
      </c>
      <c r="D1006" s="39" t="str">
        <f t="shared" si="15"/>
        <v/>
      </c>
    </row>
    <row r="1007" spans="3:4" x14ac:dyDescent="0.25">
      <c r="C1007" s="39" t="str">
        <f>IF(A1007=0,"",IF(IF(COUNTIF(Sec_Fiber!$A$19:$A$1018,B1007)&gt;0,TRUE,FALSE)=FALSE,VLOOKUP(B1007,SecDB,3,FALSE),VLOOKUP(VLOOKUP(B1007,SecFiberDB,2,FALSE),SecDB,3,FALSE)))</f>
        <v/>
      </c>
      <c r="D1007" s="39" t="str">
        <f t="shared" si="15"/>
        <v/>
      </c>
    </row>
    <row r="1008" spans="3:4" x14ac:dyDescent="0.25">
      <c r="C1008" s="39" t="str">
        <f>IF(A1008=0,"",IF(IF(COUNTIF(Sec_Fiber!$A$19:$A$1018,B1008)&gt;0,TRUE,FALSE)=FALSE,VLOOKUP(B1008,SecDB,3,FALSE),VLOOKUP(VLOOKUP(B1008,SecFiberDB,2,FALSE),SecDB,3,FALSE)))</f>
        <v/>
      </c>
      <c r="D1008" s="39" t="str">
        <f t="shared" si="15"/>
        <v/>
      </c>
    </row>
  </sheetData>
  <dataValidations xWindow="508" yWindow="532" count="3">
    <dataValidation type="custom" allowBlank="1" showInputMessage="1" showErrorMessage="1" errorTitle="Invalid Input" error="Please enter a text/string value only." sqref="A9:A1048576" xr:uid="{25464784-987A-493D-A952-8894479FDC2D}">
      <formula1>ISTEXT(A9)</formula1>
    </dataValidation>
    <dataValidation type="list" allowBlank="1" showInputMessage="1" showErrorMessage="1" errorTitle="Invalid Input" error="Choose from the list" sqref="B9:B1048576" xr:uid="{ECB3A9C5-77CD-42C5-9FDA-40FCCF7D8F54}">
      <formula1>Sec_Name</formula1>
    </dataValidation>
    <dataValidation type="list" allowBlank="1" showInputMessage="1" showErrorMessage="1" errorTitle="Invalid Input" error="Choose from the list" sqref="E9:E1048576" xr:uid="{7A09B5BC-42C0-45A1-B653-E1F63C6F092E}">
      <formula1>"Flexural Stiffness, Shear Stiffness, Torsional Stiffness, Axial Stiffness"</formula1>
    </dataValidation>
  </dataValidation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0A4F89-C721-3340-A226-185107DBDAD1}">
  <sheetPr codeName="Sheet13"/>
  <dimension ref="A1:C2"/>
  <sheetViews>
    <sheetView zoomScale="130" zoomScaleNormal="130" workbookViewId="0">
      <selection activeCell="A7" sqref="A7"/>
    </sheetView>
  </sheetViews>
  <sheetFormatPr defaultColWidth="10.85546875" defaultRowHeight="15.75" x14ac:dyDescent="0.25"/>
  <cols>
    <col min="1" max="2" width="20.85546875" style="1" customWidth="1"/>
    <col min="3" max="3" width="10.85546875" style="4"/>
    <col min="4" max="16384" width="10.85546875" style="3"/>
  </cols>
  <sheetData>
    <row r="1" spans="1:3" s="8" customFormat="1" x14ac:dyDescent="0.25">
      <c r="A1" s="8" t="s">
        <v>72</v>
      </c>
      <c r="B1" s="8" t="s">
        <v>18</v>
      </c>
      <c r="C1" s="8" t="s">
        <v>107</v>
      </c>
    </row>
    <row r="2" spans="1:3" x14ac:dyDescent="0.25">
      <c r="A2" s="1" t="s">
        <v>108</v>
      </c>
      <c r="B2" s="1" t="s">
        <v>16</v>
      </c>
      <c r="C2" s="4">
        <v>0.2</v>
      </c>
    </row>
  </sheetData>
  <dataValidations count="3">
    <dataValidation allowBlank="1" showInputMessage="1" showErrorMessage="1" prompt="User input" sqref="A2:A1048576" xr:uid="{9208C44A-3B70-EB42-8B79-853AF450CF64}"/>
    <dataValidation type="list" allowBlank="1" showInputMessage="1" showErrorMessage="1" error="Choose from the list" prompt="Choose base material" sqref="B2:B1048576" xr:uid="{F9A26724-8B4A-3E48-9DCF-4A3CDE05A97A}">
      <formula1>Base_Mat</formula1>
    </dataValidation>
    <dataValidation allowBlank="1" showInputMessage="1" showErrorMessage="1" prompt="Slab thickness_x000a__x000a_Notes:_x000a_1. Value should follow Default Units" sqref="C2:C1048576" xr:uid="{88532836-B930-994A-A780-68544E0EBCC7}"/>
  </dataValidation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ACB4EC-3771-8645-8C6C-01F7C95730B5}">
  <sheetPr codeName="Sheet16"/>
  <dimension ref="A1:D1001"/>
  <sheetViews>
    <sheetView zoomScale="130" zoomScaleNormal="130" workbookViewId="0">
      <selection activeCell="C10" sqref="C10"/>
    </sheetView>
  </sheetViews>
  <sheetFormatPr defaultColWidth="10.85546875" defaultRowHeight="15.75" x14ac:dyDescent="0.25"/>
  <cols>
    <col min="1" max="2" width="15.85546875" style="9" customWidth="1"/>
    <col min="3" max="4" width="15.85546875" style="11" customWidth="1"/>
    <col min="5" max="16384" width="10.85546875" style="10"/>
  </cols>
  <sheetData>
    <row r="1" spans="1:4" s="8" customFormat="1" x14ac:dyDescent="0.25">
      <c r="A1" s="8" t="s">
        <v>89</v>
      </c>
      <c r="B1" s="8" t="s">
        <v>115</v>
      </c>
      <c r="C1" s="8" t="s">
        <v>118</v>
      </c>
      <c r="D1" s="8" t="s">
        <v>119</v>
      </c>
    </row>
    <row r="2" spans="1:4" x14ac:dyDescent="0.25">
      <c r="A2" s="9" t="str">
        <f>IF('Frame Sections'!A17=0,"",'Frame Sections'!A17)</f>
        <v>C1</v>
      </c>
      <c r="B2" s="9" t="str">
        <f t="shared" ref="B2:B65" si="0">IF(OR(A2=0,A2=""),"",VLOOKUP(A2,SecDB,5,FALSE))</f>
        <v>Column</v>
      </c>
      <c r="C2" s="11">
        <v>0</v>
      </c>
      <c r="D2" s="11">
        <v>0.6</v>
      </c>
    </row>
    <row r="3" spans="1:4" x14ac:dyDescent="0.25">
      <c r="A3" s="9" t="str">
        <f>IF('Frame Sections'!A18=0,"",'Frame Sections'!A18)</f>
        <v>B1</v>
      </c>
      <c r="B3" s="9" t="str">
        <f t="shared" si="0"/>
        <v>Beam</v>
      </c>
      <c r="C3" s="11">
        <v>0</v>
      </c>
      <c r="D3" s="11">
        <v>0</v>
      </c>
    </row>
    <row r="4" spans="1:4" x14ac:dyDescent="0.25">
      <c r="A4" s="9" t="str">
        <f>IF('Frame Sections'!A19=0,"",'Frame Sections'!A19)</f>
        <v/>
      </c>
      <c r="B4" s="9" t="str">
        <f t="shared" si="0"/>
        <v/>
      </c>
    </row>
    <row r="5" spans="1:4" x14ac:dyDescent="0.25">
      <c r="A5" s="9" t="str">
        <f>IF('Frame Sections'!A20=0,"",'Frame Sections'!A20)</f>
        <v/>
      </c>
      <c r="B5" s="9" t="str">
        <f t="shared" si="0"/>
        <v/>
      </c>
    </row>
    <row r="6" spans="1:4" x14ac:dyDescent="0.25">
      <c r="A6" s="9" t="str">
        <f>IF('Frame Sections'!A21=0,"",'Frame Sections'!A21)</f>
        <v/>
      </c>
      <c r="B6" s="9" t="str">
        <f t="shared" si="0"/>
        <v/>
      </c>
    </row>
    <row r="7" spans="1:4" x14ac:dyDescent="0.25">
      <c r="A7" s="9" t="str">
        <f>IF('Frame Sections'!A22=0,"",'Frame Sections'!A22)</f>
        <v/>
      </c>
      <c r="B7" s="9" t="str">
        <f t="shared" si="0"/>
        <v/>
      </c>
    </row>
    <row r="8" spans="1:4" x14ac:dyDescent="0.25">
      <c r="A8" s="9" t="str">
        <f>IF('Frame Sections'!A23=0,"",'Frame Sections'!A23)</f>
        <v/>
      </c>
      <c r="B8" s="9" t="str">
        <f t="shared" si="0"/>
        <v/>
      </c>
    </row>
    <row r="9" spans="1:4" x14ac:dyDescent="0.25">
      <c r="A9" s="9" t="str">
        <f>IF('Frame Sections'!A24=0,"",'Frame Sections'!A24)</f>
        <v/>
      </c>
      <c r="B9" s="9" t="str">
        <f t="shared" si="0"/>
        <v/>
      </c>
    </row>
    <row r="10" spans="1:4" x14ac:dyDescent="0.25">
      <c r="A10" s="9" t="str">
        <f>IF('Frame Sections'!A25=0,"",'Frame Sections'!A25)</f>
        <v/>
      </c>
      <c r="B10" s="9" t="str">
        <f t="shared" si="0"/>
        <v/>
      </c>
    </row>
    <row r="11" spans="1:4" x14ac:dyDescent="0.25">
      <c r="A11" s="9" t="str">
        <f>IF('Frame Sections'!A26=0,"",'Frame Sections'!A26)</f>
        <v/>
      </c>
      <c r="B11" s="9" t="str">
        <f t="shared" si="0"/>
        <v/>
      </c>
    </row>
    <row r="12" spans="1:4" x14ac:dyDescent="0.25">
      <c r="A12" s="9" t="str">
        <f>IF('Frame Sections'!A27=0,"",'Frame Sections'!A27)</f>
        <v/>
      </c>
      <c r="B12" s="9" t="str">
        <f t="shared" si="0"/>
        <v/>
      </c>
    </row>
    <row r="13" spans="1:4" x14ac:dyDescent="0.25">
      <c r="A13" s="9" t="str">
        <f>IF('Frame Sections'!A28=0,"",'Frame Sections'!A28)</f>
        <v/>
      </c>
      <c r="B13" s="9" t="str">
        <f t="shared" si="0"/>
        <v/>
      </c>
    </row>
    <row r="14" spans="1:4" x14ac:dyDescent="0.25">
      <c r="A14" s="9" t="str">
        <f>IF('Frame Sections'!A29=0,"",'Frame Sections'!A29)</f>
        <v/>
      </c>
      <c r="B14" s="9" t="str">
        <f t="shared" si="0"/>
        <v/>
      </c>
    </row>
    <row r="15" spans="1:4" x14ac:dyDescent="0.25">
      <c r="A15" s="9" t="str">
        <f>IF('Frame Sections'!A30=0,"",'Frame Sections'!A30)</f>
        <v/>
      </c>
      <c r="B15" s="9" t="str">
        <f t="shared" si="0"/>
        <v/>
      </c>
    </row>
    <row r="16" spans="1:4" x14ac:dyDescent="0.25">
      <c r="A16" s="9" t="str">
        <f>IF('Frame Sections'!A31=0,"",'Frame Sections'!A31)</f>
        <v/>
      </c>
      <c r="B16" s="9" t="str">
        <f t="shared" si="0"/>
        <v/>
      </c>
    </row>
    <row r="17" spans="1:2" x14ac:dyDescent="0.25">
      <c r="A17" s="9" t="str">
        <f>IF('Frame Sections'!A32=0,"",'Frame Sections'!A32)</f>
        <v/>
      </c>
      <c r="B17" s="9" t="str">
        <f t="shared" si="0"/>
        <v/>
      </c>
    </row>
    <row r="18" spans="1:2" x14ac:dyDescent="0.25">
      <c r="A18" s="9" t="str">
        <f>IF('Frame Sections'!A33=0,"",'Frame Sections'!A33)</f>
        <v/>
      </c>
      <c r="B18" s="9" t="str">
        <f t="shared" si="0"/>
        <v/>
      </c>
    </row>
    <row r="19" spans="1:2" x14ac:dyDescent="0.25">
      <c r="A19" s="9" t="str">
        <f>IF('Frame Sections'!A34=0,"",'Frame Sections'!A34)</f>
        <v/>
      </c>
      <c r="B19" s="9" t="str">
        <f t="shared" si="0"/>
        <v/>
      </c>
    </row>
    <row r="20" spans="1:2" x14ac:dyDescent="0.25">
      <c r="A20" s="9" t="str">
        <f>IF('Frame Sections'!A35=0,"",'Frame Sections'!A35)</f>
        <v/>
      </c>
      <c r="B20" s="9" t="str">
        <f t="shared" si="0"/>
        <v/>
      </c>
    </row>
    <row r="21" spans="1:2" x14ac:dyDescent="0.25">
      <c r="A21" s="9" t="str">
        <f>IF('Frame Sections'!A36=0,"",'Frame Sections'!A36)</f>
        <v/>
      </c>
      <c r="B21" s="9" t="str">
        <f t="shared" si="0"/>
        <v/>
      </c>
    </row>
    <row r="22" spans="1:2" x14ac:dyDescent="0.25">
      <c r="A22" s="9" t="str">
        <f>IF('Frame Sections'!A37=0,"",'Frame Sections'!A37)</f>
        <v/>
      </c>
      <c r="B22" s="9" t="str">
        <f t="shared" si="0"/>
        <v/>
      </c>
    </row>
    <row r="23" spans="1:2" x14ac:dyDescent="0.25">
      <c r="A23" s="9" t="str">
        <f>IF('Frame Sections'!A38=0,"",'Frame Sections'!A38)</f>
        <v/>
      </c>
      <c r="B23" s="9" t="str">
        <f t="shared" si="0"/>
        <v/>
      </c>
    </row>
    <row r="24" spans="1:2" x14ac:dyDescent="0.25">
      <c r="A24" s="9" t="str">
        <f>IF('Frame Sections'!A39=0,"",'Frame Sections'!A39)</f>
        <v/>
      </c>
      <c r="B24" s="9" t="str">
        <f t="shared" si="0"/>
        <v/>
      </c>
    </row>
    <row r="25" spans="1:2" x14ac:dyDescent="0.25">
      <c r="A25" s="9" t="str">
        <f>IF('Frame Sections'!A40=0,"",'Frame Sections'!A40)</f>
        <v/>
      </c>
      <c r="B25" s="9" t="str">
        <f t="shared" si="0"/>
        <v/>
      </c>
    </row>
    <row r="26" spans="1:2" x14ac:dyDescent="0.25">
      <c r="A26" s="9" t="str">
        <f>IF('Frame Sections'!A41=0,"",'Frame Sections'!A41)</f>
        <v/>
      </c>
      <c r="B26" s="9" t="str">
        <f t="shared" si="0"/>
        <v/>
      </c>
    </row>
    <row r="27" spans="1:2" x14ac:dyDescent="0.25">
      <c r="A27" s="9" t="str">
        <f>IF('Frame Sections'!A42=0,"",'Frame Sections'!A42)</f>
        <v/>
      </c>
      <c r="B27" s="9" t="str">
        <f t="shared" si="0"/>
        <v/>
      </c>
    </row>
    <row r="28" spans="1:2" x14ac:dyDescent="0.25">
      <c r="A28" s="9" t="str">
        <f>IF('Frame Sections'!A43=0,"",'Frame Sections'!A43)</f>
        <v/>
      </c>
      <c r="B28" s="9" t="str">
        <f t="shared" si="0"/>
        <v/>
      </c>
    </row>
    <row r="29" spans="1:2" x14ac:dyDescent="0.25">
      <c r="A29" s="9" t="str">
        <f>IF('Frame Sections'!A44=0,"",'Frame Sections'!A44)</f>
        <v/>
      </c>
      <c r="B29" s="9" t="str">
        <f t="shared" si="0"/>
        <v/>
      </c>
    </row>
    <row r="30" spans="1:2" x14ac:dyDescent="0.25">
      <c r="A30" s="9" t="str">
        <f>IF('Frame Sections'!A45=0,"",'Frame Sections'!A45)</f>
        <v/>
      </c>
      <c r="B30" s="9" t="str">
        <f t="shared" si="0"/>
        <v/>
      </c>
    </row>
    <row r="31" spans="1:2" x14ac:dyDescent="0.25">
      <c r="A31" s="9" t="str">
        <f>IF('Frame Sections'!A46=0,"",'Frame Sections'!A46)</f>
        <v/>
      </c>
      <c r="B31" s="9" t="str">
        <f t="shared" si="0"/>
        <v/>
      </c>
    </row>
    <row r="32" spans="1:2" x14ac:dyDescent="0.25">
      <c r="A32" s="9" t="str">
        <f>IF('Frame Sections'!A47=0,"",'Frame Sections'!A47)</f>
        <v/>
      </c>
      <c r="B32" s="9" t="str">
        <f t="shared" si="0"/>
        <v/>
      </c>
    </row>
    <row r="33" spans="1:2" x14ac:dyDescent="0.25">
      <c r="A33" s="9" t="str">
        <f>IF('Frame Sections'!A48=0,"",'Frame Sections'!A48)</f>
        <v/>
      </c>
      <c r="B33" s="9" t="str">
        <f t="shared" si="0"/>
        <v/>
      </c>
    </row>
    <row r="34" spans="1:2" x14ac:dyDescent="0.25">
      <c r="A34" s="9" t="str">
        <f>IF('Frame Sections'!A49=0,"",'Frame Sections'!A49)</f>
        <v/>
      </c>
      <c r="B34" s="9" t="str">
        <f t="shared" si="0"/>
        <v/>
      </c>
    </row>
    <row r="35" spans="1:2" x14ac:dyDescent="0.25">
      <c r="A35" s="9" t="str">
        <f>IF('Frame Sections'!A50=0,"",'Frame Sections'!A50)</f>
        <v/>
      </c>
      <c r="B35" s="9" t="str">
        <f t="shared" si="0"/>
        <v/>
      </c>
    </row>
    <row r="36" spans="1:2" x14ac:dyDescent="0.25">
      <c r="A36" s="9" t="str">
        <f>IF('Frame Sections'!A51=0,"",'Frame Sections'!A51)</f>
        <v/>
      </c>
      <c r="B36" s="9" t="str">
        <f t="shared" si="0"/>
        <v/>
      </c>
    </row>
    <row r="37" spans="1:2" x14ac:dyDescent="0.25">
      <c r="A37" s="9" t="str">
        <f>IF('Frame Sections'!A52=0,"",'Frame Sections'!A52)</f>
        <v/>
      </c>
      <c r="B37" s="9" t="str">
        <f t="shared" si="0"/>
        <v/>
      </c>
    </row>
    <row r="38" spans="1:2" x14ac:dyDescent="0.25">
      <c r="A38" s="9" t="str">
        <f>IF('Frame Sections'!A53=0,"",'Frame Sections'!A53)</f>
        <v/>
      </c>
      <c r="B38" s="9" t="str">
        <f t="shared" si="0"/>
        <v/>
      </c>
    </row>
    <row r="39" spans="1:2" x14ac:dyDescent="0.25">
      <c r="A39" s="9" t="str">
        <f>IF('Frame Sections'!A54=0,"",'Frame Sections'!A54)</f>
        <v/>
      </c>
      <c r="B39" s="9" t="str">
        <f t="shared" si="0"/>
        <v/>
      </c>
    </row>
    <row r="40" spans="1:2" x14ac:dyDescent="0.25">
      <c r="A40" s="9" t="str">
        <f>IF('Frame Sections'!A55=0,"",'Frame Sections'!A55)</f>
        <v/>
      </c>
      <c r="B40" s="9" t="str">
        <f t="shared" si="0"/>
        <v/>
      </c>
    </row>
    <row r="41" spans="1:2" x14ac:dyDescent="0.25">
      <c r="A41" s="9" t="str">
        <f>IF('Frame Sections'!A56=0,"",'Frame Sections'!A56)</f>
        <v/>
      </c>
      <c r="B41" s="9" t="str">
        <f t="shared" si="0"/>
        <v/>
      </c>
    </row>
    <row r="42" spans="1:2" x14ac:dyDescent="0.25">
      <c r="A42" s="9" t="str">
        <f>IF('Frame Sections'!A57=0,"",'Frame Sections'!A57)</f>
        <v/>
      </c>
      <c r="B42" s="9" t="str">
        <f t="shared" si="0"/>
        <v/>
      </c>
    </row>
    <row r="43" spans="1:2" x14ac:dyDescent="0.25">
      <c r="A43" s="9" t="str">
        <f>IF('Frame Sections'!A58=0,"",'Frame Sections'!A58)</f>
        <v/>
      </c>
      <c r="B43" s="9" t="str">
        <f t="shared" si="0"/>
        <v/>
      </c>
    </row>
    <row r="44" spans="1:2" x14ac:dyDescent="0.25">
      <c r="A44" s="9" t="str">
        <f>IF('Frame Sections'!A59=0,"",'Frame Sections'!A59)</f>
        <v/>
      </c>
      <c r="B44" s="9" t="str">
        <f t="shared" si="0"/>
        <v/>
      </c>
    </row>
    <row r="45" spans="1:2" x14ac:dyDescent="0.25">
      <c r="A45" s="9" t="str">
        <f>IF('Frame Sections'!A60=0,"",'Frame Sections'!A60)</f>
        <v/>
      </c>
      <c r="B45" s="9" t="str">
        <f t="shared" si="0"/>
        <v/>
      </c>
    </row>
    <row r="46" spans="1:2" x14ac:dyDescent="0.25">
      <c r="A46" s="9" t="str">
        <f>IF('Frame Sections'!A61=0,"",'Frame Sections'!A61)</f>
        <v/>
      </c>
      <c r="B46" s="9" t="str">
        <f t="shared" si="0"/>
        <v/>
      </c>
    </row>
    <row r="47" spans="1:2" x14ac:dyDescent="0.25">
      <c r="A47" s="9" t="str">
        <f>IF('Frame Sections'!A62=0,"",'Frame Sections'!A62)</f>
        <v/>
      </c>
      <c r="B47" s="9" t="str">
        <f t="shared" si="0"/>
        <v/>
      </c>
    </row>
    <row r="48" spans="1:2" x14ac:dyDescent="0.25">
      <c r="A48" s="9" t="str">
        <f>IF('Frame Sections'!A63=0,"",'Frame Sections'!A63)</f>
        <v/>
      </c>
      <c r="B48" s="9" t="str">
        <f t="shared" si="0"/>
        <v/>
      </c>
    </row>
    <row r="49" spans="1:2" x14ac:dyDescent="0.25">
      <c r="A49" s="9" t="str">
        <f>IF('Frame Sections'!A64=0,"",'Frame Sections'!A64)</f>
        <v/>
      </c>
      <c r="B49" s="9" t="str">
        <f t="shared" si="0"/>
        <v/>
      </c>
    </row>
    <row r="50" spans="1:2" x14ac:dyDescent="0.25">
      <c r="A50" s="9" t="str">
        <f>IF('Frame Sections'!A65=0,"",'Frame Sections'!A65)</f>
        <v/>
      </c>
      <c r="B50" s="9" t="str">
        <f t="shared" si="0"/>
        <v/>
      </c>
    </row>
    <row r="51" spans="1:2" x14ac:dyDescent="0.25">
      <c r="A51" s="9" t="str">
        <f>IF('Frame Sections'!A66=0,"",'Frame Sections'!A66)</f>
        <v/>
      </c>
      <c r="B51" s="9" t="str">
        <f t="shared" si="0"/>
        <v/>
      </c>
    </row>
    <row r="52" spans="1:2" x14ac:dyDescent="0.25">
      <c r="A52" s="9" t="str">
        <f>IF('Frame Sections'!A67=0,"",'Frame Sections'!A67)</f>
        <v/>
      </c>
      <c r="B52" s="9" t="str">
        <f t="shared" si="0"/>
        <v/>
      </c>
    </row>
    <row r="53" spans="1:2" x14ac:dyDescent="0.25">
      <c r="A53" s="9" t="str">
        <f>IF('Frame Sections'!A68=0,"",'Frame Sections'!A68)</f>
        <v/>
      </c>
      <c r="B53" s="9" t="str">
        <f t="shared" si="0"/>
        <v/>
      </c>
    </row>
    <row r="54" spans="1:2" x14ac:dyDescent="0.25">
      <c r="A54" s="9" t="str">
        <f>IF('Frame Sections'!A69=0,"",'Frame Sections'!A69)</f>
        <v/>
      </c>
      <c r="B54" s="9" t="str">
        <f t="shared" si="0"/>
        <v/>
      </c>
    </row>
    <row r="55" spans="1:2" x14ac:dyDescent="0.25">
      <c r="A55" s="9" t="str">
        <f>IF('Frame Sections'!A70=0,"",'Frame Sections'!A70)</f>
        <v/>
      </c>
      <c r="B55" s="9" t="str">
        <f t="shared" si="0"/>
        <v/>
      </c>
    </row>
    <row r="56" spans="1:2" x14ac:dyDescent="0.25">
      <c r="A56" s="9" t="str">
        <f>IF('Frame Sections'!A71=0,"",'Frame Sections'!A71)</f>
        <v/>
      </c>
      <c r="B56" s="9" t="str">
        <f t="shared" si="0"/>
        <v/>
      </c>
    </row>
    <row r="57" spans="1:2" x14ac:dyDescent="0.25">
      <c r="A57" s="9" t="str">
        <f>IF('Frame Sections'!A72=0,"",'Frame Sections'!A72)</f>
        <v/>
      </c>
      <c r="B57" s="9" t="str">
        <f t="shared" si="0"/>
        <v/>
      </c>
    </row>
    <row r="58" spans="1:2" x14ac:dyDescent="0.25">
      <c r="A58" s="9" t="str">
        <f>IF('Frame Sections'!A73=0,"",'Frame Sections'!A73)</f>
        <v/>
      </c>
      <c r="B58" s="9" t="str">
        <f t="shared" si="0"/>
        <v/>
      </c>
    </row>
    <row r="59" spans="1:2" x14ac:dyDescent="0.25">
      <c r="A59" s="9" t="str">
        <f>IF('Frame Sections'!A74=0,"",'Frame Sections'!A74)</f>
        <v/>
      </c>
      <c r="B59" s="9" t="str">
        <f t="shared" si="0"/>
        <v/>
      </c>
    </row>
    <row r="60" spans="1:2" x14ac:dyDescent="0.25">
      <c r="A60" s="9" t="str">
        <f>IF('Frame Sections'!A75=0,"",'Frame Sections'!A75)</f>
        <v/>
      </c>
      <c r="B60" s="9" t="str">
        <f t="shared" si="0"/>
        <v/>
      </c>
    </row>
    <row r="61" spans="1:2" x14ac:dyDescent="0.25">
      <c r="A61" s="9" t="str">
        <f>IF('Frame Sections'!A76=0,"",'Frame Sections'!A76)</f>
        <v/>
      </c>
      <c r="B61" s="9" t="str">
        <f t="shared" si="0"/>
        <v/>
      </c>
    </row>
    <row r="62" spans="1:2" x14ac:dyDescent="0.25">
      <c r="A62" s="9" t="str">
        <f>IF('Frame Sections'!A77=0,"",'Frame Sections'!A77)</f>
        <v/>
      </c>
      <c r="B62" s="9" t="str">
        <f t="shared" si="0"/>
        <v/>
      </c>
    </row>
    <row r="63" spans="1:2" x14ac:dyDescent="0.25">
      <c r="A63" s="9" t="str">
        <f>IF('Frame Sections'!A78=0,"",'Frame Sections'!A78)</f>
        <v/>
      </c>
      <c r="B63" s="9" t="str">
        <f t="shared" si="0"/>
        <v/>
      </c>
    </row>
    <row r="64" spans="1:2" x14ac:dyDescent="0.25">
      <c r="A64" s="9" t="str">
        <f>IF('Frame Sections'!A79=0,"",'Frame Sections'!A79)</f>
        <v/>
      </c>
      <c r="B64" s="9" t="str">
        <f t="shared" si="0"/>
        <v/>
      </c>
    </row>
    <row r="65" spans="1:2" x14ac:dyDescent="0.25">
      <c r="A65" s="9" t="str">
        <f>IF('Frame Sections'!A80=0,"",'Frame Sections'!A80)</f>
        <v/>
      </c>
      <c r="B65" s="9" t="str">
        <f t="shared" si="0"/>
        <v/>
      </c>
    </row>
    <row r="66" spans="1:2" x14ac:dyDescent="0.25">
      <c r="A66" s="9" t="str">
        <f>IF('Frame Sections'!A81=0,"",'Frame Sections'!A81)</f>
        <v/>
      </c>
      <c r="B66" s="9" t="str">
        <f t="shared" ref="B66:B129" si="1">IF(OR(A66=0,A66=""),"",VLOOKUP(A66,SecDB,5,FALSE))</f>
        <v/>
      </c>
    </row>
    <row r="67" spans="1:2" x14ac:dyDescent="0.25">
      <c r="A67" s="9" t="str">
        <f>IF('Frame Sections'!A82=0,"",'Frame Sections'!A82)</f>
        <v/>
      </c>
      <c r="B67" s="9" t="str">
        <f t="shared" si="1"/>
        <v/>
      </c>
    </row>
    <row r="68" spans="1:2" x14ac:dyDescent="0.25">
      <c r="A68" s="9" t="str">
        <f>IF('Frame Sections'!A83=0,"",'Frame Sections'!A83)</f>
        <v/>
      </c>
      <c r="B68" s="9" t="str">
        <f t="shared" si="1"/>
        <v/>
      </c>
    </row>
    <row r="69" spans="1:2" x14ac:dyDescent="0.25">
      <c r="A69" s="9" t="str">
        <f>IF('Frame Sections'!A84=0,"",'Frame Sections'!A84)</f>
        <v/>
      </c>
      <c r="B69" s="9" t="str">
        <f t="shared" si="1"/>
        <v/>
      </c>
    </row>
    <row r="70" spans="1:2" x14ac:dyDescent="0.25">
      <c r="A70" s="9" t="str">
        <f>IF('Frame Sections'!A85=0,"",'Frame Sections'!A85)</f>
        <v/>
      </c>
      <c r="B70" s="9" t="str">
        <f t="shared" si="1"/>
        <v/>
      </c>
    </row>
    <row r="71" spans="1:2" x14ac:dyDescent="0.25">
      <c r="A71" s="9" t="str">
        <f>IF('Frame Sections'!A86=0,"",'Frame Sections'!A86)</f>
        <v/>
      </c>
      <c r="B71" s="9" t="str">
        <f t="shared" si="1"/>
        <v/>
      </c>
    </row>
    <row r="72" spans="1:2" x14ac:dyDescent="0.25">
      <c r="A72" s="9" t="str">
        <f>IF('Frame Sections'!A87=0,"",'Frame Sections'!A87)</f>
        <v/>
      </c>
      <c r="B72" s="9" t="str">
        <f t="shared" si="1"/>
        <v/>
      </c>
    </row>
    <row r="73" spans="1:2" x14ac:dyDescent="0.25">
      <c r="A73" s="9" t="str">
        <f>IF('Frame Sections'!A88=0,"",'Frame Sections'!A88)</f>
        <v/>
      </c>
      <c r="B73" s="9" t="str">
        <f t="shared" si="1"/>
        <v/>
      </c>
    </row>
    <row r="74" spans="1:2" x14ac:dyDescent="0.25">
      <c r="A74" s="9" t="str">
        <f>IF('Frame Sections'!A89=0,"",'Frame Sections'!A89)</f>
        <v/>
      </c>
      <c r="B74" s="9" t="str">
        <f t="shared" si="1"/>
        <v/>
      </c>
    </row>
    <row r="75" spans="1:2" x14ac:dyDescent="0.25">
      <c r="A75" s="9" t="str">
        <f>IF('Frame Sections'!A90=0,"",'Frame Sections'!A90)</f>
        <v/>
      </c>
      <c r="B75" s="9" t="str">
        <f t="shared" si="1"/>
        <v/>
      </c>
    </row>
    <row r="76" spans="1:2" x14ac:dyDescent="0.25">
      <c r="A76" s="9" t="str">
        <f>IF('Frame Sections'!A91=0,"",'Frame Sections'!A91)</f>
        <v/>
      </c>
      <c r="B76" s="9" t="str">
        <f t="shared" si="1"/>
        <v/>
      </c>
    </row>
    <row r="77" spans="1:2" x14ac:dyDescent="0.25">
      <c r="A77" s="9" t="str">
        <f>IF('Frame Sections'!A92=0,"",'Frame Sections'!A92)</f>
        <v/>
      </c>
      <c r="B77" s="9" t="str">
        <f t="shared" si="1"/>
        <v/>
      </c>
    </row>
    <row r="78" spans="1:2" x14ac:dyDescent="0.25">
      <c r="A78" s="9" t="str">
        <f>IF('Frame Sections'!A93=0,"",'Frame Sections'!A93)</f>
        <v/>
      </c>
      <c r="B78" s="9" t="str">
        <f t="shared" si="1"/>
        <v/>
      </c>
    </row>
    <row r="79" spans="1:2" x14ac:dyDescent="0.25">
      <c r="A79" s="9" t="str">
        <f>IF('Frame Sections'!A94=0,"",'Frame Sections'!A94)</f>
        <v/>
      </c>
      <c r="B79" s="9" t="str">
        <f t="shared" si="1"/>
        <v/>
      </c>
    </row>
    <row r="80" spans="1:2" x14ac:dyDescent="0.25">
      <c r="A80" s="9" t="str">
        <f>IF('Frame Sections'!A95=0,"",'Frame Sections'!A95)</f>
        <v/>
      </c>
      <c r="B80" s="9" t="str">
        <f t="shared" si="1"/>
        <v/>
      </c>
    </row>
    <row r="81" spans="1:2" x14ac:dyDescent="0.25">
      <c r="A81" s="9" t="str">
        <f>IF('Frame Sections'!A96=0,"",'Frame Sections'!A96)</f>
        <v/>
      </c>
      <c r="B81" s="9" t="str">
        <f t="shared" si="1"/>
        <v/>
      </c>
    </row>
    <row r="82" spans="1:2" x14ac:dyDescent="0.25">
      <c r="A82" s="9" t="str">
        <f>IF('Frame Sections'!A97=0,"",'Frame Sections'!A97)</f>
        <v/>
      </c>
      <c r="B82" s="9" t="str">
        <f t="shared" si="1"/>
        <v/>
      </c>
    </row>
    <row r="83" spans="1:2" x14ac:dyDescent="0.25">
      <c r="A83" s="9" t="str">
        <f>IF('Frame Sections'!A98=0,"",'Frame Sections'!A98)</f>
        <v/>
      </c>
      <c r="B83" s="9" t="str">
        <f t="shared" si="1"/>
        <v/>
      </c>
    </row>
    <row r="84" spans="1:2" x14ac:dyDescent="0.25">
      <c r="A84" s="9" t="str">
        <f>IF('Frame Sections'!A99=0,"",'Frame Sections'!A99)</f>
        <v/>
      </c>
      <c r="B84" s="9" t="str">
        <f t="shared" si="1"/>
        <v/>
      </c>
    </row>
    <row r="85" spans="1:2" x14ac:dyDescent="0.25">
      <c r="A85" s="9" t="str">
        <f>IF('Frame Sections'!A100=0,"",'Frame Sections'!A100)</f>
        <v/>
      </c>
      <c r="B85" s="9" t="str">
        <f t="shared" si="1"/>
        <v/>
      </c>
    </row>
    <row r="86" spans="1:2" x14ac:dyDescent="0.25">
      <c r="A86" s="9" t="str">
        <f>IF('Frame Sections'!A101=0,"",'Frame Sections'!A101)</f>
        <v/>
      </c>
      <c r="B86" s="9" t="str">
        <f t="shared" si="1"/>
        <v/>
      </c>
    </row>
    <row r="87" spans="1:2" x14ac:dyDescent="0.25">
      <c r="A87" s="9" t="str">
        <f>IF('Frame Sections'!A102=0,"",'Frame Sections'!A102)</f>
        <v/>
      </c>
      <c r="B87" s="9" t="str">
        <f t="shared" si="1"/>
        <v/>
      </c>
    </row>
    <row r="88" spans="1:2" x14ac:dyDescent="0.25">
      <c r="A88" s="9" t="str">
        <f>IF('Frame Sections'!A103=0,"",'Frame Sections'!A103)</f>
        <v/>
      </c>
      <c r="B88" s="9" t="str">
        <f t="shared" si="1"/>
        <v/>
      </c>
    </row>
    <row r="89" spans="1:2" x14ac:dyDescent="0.25">
      <c r="A89" s="9" t="str">
        <f>IF('Frame Sections'!A104=0,"",'Frame Sections'!A104)</f>
        <v/>
      </c>
      <c r="B89" s="9" t="str">
        <f t="shared" si="1"/>
        <v/>
      </c>
    </row>
    <row r="90" spans="1:2" x14ac:dyDescent="0.25">
      <c r="A90" s="9" t="str">
        <f>IF('Frame Sections'!A105=0,"",'Frame Sections'!A105)</f>
        <v/>
      </c>
      <c r="B90" s="9" t="str">
        <f t="shared" si="1"/>
        <v/>
      </c>
    </row>
    <row r="91" spans="1:2" x14ac:dyDescent="0.25">
      <c r="A91" s="9" t="str">
        <f>IF('Frame Sections'!A106=0,"",'Frame Sections'!A106)</f>
        <v/>
      </c>
      <c r="B91" s="9" t="str">
        <f t="shared" si="1"/>
        <v/>
      </c>
    </row>
    <row r="92" spans="1:2" x14ac:dyDescent="0.25">
      <c r="A92" s="9" t="str">
        <f>IF('Frame Sections'!A107=0,"",'Frame Sections'!A107)</f>
        <v/>
      </c>
      <c r="B92" s="9" t="str">
        <f t="shared" si="1"/>
        <v/>
      </c>
    </row>
    <row r="93" spans="1:2" x14ac:dyDescent="0.25">
      <c r="A93" s="9" t="str">
        <f>IF('Frame Sections'!A108=0,"",'Frame Sections'!A108)</f>
        <v/>
      </c>
      <c r="B93" s="9" t="str">
        <f t="shared" si="1"/>
        <v/>
      </c>
    </row>
    <row r="94" spans="1:2" x14ac:dyDescent="0.25">
      <c r="A94" s="9" t="str">
        <f>IF('Frame Sections'!A109=0,"",'Frame Sections'!A109)</f>
        <v/>
      </c>
      <c r="B94" s="9" t="str">
        <f t="shared" si="1"/>
        <v/>
      </c>
    </row>
    <row r="95" spans="1:2" x14ac:dyDescent="0.25">
      <c r="A95" s="9" t="str">
        <f>IF('Frame Sections'!A110=0,"",'Frame Sections'!A110)</f>
        <v/>
      </c>
      <c r="B95" s="9" t="str">
        <f t="shared" si="1"/>
        <v/>
      </c>
    </row>
    <row r="96" spans="1:2" x14ac:dyDescent="0.25">
      <c r="A96" s="9" t="str">
        <f>IF('Frame Sections'!A111=0,"",'Frame Sections'!A111)</f>
        <v/>
      </c>
      <c r="B96" s="9" t="str">
        <f t="shared" si="1"/>
        <v/>
      </c>
    </row>
    <row r="97" spans="1:2" x14ac:dyDescent="0.25">
      <c r="A97" s="9" t="str">
        <f>IF('Frame Sections'!A112=0,"",'Frame Sections'!A112)</f>
        <v/>
      </c>
      <c r="B97" s="9" t="str">
        <f t="shared" si="1"/>
        <v/>
      </c>
    </row>
    <row r="98" spans="1:2" x14ac:dyDescent="0.25">
      <c r="A98" s="9" t="str">
        <f>IF('Frame Sections'!A113=0,"",'Frame Sections'!A113)</f>
        <v/>
      </c>
      <c r="B98" s="9" t="str">
        <f t="shared" si="1"/>
        <v/>
      </c>
    </row>
    <row r="99" spans="1:2" x14ac:dyDescent="0.25">
      <c r="A99" s="9" t="str">
        <f>IF('Frame Sections'!A114=0,"",'Frame Sections'!A114)</f>
        <v/>
      </c>
      <c r="B99" s="9" t="str">
        <f t="shared" si="1"/>
        <v/>
      </c>
    </row>
    <row r="100" spans="1:2" x14ac:dyDescent="0.25">
      <c r="A100" s="9" t="str">
        <f>IF('Frame Sections'!A115=0,"",'Frame Sections'!A115)</f>
        <v/>
      </c>
      <c r="B100" s="9" t="str">
        <f t="shared" si="1"/>
        <v/>
      </c>
    </row>
    <row r="101" spans="1:2" x14ac:dyDescent="0.25">
      <c r="A101" s="9" t="str">
        <f>IF('Frame Sections'!A116=0,"",'Frame Sections'!A116)</f>
        <v/>
      </c>
      <c r="B101" s="9" t="str">
        <f t="shared" si="1"/>
        <v/>
      </c>
    </row>
    <row r="102" spans="1:2" x14ac:dyDescent="0.25">
      <c r="A102" s="9" t="str">
        <f>IF('Frame Sections'!A117=0,"",'Frame Sections'!A117)</f>
        <v/>
      </c>
      <c r="B102" s="9" t="str">
        <f t="shared" si="1"/>
        <v/>
      </c>
    </row>
    <row r="103" spans="1:2" x14ac:dyDescent="0.25">
      <c r="A103" s="9" t="str">
        <f>IF('Frame Sections'!A118=0,"",'Frame Sections'!A118)</f>
        <v/>
      </c>
      <c r="B103" s="9" t="str">
        <f t="shared" si="1"/>
        <v/>
      </c>
    </row>
    <row r="104" spans="1:2" x14ac:dyDescent="0.25">
      <c r="A104" s="9" t="str">
        <f>IF('Frame Sections'!A119=0,"",'Frame Sections'!A119)</f>
        <v/>
      </c>
      <c r="B104" s="9" t="str">
        <f t="shared" si="1"/>
        <v/>
      </c>
    </row>
    <row r="105" spans="1:2" x14ac:dyDescent="0.25">
      <c r="A105" s="9" t="str">
        <f>IF('Frame Sections'!A120=0,"",'Frame Sections'!A120)</f>
        <v/>
      </c>
      <c r="B105" s="9" t="str">
        <f t="shared" si="1"/>
        <v/>
      </c>
    </row>
    <row r="106" spans="1:2" x14ac:dyDescent="0.25">
      <c r="A106" s="9" t="str">
        <f>IF('Frame Sections'!A121=0,"",'Frame Sections'!A121)</f>
        <v/>
      </c>
      <c r="B106" s="9" t="str">
        <f t="shared" si="1"/>
        <v/>
      </c>
    </row>
    <row r="107" spans="1:2" x14ac:dyDescent="0.25">
      <c r="A107" s="9" t="str">
        <f>IF('Frame Sections'!A122=0,"",'Frame Sections'!A122)</f>
        <v/>
      </c>
      <c r="B107" s="9" t="str">
        <f t="shared" si="1"/>
        <v/>
      </c>
    </row>
    <row r="108" spans="1:2" x14ac:dyDescent="0.25">
      <c r="A108" s="9" t="str">
        <f>IF('Frame Sections'!A123=0,"",'Frame Sections'!A123)</f>
        <v/>
      </c>
      <c r="B108" s="9" t="str">
        <f t="shared" si="1"/>
        <v/>
      </c>
    </row>
    <row r="109" spans="1:2" x14ac:dyDescent="0.25">
      <c r="A109" s="9" t="str">
        <f>IF('Frame Sections'!A124=0,"",'Frame Sections'!A124)</f>
        <v/>
      </c>
      <c r="B109" s="9" t="str">
        <f t="shared" si="1"/>
        <v/>
      </c>
    </row>
    <row r="110" spans="1:2" x14ac:dyDescent="0.25">
      <c r="A110" s="9" t="str">
        <f>IF('Frame Sections'!A125=0,"",'Frame Sections'!A125)</f>
        <v/>
      </c>
      <c r="B110" s="9" t="str">
        <f t="shared" si="1"/>
        <v/>
      </c>
    </row>
    <row r="111" spans="1:2" x14ac:dyDescent="0.25">
      <c r="A111" s="9" t="str">
        <f>IF('Frame Sections'!A126=0,"",'Frame Sections'!A126)</f>
        <v/>
      </c>
      <c r="B111" s="9" t="str">
        <f t="shared" si="1"/>
        <v/>
      </c>
    </row>
    <row r="112" spans="1:2" x14ac:dyDescent="0.25">
      <c r="A112" s="9" t="str">
        <f>IF('Frame Sections'!A127=0,"",'Frame Sections'!A127)</f>
        <v/>
      </c>
      <c r="B112" s="9" t="str">
        <f t="shared" si="1"/>
        <v/>
      </c>
    </row>
    <row r="113" spans="1:2" x14ac:dyDescent="0.25">
      <c r="A113" s="9" t="str">
        <f>IF('Frame Sections'!A128=0,"",'Frame Sections'!A128)</f>
        <v/>
      </c>
      <c r="B113" s="9" t="str">
        <f t="shared" si="1"/>
        <v/>
      </c>
    </row>
    <row r="114" spans="1:2" x14ac:dyDescent="0.25">
      <c r="A114" s="9" t="str">
        <f>IF('Frame Sections'!A129=0,"",'Frame Sections'!A129)</f>
        <v/>
      </c>
      <c r="B114" s="9" t="str">
        <f t="shared" si="1"/>
        <v/>
      </c>
    </row>
    <row r="115" spans="1:2" x14ac:dyDescent="0.25">
      <c r="A115" s="9" t="str">
        <f>IF('Frame Sections'!A130=0,"",'Frame Sections'!A130)</f>
        <v/>
      </c>
      <c r="B115" s="9" t="str">
        <f t="shared" si="1"/>
        <v/>
      </c>
    </row>
    <row r="116" spans="1:2" x14ac:dyDescent="0.25">
      <c r="A116" s="9" t="str">
        <f>IF('Frame Sections'!A131=0,"",'Frame Sections'!A131)</f>
        <v/>
      </c>
      <c r="B116" s="9" t="str">
        <f t="shared" si="1"/>
        <v/>
      </c>
    </row>
    <row r="117" spans="1:2" x14ac:dyDescent="0.25">
      <c r="A117" s="9" t="str">
        <f>IF('Frame Sections'!A132=0,"",'Frame Sections'!A132)</f>
        <v/>
      </c>
      <c r="B117" s="9" t="str">
        <f t="shared" si="1"/>
        <v/>
      </c>
    </row>
    <row r="118" spans="1:2" x14ac:dyDescent="0.25">
      <c r="A118" s="9" t="str">
        <f>IF('Frame Sections'!A133=0,"",'Frame Sections'!A133)</f>
        <v/>
      </c>
      <c r="B118" s="9" t="str">
        <f t="shared" si="1"/>
        <v/>
      </c>
    </row>
    <row r="119" spans="1:2" x14ac:dyDescent="0.25">
      <c r="A119" s="9" t="str">
        <f>IF('Frame Sections'!A134=0,"",'Frame Sections'!A134)</f>
        <v/>
      </c>
      <c r="B119" s="9" t="str">
        <f t="shared" si="1"/>
        <v/>
      </c>
    </row>
    <row r="120" spans="1:2" x14ac:dyDescent="0.25">
      <c r="A120" s="9" t="str">
        <f>IF('Frame Sections'!A135=0,"",'Frame Sections'!A135)</f>
        <v/>
      </c>
      <c r="B120" s="9" t="str">
        <f t="shared" si="1"/>
        <v/>
      </c>
    </row>
    <row r="121" spans="1:2" x14ac:dyDescent="0.25">
      <c r="A121" s="9" t="str">
        <f>IF('Frame Sections'!A136=0,"",'Frame Sections'!A136)</f>
        <v/>
      </c>
      <c r="B121" s="9" t="str">
        <f t="shared" si="1"/>
        <v/>
      </c>
    </row>
    <row r="122" spans="1:2" x14ac:dyDescent="0.25">
      <c r="A122" s="9" t="str">
        <f>IF('Frame Sections'!A137=0,"",'Frame Sections'!A137)</f>
        <v/>
      </c>
      <c r="B122" s="9" t="str">
        <f t="shared" si="1"/>
        <v/>
      </c>
    </row>
    <row r="123" spans="1:2" x14ac:dyDescent="0.25">
      <c r="A123" s="9" t="str">
        <f>IF('Frame Sections'!A138=0,"",'Frame Sections'!A138)</f>
        <v/>
      </c>
      <c r="B123" s="9" t="str">
        <f t="shared" si="1"/>
        <v/>
      </c>
    </row>
    <row r="124" spans="1:2" x14ac:dyDescent="0.25">
      <c r="A124" s="9" t="str">
        <f>IF('Frame Sections'!A139=0,"",'Frame Sections'!A139)</f>
        <v/>
      </c>
      <c r="B124" s="9" t="str">
        <f t="shared" si="1"/>
        <v/>
      </c>
    </row>
    <row r="125" spans="1:2" x14ac:dyDescent="0.25">
      <c r="A125" s="9" t="str">
        <f>IF('Frame Sections'!A140=0,"",'Frame Sections'!A140)</f>
        <v/>
      </c>
      <c r="B125" s="9" t="str">
        <f t="shared" si="1"/>
        <v/>
      </c>
    </row>
    <row r="126" spans="1:2" x14ac:dyDescent="0.25">
      <c r="A126" s="9" t="str">
        <f>IF('Frame Sections'!A141=0,"",'Frame Sections'!A141)</f>
        <v/>
      </c>
      <c r="B126" s="9" t="str">
        <f t="shared" si="1"/>
        <v/>
      </c>
    </row>
    <row r="127" spans="1:2" x14ac:dyDescent="0.25">
      <c r="A127" s="9" t="str">
        <f>IF('Frame Sections'!A142=0,"",'Frame Sections'!A142)</f>
        <v/>
      </c>
      <c r="B127" s="9" t="str">
        <f t="shared" si="1"/>
        <v/>
      </c>
    </row>
    <row r="128" spans="1:2" x14ac:dyDescent="0.25">
      <c r="A128" s="9" t="str">
        <f>IF('Frame Sections'!A143=0,"",'Frame Sections'!A143)</f>
        <v/>
      </c>
      <c r="B128" s="9" t="str">
        <f t="shared" si="1"/>
        <v/>
      </c>
    </row>
    <row r="129" spans="1:2" x14ac:dyDescent="0.25">
      <c r="A129" s="9" t="str">
        <f>IF('Frame Sections'!A144=0,"",'Frame Sections'!A144)</f>
        <v/>
      </c>
      <c r="B129" s="9" t="str">
        <f t="shared" si="1"/>
        <v/>
      </c>
    </row>
    <row r="130" spans="1:2" x14ac:dyDescent="0.25">
      <c r="A130" s="9" t="str">
        <f>IF('Frame Sections'!A145=0,"",'Frame Sections'!A145)</f>
        <v/>
      </c>
      <c r="B130" s="9" t="str">
        <f t="shared" ref="B130:B193" si="2">IF(OR(A130=0,A130=""),"",VLOOKUP(A130,SecDB,5,FALSE))</f>
        <v/>
      </c>
    </row>
    <row r="131" spans="1:2" x14ac:dyDescent="0.25">
      <c r="A131" s="9" t="str">
        <f>IF('Frame Sections'!A146=0,"",'Frame Sections'!A146)</f>
        <v/>
      </c>
      <c r="B131" s="9" t="str">
        <f t="shared" si="2"/>
        <v/>
      </c>
    </row>
    <row r="132" spans="1:2" x14ac:dyDescent="0.25">
      <c r="A132" s="9" t="str">
        <f>IF('Frame Sections'!A147=0,"",'Frame Sections'!A147)</f>
        <v/>
      </c>
      <c r="B132" s="9" t="str">
        <f t="shared" si="2"/>
        <v/>
      </c>
    </row>
    <row r="133" spans="1:2" x14ac:dyDescent="0.25">
      <c r="A133" s="9" t="str">
        <f>IF('Frame Sections'!A148=0,"",'Frame Sections'!A148)</f>
        <v/>
      </c>
      <c r="B133" s="9" t="str">
        <f t="shared" si="2"/>
        <v/>
      </c>
    </row>
    <row r="134" spans="1:2" x14ac:dyDescent="0.25">
      <c r="A134" s="9" t="str">
        <f>IF('Frame Sections'!A149=0,"",'Frame Sections'!A149)</f>
        <v/>
      </c>
      <c r="B134" s="9" t="str">
        <f t="shared" si="2"/>
        <v/>
      </c>
    </row>
    <row r="135" spans="1:2" x14ac:dyDescent="0.25">
      <c r="A135" s="9" t="str">
        <f>IF('Frame Sections'!A150=0,"",'Frame Sections'!A150)</f>
        <v/>
      </c>
      <c r="B135" s="9" t="str">
        <f t="shared" si="2"/>
        <v/>
      </c>
    </row>
    <row r="136" spans="1:2" x14ac:dyDescent="0.25">
      <c r="A136" s="9" t="str">
        <f>IF('Frame Sections'!A151=0,"",'Frame Sections'!A151)</f>
        <v/>
      </c>
      <c r="B136" s="9" t="str">
        <f t="shared" si="2"/>
        <v/>
      </c>
    </row>
    <row r="137" spans="1:2" x14ac:dyDescent="0.25">
      <c r="A137" s="9" t="str">
        <f>IF('Frame Sections'!A152=0,"",'Frame Sections'!A152)</f>
        <v/>
      </c>
      <c r="B137" s="9" t="str">
        <f t="shared" si="2"/>
        <v/>
      </c>
    </row>
    <row r="138" spans="1:2" x14ac:dyDescent="0.25">
      <c r="A138" s="9" t="str">
        <f>IF('Frame Sections'!A153=0,"",'Frame Sections'!A153)</f>
        <v/>
      </c>
      <c r="B138" s="9" t="str">
        <f t="shared" si="2"/>
        <v/>
      </c>
    </row>
    <row r="139" spans="1:2" x14ac:dyDescent="0.25">
      <c r="A139" s="9" t="str">
        <f>IF('Frame Sections'!A154=0,"",'Frame Sections'!A154)</f>
        <v/>
      </c>
      <c r="B139" s="9" t="str">
        <f t="shared" si="2"/>
        <v/>
      </c>
    </row>
    <row r="140" spans="1:2" x14ac:dyDescent="0.25">
      <c r="A140" s="9" t="str">
        <f>IF('Frame Sections'!A155=0,"",'Frame Sections'!A155)</f>
        <v/>
      </c>
      <c r="B140" s="9" t="str">
        <f t="shared" si="2"/>
        <v/>
      </c>
    </row>
    <row r="141" spans="1:2" x14ac:dyDescent="0.25">
      <c r="A141" s="9" t="str">
        <f>IF('Frame Sections'!A156=0,"",'Frame Sections'!A156)</f>
        <v/>
      </c>
      <c r="B141" s="9" t="str">
        <f t="shared" si="2"/>
        <v/>
      </c>
    </row>
    <row r="142" spans="1:2" x14ac:dyDescent="0.25">
      <c r="A142" s="9" t="str">
        <f>IF('Frame Sections'!A157=0,"",'Frame Sections'!A157)</f>
        <v/>
      </c>
      <c r="B142" s="9" t="str">
        <f t="shared" si="2"/>
        <v/>
      </c>
    </row>
    <row r="143" spans="1:2" x14ac:dyDescent="0.25">
      <c r="A143" s="9" t="str">
        <f>IF('Frame Sections'!A158=0,"",'Frame Sections'!A158)</f>
        <v/>
      </c>
      <c r="B143" s="9" t="str">
        <f t="shared" si="2"/>
        <v/>
      </c>
    </row>
    <row r="144" spans="1:2" x14ac:dyDescent="0.25">
      <c r="A144" s="9" t="str">
        <f>IF('Frame Sections'!A159=0,"",'Frame Sections'!A159)</f>
        <v/>
      </c>
      <c r="B144" s="9" t="str">
        <f t="shared" si="2"/>
        <v/>
      </c>
    </row>
    <row r="145" spans="1:2" x14ac:dyDescent="0.25">
      <c r="A145" s="9" t="str">
        <f>IF('Frame Sections'!A160=0,"",'Frame Sections'!A160)</f>
        <v/>
      </c>
      <c r="B145" s="9" t="str">
        <f t="shared" si="2"/>
        <v/>
      </c>
    </row>
    <row r="146" spans="1:2" x14ac:dyDescent="0.25">
      <c r="A146" s="9" t="str">
        <f>IF('Frame Sections'!A161=0,"",'Frame Sections'!A161)</f>
        <v/>
      </c>
      <c r="B146" s="9" t="str">
        <f t="shared" si="2"/>
        <v/>
      </c>
    </row>
    <row r="147" spans="1:2" x14ac:dyDescent="0.25">
      <c r="A147" s="9" t="str">
        <f>IF('Frame Sections'!A162=0,"",'Frame Sections'!A162)</f>
        <v/>
      </c>
      <c r="B147" s="9" t="str">
        <f t="shared" si="2"/>
        <v/>
      </c>
    </row>
    <row r="148" spans="1:2" x14ac:dyDescent="0.25">
      <c r="A148" s="9" t="str">
        <f>IF('Frame Sections'!A163=0,"",'Frame Sections'!A163)</f>
        <v/>
      </c>
      <c r="B148" s="9" t="str">
        <f t="shared" si="2"/>
        <v/>
      </c>
    </row>
    <row r="149" spans="1:2" x14ac:dyDescent="0.25">
      <c r="A149" s="9" t="str">
        <f>IF('Frame Sections'!A164=0,"",'Frame Sections'!A164)</f>
        <v/>
      </c>
      <c r="B149" s="9" t="str">
        <f t="shared" si="2"/>
        <v/>
      </c>
    </row>
    <row r="150" spans="1:2" x14ac:dyDescent="0.25">
      <c r="A150" s="9" t="str">
        <f>IF('Frame Sections'!A165=0,"",'Frame Sections'!A165)</f>
        <v/>
      </c>
      <c r="B150" s="9" t="str">
        <f t="shared" si="2"/>
        <v/>
      </c>
    </row>
    <row r="151" spans="1:2" x14ac:dyDescent="0.25">
      <c r="A151" s="9" t="str">
        <f>IF('Frame Sections'!A166=0,"",'Frame Sections'!A166)</f>
        <v/>
      </c>
      <c r="B151" s="9" t="str">
        <f t="shared" si="2"/>
        <v/>
      </c>
    </row>
    <row r="152" spans="1:2" x14ac:dyDescent="0.25">
      <c r="A152" s="9" t="str">
        <f>IF('Frame Sections'!A167=0,"",'Frame Sections'!A167)</f>
        <v/>
      </c>
      <c r="B152" s="9" t="str">
        <f t="shared" si="2"/>
        <v/>
      </c>
    </row>
    <row r="153" spans="1:2" x14ac:dyDescent="0.25">
      <c r="A153" s="9" t="str">
        <f>IF('Frame Sections'!A168=0,"",'Frame Sections'!A168)</f>
        <v/>
      </c>
      <c r="B153" s="9" t="str">
        <f t="shared" si="2"/>
        <v/>
      </c>
    </row>
    <row r="154" spans="1:2" x14ac:dyDescent="0.25">
      <c r="A154" s="9" t="str">
        <f>IF('Frame Sections'!A169=0,"",'Frame Sections'!A169)</f>
        <v/>
      </c>
      <c r="B154" s="9" t="str">
        <f t="shared" si="2"/>
        <v/>
      </c>
    </row>
    <row r="155" spans="1:2" x14ac:dyDescent="0.25">
      <c r="A155" s="9" t="str">
        <f>IF('Frame Sections'!A170=0,"",'Frame Sections'!A170)</f>
        <v/>
      </c>
      <c r="B155" s="9" t="str">
        <f t="shared" si="2"/>
        <v/>
      </c>
    </row>
    <row r="156" spans="1:2" x14ac:dyDescent="0.25">
      <c r="A156" s="9" t="str">
        <f>IF('Frame Sections'!A171=0,"",'Frame Sections'!A171)</f>
        <v/>
      </c>
      <c r="B156" s="9" t="str">
        <f t="shared" si="2"/>
        <v/>
      </c>
    </row>
    <row r="157" spans="1:2" x14ac:dyDescent="0.25">
      <c r="A157" s="9" t="str">
        <f>IF('Frame Sections'!A172=0,"",'Frame Sections'!A172)</f>
        <v/>
      </c>
      <c r="B157" s="9" t="str">
        <f t="shared" si="2"/>
        <v/>
      </c>
    </row>
    <row r="158" spans="1:2" x14ac:dyDescent="0.25">
      <c r="A158" s="9" t="str">
        <f>IF('Frame Sections'!A173=0,"",'Frame Sections'!A173)</f>
        <v/>
      </c>
      <c r="B158" s="9" t="str">
        <f t="shared" si="2"/>
        <v/>
      </c>
    </row>
    <row r="159" spans="1:2" x14ac:dyDescent="0.25">
      <c r="A159" s="9" t="str">
        <f>IF('Frame Sections'!A174=0,"",'Frame Sections'!A174)</f>
        <v/>
      </c>
      <c r="B159" s="9" t="str">
        <f t="shared" si="2"/>
        <v/>
      </c>
    </row>
    <row r="160" spans="1:2" x14ac:dyDescent="0.25">
      <c r="A160" s="9" t="str">
        <f>IF('Frame Sections'!A175=0,"",'Frame Sections'!A175)</f>
        <v/>
      </c>
      <c r="B160" s="9" t="str">
        <f t="shared" si="2"/>
        <v/>
      </c>
    </row>
    <row r="161" spans="1:2" x14ac:dyDescent="0.25">
      <c r="A161" s="9" t="str">
        <f>IF('Frame Sections'!A176=0,"",'Frame Sections'!A176)</f>
        <v/>
      </c>
      <c r="B161" s="9" t="str">
        <f t="shared" si="2"/>
        <v/>
      </c>
    </row>
    <row r="162" spans="1:2" x14ac:dyDescent="0.25">
      <c r="A162" s="9" t="str">
        <f>IF('Frame Sections'!A177=0,"",'Frame Sections'!A177)</f>
        <v/>
      </c>
      <c r="B162" s="9" t="str">
        <f t="shared" si="2"/>
        <v/>
      </c>
    </row>
    <row r="163" spans="1:2" x14ac:dyDescent="0.25">
      <c r="A163" s="9" t="str">
        <f>IF('Frame Sections'!A178=0,"",'Frame Sections'!A178)</f>
        <v/>
      </c>
      <c r="B163" s="9" t="str">
        <f t="shared" si="2"/>
        <v/>
      </c>
    </row>
    <row r="164" spans="1:2" x14ac:dyDescent="0.25">
      <c r="A164" s="9" t="str">
        <f>IF('Frame Sections'!A179=0,"",'Frame Sections'!A179)</f>
        <v/>
      </c>
      <c r="B164" s="9" t="str">
        <f t="shared" si="2"/>
        <v/>
      </c>
    </row>
    <row r="165" spans="1:2" x14ac:dyDescent="0.25">
      <c r="A165" s="9" t="str">
        <f>IF('Frame Sections'!A180=0,"",'Frame Sections'!A180)</f>
        <v/>
      </c>
      <c r="B165" s="9" t="str">
        <f t="shared" si="2"/>
        <v/>
      </c>
    </row>
    <row r="166" spans="1:2" x14ac:dyDescent="0.25">
      <c r="A166" s="9" t="str">
        <f>IF('Frame Sections'!A181=0,"",'Frame Sections'!A181)</f>
        <v/>
      </c>
      <c r="B166" s="9" t="str">
        <f t="shared" si="2"/>
        <v/>
      </c>
    </row>
    <row r="167" spans="1:2" x14ac:dyDescent="0.25">
      <c r="A167" s="9" t="str">
        <f>IF('Frame Sections'!A182=0,"",'Frame Sections'!A182)</f>
        <v/>
      </c>
      <c r="B167" s="9" t="str">
        <f t="shared" si="2"/>
        <v/>
      </c>
    </row>
    <row r="168" spans="1:2" x14ac:dyDescent="0.25">
      <c r="A168" s="9" t="str">
        <f>IF('Frame Sections'!A183=0,"",'Frame Sections'!A183)</f>
        <v/>
      </c>
      <c r="B168" s="9" t="str">
        <f t="shared" si="2"/>
        <v/>
      </c>
    </row>
    <row r="169" spans="1:2" x14ac:dyDescent="0.25">
      <c r="A169" s="9" t="str">
        <f>IF('Frame Sections'!A184=0,"",'Frame Sections'!A184)</f>
        <v/>
      </c>
      <c r="B169" s="9" t="str">
        <f t="shared" si="2"/>
        <v/>
      </c>
    </row>
    <row r="170" spans="1:2" x14ac:dyDescent="0.25">
      <c r="A170" s="9" t="str">
        <f>IF('Frame Sections'!A185=0,"",'Frame Sections'!A185)</f>
        <v/>
      </c>
      <c r="B170" s="9" t="str">
        <f t="shared" si="2"/>
        <v/>
      </c>
    </row>
    <row r="171" spans="1:2" x14ac:dyDescent="0.25">
      <c r="A171" s="9" t="str">
        <f>IF('Frame Sections'!A186=0,"",'Frame Sections'!A186)</f>
        <v/>
      </c>
      <c r="B171" s="9" t="str">
        <f t="shared" si="2"/>
        <v/>
      </c>
    </row>
    <row r="172" spans="1:2" x14ac:dyDescent="0.25">
      <c r="A172" s="9" t="str">
        <f>IF('Frame Sections'!A187=0,"",'Frame Sections'!A187)</f>
        <v/>
      </c>
      <c r="B172" s="9" t="str">
        <f t="shared" si="2"/>
        <v/>
      </c>
    </row>
    <row r="173" spans="1:2" x14ac:dyDescent="0.25">
      <c r="A173" s="9" t="str">
        <f>IF('Frame Sections'!A188=0,"",'Frame Sections'!A188)</f>
        <v/>
      </c>
      <c r="B173" s="9" t="str">
        <f t="shared" si="2"/>
        <v/>
      </c>
    </row>
    <row r="174" spans="1:2" x14ac:dyDescent="0.25">
      <c r="A174" s="9" t="str">
        <f>IF('Frame Sections'!A189=0,"",'Frame Sections'!A189)</f>
        <v/>
      </c>
      <c r="B174" s="9" t="str">
        <f t="shared" si="2"/>
        <v/>
      </c>
    </row>
    <row r="175" spans="1:2" x14ac:dyDescent="0.25">
      <c r="A175" s="9" t="str">
        <f>IF('Frame Sections'!A190=0,"",'Frame Sections'!A190)</f>
        <v/>
      </c>
      <c r="B175" s="9" t="str">
        <f t="shared" si="2"/>
        <v/>
      </c>
    </row>
    <row r="176" spans="1:2" x14ac:dyDescent="0.25">
      <c r="A176" s="9" t="str">
        <f>IF('Frame Sections'!A191=0,"",'Frame Sections'!A191)</f>
        <v/>
      </c>
      <c r="B176" s="9" t="str">
        <f t="shared" si="2"/>
        <v/>
      </c>
    </row>
    <row r="177" spans="1:2" x14ac:dyDescent="0.25">
      <c r="A177" s="9" t="str">
        <f>IF('Frame Sections'!A192=0,"",'Frame Sections'!A192)</f>
        <v/>
      </c>
      <c r="B177" s="9" t="str">
        <f t="shared" si="2"/>
        <v/>
      </c>
    </row>
    <row r="178" spans="1:2" x14ac:dyDescent="0.25">
      <c r="A178" s="9" t="str">
        <f>IF('Frame Sections'!A193=0,"",'Frame Sections'!A193)</f>
        <v/>
      </c>
      <c r="B178" s="9" t="str">
        <f t="shared" si="2"/>
        <v/>
      </c>
    </row>
    <row r="179" spans="1:2" x14ac:dyDescent="0.25">
      <c r="A179" s="9" t="str">
        <f>IF('Frame Sections'!A194=0,"",'Frame Sections'!A194)</f>
        <v/>
      </c>
      <c r="B179" s="9" t="str">
        <f t="shared" si="2"/>
        <v/>
      </c>
    </row>
    <row r="180" spans="1:2" x14ac:dyDescent="0.25">
      <c r="A180" s="9" t="str">
        <f>IF('Frame Sections'!A195=0,"",'Frame Sections'!A195)</f>
        <v/>
      </c>
      <c r="B180" s="9" t="str">
        <f t="shared" si="2"/>
        <v/>
      </c>
    </row>
    <row r="181" spans="1:2" x14ac:dyDescent="0.25">
      <c r="A181" s="9" t="str">
        <f>IF('Frame Sections'!A196=0,"",'Frame Sections'!A196)</f>
        <v/>
      </c>
      <c r="B181" s="9" t="str">
        <f t="shared" si="2"/>
        <v/>
      </c>
    </row>
    <row r="182" spans="1:2" x14ac:dyDescent="0.25">
      <c r="A182" s="9" t="str">
        <f>IF('Frame Sections'!A197=0,"",'Frame Sections'!A197)</f>
        <v/>
      </c>
      <c r="B182" s="9" t="str">
        <f t="shared" si="2"/>
        <v/>
      </c>
    </row>
    <row r="183" spans="1:2" x14ac:dyDescent="0.25">
      <c r="A183" s="9" t="str">
        <f>IF('Frame Sections'!A198=0,"",'Frame Sections'!A198)</f>
        <v/>
      </c>
      <c r="B183" s="9" t="str">
        <f t="shared" si="2"/>
        <v/>
      </c>
    </row>
    <row r="184" spans="1:2" x14ac:dyDescent="0.25">
      <c r="A184" s="9" t="str">
        <f>IF('Frame Sections'!A199=0,"",'Frame Sections'!A199)</f>
        <v/>
      </c>
      <c r="B184" s="9" t="str">
        <f t="shared" si="2"/>
        <v/>
      </c>
    </row>
    <row r="185" spans="1:2" x14ac:dyDescent="0.25">
      <c r="A185" s="9" t="str">
        <f>IF('Frame Sections'!A200=0,"",'Frame Sections'!A200)</f>
        <v/>
      </c>
      <c r="B185" s="9" t="str">
        <f t="shared" si="2"/>
        <v/>
      </c>
    </row>
    <row r="186" spans="1:2" x14ac:dyDescent="0.25">
      <c r="A186" s="9" t="str">
        <f>IF('Frame Sections'!A201=0,"",'Frame Sections'!A201)</f>
        <v/>
      </c>
      <c r="B186" s="9" t="str">
        <f t="shared" si="2"/>
        <v/>
      </c>
    </row>
    <row r="187" spans="1:2" x14ac:dyDescent="0.25">
      <c r="A187" s="9" t="str">
        <f>IF('Frame Sections'!A202=0,"",'Frame Sections'!A202)</f>
        <v/>
      </c>
      <c r="B187" s="9" t="str">
        <f t="shared" si="2"/>
        <v/>
      </c>
    </row>
    <row r="188" spans="1:2" x14ac:dyDescent="0.25">
      <c r="A188" s="9" t="str">
        <f>IF('Frame Sections'!A203=0,"",'Frame Sections'!A203)</f>
        <v/>
      </c>
      <c r="B188" s="9" t="str">
        <f t="shared" si="2"/>
        <v/>
      </c>
    </row>
    <row r="189" spans="1:2" x14ac:dyDescent="0.25">
      <c r="A189" s="9" t="str">
        <f>IF('Frame Sections'!A204=0,"",'Frame Sections'!A204)</f>
        <v/>
      </c>
      <c r="B189" s="9" t="str">
        <f t="shared" si="2"/>
        <v/>
      </c>
    </row>
    <row r="190" spans="1:2" x14ac:dyDescent="0.25">
      <c r="A190" s="9" t="str">
        <f>IF('Frame Sections'!A205=0,"",'Frame Sections'!A205)</f>
        <v/>
      </c>
      <c r="B190" s="9" t="str">
        <f t="shared" si="2"/>
        <v/>
      </c>
    </row>
    <row r="191" spans="1:2" x14ac:dyDescent="0.25">
      <c r="A191" s="9" t="str">
        <f>IF('Frame Sections'!A206=0,"",'Frame Sections'!A206)</f>
        <v/>
      </c>
      <c r="B191" s="9" t="str">
        <f t="shared" si="2"/>
        <v/>
      </c>
    </row>
    <row r="192" spans="1:2" x14ac:dyDescent="0.25">
      <c r="A192" s="9" t="str">
        <f>IF('Frame Sections'!A207=0,"",'Frame Sections'!A207)</f>
        <v/>
      </c>
      <c r="B192" s="9" t="str">
        <f t="shared" si="2"/>
        <v/>
      </c>
    </row>
    <row r="193" spans="1:2" x14ac:dyDescent="0.25">
      <c r="A193" s="9" t="str">
        <f>IF('Frame Sections'!A208=0,"",'Frame Sections'!A208)</f>
        <v/>
      </c>
      <c r="B193" s="9" t="str">
        <f t="shared" si="2"/>
        <v/>
      </c>
    </row>
    <row r="194" spans="1:2" x14ac:dyDescent="0.25">
      <c r="A194" s="9" t="str">
        <f>IF('Frame Sections'!A209=0,"",'Frame Sections'!A209)</f>
        <v/>
      </c>
      <c r="B194" s="9" t="str">
        <f t="shared" ref="B194:B257" si="3">IF(OR(A194=0,A194=""),"",VLOOKUP(A194,SecDB,5,FALSE))</f>
        <v/>
      </c>
    </row>
    <row r="195" spans="1:2" x14ac:dyDescent="0.25">
      <c r="A195" s="9" t="str">
        <f>IF('Frame Sections'!A210=0,"",'Frame Sections'!A210)</f>
        <v/>
      </c>
      <c r="B195" s="9" t="str">
        <f t="shared" si="3"/>
        <v/>
      </c>
    </row>
    <row r="196" spans="1:2" x14ac:dyDescent="0.25">
      <c r="A196" s="9" t="str">
        <f>IF('Frame Sections'!A211=0,"",'Frame Sections'!A211)</f>
        <v/>
      </c>
      <c r="B196" s="9" t="str">
        <f t="shared" si="3"/>
        <v/>
      </c>
    </row>
    <row r="197" spans="1:2" x14ac:dyDescent="0.25">
      <c r="A197" s="9" t="str">
        <f>IF('Frame Sections'!A212=0,"",'Frame Sections'!A212)</f>
        <v/>
      </c>
      <c r="B197" s="9" t="str">
        <f t="shared" si="3"/>
        <v/>
      </c>
    </row>
    <row r="198" spans="1:2" x14ac:dyDescent="0.25">
      <c r="A198" s="9" t="str">
        <f>IF('Frame Sections'!A213=0,"",'Frame Sections'!A213)</f>
        <v/>
      </c>
      <c r="B198" s="9" t="str">
        <f t="shared" si="3"/>
        <v/>
      </c>
    </row>
    <row r="199" spans="1:2" x14ac:dyDescent="0.25">
      <c r="A199" s="9" t="str">
        <f>IF('Frame Sections'!A214=0,"",'Frame Sections'!A214)</f>
        <v/>
      </c>
      <c r="B199" s="9" t="str">
        <f t="shared" si="3"/>
        <v/>
      </c>
    </row>
    <row r="200" spans="1:2" x14ac:dyDescent="0.25">
      <c r="A200" s="9" t="str">
        <f>IF('Frame Sections'!A215=0,"",'Frame Sections'!A215)</f>
        <v/>
      </c>
      <c r="B200" s="9" t="str">
        <f t="shared" si="3"/>
        <v/>
      </c>
    </row>
    <row r="201" spans="1:2" x14ac:dyDescent="0.25">
      <c r="A201" s="9" t="str">
        <f>IF('Frame Sections'!A216=0,"",'Frame Sections'!A216)</f>
        <v/>
      </c>
      <c r="B201" s="9" t="str">
        <f t="shared" si="3"/>
        <v/>
      </c>
    </row>
    <row r="202" spans="1:2" x14ac:dyDescent="0.25">
      <c r="A202" s="9" t="str">
        <f>IF('Frame Sections'!A217=0,"",'Frame Sections'!A217)</f>
        <v/>
      </c>
      <c r="B202" s="9" t="str">
        <f t="shared" si="3"/>
        <v/>
      </c>
    </row>
    <row r="203" spans="1:2" x14ac:dyDescent="0.25">
      <c r="A203" s="9" t="str">
        <f>IF('Frame Sections'!A218=0,"",'Frame Sections'!A218)</f>
        <v/>
      </c>
      <c r="B203" s="9" t="str">
        <f t="shared" si="3"/>
        <v/>
      </c>
    </row>
    <row r="204" spans="1:2" x14ac:dyDescent="0.25">
      <c r="A204" s="9" t="str">
        <f>IF('Frame Sections'!A219=0,"",'Frame Sections'!A219)</f>
        <v/>
      </c>
      <c r="B204" s="9" t="str">
        <f t="shared" si="3"/>
        <v/>
      </c>
    </row>
    <row r="205" spans="1:2" x14ac:dyDescent="0.25">
      <c r="A205" s="9" t="str">
        <f>IF('Frame Sections'!A220=0,"",'Frame Sections'!A220)</f>
        <v/>
      </c>
      <c r="B205" s="9" t="str">
        <f t="shared" si="3"/>
        <v/>
      </c>
    </row>
    <row r="206" spans="1:2" x14ac:dyDescent="0.25">
      <c r="A206" s="9" t="str">
        <f>IF('Frame Sections'!A221=0,"",'Frame Sections'!A221)</f>
        <v/>
      </c>
      <c r="B206" s="9" t="str">
        <f t="shared" si="3"/>
        <v/>
      </c>
    </row>
    <row r="207" spans="1:2" x14ac:dyDescent="0.25">
      <c r="A207" s="9" t="str">
        <f>IF('Frame Sections'!A222=0,"",'Frame Sections'!A222)</f>
        <v/>
      </c>
      <c r="B207" s="9" t="str">
        <f t="shared" si="3"/>
        <v/>
      </c>
    </row>
    <row r="208" spans="1:2" x14ac:dyDescent="0.25">
      <c r="A208" s="9" t="str">
        <f>IF('Frame Sections'!A223=0,"",'Frame Sections'!A223)</f>
        <v/>
      </c>
      <c r="B208" s="9" t="str">
        <f t="shared" si="3"/>
        <v/>
      </c>
    </row>
    <row r="209" spans="1:2" x14ac:dyDescent="0.25">
      <c r="A209" s="9" t="str">
        <f>IF('Frame Sections'!A224=0,"",'Frame Sections'!A224)</f>
        <v/>
      </c>
      <c r="B209" s="9" t="str">
        <f t="shared" si="3"/>
        <v/>
      </c>
    </row>
    <row r="210" spans="1:2" x14ac:dyDescent="0.25">
      <c r="A210" s="9" t="str">
        <f>IF('Frame Sections'!A225=0,"",'Frame Sections'!A225)</f>
        <v/>
      </c>
      <c r="B210" s="9" t="str">
        <f t="shared" si="3"/>
        <v/>
      </c>
    </row>
    <row r="211" spans="1:2" x14ac:dyDescent="0.25">
      <c r="A211" s="9" t="str">
        <f>IF('Frame Sections'!A226=0,"",'Frame Sections'!A226)</f>
        <v/>
      </c>
      <c r="B211" s="9" t="str">
        <f t="shared" si="3"/>
        <v/>
      </c>
    </row>
    <row r="212" spans="1:2" x14ac:dyDescent="0.25">
      <c r="A212" s="9" t="str">
        <f>IF('Frame Sections'!A227=0,"",'Frame Sections'!A227)</f>
        <v/>
      </c>
      <c r="B212" s="9" t="str">
        <f t="shared" si="3"/>
        <v/>
      </c>
    </row>
    <row r="213" spans="1:2" x14ac:dyDescent="0.25">
      <c r="A213" s="9" t="str">
        <f>IF('Frame Sections'!A228=0,"",'Frame Sections'!A228)</f>
        <v/>
      </c>
      <c r="B213" s="9" t="str">
        <f t="shared" si="3"/>
        <v/>
      </c>
    </row>
    <row r="214" spans="1:2" x14ac:dyDescent="0.25">
      <c r="A214" s="9" t="str">
        <f>IF('Frame Sections'!A229=0,"",'Frame Sections'!A229)</f>
        <v/>
      </c>
      <c r="B214" s="9" t="str">
        <f t="shared" si="3"/>
        <v/>
      </c>
    </row>
    <row r="215" spans="1:2" x14ac:dyDescent="0.25">
      <c r="A215" s="9" t="str">
        <f>IF('Frame Sections'!A230=0,"",'Frame Sections'!A230)</f>
        <v/>
      </c>
      <c r="B215" s="9" t="str">
        <f t="shared" si="3"/>
        <v/>
      </c>
    </row>
    <row r="216" spans="1:2" x14ac:dyDescent="0.25">
      <c r="A216" s="9" t="str">
        <f>IF('Frame Sections'!A231=0,"",'Frame Sections'!A231)</f>
        <v/>
      </c>
      <c r="B216" s="9" t="str">
        <f t="shared" si="3"/>
        <v/>
      </c>
    </row>
    <row r="217" spans="1:2" x14ac:dyDescent="0.25">
      <c r="A217" s="9" t="str">
        <f>IF('Frame Sections'!A232=0,"",'Frame Sections'!A232)</f>
        <v/>
      </c>
      <c r="B217" s="9" t="str">
        <f t="shared" si="3"/>
        <v/>
      </c>
    </row>
    <row r="218" spans="1:2" x14ac:dyDescent="0.25">
      <c r="A218" s="9" t="str">
        <f>IF('Frame Sections'!A233=0,"",'Frame Sections'!A233)</f>
        <v/>
      </c>
      <c r="B218" s="9" t="str">
        <f t="shared" si="3"/>
        <v/>
      </c>
    </row>
    <row r="219" spans="1:2" x14ac:dyDescent="0.25">
      <c r="A219" s="9" t="str">
        <f>IF('Frame Sections'!A234=0,"",'Frame Sections'!A234)</f>
        <v/>
      </c>
      <c r="B219" s="9" t="str">
        <f t="shared" si="3"/>
        <v/>
      </c>
    </row>
    <row r="220" spans="1:2" x14ac:dyDescent="0.25">
      <c r="A220" s="9" t="str">
        <f>IF('Frame Sections'!A235=0,"",'Frame Sections'!A235)</f>
        <v/>
      </c>
      <c r="B220" s="9" t="str">
        <f t="shared" si="3"/>
        <v/>
      </c>
    </row>
    <row r="221" spans="1:2" x14ac:dyDescent="0.25">
      <c r="A221" s="9" t="str">
        <f>IF('Frame Sections'!A236=0,"",'Frame Sections'!A236)</f>
        <v/>
      </c>
      <c r="B221" s="9" t="str">
        <f t="shared" si="3"/>
        <v/>
      </c>
    </row>
    <row r="222" spans="1:2" x14ac:dyDescent="0.25">
      <c r="A222" s="9" t="str">
        <f>IF('Frame Sections'!A237=0,"",'Frame Sections'!A237)</f>
        <v/>
      </c>
      <c r="B222" s="9" t="str">
        <f t="shared" si="3"/>
        <v/>
      </c>
    </row>
    <row r="223" spans="1:2" x14ac:dyDescent="0.25">
      <c r="A223" s="9" t="str">
        <f>IF('Frame Sections'!A238=0,"",'Frame Sections'!A238)</f>
        <v/>
      </c>
      <c r="B223" s="9" t="str">
        <f t="shared" si="3"/>
        <v/>
      </c>
    </row>
    <row r="224" spans="1:2" x14ac:dyDescent="0.25">
      <c r="A224" s="9" t="str">
        <f>IF('Frame Sections'!A239=0,"",'Frame Sections'!A239)</f>
        <v/>
      </c>
      <c r="B224" s="9" t="str">
        <f t="shared" si="3"/>
        <v/>
      </c>
    </row>
    <row r="225" spans="1:2" x14ac:dyDescent="0.25">
      <c r="A225" s="9" t="str">
        <f>IF('Frame Sections'!A240=0,"",'Frame Sections'!A240)</f>
        <v/>
      </c>
      <c r="B225" s="9" t="str">
        <f t="shared" si="3"/>
        <v/>
      </c>
    </row>
    <row r="226" spans="1:2" x14ac:dyDescent="0.25">
      <c r="A226" s="9" t="str">
        <f>IF('Frame Sections'!A241=0,"",'Frame Sections'!A241)</f>
        <v/>
      </c>
      <c r="B226" s="9" t="str">
        <f t="shared" si="3"/>
        <v/>
      </c>
    </row>
    <row r="227" spans="1:2" x14ac:dyDescent="0.25">
      <c r="A227" s="9" t="str">
        <f>IF('Frame Sections'!A242=0,"",'Frame Sections'!A242)</f>
        <v/>
      </c>
      <c r="B227" s="9" t="str">
        <f t="shared" si="3"/>
        <v/>
      </c>
    </row>
    <row r="228" spans="1:2" x14ac:dyDescent="0.25">
      <c r="A228" s="9" t="str">
        <f>IF('Frame Sections'!A243=0,"",'Frame Sections'!A243)</f>
        <v/>
      </c>
      <c r="B228" s="9" t="str">
        <f t="shared" si="3"/>
        <v/>
      </c>
    </row>
    <row r="229" spans="1:2" x14ac:dyDescent="0.25">
      <c r="A229" s="9" t="str">
        <f>IF('Frame Sections'!A244=0,"",'Frame Sections'!A244)</f>
        <v/>
      </c>
      <c r="B229" s="9" t="str">
        <f t="shared" si="3"/>
        <v/>
      </c>
    </row>
    <row r="230" spans="1:2" x14ac:dyDescent="0.25">
      <c r="A230" s="9" t="str">
        <f>IF('Frame Sections'!A245=0,"",'Frame Sections'!A245)</f>
        <v/>
      </c>
      <c r="B230" s="9" t="str">
        <f t="shared" si="3"/>
        <v/>
      </c>
    </row>
    <row r="231" spans="1:2" x14ac:dyDescent="0.25">
      <c r="A231" s="9" t="str">
        <f>IF('Frame Sections'!A246=0,"",'Frame Sections'!A246)</f>
        <v/>
      </c>
      <c r="B231" s="9" t="str">
        <f t="shared" si="3"/>
        <v/>
      </c>
    </row>
    <row r="232" spans="1:2" x14ac:dyDescent="0.25">
      <c r="A232" s="9" t="str">
        <f>IF('Frame Sections'!A247=0,"",'Frame Sections'!A247)</f>
        <v/>
      </c>
      <c r="B232" s="9" t="str">
        <f t="shared" si="3"/>
        <v/>
      </c>
    </row>
    <row r="233" spans="1:2" x14ac:dyDescent="0.25">
      <c r="A233" s="9" t="str">
        <f>IF('Frame Sections'!A248=0,"",'Frame Sections'!A248)</f>
        <v/>
      </c>
      <c r="B233" s="9" t="str">
        <f t="shared" si="3"/>
        <v/>
      </c>
    </row>
    <row r="234" spans="1:2" x14ac:dyDescent="0.25">
      <c r="A234" s="9" t="str">
        <f>IF('Frame Sections'!A249=0,"",'Frame Sections'!A249)</f>
        <v/>
      </c>
      <c r="B234" s="9" t="str">
        <f t="shared" si="3"/>
        <v/>
      </c>
    </row>
    <row r="235" spans="1:2" x14ac:dyDescent="0.25">
      <c r="A235" s="9" t="str">
        <f>IF('Frame Sections'!A250=0,"",'Frame Sections'!A250)</f>
        <v/>
      </c>
      <c r="B235" s="9" t="str">
        <f t="shared" si="3"/>
        <v/>
      </c>
    </row>
    <row r="236" spans="1:2" x14ac:dyDescent="0.25">
      <c r="A236" s="9" t="str">
        <f>IF('Frame Sections'!A251=0,"",'Frame Sections'!A251)</f>
        <v/>
      </c>
      <c r="B236" s="9" t="str">
        <f t="shared" si="3"/>
        <v/>
      </c>
    </row>
    <row r="237" spans="1:2" x14ac:dyDescent="0.25">
      <c r="A237" s="9" t="str">
        <f>IF('Frame Sections'!A252=0,"",'Frame Sections'!A252)</f>
        <v/>
      </c>
      <c r="B237" s="9" t="str">
        <f t="shared" si="3"/>
        <v/>
      </c>
    </row>
    <row r="238" spans="1:2" x14ac:dyDescent="0.25">
      <c r="A238" s="9" t="str">
        <f>IF('Frame Sections'!A253=0,"",'Frame Sections'!A253)</f>
        <v/>
      </c>
      <c r="B238" s="9" t="str">
        <f t="shared" si="3"/>
        <v/>
      </c>
    </row>
    <row r="239" spans="1:2" x14ac:dyDescent="0.25">
      <c r="A239" s="9" t="str">
        <f>IF('Frame Sections'!A254=0,"",'Frame Sections'!A254)</f>
        <v/>
      </c>
      <c r="B239" s="9" t="str">
        <f t="shared" si="3"/>
        <v/>
      </c>
    </row>
    <row r="240" spans="1:2" x14ac:dyDescent="0.25">
      <c r="A240" s="9" t="str">
        <f>IF('Frame Sections'!A255=0,"",'Frame Sections'!A255)</f>
        <v/>
      </c>
      <c r="B240" s="9" t="str">
        <f t="shared" si="3"/>
        <v/>
      </c>
    </row>
    <row r="241" spans="1:2" x14ac:dyDescent="0.25">
      <c r="A241" s="9" t="str">
        <f>IF('Frame Sections'!A256=0,"",'Frame Sections'!A256)</f>
        <v/>
      </c>
      <c r="B241" s="9" t="str">
        <f t="shared" si="3"/>
        <v/>
      </c>
    </row>
    <row r="242" spans="1:2" x14ac:dyDescent="0.25">
      <c r="A242" s="9" t="str">
        <f>IF('Frame Sections'!A257=0,"",'Frame Sections'!A257)</f>
        <v/>
      </c>
      <c r="B242" s="9" t="str">
        <f t="shared" si="3"/>
        <v/>
      </c>
    </row>
    <row r="243" spans="1:2" x14ac:dyDescent="0.25">
      <c r="A243" s="9" t="str">
        <f>IF('Frame Sections'!A258=0,"",'Frame Sections'!A258)</f>
        <v/>
      </c>
      <c r="B243" s="9" t="str">
        <f t="shared" si="3"/>
        <v/>
      </c>
    </row>
    <row r="244" spans="1:2" x14ac:dyDescent="0.25">
      <c r="A244" s="9" t="str">
        <f>IF('Frame Sections'!A259=0,"",'Frame Sections'!A259)</f>
        <v/>
      </c>
      <c r="B244" s="9" t="str">
        <f t="shared" si="3"/>
        <v/>
      </c>
    </row>
    <row r="245" spans="1:2" x14ac:dyDescent="0.25">
      <c r="A245" s="9" t="str">
        <f>IF('Frame Sections'!A260=0,"",'Frame Sections'!A260)</f>
        <v/>
      </c>
      <c r="B245" s="9" t="str">
        <f t="shared" si="3"/>
        <v/>
      </c>
    </row>
    <row r="246" spans="1:2" x14ac:dyDescent="0.25">
      <c r="A246" s="9" t="str">
        <f>IF('Frame Sections'!A261=0,"",'Frame Sections'!A261)</f>
        <v/>
      </c>
      <c r="B246" s="9" t="str">
        <f t="shared" si="3"/>
        <v/>
      </c>
    </row>
    <row r="247" spans="1:2" x14ac:dyDescent="0.25">
      <c r="A247" s="9" t="str">
        <f>IF('Frame Sections'!A262=0,"",'Frame Sections'!A262)</f>
        <v/>
      </c>
      <c r="B247" s="9" t="str">
        <f t="shared" si="3"/>
        <v/>
      </c>
    </row>
    <row r="248" spans="1:2" x14ac:dyDescent="0.25">
      <c r="A248" s="9" t="str">
        <f>IF('Frame Sections'!A263=0,"",'Frame Sections'!A263)</f>
        <v/>
      </c>
      <c r="B248" s="9" t="str">
        <f t="shared" si="3"/>
        <v/>
      </c>
    </row>
    <row r="249" spans="1:2" x14ac:dyDescent="0.25">
      <c r="A249" s="9" t="str">
        <f>IF('Frame Sections'!A264=0,"",'Frame Sections'!A264)</f>
        <v/>
      </c>
      <c r="B249" s="9" t="str">
        <f t="shared" si="3"/>
        <v/>
      </c>
    </row>
    <row r="250" spans="1:2" x14ac:dyDescent="0.25">
      <c r="A250" s="9" t="str">
        <f>IF('Frame Sections'!A265=0,"",'Frame Sections'!A265)</f>
        <v/>
      </c>
      <c r="B250" s="9" t="str">
        <f t="shared" si="3"/>
        <v/>
      </c>
    </row>
    <row r="251" spans="1:2" x14ac:dyDescent="0.25">
      <c r="A251" s="9" t="str">
        <f>IF('Frame Sections'!A266=0,"",'Frame Sections'!A266)</f>
        <v/>
      </c>
      <c r="B251" s="9" t="str">
        <f t="shared" si="3"/>
        <v/>
      </c>
    </row>
    <row r="252" spans="1:2" x14ac:dyDescent="0.25">
      <c r="A252" s="9" t="str">
        <f>IF('Frame Sections'!A267=0,"",'Frame Sections'!A267)</f>
        <v/>
      </c>
      <c r="B252" s="9" t="str">
        <f t="shared" si="3"/>
        <v/>
      </c>
    </row>
    <row r="253" spans="1:2" x14ac:dyDescent="0.25">
      <c r="A253" s="9" t="str">
        <f>IF('Frame Sections'!A268=0,"",'Frame Sections'!A268)</f>
        <v/>
      </c>
      <c r="B253" s="9" t="str">
        <f t="shared" si="3"/>
        <v/>
      </c>
    </row>
    <row r="254" spans="1:2" x14ac:dyDescent="0.25">
      <c r="A254" s="9" t="str">
        <f>IF('Frame Sections'!A269=0,"",'Frame Sections'!A269)</f>
        <v/>
      </c>
      <c r="B254" s="9" t="str">
        <f t="shared" si="3"/>
        <v/>
      </c>
    </row>
    <row r="255" spans="1:2" x14ac:dyDescent="0.25">
      <c r="A255" s="9" t="str">
        <f>IF('Frame Sections'!A270=0,"",'Frame Sections'!A270)</f>
        <v/>
      </c>
      <c r="B255" s="9" t="str">
        <f t="shared" si="3"/>
        <v/>
      </c>
    </row>
    <row r="256" spans="1:2" x14ac:dyDescent="0.25">
      <c r="A256" s="9" t="str">
        <f>IF('Frame Sections'!A271=0,"",'Frame Sections'!A271)</f>
        <v/>
      </c>
      <c r="B256" s="9" t="str">
        <f t="shared" si="3"/>
        <v/>
      </c>
    </row>
    <row r="257" spans="1:2" x14ac:dyDescent="0.25">
      <c r="A257" s="9" t="str">
        <f>IF('Frame Sections'!A272=0,"",'Frame Sections'!A272)</f>
        <v/>
      </c>
      <c r="B257" s="9" t="str">
        <f t="shared" si="3"/>
        <v/>
      </c>
    </row>
    <row r="258" spans="1:2" x14ac:dyDescent="0.25">
      <c r="A258" s="9" t="str">
        <f>IF('Frame Sections'!A273=0,"",'Frame Sections'!A273)</f>
        <v/>
      </c>
      <c r="B258" s="9" t="str">
        <f t="shared" ref="B258:B321" si="4">IF(OR(A258=0,A258=""),"",VLOOKUP(A258,SecDB,5,FALSE))</f>
        <v/>
      </c>
    </row>
    <row r="259" spans="1:2" x14ac:dyDescent="0.25">
      <c r="A259" s="9" t="str">
        <f>IF('Frame Sections'!A274=0,"",'Frame Sections'!A274)</f>
        <v/>
      </c>
      <c r="B259" s="9" t="str">
        <f t="shared" si="4"/>
        <v/>
      </c>
    </row>
    <row r="260" spans="1:2" x14ac:dyDescent="0.25">
      <c r="A260" s="9" t="str">
        <f>IF('Frame Sections'!A275=0,"",'Frame Sections'!A275)</f>
        <v/>
      </c>
      <c r="B260" s="9" t="str">
        <f t="shared" si="4"/>
        <v/>
      </c>
    </row>
    <row r="261" spans="1:2" x14ac:dyDescent="0.25">
      <c r="A261" s="9" t="str">
        <f>IF('Frame Sections'!A276=0,"",'Frame Sections'!A276)</f>
        <v/>
      </c>
      <c r="B261" s="9" t="str">
        <f t="shared" si="4"/>
        <v/>
      </c>
    </row>
    <row r="262" spans="1:2" x14ac:dyDescent="0.25">
      <c r="A262" s="9" t="str">
        <f>IF('Frame Sections'!A277=0,"",'Frame Sections'!A277)</f>
        <v/>
      </c>
      <c r="B262" s="9" t="str">
        <f t="shared" si="4"/>
        <v/>
      </c>
    </row>
    <row r="263" spans="1:2" x14ac:dyDescent="0.25">
      <c r="A263" s="9" t="str">
        <f>IF('Frame Sections'!A278=0,"",'Frame Sections'!A278)</f>
        <v/>
      </c>
      <c r="B263" s="9" t="str">
        <f t="shared" si="4"/>
        <v/>
      </c>
    </row>
    <row r="264" spans="1:2" x14ac:dyDescent="0.25">
      <c r="A264" s="9" t="str">
        <f>IF('Frame Sections'!A279=0,"",'Frame Sections'!A279)</f>
        <v/>
      </c>
      <c r="B264" s="9" t="str">
        <f t="shared" si="4"/>
        <v/>
      </c>
    </row>
    <row r="265" spans="1:2" x14ac:dyDescent="0.25">
      <c r="A265" s="9" t="str">
        <f>IF('Frame Sections'!A280=0,"",'Frame Sections'!A280)</f>
        <v/>
      </c>
      <c r="B265" s="9" t="str">
        <f t="shared" si="4"/>
        <v/>
      </c>
    </row>
    <row r="266" spans="1:2" x14ac:dyDescent="0.25">
      <c r="A266" s="9" t="str">
        <f>IF('Frame Sections'!A281=0,"",'Frame Sections'!A281)</f>
        <v/>
      </c>
      <c r="B266" s="9" t="str">
        <f t="shared" si="4"/>
        <v/>
      </c>
    </row>
    <row r="267" spans="1:2" x14ac:dyDescent="0.25">
      <c r="A267" s="9" t="str">
        <f>IF('Frame Sections'!A282=0,"",'Frame Sections'!A282)</f>
        <v/>
      </c>
      <c r="B267" s="9" t="str">
        <f t="shared" si="4"/>
        <v/>
      </c>
    </row>
    <row r="268" spans="1:2" x14ac:dyDescent="0.25">
      <c r="A268" s="9" t="str">
        <f>IF('Frame Sections'!A283=0,"",'Frame Sections'!A283)</f>
        <v/>
      </c>
      <c r="B268" s="9" t="str">
        <f t="shared" si="4"/>
        <v/>
      </c>
    </row>
    <row r="269" spans="1:2" x14ac:dyDescent="0.25">
      <c r="A269" s="9" t="str">
        <f>IF('Frame Sections'!A284=0,"",'Frame Sections'!A284)</f>
        <v/>
      </c>
      <c r="B269" s="9" t="str">
        <f t="shared" si="4"/>
        <v/>
      </c>
    </row>
    <row r="270" spans="1:2" x14ac:dyDescent="0.25">
      <c r="A270" s="9" t="str">
        <f>IF('Frame Sections'!A285=0,"",'Frame Sections'!A285)</f>
        <v/>
      </c>
      <c r="B270" s="9" t="str">
        <f t="shared" si="4"/>
        <v/>
      </c>
    </row>
    <row r="271" spans="1:2" x14ac:dyDescent="0.25">
      <c r="A271" s="9" t="str">
        <f>IF('Frame Sections'!A286=0,"",'Frame Sections'!A286)</f>
        <v/>
      </c>
      <c r="B271" s="9" t="str">
        <f t="shared" si="4"/>
        <v/>
      </c>
    </row>
    <row r="272" spans="1:2" x14ac:dyDescent="0.25">
      <c r="A272" s="9" t="str">
        <f>IF('Frame Sections'!A287=0,"",'Frame Sections'!A287)</f>
        <v/>
      </c>
      <c r="B272" s="9" t="str">
        <f t="shared" si="4"/>
        <v/>
      </c>
    </row>
    <row r="273" spans="1:2" x14ac:dyDescent="0.25">
      <c r="A273" s="9" t="str">
        <f>IF('Frame Sections'!A288=0,"",'Frame Sections'!A288)</f>
        <v/>
      </c>
      <c r="B273" s="9" t="str">
        <f t="shared" si="4"/>
        <v/>
      </c>
    </row>
    <row r="274" spans="1:2" x14ac:dyDescent="0.25">
      <c r="A274" s="9" t="str">
        <f>IF('Frame Sections'!A289=0,"",'Frame Sections'!A289)</f>
        <v/>
      </c>
      <c r="B274" s="9" t="str">
        <f t="shared" si="4"/>
        <v/>
      </c>
    </row>
    <row r="275" spans="1:2" x14ac:dyDescent="0.25">
      <c r="A275" s="9" t="str">
        <f>IF('Frame Sections'!A290=0,"",'Frame Sections'!A290)</f>
        <v/>
      </c>
      <c r="B275" s="9" t="str">
        <f t="shared" si="4"/>
        <v/>
      </c>
    </row>
    <row r="276" spans="1:2" x14ac:dyDescent="0.25">
      <c r="A276" s="9" t="str">
        <f>IF('Frame Sections'!A291=0,"",'Frame Sections'!A291)</f>
        <v/>
      </c>
      <c r="B276" s="9" t="str">
        <f t="shared" si="4"/>
        <v/>
      </c>
    </row>
    <row r="277" spans="1:2" x14ac:dyDescent="0.25">
      <c r="A277" s="9" t="str">
        <f>IF('Frame Sections'!A292=0,"",'Frame Sections'!A292)</f>
        <v/>
      </c>
      <c r="B277" s="9" t="str">
        <f t="shared" si="4"/>
        <v/>
      </c>
    </row>
    <row r="278" spans="1:2" x14ac:dyDescent="0.25">
      <c r="A278" s="9" t="str">
        <f>IF('Frame Sections'!A293=0,"",'Frame Sections'!A293)</f>
        <v/>
      </c>
      <c r="B278" s="9" t="str">
        <f t="shared" si="4"/>
        <v/>
      </c>
    </row>
    <row r="279" spans="1:2" x14ac:dyDescent="0.25">
      <c r="A279" s="9" t="str">
        <f>IF('Frame Sections'!A294=0,"",'Frame Sections'!A294)</f>
        <v/>
      </c>
      <c r="B279" s="9" t="str">
        <f t="shared" si="4"/>
        <v/>
      </c>
    </row>
    <row r="280" spans="1:2" x14ac:dyDescent="0.25">
      <c r="A280" s="9" t="str">
        <f>IF('Frame Sections'!A295=0,"",'Frame Sections'!A295)</f>
        <v/>
      </c>
      <c r="B280" s="9" t="str">
        <f t="shared" si="4"/>
        <v/>
      </c>
    </row>
    <row r="281" spans="1:2" x14ac:dyDescent="0.25">
      <c r="A281" s="9" t="str">
        <f>IF('Frame Sections'!A296=0,"",'Frame Sections'!A296)</f>
        <v/>
      </c>
      <c r="B281" s="9" t="str">
        <f t="shared" si="4"/>
        <v/>
      </c>
    </row>
    <row r="282" spans="1:2" x14ac:dyDescent="0.25">
      <c r="A282" s="9" t="str">
        <f>IF('Frame Sections'!A297=0,"",'Frame Sections'!A297)</f>
        <v/>
      </c>
      <c r="B282" s="9" t="str">
        <f t="shared" si="4"/>
        <v/>
      </c>
    </row>
    <row r="283" spans="1:2" x14ac:dyDescent="0.25">
      <c r="A283" s="9" t="str">
        <f>IF('Frame Sections'!A298=0,"",'Frame Sections'!A298)</f>
        <v/>
      </c>
      <c r="B283" s="9" t="str">
        <f t="shared" si="4"/>
        <v/>
      </c>
    </row>
    <row r="284" spans="1:2" x14ac:dyDescent="0.25">
      <c r="A284" s="9" t="str">
        <f>IF('Frame Sections'!A299=0,"",'Frame Sections'!A299)</f>
        <v/>
      </c>
      <c r="B284" s="9" t="str">
        <f t="shared" si="4"/>
        <v/>
      </c>
    </row>
    <row r="285" spans="1:2" x14ac:dyDescent="0.25">
      <c r="A285" s="9" t="str">
        <f>IF('Frame Sections'!A300=0,"",'Frame Sections'!A300)</f>
        <v/>
      </c>
      <c r="B285" s="9" t="str">
        <f t="shared" si="4"/>
        <v/>
      </c>
    </row>
    <row r="286" spans="1:2" x14ac:dyDescent="0.25">
      <c r="A286" s="9" t="str">
        <f>IF('Frame Sections'!A301=0,"",'Frame Sections'!A301)</f>
        <v/>
      </c>
      <c r="B286" s="9" t="str">
        <f t="shared" si="4"/>
        <v/>
      </c>
    </row>
    <row r="287" spans="1:2" x14ac:dyDescent="0.25">
      <c r="A287" s="9" t="str">
        <f>IF('Frame Sections'!A302=0,"",'Frame Sections'!A302)</f>
        <v/>
      </c>
      <c r="B287" s="9" t="str">
        <f t="shared" si="4"/>
        <v/>
      </c>
    </row>
    <row r="288" spans="1:2" x14ac:dyDescent="0.25">
      <c r="A288" s="9" t="str">
        <f>IF('Frame Sections'!A303=0,"",'Frame Sections'!A303)</f>
        <v/>
      </c>
      <c r="B288" s="9" t="str">
        <f t="shared" si="4"/>
        <v/>
      </c>
    </row>
    <row r="289" spans="1:2" x14ac:dyDescent="0.25">
      <c r="A289" s="9" t="str">
        <f>IF('Frame Sections'!A304=0,"",'Frame Sections'!A304)</f>
        <v/>
      </c>
      <c r="B289" s="9" t="str">
        <f t="shared" si="4"/>
        <v/>
      </c>
    </row>
    <row r="290" spans="1:2" x14ac:dyDescent="0.25">
      <c r="A290" s="9" t="str">
        <f>IF('Frame Sections'!A305=0,"",'Frame Sections'!A305)</f>
        <v/>
      </c>
      <c r="B290" s="9" t="str">
        <f t="shared" si="4"/>
        <v/>
      </c>
    </row>
    <row r="291" spans="1:2" x14ac:dyDescent="0.25">
      <c r="A291" s="9" t="str">
        <f>IF('Frame Sections'!A306=0,"",'Frame Sections'!A306)</f>
        <v/>
      </c>
      <c r="B291" s="9" t="str">
        <f t="shared" si="4"/>
        <v/>
      </c>
    </row>
    <row r="292" spans="1:2" x14ac:dyDescent="0.25">
      <c r="A292" s="9" t="str">
        <f>IF('Frame Sections'!A307=0,"",'Frame Sections'!A307)</f>
        <v/>
      </c>
      <c r="B292" s="9" t="str">
        <f t="shared" si="4"/>
        <v/>
      </c>
    </row>
    <row r="293" spans="1:2" x14ac:dyDescent="0.25">
      <c r="A293" s="9" t="str">
        <f>IF('Frame Sections'!A308=0,"",'Frame Sections'!A308)</f>
        <v/>
      </c>
      <c r="B293" s="9" t="str">
        <f t="shared" si="4"/>
        <v/>
      </c>
    </row>
    <row r="294" spans="1:2" x14ac:dyDescent="0.25">
      <c r="A294" s="9" t="str">
        <f>IF('Frame Sections'!A309=0,"",'Frame Sections'!A309)</f>
        <v/>
      </c>
      <c r="B294" s="9" t="str">
        <f t="shared" si="4"/>
        <v/>
      </c>
    </row>
    <row r="295" spans="1:2" x14ac:dyDescent="0.25">
      <c r="A295" s="9" t="str">
        <f>IF('Frame Sections'!A310=0,"",'Frame Sections'!A310)</f>
        <v/>
      </c>
      <c r="B295" s="9" t="str">
        <f t="shared" si="4"/>
        <v/>
      </c>
    </row>
    <row r="296" spans="1:2" x14ac:dyDescent="0.25">
      <c r="A296" s="9" t="str">
        <f>IF('Frame Sections'!A311=0,"",'Frame Sections'!A311)</f>
        <v/>
      </c>
      <c r="B296" s="9" t="str">
        <f t="shared" si="4"/>
        <v/>
      </c>
    </row>
    <row r="297" spans="1:2" x14ac:dyDescent="0.25">
      <c r="A297" s="9" t="str">
        <f>IF('Frame Sections'!A312=0,"",'Frame Sections'!A312)</f>
        <v/>
      </c>
      <c r="B297" s="9" t="str">
        <f t="shared" si="4"/>
        <v/>
      </c>
    </row>
    <row r="298" spans="1:2" x14ac:dyDescent="0.25">
      <c r="A298" s="9" t="str">
        <f>IF('Frame Sections'!A313=0,"",'Frame Sections'!A313)</f>
        <v/>
      </c>
      <c r="B298" s="9" t="str">
        <f t="shared" si="4"/>
        <v/>
      </c>
    </row>
    <row r="299" spans="1:2" x14ac:dyDescent="0.25">
      <c r="A299" s="9" t="str">
        <f>IF('Frame Sections'!A314=0,"",'Frame Sections'!A314)</f>
        <v/>
      </c>
      <c r="B299" s="9" t="str">
        <f t="shared" si="4"/>
        <v/>
      </c>
    </row>
    <row r="300" spans="1:2" x14ac:dyDescent="0.25">
      <c r="A300" s="9" t="str">
        <f>IF('Frame Sections'!A315=0,"",'Frame Sections'!A315)</f>
        <v/>
      </c>
      <c r="B300" s="9" t="str">
        <f t="shared" si="4"/>
        <v/>
      </c>
    </row>
    <row r="301" spans="1:2" x14ac:dyDescent="0.25">
      <c r="A301" s="9" t="str">
        <f>IF('Frame Sections'!A316=0,"",'Frame Sections'!A316)</f>
        <v/>
      </c>
      <c r="B301" s="9" t="str">
        <f t="shared" si="4"/>
        <v/>
      </c>
    </row>
    <row r="302" spans="1:2" x14ac:dyDescent="0.25">
      <c r="A302" s="9" t="str">
        <f>IF('Frame Sections'!A317=0,"",'Frame Sections'!A317)</f>
        <v/>
      </c>
      <c r="B302" s="9" t="str">
        <f t="shared" si="4"/>
        <v/>
      </c>
    </row>
    <row r="303" spans="1:2" x14ac:dyDescent="0.25">
      <c r="A303" s="9" t="str">
        <f>IF('Frame Sections'!A318=0,"",'Frame Sections'!A318)</f>
        <v/>
      </c>
      <c r="B303" s="9" t="str">
        <f t="shared" si="4"/>
        <v/>
      </c>
    </row>
    <row r="304" spans="1:2" x14ac:dyDescent="0.25">
      <c r="A304" s="9" t="str">
        <f>IF('Frame Sections'!A319=0,"",'Frame Sections'!A319)</f>
        <v/>
      </c>
      <c r="B304" s="9" t="str">
        <f t="shared" si="4"/>
        <v/>
      </c>
    </row>
    <row r="305" spans="1:2" x14ac:dyDescent="0.25">
      <c r="A305" s="9" t="str">
        <f>IF('Frame Sections'!A320=0,"",'Frame Sections'!A320)</f>
        <v/>
      </c>
      <c r="B305" s="9" t="str">
        <f t="shared" si="4"/>
        <v/>
      </c>
    </row>
    <row r="306" spans="1:2" x14ac:dyDescent="0.25">
      <c r="A306" s="9" t="str">
        <f>IF('Frame Sections'!A321=0,"",'Frame Sections'!A321)</f>
        <v/>
      </c>
      <c r="B306" s="9" t="str">
        <f t="shared" si="4"/>
        <v/>
      </c>
    </row>
    <row r="307" spans="1:2" x14ac:dyDescent="0.25">
      <c r="A307" s="9" t="str">
        <f>IF('Frame Sections'!A322=0,"",'Frame Sections'!A322)</f>
        <v/>
      </c>
      <c r="B307" s="9" t="str">
        <f t="shared" si="4"/>
        <v/>
      </c>
    </row>
    <row r="308" spans="1:2" x14ac:dyDescent="0.25">
      <c r="A308" s="9" t="str">
        <f>IF('Frame Sections'!A323=0,"",'Frame Sections'!A323)</f>
        <v/>
      </c>
      <c r="B308" s="9" t="str">
        <f t="shared" si="4"/>
        <v/>
      </c>
    </row>
    <row r="309" spans="1:2" x14ac:dyDescent="0.25">
      <c r="A309" s="9" t="str">
        <f>IF('Frame Sections'!A324=0,"",'Frame Sections'!A324)</f>
        <v/>
      </c>
      <c r="B309" s="9" t="str">
        <f t="shared" si="4"/>
        <v/>
      </c>
    </row>
    <row r="310" spans="1:2" x14ac:dyDescent="0.25">
      <c r="A310" s="9" t="str">
        <f>IF('Frame Sections'!A325=0,"",'Frame Sections'!A325)</f>
        <v/>
      </c>
      <c r="B310" s="9" t="str">
        <f t="shared" si="4"/>
        <v/>
      </c>
    </row>
    <row r="311" spans="1:2" x14ac:dyDescent="0.25">
      <c r="A311" s="9" t="str">
        <f>IF('Frame Sections'!A326=0,"",'Frame Sections'!A326)</f>
        <v/>
      </c>
      <c r="B311" s="9" t="str">
        <f t="shared" si="4"/>
        <v/>
      </c>
    </row>
    <row r="312" spans="1:2" x14ac:dyDescent="0.25">
      <c r="A312" s="9" t="str">
        <f>IF('Frame Sections'!A327=0,"",'Frame Sections'!A327)</f>
        <v/>
      </c>
      <c r="B312" s="9" t="str">
        <f t="shared" si="4"/>
        <v/>
      </c>
    </row>
    <row r="313" spans="1:2" x14ac:dyDescent="0.25">
      <c r="A313" s="9" t="str">
        <f>IF('Frame Sections'!A328=0,"",'Frame Sections'!A328)</f>
        <v/>
      </c>
      <c r="B313" s="9" t="str">
        <f t="shared" si="4"/>
        <v/>
      </c>
    </row>
    <row r="314" spans="1:2" x14ac:dyDescent="0.25">
      <c r="A314" s="9" t="str">
        <f>IF('Frame Sections'!A329=0,"",'Frame Sections'!A329)</f>
        <v/>
      </c>
      <c r="B314" s="9" t="str">
        <f t="shared" si="4"/>
        <v/>
      </c>
    </row>
    <row r="315" spans="1:2" x14ac:dyDescent="0.25">
      <c r="A315" s="9" t="str">
        <f>IF('Frame Sections'!A330=0,"",'Frame Sections'!A330)</f>
        <v/>
      </c>
      <c r="B315" s="9" t="str">
        <f t="shared" si="4"/>
        <v/>
      </c>
    </row>
    <row r="316" spans="1:2" x14ac:dyDescent="0.25">
      <c r="A316" s="9" t="str">
        <f>IF('Frame Sections'!A331=0,"",'Frame Sections'!A331)</f>
        <v/>
      </c>
      <c r="B316" s="9" t="str">
        <f t="shared" si="4"/>
        <v/>
      </c>
    </row>
    <row r="317" spans="1:2" x14ac:dyDescent="0.25">
      <c r="A317" s="9" t="str">
        <f>IF('Frame Sections'!A332=0,"",'Frame Sections'!A332)</f>
        <v/>
      </c>
      <c r="B317" s="9" t="str">
        <f t="shared" si="4"/>
        <v/>
      </c>
    </row>
    <row r="318" spans="1:2" x14ac:dyDescent="0.25">
      <c r="A318" s="9" t="str">
        <f>IF('Frame Sections'!A333=0,"",'Frame Sections'!A333)</f>
        <v/>
      </c>
      <c r="B318" s="9" t="str">
        <f t="shared" si="4"/>
        <v/>
      </c>
    </row>
    <row r="319" spans="1:2" x14ac:dyDescent="0.25">
      <c r="A319" s="9" t="str">
        <f>IF('Frame Sections'!A334=0,"",'Frame Sections'!A334)</f>
        <v/>
      </c>
      <c r="B319" s="9" t="str">
        <f t="shared" si="4"/>
        <v/>
      </c>
    </row>
    <row r="320" spans="1:2" x14ac:dyDescent="0.25">
      <c r="A320" s="9" t="str">
        <f>IF('Frame Sections'!A335=0,"",'Frame Sections'!A335)</f>
        <v/>
      </c>
      <c r="B320" s="9" t="str">
        <f t="shared" si="4"/>
        <v/>
      </c>
    </row>
    <row r="321" spans="1:2" x14ac:dyDescent="0.25">
      <c r="A321" s="9" t="str">
        <f>IF('Frame Sections'!A336=0,"",'Frame Sections'!A336)</f>
        <v/>
      </c>
      <c r="B321" s="9" t="str">
        <f t="shared" si="4"/>
        <v/>
      </c>
    </row>
    <row r="322" spans="1:2" x14ac:dyDescent="0.25">
      <c r="A322" s="9" t="str">
        <f>IF('Frame Sections'!A337=0,"",'Frame Sections'!A337)</f>
        <v/>
      </c>
      <c r="B322" s="9" t="str">
        <f t="shared" ref="B322:B385" si="5">IF(OR(A322=0,A322=""),"",VLOOKUP(A322,SecDB,5,FALSE))</f>
        <v/>
      </c>
    </row>
    <row r="323" spans="1:2" x14ac:dyDescent="0.25">
      <c r="A323" s="9" t="str">
        <f>IF('Frame Sections'!A338=0,"",'Frame Sections'!A338)</f>
        <v/>
      </c>
      <c r="B323" s="9" t="str">
        <f t="shared" si="5"/>
        <v/>
      </c>
    </row>
    <row r="324" spans="1:2" x14ac:dyDescent="0.25">
      <c r="A324" s="9" t="str">
        <f>IF('Frame Sections'!A339=0,"",'Frame Sections'!A339)</f>
        <v/>
      </c>
      <c r="B324" s="9" t="str">
        <f t="shared" si="5"/>
        <v/>
      </c>
    </row>
    <row r="325" spans="1:2" x14ac:dyDescent="0.25">
      <c r="A325" s="9" t="str">
        <f>IF('Frame Sections'!A340=0,"",'Frame Sections'!A340)</f>
        <v/>
      </c>
      <c r="B325" s="9" t="str">
        <f t="shared" si="5"/>
        <v/>
      </c>
    </row>
    <row r="326" spans="1:2" x14ac:dyDescent="0.25">
      <c r="A326" s="9" t="str">
        <f>IF('Frame Sections'!A341=0,"",'Frame Sections'!A341)</f>
        <v/>
      </c>
      <c r="B326" s="9" t="str">
        <f t="shared" si="5"/>
        <v/>
      </c>
    </row>
    <row r="327" spans="1:2" x14ac:dyDescent="0.25">
      <c r="A327" s="9" t="str">
        <f>IF('Frame Sections'!A342=0,"",'Frame Sections'!A342)</f>
        <v/>
      </c>
      <c r="B327" s="9" t="str">
        <f t="shared" si="5"/>
        <v/>
      </c>
    </row>
    <row r="328" spans="1:2" x14ac:dyDescent="0.25">
      <c r="A328" s="9" t="str">
        <f>IF('Frame Sections'!A343=0,"",'Frame Sections'!A343)</f>
        <v/>
      </c>
      <c r="B328" s="9" t="str">
        <f t="shared" si="5"/>
        <v/>
      </c>
    </row>
    <row r="329" spans="1:2" x14ac:dyDescent="0.25">
      <c r="A329" s="9" t="str">
        <f>IF('Frame Sections'!A344=0,"",'Frame Sections'!A344)</f>
        <v/>
      </c>
      <c r="B329" s="9" t="str">
        <f t="shared" si="5"/>
        <v/>
      </c>
    </row>
    <row r="330" spans="1:2" x14ac:dyDescent="0.25">
      <c r="A330" s="9" t="str">
        <f>IF('Frame Sections'!A345=0,"",'Frame Sections'!A345)</f>
        <v/>
      </c>
      <c r="B330" s="9" t="str">
        <f t="shared" si="5"/>
        <v/>
      </c>
    </row>
    <row r="331" spans="1:2" x14ac:dyDescent="0.25">
      <c r="A331" s="9" t="str">
        <f>IF('Frame Sections'!A346=0,"",'Frame Sections'!A346)</f>
        <v/>
      </c>
      <c r="B331" s="9" t="str">
        <f t="shared" si="5"/>
        <v/>
      </c>
    </row>
    <row r="332" spans="1:2" x14ac:dyDescent="0.25">
      <c r="A332" s="9" t="str">
        <f>IF('Frame Sections'!A347=0,"",'Frame Sections'!A347)</f>
        <v/>
      </c>
      <c r="B332" s="9" t="str">
        <f t="shared" si="5"/>
        <v/>
      </c>
    </row>
    <row r="333" spans="1:2" x14ac:dyDescent="0.25">
      <c r="A333" s="9" t="str">
        <f>IF('Frame Sections'!A348=0,"",'Frame Sections'!A348)</f>
        <v/>
      </c>
      <c r="B333" s="9" t="str">
        <f t="shared" si="5"/>
        <v/>
      </c>
    </row>
    <row r="334" spans="1:2" x14ac:dyDescent="0.25">
      <c r="A334" s="9" t="str">
        <f>IF('Frame Sections'!A349=0,"",'Frame Sections'!A349)</f>
        <v/>
      </c>
      <c r="B334" s="9" t="str">
        <f t="shared" si="5"/>
        <v/>
      </c>
    </row>
    <row r="335" spans="1:2" x14ac:dyDescent="0.25">
      <c r="A335" s="9" t="str">
        <f>IF('Frame Sections'!A350=0,"",'Frame Sections'!A350)</f>
        <v/>
      </c>
      <c r="B335" s="9" t="str">
        <f t="shared" si="5"/>
        <v/>
      </c>
    </row>
    <row r="336" spans="1:2" x14ac:dyDescent="0.25">
      <c r="A336" s="9" t="str">
        <f>IF('Frame Sections'!A351=0,"",'Frame Sections'!A351)</f>
        <v/>
      </c>
      <c r="B336" s="9" t="str">
        <f t="shared" si="5"/>
        <v/>
      </c>
    </row>
    <row r="337" spans="1:2" x14ac:dyDescent="0.25">
      <c r="A337" s="9" t="str">
        <f>IF('Frame Sections'!A352=0,"",'Frame Sections'!A352)</f>
        <v/>
      </c>
      <c r="B337" s="9" t="str">
        <f t="shared" si="5"/>
        <v/>
      </c>
    </row>
    <row r="338" spans="1:2" x14ac:dyDescent="0.25">
      <c r="A338" s="9" t="str">
        <f>IF('Frame Sections'!A353=0,"",'Frame Sections'!A353)</f>
        <v/>
      </c>
      <c r="B338" s="9" t="str">
        <f t="shared" si="5"/>
        <v/>
      </c>
    </row>
    <row r="339" spans="1:2" x14ac:dyDescent="0.25">
      <c r="A339" s="9" t="str">
        <f>IF('Frame Sections'!A354=0,"",'Frame Sections'!A354)</f>
        <v/>
      </c>
      <c r="B339" s="9" t="str">
        <f t="shared" si="5"/>
        <v/>
      </c>
    </row>
    <row r="340" spans="1:2" x14ac:dyDescent="0.25">
      <c r="A340" s="9" t="str">
        <f>IF('Frame Sections'!A355=0,"",'Frame Sections'!A355)</f>
        <v/>
      </c>
      <c r="B340" s="9" t="str">
        <f t="shared" si="5"/>
        <v/>
      </c>
    </row>
    <row r="341" spans="1:2" x14ac:dyDescent="0.25">
      <c r="A341" s="9" t="str">
        <f>IF('Frame Sections'!A356=0,"",'Frame Sections'!A356)</f>
        <v/>
      </c>
      <c r="B341" s="9" t="str">
        <f t="shared" si="5"/>
        <v/>
      </c>
    </row>
    <row r="342" spans="1:2" x14ac:dyDescent="0.25">
      <c r="A342" s="9" t="str">
        <f>IF('Frame Sections'!A357=0,"",'Frame Sections'!A357)</f>
        <v/>
      </c>
      <c r="B342" s="9" t="str">
        <f t="shared" si="5"/>
        <v/>
      </c>
    </row>
    <row r="343" spans="1:2" x14ac:dyDescent="0.25">
      <c r="A343" s="9" t="str">
        <f>IF('Frame Sections'!A358=0,"",'Frame Sections'!A358)</f>
        <v/>
      </c>
      <c r="B343" s="9" t="str">
        <f t="shared" si="5"/>
        <v/>
      </c>
    </row>
    <row r="344" spans="1:2" x14ac:dyDescent="0.25">
      <c r="A344" s="9" t="str">
        <f>IF('Frame Sections'!A359=0,"",'Frame Sections'!A359)</f>
        <v/>
      </c>
      <c r="B344" s="9" t="str">
        <f t="shared" si="5"/>
        <v/>
      </c>
    </row>
    <row r="345" spans="1:2" x14ac:dyDescent="0.25">
      <c r="A345" s="9" t="str">
        <f>IF('Frame Sections'!A360=0,"",'Frame Sections'!A360)</f>
        <v/>
      </c>
      <c r="B345" s="9" t="str">
        <f t="shared" si="5"/>
        <v/>
      </c>
    </row>
    <row r="346" spans="1:2" x14ac:dyDescent="0.25">
      <c r="A346" s="9" t="str">
        <f>IF('Frame Sections'!A361=0,"",'Frame Sections'!A361)</f>
        <v/>
      </c>
      <c r="B346" s="9" t="str">
        <f t="shared" si="5"/>
        <v/>
      </c>
    </row>
    <row r="347" spans="1:2" x14ac:dyDescent="0.25">
      <c r="A347" s="9" t="str">
        <f>IF('Frame Sections'!A362=0,"",'Frame Sections'!A362)</f>
        <v/>
      </c>
      <c r="B347" s="9" t="str">
        <f t="shared" si="5"/>
        <v/>
      </c>
    </row>
    <row r="348" spans="1:2" x14ac:dyDescent="0.25">
      <c r="A348" s="9" t="str">
        <f>IF('Frame Sections'!A363=0,"",'Frame Sections'!A363)</f>
        <v/>
      </c>
      <c r="B348" s="9" t="str">
        <f t="shared" si="5"/>
        <v/>
      </c>
    </row>
    <row r="349" spans="1:2" x14ac:dyDescent="0.25">
      <c r="A349" s="9" t="str">
        <f>IF('Frame Sections'!A364=0,"",'Frame Sections'!A364)</f>
        <v/>
      </c>
      <c r="B349" s="9" t="str">
        <f t="shared" si="5"/>
        <v/>
      </c>
    </row>
    <row r="350" spans="1:2" x14ac:dyDescent="0.25">
      <c r="A350" s="9" t="str">
        <f>IF('Frame Sections'!A365=0,"",'Frame Sections'!A365)</f>
        <v/>
      </c>
      <c r="B350" s="9" t="str">
        <f t="shared" si="5"/>
        <v/>
      </c>
    </row>
    <row r="351" spans="1:2" x14ac:dyDescent="0.25">
      <c r="A351" s="9" t="str">
        <f>IF('Frame Sections'!A366=0,"",'Frame Sections'!A366)</f>
        <v/>
      </c>
      <c r="B351" s="9" t="str">
        <f t="shared" si="5"/>
        <v/>
      </c>
    </row>
    <row r="352" spans="1:2" x14ac:dyDescent="0.25">
      <c r="A352" s="9" t="str">
        <f>IF('Frame Sections'!A367=0,"",'Frame Sections'!A367)</f>
        <v/>
      </c>
      <c r="B352" s="9" t="str">
        <f t="shared" si="5"/>
        <v/>
      </c>
    </row>
    <row r="353" spans="1:2" x14ac:dyDescent="0.25">
      <c r="A353" s="9" t="str">
        <f>IF('Frame Sections'!A368=0,"",'Frame Sections'!A368)</f>
        <v/>
      </c>
      <c r="B353" s="9" t="str">
        <f t="shared" si="5"/>
        <v/>
      </c>
    </row>
    <row r="354" spans="1:2" x14ac:dyDescent="0.25">
      <c r="A354" s="9" t="str">
        <f>IF('Frame Sections'!A369=0,"",'Frame Sections'!A369)</f>
        <v/>
      </c>
      <c r="B354" s="9" t="str">
        <f t="shared" si="5"/>
        <v/>
      </c>
    </row>
    <row r="355" spans="1:2" x14ac:dyDescent="0.25">
      <c r="A355" s="9" t="str">
        <f>IF('Frame Sections'!A370=0,"",'Frame Sections'!A370)</f>
        <v/>
      </c>
      <c r="B355" s="9" t="str">
        <f t="shared" si="5"/>
        <v/>
      </c>
    </row>
    <row r="356" spans="1:2" x14ac:dyDescent="0.25">
      <c r="A356" s="9" t="str">
        <f>IF('Frame Sections'!A371=0,"",'Frame Sections'!A371)</f>
        <v/>
      </c>
      <c r="B356" s="9" t="str">
        <f t="shared" si="5"/>
        <v/>
      </c>
    </row>
    <row r="357" spans="1:2" x14ac:dyDescent="0.25">
      <c r="A357" s="9" t="str">
        <f>IF('Frame Sections'!A372=0,"",'Frame Sections'!A372)</f>
        <v/>
      </c>
      <c r="B357" s="9" t="str">
        <f t="shared" si="5"/>
        <v/>
      </c>
    </row>
    <row r="358" spans="1:2" x14ac:dyDescent="0.25">
      <c r="A358" s="9" t="str">
        <f>IF('Frame Sections'!A373=0,"",'Frame Sections'!A373)</f>
        <v/>
      </c>
      <c r="B358" s="9" t="str">
        <f t="shared" si="5"/>
        <v/>
      </c>
    </row>
    <row r="359" spans="1:2" x14ac:dyDescent="0.25">
      <c r="A359" s="9" t="str">
        <f>IF('Frame Sections'!A374=0,"",'Frame Sections'!A374)</f>
        <v/>
      </c>
      <c r="B359" s="9" t="str">
        <f t="shared" si="5"/>
        <v/>
      </c>
    </row>
    <row r="360" spans="1:2" x14ac:dyDescent="0.25">
      <c r="A360" s="9" t="str">
        <f>IF('Frame Sections'!A375=0,"",'Frame Sections'!A375)</f>
        <v/>
      </c>
      <c r="B360" s="9" t="str">
        <f t="shared" si="5"/>
        <v/>
      </c>
    </row>
    <row r="361" spans="1:2" x14ac:dyDescent="0.25">
      <c r="A361" s="9" t="str">
        <f>IF('Frame Sections'!A376=0,"",'Frame Sections'!A376)</f>
        <v/>
      </c>
      <c r="B361" s="9" t="str">
        <f t="shared" si="5"/>
        <v/>
      </c>
    </row>
    <row r="362" spans="1:2" x14ac:dyDescent="0.25">
      <c r="A362" s="9" t="str">
        <f>IF('Frame Sections'!A377=0,"",'Frame Sections'!A377)</f>
        <v/>
      </c>
      <c r="B362" s="9" t="str">
        <f t="shared" si="5"/>
        <v/>
      </c>
    </row>
    <row r="363" spans="1:2" x14ac:dyDescent="0.25">
      <c r="A363" s="9" t="str">
        <f>IF('Frame Sections'!A378=0,"",'Frame Sections'!A378)</f>
        <v/>
      </c>
      <c r="B363" s="9" t="str">
        <f t="shared" si="5"/>
        <v/>
      </c>
    </row>
    <row r="364" spans="1:2" x14ac:dyDescent="0.25">
      <c r="A364" s="9" t="str">
        <f>IF('Frame Sections'!A379=0,"",'Frame Sections'!A379)</f>
        <v/>
      </c>
      <c r="B364" s="9" t="str">
        <f t="shared" si="5"/>
        <v/>
      </c>
    </row>
    <row r="365" spans="1:2" x14ac:dyDescent="0.25">
      <c r="A365" s="9" t="str">
        <f>IF('Frame Sections'!A380=0,"",'Frame Sections'!A380)</f>
        <v/>
      </c>
      <c r="B365" s="9" t="str">
        <f t="shared" si="5"/>
        <v/>
      </c>
    </row>
    <row r="366" spans="1:2" x14ac:dyDescent="0.25">
      <c r="A366" s="9" t="str">
        <f>IF('Frame Sections'!A381=0,"",'Frame Sections'!A381)</f>
        <v/>
      </c>
      <c r="B366" s="9" t="str">
        <f t="shared" si="5"/>
        <v/>
      </c>
    </row>
    <row r="367" spans="1:2" x14ac:dyDescent="0.25">
      <c r="A367" s="9" t="str">
        <f>IF('Frame Sections'!A382=0,"",'Frame Sections'!A382)</f>
        <v/>
      </c>
      <c r="B367" s="9" t="str">
        <f t="shared" si="5"/>
        <v/>
      </c>
    </row>
    <row r="368" spans="1:2" x14ac:dyDescent="0.25">
      <c r="A368" s="9" t="str">
        <f>IF('Frame Sections'!A383=0,"",'Frame Sections'!A383)</f>
        <v/>
      </c>
      <c r="B368" s="9" t="str">
        <f t="shared" si="5"/>
        <v/>
      </c>
    </row>
    <row r="369" spans="1:2" x14ac:dyDescent="0.25">
      <c r="A369" s="9" t="str">
        <f>IF('Frame Sections'!A384=0,"",'Frame Sections'!A384)</f>
        <v/>
      </c>
      <c r="B369" s="9" t="str">
        <f t="shared" si="5"/>
        <v/>
      </c>
    </row>
    <row r="370" spans="1:2" x14ac:dyDescent="0.25">
      <c r="A370" s="9" t="str">
        <f>IF('Frame Sections'!A385=0,"",'Frame Sections'!A385)</f>
        <v/>
      </c>
      <c r="B370" s="9" t="str">
        <f t="shared" si="5"/>
        <v/>
      </c>
    </row>
    <row r="371" spans="1:2" x14ac:dyDescent="0.25">
      <c r="A371" s="9" t="str">
        <f>IF('Frame Sections'!A386=0,"",'Frame Sections'!A386)</f>
        <v/>
      </c>
      <c r="B371" s="9" t="str">
        <f t="shared" si="5"/>
        <v/>
      </c>
    </row>
    <row r="372" spans="1:2" x14ac:dyDescent="0.25">
      <c r="A372" s="9" t="str">
        <f>IF('Frame Sections'!A387=0,"",'Frame Sections'!A387)</f>
        <v/>
      </c>
      <c r="B372" s="9" t="str">
        <f t="shared" si="5"/>
        <v/>
      </c>
    </row>
    <row r="373" spans="1:2" x14ac:dyDescent="0.25">
      <c r="A373" s="9" t="str">
        <f>IF('Frame Sections'!A388=0,"",'Frame Sections'!A388)</f>
        <v/>
      </c>
      <c r="B373" s="9" t="str">
        <f t="shared" si="5"/>
        <v/>
      </c>
    </row>
    <row r="374" spans="1:2" x14ac:dyDescent="0.25">
      <c r="A374" s="9" t="str">
        <f>IF('Frame Sections'!A389=0,"",'Frame Sections'!A389)</f>
        <v/>
      </c>
      <c r="B374" s="9" t="str">
        <f t="shared" si="5"/>
        <v/>
      </c>
    </row>
    <row r="375" spans="1:2" x14ac:dyDescent="0.25">
      <c r="A375" s="9" t="str">
        <f>IF('Frame Sections'!A390=0,"",'Frame Sections'!A390)</f>
        <v/>
      </c>
      <c r="B375" s="9" t="str">
        <f t="shared" si="5"/>
        <v/>
      </c>
    </row>
    <row r="376" spans="1:2" x14ac:dyDescent="0.25">
      <c r="A376" s="9" t="str">
        <f>IF('Frame Sections'!A391=0,"",'Frame Sections'!A391)</f>
        <v/>
      </c>
      <c r="B376" s="9" t="str">
        <f t="shared" si="5"/>
        <v/>
      </c>
    </row>
    <row r="377" spans="1:2" x14ac:dyDescent="0.25">
      <c r="A377" s="9" t="str">
        <f>IF('Frame Sections'!A392=0,"",'Frame Sections'!A392)</f>
        <v/>
      </c>
      <c r="B377" s="9" t="str">
        <f t="shared" si="5"/>
        <v/>
      </c>
    </row>
    <row r="378" spans="1:2" x14ac:dyDescent="0.25">
      <c r="A378" s="9" t="str">
        <f>IF('Frame Sections'!A393=0,"",'Frame Sections'!A393)</f>
        <v/>
      </c>
      <c r="B378" s="9" t="str">
        <f t="shared" si="5"/>
        <v/>
      </c>
    </row>
    <row r="379" spans="1:2" x14ac:dyDescent="0.25">
      <c r="A379" s="9" t="str">
        <f>IF('Frame Sections'!A394=0,"",'Frame Sections'!A394)</f>
        <v/>
      </c>
      <c r="B379" s="9" t="str">
        <f t="shared" si="5"/>
        <v/>
      </c>
    </row>
    <row r="380" spans="1:2" x14ac:dyDescent="0.25">
      <c r="A380" s="9" t="str">
        <f>IF('Frame Sections'!A395=0,"",'Frame Sections'!A395)</f>
        <v/>
      </c>
      <c r="B380" s="9" t="str">
        <f t="shared" si="5"/>
        <v/>
      </c>
    </row>
    <row r="381" spans="1:2" x14ac:dyDescent="0.25">
      <c r="A381" s="9" t="str">
        <f>IF('Frame Sections'!A396=0,"",'Frame Sections'!A396)</f>
        <v/>
      </c>
      <c r="B381" s="9" t="str">
        <f t="shared" si="5"/>
        <v/>
      </c>
    </row>
    <row r="382" spans="1:2" x14ac:dyDescent="0.25">
      <c r="A382" s="9" t="str">
        <f>IF('Frame Sections'!A397=0,"",'Frame Sections'!A397)</f>
        <v/>
      </c>
      <c r="B382" s="9" t="str">
        <f t="shared" si="5"/>
        <v/>
      </c>
    </row>
    <row r="383" spans="1:2" x14ac:dyDescent="0.25">
      <c r="A383" s="9" t="str">
        <f>IF('Frame Sections'!A398=0,"",'Frame Sections'!A398)</f>
        <v/>
      </c>
      <c r="B383" s="9" t="str">
        <f t="shared" si="5"/>
        <v/>
      </c>
    </row>
    <row r="384" spans="1:2" x14ac:dyDescent="0.25">
      <c r="A384" s="9" t="str">
        <f>IF('Frame Sections'!A399=0,"",'Frame Sections'!A399)</f>
        <v/>
      </c>
      <c r="B384" s="9" t="str">
        <f t="shared" si="5"/>
        <v/>
      </c>
    </row>
    <row r="385" spans="1:2" x14ac:dyDescent="0.25">
      <c r="A385" s="9" t="str">
        <f>IF('Frame Sections'!A400=0,"",'Frame Sections'!A400)</f>
        <v/>
      </c>
      <c r="B385" s="9" t="str">
        <f t="shared" si="5"/>
        <v/>
      </c>
    </row>
    <row r="386" spans="1:2" x14ac:dyDescent="0.25">
      <c r="A386" s="9" t="str">
        <f>IF('Frame Sections'!A401=0,"",'Frame Sections'!A401)</f>
        <v/>
      </c>
      <c r="B386" s="9" t="str">
        <f t="shared" ref="B386:B449" si="6">IF(OR(A386=0,A386=""),"",VLOOKUP(A386,SecDB,5,FALSE))</f>
        <v/>
      </c>
    </row>
    <row r="387" spans="1:2" x14ac:dyDescent="0.25">
      <c r="A387" s="9" t="str">
        <f>IF('Frame Sections'!A402=0,"",'Frame Sections'!A402)</f>
        <v/>
      </c>
      <c r="B387" s="9" t="str">
        <f t="shared" si="6"/>
        <v/>
      </c>
    </row>
    <row r="388" spans="1:2" x14ac:dyDescent="0.25">
      <c r="A388" s="9" t="str">
        <f>IF('Frame Sections'!A403=0,"",'Frame Sections'!A403)</f>
        <v/>
      </c>
      <c r="B388" s="9" t="str">
        <f t="shared" si="6"/>
        <v/>
      </c>
    </row>
    <row r="389" spans="1:2" x14ac:dyDescent="0.25">
      <c r="A389" s="9" t="str">
        <f>IF('Frame Sections'!A404=0,"",'Frame Sections'!A404)</f>
        <v/>
      </c>
      <c r="B389" s="9" t="str">
        <f t="shared" si="6"/>
        <v/>
      </c>
    </row>
    <row r="390" spans="1:2" x14ac:dyDescent="0.25">
      <c r="A390" s="9" t="str">
        <f>IF('Frame Sections'!A405=0,"",'Frame Sections'!A405)</f>
        <v/>
      </c>
      <c r="B390" s="9" t="str">
        <f t="shared" si="6"/>
        <v/>
      </c>
    </row>
    <row r="391" spans="1:2" x14ac:dyDescent="0.25">
      <c r="A391" s="9" t="str">
        <f>IF('Frame Sections'!A406=0,"",'Frame Sections'!A406)</f>
        <v/>
      </c>
      <c r="B391" s="9" t="str">
        <f t="shared" si="6"/>
        <v/>
      </c>
    </row>
    <row r="392" spans="1:2" x14ac:dyDescent="0.25">
      <c r="A392" s="9" t="str">
        <f>IF('Frame Sections'!A407=0,"",'Frame Sections'!A407)</f>
        <v/>
      </c>
      <c r="B392" s="9" t="str">
        <f t="shared" si="6"/>
        <v/>
      </c>
    </row>
    <row r="393" spans="1:2" x14ac:dyDescent="0.25">
      <c r="A393" s="9" t="str">
        <f>IF('Frame Sections'!A408=0,"",'Frame Sections'!A408)</f>
        <v/>
      </c>
      <c r="B393" s="9" t="str">
        <f t="shared" si="6"/>
        <v/>
      </c>
    </row>
    <row r="394" spans="1:2" x14ac:dyDescent="0.25">
      <c r="A394" s="9" t="str">
        <f>IF('Frame Sections'!A409=0,"",'Frame Sections'!A409)</f>
        <v/>
      </c>
      <c r="B394" s="9" t="str">
        <f t="shared" si="6"/>
        <v/>
      </c>
    </row>
    <row r="395" spans="1:2" x14ac:dyDescent="0.25">
      <c r="A395" s="9" t="str">
        <f>IF('Frame Sections'!A410=0,"",'Frame Sections'!A410)</f>
        <v/>
      </c>
      <c r="B395" s="9" t="str">
        <f t="shared" si="6"/>
        <v/>
      </c>
    </row>
    <row r="396" spans="1:2" x14ac:dyDescent="0.25">
      <c r="A396" s="9" t="str">
        <f>IF('Frame Sections'!A411=0,"",'Frame Sections'!A411)</f>
        <v/>
      </c>
      <c r="B396" s="9" t="str">
        <f t="shared" si="6"/>
        <v/>
      </c>
    </row>
    <row r="397" spans="1:2" x14ac:dyDescent="0.25">
      <c r="A397" s="9" t="str">
        <f>IF('Frame Sections'!A412=0,"",'Frame Sections'!A412)</f>
        <v/>
      </c>
      <c r="B397" s="9" t="str">
        <f t="shared" si="6"/>
        <v/>
      </c>
    </row>
    <row r="398" spans="1:2" x14ac:dyDescent="0.25">
      <c r="A398" s="9" t="str">
        <f>IF('Frame Sections'!A413=0,"",'Frame Sections'!A413)</f>
        <v/>
      </c>
      <c r="B398" s="9" t="str">
        <f t="shared" si="6"/>
        <v/>
      </c>
    </row>
    <row r="399" spans="1:2" x14ac:dyDescent="0.25">
      <c r="A399" s="9" t="str">
        <f>IF('Frame Sections'!A414=0,"",'Frame Sections'!A414)</f>
        <v/>
      </c>
      <c r="B399" s="9" t="str">
        <f t="shared" si="6"/>
        <v/>
      </c>
    </row>
    <row r="400" spans="1:2" x14ac:dyDescent="0.25">
      <c r="A400" s="9" t="str">
        <f>IF('Frame Sections'!A415=0,"",'Frame Sections'!A415)</f>
        <v/>
      </c>
      <c r="B400" s="9" t="str">
        <f t="shared" si="6"/>
        <v/>
      </c>
    </row>
    <row r="401" spans="1:2" x14ac:dyDescent="0.25">
      <c r="A401" s="9" t="str">
        <f>IF('Frame Sections'!A416=0,"",'Frame Sections'!A416)</f>
        <v/>
      </c>
      <c r="B401" s="9" t="str">
        <f t="shared" si="6"/>
        <v/>
      </c>
    </row>
    <row r="402" spans="1:2" x14ac:dyDescent="0.25">
      <c r="A402" s="9" t="str">
        <f>IF('Frame Sections'!A417=0,"",'Frame Sections'!A417)</f>
        <v/>
      </c>
      <c r="B402" s="9" t="str">
        <f t="shared" si="6"/>
        <v/>
      </c>
    </row>
    <row r="403" spans="1:2" x14ac:dyDescent="0.25">
      <c r="A403" s="9" t="str">
        <f>IF('Frame Sections'!A418=0,"",'Frame Sections'!A418)</f>
        <v/>
      </c>
      <c r="B403" s="9" t="str">
        <f t="shared" si="6"/>
        <v/>
      </c>
    </row>
    <row r="404" spans="1:2" x14ac:dyDescent="0.25">
      <c r="A404" s="9" t="str">
        <f>IF('Frame Sections'!A419=0,"",'Frame Sections'!A419)</f>
        <v/>
      </c>
      <c r="B404" s="9" t="str">
        <f t="shared" si="6"/>
        <v/>
      </c>
    </row>
    <row r="405" spans="1:2" x14ac:dyDescent="0.25">
      <c r="A405" s="9" t="str">
        <f>IF('Frame Sections'!A420=0,"",'Frame Sections'!A420)</f>
        <v/>
      </c>
      <c r="B405" s="9" t="str">
        <f t="shared" si="6"/>
        <v/>
      </c>
    </row>
    <row r="406" spans="1:2" x14ac:dyDescent="0.25">
      <c r="A406" s="9" t="str">
        <f>IF('Frame Sections'!A421=0,"",'Frame Sections'!A421)</f>
        <v/>
      </c>
      <c r="B406" s="9" t="str">
        <f t="shared" si="6"/>
        <v/>
      </c>
    </row>
    <row r="407" spans="1:2" x14ac:dyDescent="0.25">
      <c r="A407" s="9" t="str">
        <f>IF('Frame Sections'!A422=0,"",'Frame Sections'!A422)</f>
        <v/>
      </c>
      <c r="B407" s="9" t="str">
        <f t="shared" si="6"/>
        <v/>
      </c>
    </row>
    <row r="408" spans="1:2" x14ac:dyDescent="0.25">
      <c r="A408" s="9" t="str">
        <f>IF('Frame Sections'!A423=0,"",'Frame Sections'!A423)</f>
        <v/>
      </c>
      <c r="B408" s="9" t="str">
        <f t="shared" si="6"/>
        <v/>
      </c>
    </row>
    <row r="409" spans="1:2" x14ac:dyDescent="0.25">
      <c r="A409" s="9" t="str">
        <f>IF('Frame Sections'!A424=0,"",'Frame Sections'!A424)</f>
        <v/>
      </c>
      <c r="B409" s="9" t="str">
        <f t="shared" si="6"/>
        <v/>
      </c>
    </row>
    <row r="410" spans="1:2" x14ac:dyDescent="0.25">
      <c r="A410" s="9" t="str">
        <f>IF('Frame Sections'!A425=0,"",'Frame Sections'!A425)</f>
        <v/>
      </c>
      <c r="B410" s="9" t="str">
        <f t="shared" si="6"/>
        <v/>
      </c>
    </row>
    <row r="411" spans="1:2" x14ac:dyDescent="0.25">
      <c r="A411" s="9" t="str">
        <f>IF('Frame Sections'!A426=0,"",'Frame Sections'!A426)</f>
        <v/>
      </c>
      <c r="B411" s="9" t="str">
        <f t="shared" si="6"/>
        <v/>
      </c>
    </row>
    <row r="412" spans="1:2" x14ac:dyDescent="0.25">
      <c r="A412" s="9" t="str">
        <f>IF('Frame Sections'!A427=0,"",'Frame Sections'!A427)</f>
        <v/>
      </c>
      <c r="B412" s="9" t="str">
        <f t="shared" si="6"/>
        <v/>
      </c>
    </row>
    <row r="413" spans="1:2" x14ac:dyDescent="0.25">
      <c r="A413" s="9" t="str">
        <f>IF('Frame Sections'!A428=0,"",'Frame Sections'!A428)</f>
        <v/>
      </c>
      <c r="B413" s="9" t="str">
        <f t="shared" si="6"/>
        <v/>
      </c>
    </row>
    <row r="414" spans="1:2" x14ac:dyDescent="0.25">
      <c r="A414" s="9" t="str">
        <f>IF('Frame Sections'!A429=0,"",'Frame Sections'!A429)</f>
        <v/>
      </c>
      <c r="B414" s="9" t="str">
        <f t="shared" si="6"/>
        <v/>
      </c>
    </row>
    <row r="415" spans="1:2" x14ac:dyDescent="0.25">
      <c r="A415" s="9" t="str">
        <f>IF('Frame Sections'!A430=0,"",'Frame Sections'!A430)</f>
        <v/>
      </c>
      <c r="B415" s="9" t="str">
        <f t="shared" si="6"/>
        <v/>
      </c>
    </row>
    <row r="416" spans="1:2" x14ac:dyDescent="0.25">
      <c r="A416" s="9" t="str">
        <f>IF('Frame Sections'!A431=0,"",'Frame Sections'!A431)</f>
        <v/>
      </c>
      <c r="B416" s="9" t="str">
        <f t="shared" si="6"/>
        <v/>
      </c>
    </row>
    <row r="417" spans="1:2" x14ac:dyDescent="0.25">
      <c r="A417" s="9" t="str">
        <f>IF('Frame Sections'!A432=0,"",'Frame Sections'!A432)</f>
        <v/>
      </c>
      <c r="B417" s="9" t="str">
        <f t="shared" si="6"/>
        <v/>
      </c>
    </row>
    <row r="418" spans="1:2" x14ac:dyDescent="0.25">
      <c r="A418" s="9" t="str">
        <f>IF('Frame Sections'!A433=0,"",'Frame Sections'!A433)</f>
        <v/>
      </c>
      <c r="B418" s="9" t="str">
        <f t="shared" si="6"/>
        <v/>
      </c>
    </row>
    <row r="419" spans="1:2" x14ac:dyDescent="0.25">
      <c r="A419" s="9" t="str">
        <f>IF('Frame Sections'!A434=0,"",'Frame Sections'!A434)</f>
        <v/>
      </c>
      <c r="B419" s="9" t="str">
        <f t="shared" si="6"/>
        <v/>
      </c>
    </row>
    <row r="420" spans="1:2" x14ac:dyDescent="0.25">
      <c r="A420" s="9" t="str">
        <f>IF('Frame Sections'!A435=0,"",'Frame Sections'!A435)</f>
        <v/>
      </c>
      <c r="B420" s="9" t="str">
        <f t="shared" si="6"/>
        <v/>
      </c>
    </row>
    <row r="421" spans="1:2" x14ac:dyDescent="0.25">
      <c r="A421" s="9" t="str">
        <f>IF('Frame Sections'!A436=0,"",'Frame Sections'!A436)</f>
        <v/>
      </c>
      <c r="B421" s="9" t="str">
        <f t="shared" si="6"/>
        <v/>
      </c>
    </row>
    <row r="422" spans="1:2" x14ac:dyDescent="0.25">
      <c r="A422" s="9" t="str">
        <f>IF('Frame Sections'!A437=0,"",'Frame Sections'!A437)</f>
        <v/>
      </c>
      <c r="B422" s="9" t="str">
        <f t="shared" si="6"/>
        <v/>
      </c>
    </row>
    <row r="423" spans="1:2" x14ac:dyDescent="0.25">
      <c r="A423" s="9" t="str">
        <f>IF('Frame Sections'!A438=0,"",'Frame Sections'!A438)</f>
        <v/>
      </c>
      <c r="B423" s="9" t="str">
        <f t="shared" si="6"/>
        <v/>
      </c>
    </row>
    <row r="424" spans="1:2" x14ac:dyDescent="0.25">
      <c r="A424" s="9" t="str">
        <f>IF('Frame Sections'!A439=0,"",'Frame Sections'!A439)</f>
        <v/>
      </c>
      <c r="B424" s="9" t="str">
        <f t="shared" si="6"/>
        <v/>
      </c>
    </row>
    <row r="425" spans="1:2" x14ac:dyDescent="0.25">
      <c r="A425" s="9" t="str">
        <f>IF('Frame Sections'!A440=0,"",'Frame Sections'!A440)</f>
        <v/>
      </c>
      <c r="B425" s="9" t="str">
        <f t="shared" si="6"/>
        <v/>
      </c>
    </row>
    <row r="426" spans="1:2" x14ac:dyDescent="0.25">
      <c r="A426" s="9" t="str">
        <f>IF('Frame Sections'!A441=0,"",'Frame Sections'!A441)</f>
        <v/>
      </c>
      <c r="B426" s="9" t="str">
        <f t="shared" si="6"/>
        <v/>
      </c>
    </row>
    <row r="427" spans="1:2" x14ac:dyDescent="0.25">
      <c r="A427" s="9" t="str">
        <f>IF('Frame Sections'!A442=0,"",'Frame Sections'!A442)</f>
        <v/>
      </c>
      <c r="B427" s="9" t="str">
        <f t="shared" si="6"/>
        <v/>
      </c>
    </row>
    <row r="428" spans="1:2" x14ac:dyDescent="0.25">
      <c r="A428" s="9" t="str">
        <f>IF('Frame Sections'!A443=0,"",'Frame Sections'!A443)</f>
        <v/>
      </c>
      <c r="B428" s="9" t="str">
        <f t="shared" si="6"/>
        <v/>
      </c>
    </row>
    <row r="429" spans="1:2" x14ac:dyDescent="0.25">
      <c r="A429" s="9" t="str">
        <f>IF('Frame Sections'!A444=0,"",'Frame Sections'!A444)</f>
        <v/>
      </c>
      <c r="B429" s="9" t="str">
        <f t="shared" si="6"/>
        <v/>
      </c>
    </row>
    <row r="430" spans="1:2" x14ac:dyDescent="0.25">
      <c r="A430" s="9" t="str">
        <f>IF('Frame Sections'!A445=0,"",'Frame Sections'!A445)</f>
        <v/>
      </c>
      <c r="B430" s="9" t="str">
        <f t="shared" si="6"/>
        <v/>
      </c>
    </row>
    <row r="431" spans="1:2" x14ac:dyDescent="0.25">
      <c r="A431" s="9" t="str">
        <f>IF('Frame Sections'!A446=0,"",'Frame Sections'!A446)</f>
        <v/>
      </c>
      <c r="B431" s="9" t="str">
        <f t="shared" si="6"/>
        <v/>
      </c>
    </row>
    <row r="432" spans="1:2" x14ac:dyDescent="0.25">
      <c r="A432" s="9" t="str">
        <f>IF('Frame Sections'!A447=0,"",'Frame Sections'!A447)</f>
        <v/>
      </c>
      <c r="B432" s="9" t="str">
        <f t="shared" si="6"/>
        <v/>
      </c>
    </row>
    <row r="433" spans="1:2" x14ac:dyDescent="0.25">
      <c r="A433" s="9" t="str">
        <f>IF('Frame Sections'!A448=0,"",'Frame Sections'!A448)</f>
        <v/>
      </c>
      <c r="B433" s="9" t="str">
        <f t="shared" si="6"/>
        <v/>
      </c>
    </row>
    <row r="434" spans="1:2" x14ac:dyDescent="0.25">
      <c r="A434" s="9" t="str">
        <f>IF('Frame Sections'!A449=0,"",'Frame Sections'!A449)</f>
        <v/>
      </c>
      <c r="B434" s="9" t="str">
        <f t="shared" si="6"/>
        <v/>
      </c>
    </row>
    <row r="435" spans="1:2" x14ac:dyDescent="0.25">
      <c r="A435" s="9" t="str">
        <f>IF('Frame Sections'!A450=0,"",'Frame Sections'!A450)</f>
        <v/>
      </c>
      <c r="B435" s="9" t="str">
        <f t="shared" si="6"/>
        <v/>
      </c>
    </row>
    <row r="436" spans="1:2" x14ac:dyDescent="0.25">
      <c r="A436" s="9" t="str">
        <f>IF('Frame Sections'!A451=0,"",'Frame Sections'!A451)</f>
        <v/>
      </c>
      <c r="B436" s="9" t="str">
        <f t="shared" si="6"/>
        <v/>
      </c>
    </row>
    <row r="437" spans="1:2" x14ac:dyDescent="0.25">
      <c r="A437" s="9" t="str">
        <f>IF('Frame Sections'!A452=0,"",'Frame Sections'!A452)</f>
        <v/>
      </c>
      <c r="B437" s="9" t="str">
        <f t="shared" si="6"/>
        <v/>
      </c>
    </row>
    <row r="438" spans="1:2" x14ac:dyDescent="0.25">
      <c r="A438" s="9" t="str">
        <f>IF('Frame Sections'!A453=0,"",'Frame Sections'!A453)</f>
        <v/>
      </c>
      <c r="B438" s="9" t="str">
        <f t="shared" si="6"/>
        <v/>
      </c>
    </row>
    <row r="439" spans="1:2" x14ac:dyDescent="0.25">
      <c r="A439" s="9" t="str">
        <f>IF('Frame Sections'!A454=0,"",'Frame Sections'!A454)</f>
        <v/>
      </c>
      <c r="B439" s="9" t="str">
        <f t="shared" si="6"/>
        <v/>
      </c>
    </row>
    <row r="440" spans="1:2" x14ac:dyDescent="0.25">
      <c r="A440" s="9" t="str">
        <f>IF('Frame Sections'!A455=0,"",'Frame Sections'!A455)</f>
        <v/>
      </c>
      <c r="B440" s="9" t="str">
        <f t="shared" si="6"/>
        <v/>
      </c>
    </row>
    <row r="441" spans="1:2" x14ac:dyDescent="0.25">
      <c r="A441" s="9" t="str">
        <f>IF('Frame Sections'!A456=0,"",'Frame Sections'!A456)</f>
        <v/>
      </c>
      <c r="B441" s="9" t="str">
        <f t="shared" si="6"/>
        <v/>
      </c>
    </row>
    <row r="442" spans="1:2" x14ac:dyDescent="0.25">
      <c r="A442" s="9" t="str">
        <f>IF('Frame Sections'!A457=0,"",'Frame Sections'!A457)</f>
        <v/>
      </c>
      <c r="B442" s="9" t="str">
        <f t="shared" si="6"/>
        <v/>
      </c>
    </row>
    <row r="443" spans="1:2" x14ac:dyDescent="0.25">
      <c r="A443" s="9" t="str">
        <f>IF('Frame Sections'!A458=0,"",'Frame Sections'!A458)</f>
        <v/>
      </c>
      <c r="B443" s="9" t="str">
        <f t="shared" si="6"/>
        <v/>
      </c>
    </row>
    <row r="444" spans="1:2" x14ac:dyDescent="0.25">
      <c r="A444" s="9" t="str">
        <f>IF('Frame Sections'!A459=0,"",'Frame Sections'!A459)</f>
        <v/>
      </c>
      <c r="B444" s="9" t="str">
        <f t="shared" si="6"/>
        <v/>
      </c>
    </row>
    <row r="445" spans="1:2" x14ac:dyDescent="0.25">
      <c r="A445" s="9" t="str">
        <f>IF('Frame Sections'!A460=0,"",'Frame Sections'!A460)</f>
        <v/>
      </c>
      <c r="B445" s="9" t="str">
        <f t="shared" si="6"/>
        <v/>
      </c>
    </row>
    <row r="446" spans="1:2" x14ac:dyDescent="0.25">
      <c r="A446" s="9" t="str">
        <f>IF('Frame Sections'!A461=0,"",'Frame Sections'!A461)</f>
        <v/>
      </c>
      <c r="B446" s="9" t="str">
        <f t="shared" si="6"/>
        <v/>
      </c>
    </row>
    <row r="447" spans="1:2" x14ac:dyDescent="0.25">
      <c r="A447" s="9" t="str">
        <f>IF('Frame Sections'!A462=0,"",'Frame Sections'!A462)</f>
        <v/>
      </c>
      <c r="B447" s="9" t="str">
        <f t="shared" si="6"/>
        <v/>
      </c>
    </row>
    <row r="448" spans="1:2" x14ac:dyDescent="0.25">
      <c r="A448" s="9" t="str">
        <f>IF('Frame Sections'!A463=0,"",'Frame Sections'!A463)</f>
        <v/>
      </c>
      <c r="B448" s="9" t="str">
        <f t="shared" si="6"/>
        <v/>
      </c>
    </row>
    <row r="449" spans="1:2" x14ac:dyDescent="0.25">
      <c r="A449" s="9" t="str">
        <f>IF('Frame Sections'!A464=0,"",'Frame Sections'!A464)</f>
        <v/>
      </c>
      <c r="B449" s="9" t="str">
        <f t="shared" si="6"/>
        <v/>
      </c>
    </row>
    <row r="450" spans="1:2" x14ac:dyDescent="0.25">
      <c r="A450" s="9" t="str">
        <f>IF('Frame Sections'!A465=0,"",'Frame Sections'!A465)</f>
        <v/>
      </c>
      <c r="B450" s="9" t="str">
        <f t="shared" ref="B450:B513" si="7">IF(OR(A450=0,A450=""),"",VLOOKUP(A450,SecDB,5,FALSE))</f>
        <v/>
      </c>
    </row>
    <row r="451" spans="1:2" x14ac:dyDescent="0.25">
      <c r="A451" s="9" t="str">
        <f>IF('Frame Sections'!A466=0,"",'Frame Sections'!A466)</f>
        <v/>
      </c>
      <c r="B451" s="9" t="str">
        <f t="shared" si="7"/>
        <v/>
      </c>
    </row>
    <row r="452" spans="1:2" x14ac:dyDescent="0.25">
      <c r="A452" s="9" t="str">
        <f>IF('Frame Sections'!A467=0,"",'Frame Sections'!A467)</f>
        <v/>
      </c>
      <c r="B452" s="9" t="str">
        <f t="shared" si="7"/>
        <v/>
      </c>
    </row>
    <row r="453" spans="1:2" x14ac:dyDescent="0.25">
      <c r="A453" s="9" t="str">
        <f>IF('Frame Sections'!A468=0,"",'Frame Sections'!A468)</f>
        <v/>
      </c>
      <c r="B453" s="9" t="str">
        <f t="shared" si="7"/>
        <v/>
      </c>
    </row>
    <row r="454" spans="1:2" x14ac:dyDescent="0.25">
      <c r="A454" s="9" t="str">
        <f>IF('Frame Sections'!A469=0,"",'Frame Sections'!A469)</f>
        <v/>
      </c>
      <c r="B454" s="9" t="str">
        <f t="shared" si="7"/>
        <v/>
      </c>
    </row>
    <row r="455" spans="1:2" x14ac:dyDescent="0.25">
      <c r="A455" s="9" t="str">
        <f>IF('Frame Sections'!A470=0,"",'Frame Sections'!A470)</f>
        <v/>
      </c>
      <c r="B455" s="9" t="str">
        <f t="shared" si="7"/>
        <v/>
      </c>
    </row>
    <row r="456" spans="1:2" x14ac:dyDescent="0.25">
      <c r="A456" s="9" t="str">
        <f>IF('Frame Sections'!A471=0,"",'Frame Sections'!A471)</f>
        <v/>
      </c>
      <c r="B456" s="9" t="str">
        <f t="shared" si="7"/>
        <v/>
      </c>
    </row>
    <row r="457" spans="1:2" x14ac:dyDescent="0.25">
      <c r="A457" s="9" t="str">
        <f>IF('Frame Sections'!A472=0,"",'Frame Sections'!A472)</f>
        <v/>
      </c>
      <c r="B457" s="9" t="str">
        <f t="shared" si="7"/>
        <v/>
      </c>
    </row>
    <row r="458" spans="1:2" x14ac:dyDescent="0.25">
      <c r="A458" s="9" t="str">
        <f>IF('Frame Sections'!A473=0,"",'Frame Sections'!A473)</f>
        <v/>
      </c>
      <c r="B458" s="9" t="str">
        <f t="shared" si="7"/>
        <v/>
      </c>
    </row>
    <row r="459" spans="1:2" x14ac:dyDescent="0.25">
      <c r="A459" s="9" t="str">
        <f>IF('Frame Sections'!A474=0,"",'Frame Sections'!A474)</f>
        <v/>
      </c>
      <c r="B459" s="9" t="str">
        <f t="shared" si="7"/>
        <v/>
      </c>
    </row>
    <row r="460" spans="1:2" x14ac:dyDescent="0.25">
      <c r="A460" s="9" t="str">
        <f>IF('Frame Sections'!A475=0,"",'Frame Sections'!A475)</f>
        <v/>
      </c>
      <c r="B460" s="9" t="str">
        <f t="shared" si="7"/>
        <v/>
      </c>
    </row>
    <row r="461" spans="1:2" x14ac:dyDescent="0.25">
      <c r="A461" s="9" t="str">
        <f>IF('Frame Sections'!A476=0,"",'Frame Sections'!A476)</f>
        <v/>
      </c>
      <c r="B461" s="9" t="str">
        <f t="shared" si="7"/>
        <v/>
      </c>
    </row>
    <row r="462" spans="1:2" x14ac:dyDescent="0.25">
      <c r="A462" s="9" t="str">
        <f>IF('Frame Sections'!A477=0,"",'Frame Sections'!A477)</f>
        <v/>
      </c>
      <c r="B462" s="9" t="str">
        <f t="shared" si="7"/>
        <v/>
      </c>
    </row>
    <row r="463" spans="1:2" x14ac:dyDescent="0.25">
      <c r="A463" s="9" t="str">
        <f>IF('Frame Sections'!A478=0,"",'Frame Sections'!A478)</f>
        <v/>
      </c>
      <c r="B463" s="9" t="str">
        <f t="shared" si="7"/>
        <v/>
      </c>
    </row>
    <row r="464" spans="1:2" x14ac:dyDescent="0.25">
      <c r="A464" s="9" t="str">
        <f>IF('Frame Sections'!A479=0,"",'Frame Sections'!A479)</f>
        <v/>
      </c>
      <c r="B464" s="9" t="str">
        <f t="shared" si="7"/>
        <v/>
      </c>
    </row>
    <row r="465" spans="1:2" x14ac:dyDescent="0.25">
      <c r="A465" s="9" t="str">
        <f>IF('Frame Sections'!A480=0,"",'Frame Sections'!A480)</f>
        <v/>
      </c>
      <c r="B465" s="9" t="str">
        <f t="shared" si="7"/>
        <v/>
      </c>
    </row>
    <row r="466" spans="1:2" x14ac:dyDescent="0.25">
      <c r="A466" s="9" t="str">
        <f>IF('Frame Sections'!A481=0,"",'Frame Sections'!A481)</f>
        <v/>
      </c>
      <c r="B466" s="9" t="str">
        <f t="shared" si="7"/>
        <v/>
      </c>
    </row>
    <row r="467" spans="1:2" x14ac:dyDescent="0.25">
      <c r="A467" s="9" t="str">
        <f>IF('Frame Sections'!A482=0,"",'Frame Sections'!A482)</f>
        <v/>
      </c>
      <c r="B467" s="9" t="str">
        <f t="shared" si="7"/>
        <v/>
      </c>
    </row>
    <row r="468" spans="1:2" x14ac:dyDescent="0.25">
      <c r="A468" s="9" t="str">
        <f>IF('Frame Sections'!A483=0,"",'Frame Sections'!A483)</f>
        <v/>
      </c>
      <c r="B468" s="9" t="str">
        <f t="shared" si="7"/>
        <v/>
      </c>
    </row>
    <row r="469" spans="1:2" x14ac:dyDescent="0.25">
      <c r="A469" s="9" t="str">
        <f>IF('Frame Sections'!A484=0,"",'Frame Sections'!A484)</f>
        <v/>
      </c>
      <c r="B469" s="9" t="str">
        <f t="shared" si="7"/>
        <v/>
      </c>
    </row>
    <row r="470" spans="1:2" x14ac:dyDescent="0.25">
      <c r="A470" s="9" t="str">
        <f>IF('Frame Sections'!A485=0,"",'Frame Sections'!A485)</f>
        <v/>
      </c>
      <c r="B470" s="9" t="str">
        <f t="shared" si="7"/>
        <v/>
      </c>
    </row>
    <row r="471" spans="1:2" x14ac:dyDescent="0.25">
      <c r="A471" s="9" t="str">
        <f>IF('Frame Sections'!A486=0,"",'Frame Sections'!A486)</f>
        <v/>
      </c>
      <c r="B471" s="9" t="str">
        <f t="shared" si="7"/>
        <v/>
      </c>
    </row>
    <row r="472" spans="1:2" x14ac:dyDescent="0.25">
      <c r="A472" s="9" t="str">
        <f>IF('Frame Sections'!A487=0,"",'Frame Sections'!A487)</f>
        <v/>
      </c>
      <c r="B472" s="9" t="str">
        <f t="shared" si="7"/>
        <v/>
      </c>
    </row>
    <row r="473" spans="1:2" x14ac:dyDescent="0.25">
      <c r="A473" s="9" t="str">
        <f>IF('Frame Sections'!A488=0,"",'Frame Sections'!A488)</f>
        <v/>
      </c>
      <c r="B473" s="9" t="str">
        <f t="shared" si="7"/>
        <v/>
      </c>
    </row>
    <row r="474" spans="1:2" x14ac:dyDescent="0.25">
      <c r="A474" s="9" t="str">
        <f>IF('Frame Sections'!A489=0,"",'Frame Sections'!A489)</f>
        <v/>
      </c>
      <c r="B474" s="9" t="str">
        <f t="shared" si="7"/>
        <v/>
      </c>
    </row>
    <row r="475" spans="1:2" x14ac:dyDescent="0.25">
      <c r="A475" s="9" t="str">
        <f>IF('Frame Sections'!A490=0,"",'Frame Sections'!A490)</f>
        <v/>
      </c>
      <c r="B475" s="9" t="str">
        <f t="shared" si="7"/>
        <v/>
      </c>
    </row>
    <row r="476" spans="1:2" x14ac:dyDescent="0.25">
      <c r="A476" s="9" t="str">
        <f>IF('Frame Sections'!A491=0,"",'Frame Sections'!A491)</f>
        <v/>
      </c>
      <c r="B476" s="9" t="str">
        <f t="shared" si="7"/>
        <v/>
      </c>
    </row>
    <row r="477" spans="1:2" x14ac:dyDescent="0.25">
      <c r="A477" s="9" t="str">
        <f>IF('Frame Sections'!A492=0,"",'Frame Sections'!A492)</f>
        <v/>
      </c>
      <c r="B477" s="9" t="str">
        <f t="shared" si="7"/>
        <v/>
      </c>
    </row>
    <row r="478" spans="1:2" x14ac:dyDescent="0.25">
      <c r="A478" s="9" t="str">
        <f>IF('Frame Sections'!A493=0,"",'Frame Sections'!A493)</f>
        <v/>
      </c>
      <c r="B478" s="9" t="str">
        <f t="shared" si="7"/>
        <v/>
      </c>
    </row>
    <row r="479" spans="1:2" x14ac:dyDescent="0.25">
      <c r="A479" s="9" t="str">
        <f>IF('Frame Sections'!A494=0,"",'Frame Sections'!A494)</f>
        <v/>
      </c>
      <c r="B479" s="9" t="str">
        <f t="shared" si="7"/>
        <v/>
      </c>
    </row>
    <row r="480" spans="1:2" x14ac:dyDescent="0.25">
      <c r="A480" s="9" t="str">
        <f>IF('Frame Sections'!A495=0,"",'Frame Sections'!A495)</f>
        <v/>
      </c>
      <c r="B480" s="9" t="str">
        <f t="shared" si="7"/>
        <v/>
      </c>
    </row>
    <row r="481" spans="1:2" x14ac:dyDescent="0.25">
      <c r="A481" s="9" t="str">
        <f>IF('Frame Sections'!A496=0,"",'Frame Sections'!A496)</f>
        <v/>
      </c>
      <c r="B481" s="9" t="str">
        <f t="shared" si="7"/>
        <v/>
      </c>
    </row>
    <row r="482" spans="1:2" x14ac:dyDescent="0.25">
      <c r="A482" s="9" t="str">
        <f>IF('Frame Sections'!A497=0,"",'Frame Sections'!A497)</f>
        <v/>
      </c>
      <c r="B482" s="9" t="str">
        <f t="shared" si="7"/>
        <v/>
      </c>
    </row>
    <row r="483" spans="1:2" x14ac:dyDescent="0.25">
      <c r="A483" s="9" t="str">
        <f>IF('Frame Sections'!A498=0,"",'Frame Sections'!A498)</f>
        <v/>
      </c>
      <c r="B483" s="9" t="str">
        <f t="shared" si="7"/>
        <v/>
      </c>
    </row>
    <row r="484" spans="1:2" x14ac:dyDescent="0.25">
      <c r="A484" s="9" t="str">
        <f>IF('Frame Sections'!A499=0,"",'Frame Sections'!A499)</f>
        <v/>
      </c>
      <c r="B484" s="9" t="str">
        <f t="shared" si="7"/>
        <v/>
      </c>
    </row>
    <row r="485" spans="1:2" x14ac:dyDescent="0.25">
      <c r="A485" s="9" t="str">
        <f>IF('Frame Sections'!A500=0,"",'Frame Sections'!A500)</f>
        <v/>
      </c>
      <c r="B485" s="9" t="str">
        <f t="shared" si="7"/>
        <v/>
      </c>
    </row>
    <row r="486" spans="1:2" x14ac:dyDescent="0.25">
      <c r="A486" s="9" t="str">
        <f>IF('Frame Sections'!A501=0,"",'Frame Sections'!A501)</f>
        <v/>
      </c>
      <c r="B486" s="9" t="str">
        <f t="shared" si="7"/>
        <v/>
      </c>
    </row>
    <row r="487" spans="1:2" x14ac:dyDescent="0.25">
      <c r="A487" s="9" t="str">
        <f>IF('Frame Sections'!A502=0,"",'Frame Sections'!A502)</f>
        <v/>
      </c>
      <c r="B487" s="9" t="str">
        <f t="shared" si="7"/>
        <v/>
      </c>
    </row>
    <row r="488" spans="1:2" x14ac:dyDescent="0.25">
      <c r="A488" s="9" t="str">
        <f>IF('Frame Sections'!A503=0,"",'Frame Sections'!A503)</f>
        <v/>
      </c>
      <c r="B488" s="9" t="str">
        <f t="shared" si="7"/>
        <v/>
      </c>
    </row>
    <row r="489" spans="1:2" x14ac:dyDescent="0.25">
      <c r="A489" s="9" t="str">
        <f>IF('Frame Sections'!A504=0,"",'Frame Sections'!A504)</f>
        <v/>
      </c>
      <c r="B489" s="9" t="str">
        <f t="shared" si="7"/>
        <v/>
      </c>
    </row>
    <row r="490" spans="1:2" x14ac:dyDescent="0.25">
      <c r="A490" s="9" t="str">
        <f>IF('Frame Sections'!A505=0,"",'Frame Sections'!A505)</f>
        <v/>
      </c>
      <c r="B490" s="9" t="str">
        <f t="shared" si="7"/>
        <v/>
      </c>
    </row>
    <row r="491" spans="1:2" x14ac:dyDescent="0.25">
      <c r="A491" s="9" t="str">
        <f>IF('Frame Sections'!A506=0,"",'Frame Sections'!A506)</f>
        <v/>
      </c>
      <c r="B491" s="9" t="str">
        <f t="shared" si="7"/>
        <v/>
      </c>
    </row>
    <row r="492" spans="1:2" x14ac:dyDescent="0.25">
      <c r="A492" s="9" t="str">
        <f>IF('Frame Sections'!A507=0,"",'Frame Sections'!A507)</f>
        <v/>
      </c>
      <c r="B492" s="9" t="str">
        <f t="shared" si="7"/>
        <v/>
      </c>
    </row>
    <row r="493" spans="1:2" x14ac:dyDescent="0.25">
      <c r="A493" s="9" t="str">
        <f>IF('Frame Sections'!A508=0,"",'Frame Sections'!A508)</f>
        <v/>
      </c>
      <c r="B493" s="9" t="str">
        <f t="shared" si="7"/>
        <v/>
      </c>
    </row>
    <row r="494" spans="1:2" x14ac:dyDescent="0.25">
      <c r="A494" s="9" t="str">
        <f>IF('Frame Sections'!A509=0,"",'Frame Sections'!A509)</f>
        <v/>
      </c>
      <c r="B494" s="9" t="str">
        <f t="shared" si="7"/>
        <v/>
      </c>
    </row>
    <row r="495" spans="1:2" x14ac:dyDescent="0.25">
      <c r="A495" s="9" t="str">
        <f>IF('Frame Sections'!A510=0,"",'Frame Sections'!A510)</f>
        <v/>
      </c>
      <c r="B495" s="9" t="str">
        <f t="shared" si="7"/>
        <v/>
      </c>
    </row>
    <row r="496" spans="1:2" x14ac:dyDescent="0.25">
      <c r="A496" s="9" t="str">
        <f>IF('Frame Sections'!A511=0,"",'Frame Sections'!A511)</f>
        <v/>
      </c>
      <c r="B496" s="9" t="str">
        <f t="shared" si="7"/>
        <v/>
      </c>
    </row>
    <row r="497" spans="1:2" x14ac:dyDescent="0.25">
      <c r="A497" s="9" t="str">
        <f>IF('Frame Sections'!A512=0,"",'Frame Sections'!A512)</f>
        <v/>
      </c>
      <c r="B497" s="9" t="str">
        <f t="shared" si="7"/>
        <v/>
      </c>
    </row>
    <row r="498" spans="1:2" x14ac:dyDescent="0.25">
      <c r="A498" s="9" t="str">
        <f>IF('Frame Sections'!A513=0,"",'Frame Sections'!A513)</f>
        <v/>
      </c>
      <c r="B498" s="9" t="str">
        <f t="shared" si="7"/>
        <v/>
      </c>
    </row>
    <row r="499" spans="1:2" x14ac:dyDescent="0.25">
      <c r="A499" s="9" t="str">
        <f>IF('Frame Sections'!A514=0,"",'Frame Sections'!A514)</f>
        <v/>
      </c>
      <c r="B499" s="9" t="str">
        <f t="shared" si="7"/>
        <v/>
      </c>
    </row>
    <row r="500" spans="1:2" x14ac:dyDescent="0.25">
      <c r="A500" s="9" t="str">
        <f>IF('Frame Sections'!A515=0,"",'Frame Sections'!A515)</f>
        <v/>
      </c>
      <c r="B500" s="9" t="str">
        <f t="shared" si="7"/>
        <v/>
      </c>
    </row>
    <row r="501" spans="1:2" x14ac:dyDescent="0.25">
      <c r="A501" s="9" t="str">
        <f>IF('Frame Sections'!A516=0,"",'Frame Sections'!A516)</f>
        <v/>
      </c>
      <c r="B501" s="9" t="str">
        <f t="shared" si="7"/>
        <v/>
      </c>
    </row>
    <row r="502" spans="1:2" x14ac:dyDescent="0.25">
      <c r="A502" s="9" t="str">
        <f>IF('Frame Sections'!A517=0,"",'Frame Sections'!A517)</f>
        <v/>
      </c>
      <c r="B502" s="9" t="str">
        <f t="shared" si="7"/>
        <v/>
      </c>
    </row>
    <row r="503" spans="1:2" x14ac:dyDescent="0.25">
      <c r="A503" s="9" t="str">
        <f>IF('Frame Sections'!A518=0,"",'Frame Sections'!A518)</f>
        <v/>
      </c>
      <c r="B503" s="9" t="str">
        <f t="shared" si="7"/>
        <v/>
      </c>
    </row>
    <row r="504" spans="1:2" x14ac:dyDescent="0.25">
      <c r="A504" s="9" t="str">
        <f>IF('Frame Sections'!A519=0,"",'Frame Sections'!A519)</f>
        <v/>
      </c>
      <c r="B504" s="9" t="str">
        <f t="shared" si="7"/>
        <v/>
      </c>
    </row>
    <row r="505" spans="1:2" x14ac:dyDescent="0.25">
      <c r="A505" s="9" t="str">
        <f>IF('Frame Sections'!A520=0,"",'Frame Sections'!A520)</f>
        <v/>
      </c>
      <c r="B505" s="9" t="str">
        <f t="shared" si="7"/>
        <v/>
      </c>
    </row>
    <row r="506" spans="1:2" x14ac:dyDescent="0.25">
      <c r="A506" s="9" t="str">
        <f>IF('Frame Sections'!A521=0,"",'Frame Sections'!A521)</f>
        <v/>
      </c>
      <c r="B506" s="9" t="str">
        <f t="shared" si="7"/>
        <v/>
      </c>
    </row>
    <row r="507" spans="1:2" x14ac:dyDescent="0.25">
      <c r="A507" s="9" t="str">
        <f>IF('Frame Sections'!A522=0,"",'Frame Sections'!A522)</f>
        <v/>
      </c>
      <c r="B507" s="9" t="str">
        <f t="shared" si="7"/>
        <v/>
      </c>
    </row>
    <row r="508" spans="1:2" x14ac:dyDescent="0.25">
      <c r="A508" s="9" t="str">
        <f>IF('Frame Sections'!A523=0,"",'Frame Sections'!A523)</f>
        <v/>
      </c>
      <c r="B508" s="9" t="str">
        <f t="shared" si="7"/>
        <v/>
      </c>
    </row>
    <row r="509" spans="1:2" x14ac:dyDescent="0.25">
      <c r="A509" s="9" t="str">
        <f>IF('Frame Sections'!A524=0,"",'Frame Sections'!A524)</f>
        <v/>
      </c>
      <c r="B509" s="9" t="str">
        <f t="shared" si="7"/>
        <v/>
      </c>
    </row>
    <row r="510" spans="1:2" x14ac:dyDescent="0.25">
      <c r="A510" s="9" t="str">
        <f>IF('Frame Sections'!A525=0,"",'Frame Sections'!A525)</f>
        <v/>
      </c>
      <c r="B510" s="9" t="str">
        <f t="shared" si="7"/>
        <v/>
      </c>
    </row>
    <row r="511" spans="1:2" x14ac:dyDescent="0.25">
      <c r="A511" s="9" t="str">
        <f>IF('Frame Sections'!A526=0,"",'Frame Sections'!A526)</f>
        <v/>
      </c>
      <c r="B511" s="9" t="str">
        <f t="shared" si="7"/>
        <v/>
      </c>
    </row>
    <row r="512" spans="1:2" x14ac:dyDescent="0.25">
      <c r="A512" s="9" t="str">
        <f>IF('Frame Sections'!A527=0,"",'Frame Sections'!A527)</f>
        <v/>
      </c>
      <c r="B512" s="9" t="str">
        <f t="shared" si="7"/>
        <v/>
      </c>
    </row>
    <row r="513" spans="1:2" x14ac:dyDescent="0.25">
      <c r="A513" s="9" t="str">
        <f>IF('Frame Sections'!A528=0,"",'Frame Sections'!A528)</f>
        <v/>
      </c>
      <c r="B513" s="9" t="str">
        <f t="shared" si="7"/>
        <v/>
      </c>
    </row>
    <row r="514" spans="1:2" x14ac:dyDescent="0.25">
      <c r="A514" s="9" t="str">
        <f>IF('Frame Sections'!A529=0,"",'Frame Sections'!A529)</f>
        <v/>
      </c>
      <c r="B514" s="9" t="str">
        <f t="shared" ref="B514:B577" si="8">IF(OR(A514=0,A514=""),"",VLOOKUP(A514,SecDB,5,FALSE))</f>
        <v/>
      </c>
    </row>
    <row r="515" spans="1:2" x14ac:dyDescent="0.25">
      <c r="A515" s="9" t="str">
        <f>IF('Frame Sections'!A530=0,"",'Frame Sections'!A530)</f>
        <v/>
      </c>
      <c r="B515" s="9" t="str">
        <f t="shared" si="8"/>
        <v/>
      </c>
    </row>
    <row r="516" spans="1:2" x14ac:dyDescent="0.25">
      <c r="A516" s="9" t="str">
        <f>IF('Frame Sections'!A531=0,"",'Frame Sections'!A531)</f>
        <v/>
      </c>
      <c r="B516" s="9" t="str">
        <f t="shared" si="8"/>
        <v/>
      </c>
    </row>
    <row r="517" spans="1:2" x14ac:dyDescent="0.25">
      <c r="A517" s="9" t="str">
        <f>IF('Frame Sections'!A532=0,"",'Frame Sections'!A532)</f>
        <v/>
      </c>
      <c r="B517" s="9" t="str">
        <f t="shared" si="8"/>
        <v/>
      </c>
    </row>
    <row r="518" spans="1:2" x14ac:dyDescent="0.25">
      <c r="A518" s="9" t="str">
        <f>IF('Frame Sections'!A533=0,"",'Frame Sections'!A533)</f>
        <v/>
      </c>
      <c r="B518" s="9" t="str">
        <f t="shared" si="8"/>
        <v/>
      </c>
    </row>
    <row r="519" spans="1:2" x14ac:dyDescent="0.25">
      <c r="A519" s="9" t="str">
        <f>IF('Frame Sections'!A534=0,"",'Frame Sections'!A534)</f>
        <v/>
      </c>
      <c r="B519" s="9" t="str">
        <f t="shared" si="8"/>
        <v/>
      </c>
    </row>
    <row r="520" spans="1:2" x14ac:dyDescent="0.25">
      <c r="A520" s="9" t="str">
        <f>IF('Frame Sections'!A535=0,"",'Frame Sections'!A535)</f>
        <v/>
      </c>
      <c r="B520" s="9" t="str">
        <f t="shared" si="8"/>
        <v/>
      </c>
    </row>
    <row r="521" spans="1:2" x14ac:dyDescent="0.25">
      <c r="A521" s="9" t="str">
        <f>IF('Frame Sections'!A536=0,"",'Frame Sections'!A536)</f>
        <v/>
      </c>
      <c r="B521" s="9" t="str">
        <f t="shared" si="8"/>
        <v/>
      </c>
    </row>
    <row r="522" spans="1:2" x14ac:dyDescent="0.25">
      <c r="A522" s="9" t="str">
        <f>IF('Frame Sections'!A537=0,"",'Frame Sections'!A537)</f>
        <v/>
      </c>
      <c r="B522" s="9" t="str">
        <f t="shared" si="8"/>
        <v/>
      </c>
    </row>
    <row r="523" spans="1:2" x14ac:dyDescent="0.25">
      <c r="A523" s="9" t="str">
        <f>IF('Frame Sections'!A538=0,"",'Frame Sections'!A538)</f>
        <v/>
      </c>
      <c r="B523" s="9" t="str">
        <f t="shared" si="8"/>
        <v/>
      </c>
    </row>
    <row r="524" spans="1:2" x14ac:dyDescent="0.25">
      <c r="A524" s="9" t="str">
        <f>IF('Frame Sections'!A539=0,"",'Frame Sections'!A539)</f>
        <v/>
      </c>
      <c r="B524" s="9" t="str">
        <f t="shared" si="8"/>
        <v/>
      </c>
    </row>
    <row r="525" spans="1:2" x14ac:dyDescent="0.25">
      <c r="A525" s="9" t="str">
        <f>IF('Frame Sections'!A540=0,"",'Frame Sections'!A540)</f>
        <v/>
      </c>
      <c r="B525" s="9" t="str">
        <f t="shared" si="8"/>
        <v/>
      </c>
    </row>
    <row r="526" spans="1:2" x14ac:dyDescent="0.25">
      <c r="A526" s="9" t="str">
        <f>IF('Frame Sections'!A541=0,"",'Frame Sections'!A541)</f>
        <v/>
      </c>
      <c r="B526" s="9" t="str">
        <f t="shared" si="8"/>
        <v/>
      </c>
    </row>
    <row r="527" spans="1:2" x14ac:dyDescent="0.25">
      <c r="A527" s="9" t="str">
        <f>IF('Frame Sections'!A542=0,"",'Frame Sections'!A542)</f>
        <v/>
      </c>
      <c r="B527" s="9" t="str">
        <f t="shared" si="8"/>
        <v/>
      </c>
    </row>
    <row r="528" spans="1:2" x14ac:dyDescent="0.25">
      <c r="A528" s="9" t="str">
        <f>IF('Frame Sections'!A543=0,"",'Frame Sections'!A543)</f>
        <v/>
      </c>
      <c r="B528" s="9" t="str">
        <f t="shared" si="8"/>
        <v/>
      </c>
    </row>
    <row r="529" spans="1:2" x14ac:dyDescent="0.25">
      <c r="A529" s="9" t="str">
        <f>IF('Frame Sections'!A544=0,"",'Frame Sections'!A544)</f>
        <v/>
      </c>
      <c r="B529" s="9" t="str">
        <f t="shared" si="8"/>
        <v/>
      </c>
    </row>
    <row r="530" spans="1:2" x14ac:dyDescent="0.25">
      <c r="A530" s="9" t="str">
        <f>IF('Frame Sections'!A545=0,"",'Frame Sections'!A545)</f>
        <v/>
      </c>
      <c r="B530" s="9" t="str">
        <f t="shared" si="8"/>
        <v/>
      </c>
    </row>
    <row r="531" spans="1:2" x14ac:dyDescent="0.25">
      <c r="A531" s="9" t="str">
        <f>IF('Frame Sections'!A546=0,"",'Frame Sections'!A546)</f>
        <v/>
      </c>
      <c r="B531" s="9" t="str">
        <f t="shared" si="8"/>
        <v/>
      </c>
    </row>
    <row r="532" spans="1:2" x14ac:dyDescent="0.25">
      <c r="A532" s="9" t="str">
        <f>IF('Frame Sections'!A547=0,"",'Frame Sections'!A547)</f>
        <v/>
      </c>
      <c r="B532" s="9" t="str">
        <f t="shared" si="8"/>
        <v/>
      </c>
    </row>
    <row r="533" spans="1:2" x14ac:dyDescent="0.25">
      <c r="A533" s="9" t="str">
        <f>IF('Frame Sections'!A548=0,"",'Frame Sections'!A548)</f>
        <v/>
      </c>
      <c r="B533" s="9" t="str">
        <f t="shared" si="8"/>
        <v/>
      </c>
    </row>
    <row r="534" spans="1:2" x14ac:dyDescent="0.25">
      <c r="A534" s="9" t="str">
        <f>IF('Frame Sections'!A549=0,"",'Frame Sections'!A549)</f>
        <v/>
      </c>
      <c r="B534" s="9" t="str">
        <f t="shared" si="8"/>
        <v/>
      </c>
    </row>
    <row r="535" spans="1:2" x14ac:dyDescent="0.25">
      <c r="A535" s="9" t="str">
        <f>IF('Frame Sections'!A550=0,"",'Frame Sections'!A550)</f>
        <v/>
      </c>
      <c r="B535" s="9" t="str">
        <f t="shared" si="8"/>
        <v/>
      </c>
    </row>
    <row r="536" spans="1:2" x14ac:dyDescent="0.25">
      <c r="A536" s="9" t="str">
        <f>IF('Frame Sections'!A551=0,"",'Frame Sections'!A551)</f>
        <v/>
      </c>
      <c r="B536" s="9" t="str">
        <f t="shared" si="8"/>
        <v/>
      </c>
    </row>
    <row r="537" spans="1:2" x14ac:dyDescent="0.25">
      <c r="A537" s="9" t="str">
        <f>IF('Frame Sections'!A552=0,"",'Frame Sections'!A552)</f>
        <v/>
      </c>
      <c r="B537" s="9" t="str">
        <f t="shared" si="8"/>
        <v/>
      </c>
    </row>
    <row r="538" spans="1:2" x14ac:dyDescent="0.25">
      <c r="A538" s="9" t="str">
        <f>IF('Frame Sections'!A553=0,"",'Frame Sections'!A553)</f>
        <v/>
      </c>
      <c r="B538" s="9" t="str">
        <f t="shared" si="8"/>
        <v/>
      </c>
    </row>
    <row r="539" spans="1:2" x14ac:dyDescent="0.25">
      <c r="A539" s="9" t="str">
        <f>IF('Frame Sections'!A554=0,"",'Frame Sections'!A554)</f>
        <v/>
      </c>
      <c r="B539" s="9" t="str">
        <f t="shared" si="8"/>
        <v/>
      </c>
    </row>
    <row r="540" spans="1:2" x14ac:dyDescent="0.25">
      <c r="A540" s="9" t="str">
        <f>IF('Frame Sections'!A555=0,"",'Frame Sections'!A555)</f>
        <v/>
      </c>
      <c r="B540" s="9" t="str">
        <f t="shared" si="8"/>
        <v/>
      </c>
    </row>
    <row r="541" spans="1:2" x14ac:dyDescent="0.25">
      <c r="A541" s="9" t="str">
        <f>IF('Frame Sections'!A556=0,"",'Frame Sections'!A556)</f>
        <v/>
      </c>
      <c r="B541" s="9" t="str">
        <f t="shared" si="8"/>
        <v/>
      </c>
    </row>
    <row r="542" spans="1:2" x14ac:dyDescent="0.25">
      <c r="A542" s="9" t="str">
        <f>IF('Frame Sections'!A557=0,"",'Frame Sections'!A557)</f>
        <v/>
      </c>
      <c r="B542" s="9" t="str">
        <f t="shared" si="8"/>
        <v/>
      </c>
    </row>
    <row r="543" spans="1:2" x14ac:dyDescent="0.25">
      <c r="A543" s="9" t="str">
        <f>IF('Frame Sections'!A558=0,"",'Frame Sections'!A558)</f>
        <v/>
      </c>
      <c r="B543" s="9" t="str">
        <f t="shared" si="8"/>
        <v/>
      </c>
    </row>
    <row r="544" spans="1:2" x14ac:dyDescent="0.25">
      <c r="A544" s="9" t="str">
        <f>IF('Frame Sections'!A559=0,"",'Frame Sections'!A559)</f>
        <v/>
      </c>
      <c r="B544" s="9" t="str">
        <f t="shared" si="8"/>
        <v/>
      </c>
    </row>
    <row r="545" spans="1:2" x14ac:dyDescent="0.25">
      <c r="A545" s="9" t="str">
        <f>IF('Frame Sections'!A560=0,"",'Frame Sections'!A560)</f>
        <v/>
      </c>
      <c r="B545" s="9" t="str">
        <f t="shared" si="8"/>
        <v/>
      </c>
    </row>
    <row r="546" spans="1:2" x14ac:dyDescent="0.25">
      <c r="A546" s="9" t="str">
        <f>IF('Frame Sections'!A561=0,"",'Frame Sections'!A561)</f>
        <v/>
      </c>
      <c r="B546" s="9" t="str">
        <f t="shared" si="8"/>
        <v/>
      </c>
    </row>
    <row r="547" spans="1:2" x14ac:dyDescent="0.25">
      <c r="A547" s="9" t="str">
        <f>IF('Frame Sections'!A562=0,"",'Frame Sections'!A562)</f>
        <v/>
      </c>
      <c r="B547" s="9" t="str">
        <f t="shared" si="8"/>
        <v/>
      </c>
    </row>
    <row r="548" spans="1:2" x14ac:dyDescent="0.25">
      <c r="A548" s="9" t="str">
        <f>IF('Frame Sections'!A563=0,"",'Frame Sections'!A563)</f>
        <v/>
      </c>
      <c r="B548" s="9" t="str">
        <f t="shared" si="8"/>
        <v/>
      </c>
    </row>
    <row r="549" spans="1:2" x14ac:dyDescent="0.25">
      <c r="A549" s="9" t="str">
        <f>IF('Frame Sections'!A564=0,"",'Frame Sections'!A564)</f>
        <v/>
      </c>
      <c r="B549" s="9" t="str">
        <f t="shared" si="8"/>
        <v/>
      </c>
    </row>
    <row r="550" spans="1:2" x14ac:dyDescent="0.25">
      <c r="A550" s="9" t="str">
        <f>IF('Frame Sections'!A565=0,"",'Frame Sections'!A565)</f>
        <v/>
      </c>
      <c r="B550" s="9" t="str">
        <f t="shared" si="8"/>
        <v/>
      </c>
    </row>
    <row r="551" spans="1:2" x14ac:dyDescent="0.25">
      <c r="A551" s="9" t="str">
        <f>IF('Frame Sections'!A566=0,"",'Frame Sections'!A566)</f>
        <v/>
      </c>
      <c r="B551" s="9" t="str">
        <f t="shared" si="8"/>
        <v/>
      </c>
    </row>
    <row r="552" spans="1:2" x14ac:dyDescent="0.25">
      <c r="A552" s="9" t="str">
        <f>IF('Frame Sections'!A567=0,"",'Frame Sections'!A567)</f>
        <v/>
      </c>
      <c r="B552" s="9" t="str">
        <f t="shared" si="8"/>
        <v/>
      </c>
    </row>
    <row r="553" spans="1:2" x14ac:dyDescent="0.25">
      <c r="A553" s="9" t="str">
        <f>IF('Frame Sections'!A568=0,"",'Frame Sections'!A568)</f>
        <v/>
      </c>
      <c r="B553" s="9" t="str">
        <f t="shared" si="8"/>
        <v/>
      </c>
    </row>
    <row r="554" spans="1:2" x14ac:dyDescent="0.25">
      <c r="A554" s="9" t="str">
        <f>IF('Frame Sections'!A569=0,"",'Frame Sections'!A569)</f>
        <v/>
      </c>
      <c r="B554" s="9" t="str">
        <f t="shared" si="8"/>
        <v/>
      </c>
    </row>
    <row r="555" spans="1:2" x14ac:dyDescent="0.25">
      <c r="A555" s="9" t="str">
        <f>IF('Frame Sections'!A570=0,"",'Frame Sections'!A570)</f>
        <v/>
      </c>
      <c r="B555" s="9" t="str">
        <f t="shared" si="8"/>
        <v/>
      </c>
    </row>
    <row r="556" spans="1:2" x14ac:dyDescent="0.25">
      <c r="A556" s="9" t="str">
        <f>IF('Frame Sections'!A571=0,"",'Frame Sections'!A571)</f>
        <v/>
      </c>
      <c r="B556" s="9" t="str">
        <f t="shared" si="8"/>
        <v/>
      </c>
    </row>
    <row r="557" spans="1:2" x14ac:dyDescent="0.25">
      <c r="A557" s="9" t="str">
        <f>IF('Frame Sections'!A572=0,"",'Frame Sections'!A572)</f>
        <v/>
      </c>
      <c r="B557" s="9" t="str">
        <f t="shared" si="8"/>
        <v/>
      </c>
    </row>
    <row r="558" spans="1:2" x14ac:dyDescent="0.25">
      <c r="A558" s="9" t="str">
        <f>IF('Frame Sections'!A573=0,"",'Frame Sections'!A573)</f>
        <v/>
      </c>
      <c r="B558" s="9" t="str">
        <f t="shared" si="8"/>
        <v/>
      </c>
    </row>
    <row r="559" spans="1:2" x14ac:dyDescent="0.25">
      <c r="A559" s="9" t="str">
        <f>IF('Frame Sections'!A574=0,"",'Frame Sections'!A574)</f>
        <v/>
      </c>
      <c r="B559" s="9" t="str">
        <f t="shared" si="8"/>
        <v/>
      </c>
    </row>
    <row r="560" spans="1:2" x14ac:dyDescent="0.25">
      <c r="A560" s="9" t="str">
        <f>IF('Frame Sections'!A575=0,"",'Frame Sections'!A575)</f>
        <v/>
      </c>
      <c r="B560" s="9" t="str">
        <f t="shared" si="8"/>
        <v/>
      </c>
    </row>
    <row r="561" spans="1:2" x14ac:dyDescent="0.25">
      <c r="A561" s="9" t="str">
        <f>IF('Frame Sections'!A576=0,"",'Frame Sections'!A576)</f>
        <v/>
      </c>
      <c r="B561" s="9" t="str">
        <f t="shared" si="8"/>
        <v/>
      </c>
    </row>
    <row r="562" spans="1:2" x14ac:dyDescent="0.25">
      <c r="A562" s="9" t="str">
        <f>IF('Frame Sections'!A577=0,"",'Frame Sections'!A577)</f>
        <v/>
      </c>
      <c r="B562" s="9" t="str">
        <f t="shared" si="8"/>
        <v/>
      </c>
    </row>
    <row r="563" spans="1:2" x14ac:dyDescent="0.25">
      <c r="A563" s="9" t="str">
        <f>IF('Frame Sections'!A578=0,"",'Frame Sections'!A578)</f>
        <v/>
      </c>
      <c r="B563" s="9" t="str">
        <f t="shared" si="8"/>
        <v/>
      </c>
    </row>
    <row r="564" spans="1:2" x14ac:dyDescent="0.25">
      <c r="A564" s="9" t="str">
        <f>IF('Frame Sections'!A579=0,"",'Frame Sections'!A579)</f>
        <v/>
      </c>
      <c r="B564" s="9" t="str">
        <f t="shared" si="8"/>
        <v/>
      </c>
    </row>
    <row r="565" spans="1:2" x14ac:dyDescent="0.25">
      <c r="A565" s="9" t="str">
        <f>IF('Frame Sections'!A580=0,"",'Frame Sections'!A580)</f>
        <v/>
      </c>
      <c r="B565" s="9" t="str">
        <f t="shared" si="8"/>
        <v/>
      </c>
    </row>
    <row r="566" spans="1:2" x14ac:dyDescent="0.25">
      <c r="A566" s="9" t="str">
        <f>IF('Frame Sections'!A581=0,"",'Frame Sections'!A581)</f>
        <v/>
      </c>
      <c r="B566" s="9" t="str">
        <f t="shared" si="8"/>
        <v/>
      </c>
    </row>
    <row r="567" spans="1:2" x14ac:dyDescent="0.25">
      <c r="A567" s="9" t="str">
        <f>IF('Frame Sections'!A582=0,"",'Frame Sections'!A582)</f>
        <v/>
      </c>
      <c r="B567" s="9" t="str">
        <f t="shared" si="8"/>
        <v/>
      </c>
    </row>
    <row r="568" spans="1:2" x14ac:dyDescent="0.25">
      <c r="A568" s="9" t="str">
        <f>IF('Frame Sections'!A583=0,"",'Frame Sections'!A583)</f>
        <v/>
      </c>
      <c r="B568" s="9" t="str">
        <f t="shared" si="8"/>
        <v/>
      </c>
    </row>
    <row r="569" spans="1:2" x14ac:dyDescent="0.25">
      <c r="A569" s="9" t="str">
        <f>IF('Frame Sections'!A584=0,"",'Frame Sections'!A584)</f>
        <v/>
      </c>
      <c r="B569" s="9" t="str">
        <f t="shared" si="8"/>
        <v/>
      </c>
    </row>
    <row r="570" spans="1:2" x14ac:dyDescent="0.25">
      <c r="A570" s="9" t="str">
        <f>IF('Frame Sections'!A585=0,"",'Frame Sections'!A585)</f>
        <v/>
      </c>
      <c r="B570" s="9" t="str">
        <f t="shared" si="8"/>
        <v/>
      </c>
    </row>
    <row r="571" spans="1:2" x14ac:dyDescent="0.25">
      <c r="A571" s="9" t="str">
        <f>IF('Frame Sections'!A586=0,"",'Frame Sections'!A586)</f>
        <v/>
      </c>
      <c r="B571" s="9" t="str">
        <f t="shared" si="8"/>
        <v/>
      </c>
    </row>
    <row r="572" spans="1:2" x14ac:dyDescent="0.25">
      <c r="A572" s="9" t="str">
        <f>IF('Frame Sections'!A587=0,"",'Frame Sections'!A587)</f>
        <v/>
      </c>
      <c r="B572" s="9" t="str">
        <f t="shared" si="8"/>
        <v/>
      </c>
    </row>
    <row r="573" spans="1:2" x14ac:dyDescent="0.25">
      <c r="A573" s="9" t="str">
        <f>IF('Frame Sections'!A588=0,"",'Frame Sections'!A588)</f>
        <v/>
      </c>
      <c r="B573" s="9" t="str">
        <f t="shared" si="8"/>
        <v/>
      </c>
    </row>
    <row r="574" spans="1:2" x14ac:dyDescent="0.25">
      <c r="A574" s="9" t="str">
        <f>IF('Frame Sections'!A589=0,"",'Frame Sections'!A589)</f>
        <v/>
      </c>
      <c r="B574" s="9" t="str">
        <f t="shared" si="8"/>
        <v/>
      </c>
    </row>
    <row r="575" spans="1:2" x14ac:dyDescent="0.25">
      <c r="A575" s="9" t="str">
        <f>IF('Frame Sections'!A590=0,"",'Frame Sections'!A590)</f>
        <v/>
      </c>
      <c r="B575" s="9" t="str">
        <f t="shared" si="8"/>
        <v/>
      </c>
    </row>
    <row r="576" spans="1:2" x14ac:dyDescent="0.25">
      <c r="A576" s="9" t="str">
        <f>IF('Frame Sections'!A591=0,"",'Frame Sections'!A591)</f>
        <v/>
      </c>
      <c r="B576" s="9" t="str">
        <f t="shared" si="8"/>
        <v/>
      </c>
    </row>
    <row r="577" spans="1:2" x14ac:dyDescent="0.25">
      <c r="A577" s="9" t="str">
        <f>IF('Frame Sections'!A592=0,"",'Frame Sections'!A592)</f>
        <v/>
      </c>
      <c r="B577" s="9" t="str">
        <f t="shared" si="8"/>
        <v/>
      </c>
    </row>
    <row r="578" spans="1:2" x14ac:dyDescent="0.25">
      <c r="A578" s="9" t="str">
        <f>IF('Frame Sections'!A593=0,"",'Frame Sections'!A593)</f>
        <v/>
      </c>
      <c r="B578" s="9" t="str">
        <f t="shared" ref="B578:B641" si="9">IF(OR(A578=0,A578=""),"",VLOOKUP(A578,SecDB,5,FALSE))</f>
        <v/>
      </c>
    </row>
    <row r="579" spans="1:2" x14ac:dyDescent="0.25">
      <c r="A579" s="9" t="str">
        <f>IF('Frame Sections'!A594=0,"",'Frame Sections'!A594)</f>
        <v/>
      </c>
      <c r="B579" s="9" t="str">
        <f t="shared" si="9"/>
        <v/>
      </c>
    </row>
    <row r="580" spans="1:2" x14ac:dyDescent="0.25">
      <c r="A580" s="9" t="str">
        <f>IF('Frame Sections'!A595=0,"",'Frame Sections'!A595)</f>
        <v/>
      </c>
      <c r="B580" s="9" t="str">
        <f t="shared" si="9"/>
        <v/>
      </c>
    </row>
    <row r="581" spans="1:2" x14ac:dyDescent="0.25">
      <c r="A581" s="9" t="str">
        <f>IF('Frame Sections'!A596=0,"",'Frame Sections'!A596)</f>
        <v/>
      </c>
      <c r="B581" s="9" t="str">
        <f t="shared" si="9"/>
        <v/>
      </c>
    </row>
    <row r="582" spans="1:2" x14ac:dyDescent="0.25">
      <c r="A582" s="9" t="str">
        <f>IF('Frame Sections'!A597=0,"",'Frame Sections'!A597)</f>
        <v/>
      </c>
      <c r="B582" s="9" t="str">
        <f t="shared" si="9"/>
        <v/>
      </c>
    </row>
    <row r="583" spans="1:2" x14ac:dyDescent="0.25">
      <c r="A583" s="9" t="str">
        <f>IF('Frame Sections'!A598=0,"",'Frame Sections'!A598)</f>
        <v/>
      </c>
      <c r="B583" s="9" t="str">
        <f t="shared" si="9"/>
        <v/>
      </c>
    </row>
    <row r="584" spans="1:2" x14ac:dyDescent="0.25">
      <c r="A584" s="9" t="str">
        <f>IF('Frame Sections'!A599=0,"",'Frame Sections'!A599)</f>
        <v/>
      </c>
      <c r="B584" s="9" t="str">
        <f t="shared" si="9"/>
        <v/>
      </c>
    </row>
    <row r="585" spans="1:2" x14ac:dyDescent="0.25">
      <c r="A585" s="9" t="str">
        <f>IF('Frame Sections'!A600=0,"",'Frame Sections'!A600)</f>
        <v/>
      </c>
      <c r="B585" s="9" t="str">
        <f t="shared" si="9"/>
        <v/>
      </c>
    </row>
    <row r="586" spans="1:2" x14ac:dyDescent="0.25">
      <c r="A586" s="9" t="str">
        <f>IF('Frame Sections'!A601=0,"",'Frame Sections'!A601)</f>
        <v/>
      </c>
      <c r="B586" s="9" t="str">
        <f t="shared" si="9"/>
        <v/>
      </c>
    </row>
    <row r="587" spans="1:2" x14ac:dyDescent="0.25">
      <c r="A587" s="9" t="str">
        <f>IF('Frame Sections'!A602=0,"",'Frame Sections'!A602)</f>
        <v/>
      </c>
      <c r="B587" s="9" t="str">
        <f t="shared" si="9"/>
        <v/>
      </c>
    </row>
    <row r="588" spans="1:2" x14ac:dyDescent="0.25">
      <c r="A588" s="9" t="str">
        <f>IF('Frame Sections'!A603=0,"",'Frame Sections'!A603)</f>
        <v/>
      </c>
      <c r="B588" s="9" t="str">
        <f t="shared" si="9"/>
        <v/>
      </c>
    </row>
    <row r="589" spans="1:2" x14ac:dyDescent="0.25">
      <c r="A589" s="9" t="str">
        <f>IF('Frame Sections'!A604=0,"",'Frame Sections'!A604)</f>
        <v/>
      </c>
      <c r="B589" s="9" t="str">
        <f t="shared" si="9"/>
        <v/>
      </c>
    </row>
    <row r="590" spans="1:2" x14ac:dyDescent="0.25">
      <c r="A590" s="9" t="str">
        <f>IF('Frame Sections'!A605=0,"",'Frame Sections'!A605)</f>
        <v/>
      </c>
      <c r="B590" s="9" t="str">
        <f t="shared" si="9"/>
        <v/>
      </c>
    </row>
    <row r="591" spans="1:2" x14ac:dyDescent="0.25">
      <c r="A591" s="9" t="str">
        <f>IF('Frame Sections'!A606=0,"",'Frame Sections'!A606)</f>
        <v/>
      </c>
      <c r="B591" s="9" t="str">
        <f t="shared" si="9"/>
        <v/>
      </c>
    </row>
    <row r="592" spans="1:2" x14ac:dyDescent="0.25">
      <c r="A592" s="9" t="str">
        <f>IF('Frame Sections'!A607=0,"",'Frame Sections'!A607)</f>
        <v/>
      </c>
      <c r="B592" s="9" t="str">
        <f t="shared" si="9"/>
        <v/>
      </c>
    </row>
    <row r="593" spans="1:2" x14ac:dyDescent="0.25">
      <c r="A593" s="9" t="str">
        <f>IF('Frame Sections'!A608=0,"",'Frame Sections'!A608)</f>
        <v/>
      </c>
      <c r="B593" s="9" t="str">
        <f t="shared" si="9"/>
        <v/>
      </c>
    </row>
    <row r="594" spans="1:2" x14ac:dyDescent="0.25">
      <c r="A594" s="9" t="str">
        <f>IF('Frame Sections'!A609=0,"",'Frame Sections'!A609)</f>
        <v/>
      </c>
      <c r="B594" s="9" t="str">
        <f t="shared" si="9"/>
        <v/>
      </c>
    </row>
    <row r="595" spans="1:2" x14ac:dyDescent="0.25">
      <c r="A595" s="9" t="str">
        <f>IF('Frame Sections'!A610=0,"",'Frame Sections'!A610)</f>
        <v/>
      </c>
      <c r="B595" s="9" t="str">
        <f t="shared" si="9"/>
        <v/>
      </c>
    </row>
    <row r="596" spans="1:2" x14ac:dyDescent="0.25">
      <c r="A596" s="9" t="str">
        <f>IF('Frame Sections'!A611=0,"",'Frame Sections'!A611)</f>
        <v/>
      </c>
      <c r="B596" s="9" t="str">
        <f t="shared" si="9"/>
        <v/>
      </c>
    </row>
    <row r="597" spans="1:2" x14ac:dyDescent="0.25">
      <c r="A597" s="9" t="str">
        <f>IF('Frame Sections'!A612=0,"",'Frame Sections'!A612)</f>
        <v/>
      </c>
      <c r="B597" s="9" t="str">
        <f t="shared" si="9"/>
        <v/>
      </c>
    </row>
    <row r="598" spans="1:2" x14ac:dyDescent="0.25">
      <c r="A598" s="9" t="str">
        <f>IF('Frame Sections'!A613=0,"",'Frame Sections'!A613)</f>
        <v/>
      </c>
      <c r="B598" s="9" t="str">
        <f t="shared" si="9"/>
        <v/>
      </c>
    </row>
    <row r="599" spans="1:2" x14ac:dyDescent="0.25">
      <c r="A599" s="9" t="str">
        <f>IF('Frame Sections'!A614=0,"",'Frame Sections'!A614)</f>
        <v/>
      </c>
      <c r="B599" s="9" t="str">
        <f t="shared" si="9"/>
        <v/>
      </c>
    </row>
    <row r="600" spans="1:2" x14ac:dyDescent="0.25">
      <c r="A600" s="9" t="str">
        <f>IF('Frame Sections'!A615=0,"",'Frame Sections'!A615)</f>
        <v/>
      </c>
      <c r="B600" s="9" t="str">
        <f t="shared" si="9"/>
        <v/>
      </c>
    </row>
    <row r="601" spans="1:2" x14ac:dyDescent="0.25">
      <c r="A601" s="9" t="str">
        <f>IF('Frame Sections'!A616=0,"",'Frame Sections'!A616)</f>
        <v/>
      </c>
      <c r="B601" s="9" t="str">
        <f t="shared" si="9"/>
        <v/>
      </c>
    </row>
    <row r="602" spans="1:2" x14ac:dyDescent="0.25">
      <c r="A602" s="9" t="str">
        <f>IF('Frame Sections'!A617=0,"",'Frame Sections'!A617)</f>
        <v/>
      </c>
      <c r="B602" s="9" t="str">
        <f t="shared" si="9"/>
        <v/>
      </c>
    </row>
    <row r="603" spans="1:2" x14ac:dyDescent="0.25">
      <c r="A603" s="9" t="str">
        <f>IF('Frame Sections'!A618=0,"",'Frame Sections'!A618)</f>
        <v/>
      </c>
      <c r="B603" s="9" t="str">
        <f t="shared" si="9"/>
        <v/>
      </c>
    </row>
    <row r="604" spans="1:2" x14ac:dyDescent="0.25">
      <c r="A604" s="9" t="str">
        <f>IF('Frame Sections'!A619=0,"",'Frame Sections'!A619)</f>
        <v/>
      </c>
      <c r="B604" s="9" t="str">
        <f t="shared" si="9"/>
        <v/>
      </c>
    </row>
    <row r="605" spans="1:2" x14ac:dyDescent="0.25">
      <c r="A605" s="9" t="str">
        <f>IF('Frame Sections'!A620=0,"",'Frame Sections'!A620)</f>
        <v/>
      </c>
      <c r="B605" s="9" t="str">
        <f t="shared" si="9"/>
        <v/>
      </c>
    </row>
    <row r="606" spans="1:2" x14ac:dyDescent="0.25">
      <c r="A606" s="9" t="str">
        <f>IF('Frame Sections'!A621=0,"",'Frame Sections'!A621)</f>
        <v/>
      </c>
      <c r="B606" s="9" t="str">
        <f t="shared" si="9"/>
        <v/>
      </c>
    </row>
    <row r="607" spans="1:2" x14ac:dyDescent="0.25">
      <c r="A607" s="9" t="str">
        <f>IF('Frame Sections'!A622=0,"",'Frame Sections'!A622)</f>
        <v/>
      </c>
      <c r="B607" s="9" t="str">
        <f t="shared" si="9"/>
        <v/>
      </c>
    </row>
    <row r="608" spans="1:2" x14ac:dyDescent="0.25">
      <c r="A608" s="9" t="str">
        <f>IF('Frame Sections'!A623=0,"",'Frame Sections'!A623)</f>
        <v/>
      </c>
      <c r="B608" s="9" t="str">
        <f t="shared" si="9"/>
        <v/>
      </c>
    </row>
    <row r="609" spans="1:2" x14ac:dyDescent="0.25">
      <c r="A609" s="9" t="str">
        <f>IF('Frame Sections'!A624=0,"",'Frame Sections'!A624)</f>
        <v/>
      </c>
      <c r="B609" s="9" t="str">
        <f t="shared" si="9"/>
        <v/>
      </c>
    </row>
    <row r="610" spans="1:2" x14ac:dyDescent="0.25">
      <c r="A610" s="9" t="str">
        <f>IF('Frame Sections'!A625=0,"",'Frame Sections'!A625)</f>
        <v/>
      </c>
      <c r="B610" s="9" t="str">
        <f t="shared" si="9"/>
        <v/>
      </c>
    </row>
    <row r="611" spans="1:2" x14ac:dyDescent="0.25">
      <c r="A611" s="9" t="str">
        <f>IF('Frame Sections'!A626=0,"",'Frame Sections'!A626)</f>
        <v/>
      </c>
      <c r="B611" s="9" t="str">
        <f t="shared" si="9"/>
        <v/>
      </c>
    </row>
    <row r="612" spans="1:2" x14ac:dyDescent="0.25">
      <c r="A612" s="9" t="str">
        <f>IF('Frame Sections'!A627=0,"",'Frame Sections'!A627)</f>
        <v/>
      </c>
      <c r="B612" s="9" t="str">
        <f t="shared" si="9"/>
        <v/>
      </c>
    </row>
    <row r="613" spans="1:2" x14ac:dyDescent="0.25">
      <c r="A613" s="9" t="str">
        <f>IF('Frame Sections'!A628=0,"",'Frame Sections'!A628)</f>
        <v/>
      </c>
      <c r="B613" s="9" t="str">
        <f t="shared" si="9"/>
        <v/>
      </c>
    </row>
    <row r="614" spans="1:2" x14ac:dyDescent="0.25">
      <c r="A614" s="9" t="str">
        <f>IF('Frame Sections'!A629=0,"",'Frame Sections'!A629)</f>
        <v/>
      </c>
      <c r="B614" s="9" t="str">
        <f t="shared" si="9"/>
        <v/>
      </c>
    </row>
    <row r="615" spans="1:2" x14ac:dyDescent="0.25">
      <c r="A615" s="9" t="str">
        <f>IF('Frame Sections'!A630=0,"",'Frame Sections'!A630)</f>
        <v/>
      </c>
      <c r="B615" s="9" t="str">
        <f t="shared" si="9"/>
        <v/>
      </c>
    </row>
    <row r="616" spans="1:2" x14ac:dyDescent="0.25">
      <c r="A616" s="9" t="str">
        <f>IF('Frame Sections'!A631=0,"",'Frame Sections'!A631)</f>
        <v/>
      </c>
      <c r="B616" s="9" t="str">
        <f t="shared" si="9"/>
        <v/>
      </c>
    </row>
    <row r="617" spans="1:2" x14ac:dyDescent="0.25">
      <c r="A617" s="9" t="str">
        <f>IF('Frame Sections'!A632=0,"",'Frame Sections'!A632)</f>
        <v/>
      </c>
      <c r="B617" s="9" t="str">
        <f t="shared" si="9"/>
        <v/>
      </c>
    </row>
    <row r="618" spans="1:2" x14ac:dyDescent="0.25">
      <c r="A618" s="9" t="str">
        <f>IF('Frame Sections'!A633=0,"",'Frame Sections'!A633)</f>
        <v/>
      </c>
      <c r="B618" s="9" t="str">
        <f t="shared" si="9"/>
        <v/>
      </c>
    </row>
    <row r="619" spans="1:2" x14ac:dyDescent="0.25">
      <c r="A619" s="9" t="str">
        <f>IF('Frame Sections'!A634=0,"",'Frame Sections'!A634)</f>
        <v/>
      </c>
      <c r="B619" s="9" t="str">
        <f t="shared" si="9"/>
        <v/>
      </c>
    </row>
    <row r="620" spans="1:2" x14ac:dyDescent="0.25">
      <c r="A620" s="9" t="str">
        <f>IF('Frame Sections'!A635=0,"",'Frame Sections'!A635)</f>
        <v/>
      </c>
      <c r="B620" s="9" t="str">
        <f t="shared" si="9"/>
        <v/>
      </c>
    </row>
    <row r="621" spans="1:2" x14ac:dyDescent="0.25">
      <c r="A621" s="9" t="str">
        <f>IF('Frame Sections'!A636=0,"",'Frame Sections'!A636)</f>
        <v/>
      </c>
      <c r="B621" s="9" t="str">
        <f t="shared" si="9"/>
        <v/>
      </c>
    </row>
    <row r="622" spans="1:2" x14ac:dyDescent="0.25">
      <c r="A622" s="9" t="str">
        <f>IF('Frame Sections'!A637=0,"",'Frame Sections'!A637)</f>
        <v/>
      </c>
      <c r="B622" s="9" t="str">
        <f t="shared" si="9"/>
        <v/>
      </c>
    </row>
    <row r="623" spans="1:2" x14ac:dyDescent="0.25">
      <c r="A623" s="9" t="str">
        <f>IF('Frame Sections'!A638=0,"",'Frame Sections'!A638)</f>
        <v/>
      </c>
      <c r="B623" s="9" t="str">
        <f t="shared" si="9"/>
        <v/>
      </c>
    </row>
    <row r="624" spans="1:2" x14ac:dyDescent="0.25">
      <c r="A624" s="9" t="str">
        <f>IF('Frame Sections'!A639=0,"",'Frame Sections'!A639)</f>
        <v/>
      </c>
      <c r="B624" s="9" t="str">
        <f t="shared" si="9"/>
        <v/>
      </c>
    </row>
    <row r="625" spans="1:2" x14ac:dyDescent="0.25">
      <c r="A625" s="9" t="str">
        <f>IF('Frame Sections'!A640=0,"",'Frame Sections'!A640)</f>
        <v/>
      </c>
      <c r="B625" s="9" t="str">
        <f t="shared" si="9"/>
        <v/>
      </c>
    </row>
    <row r="626" spans="1:2" x14ac:dyDescent="0.25">
      <c r="A626" s="9" t="str">
        <f>IF('Frame Sections'!A641=0,"",'Frame Sections'!A641)</f>
        <v/>
      </c>
      <c r="B626" s="9" t="str">
        <f t="shared" si="9"/>
        <v/>
      </c>
    </row>
    <row r="627" spans="1:2" x14ac:dyDescent="0.25">
      <c r="A627" s="9" t="str">
        <f>IF('Frame Sections'!A642=0,"",'Frame Sections'!A642)</f>
        <v/>
      </c>
      <c r="B627" s="9" t="str">
        <f t="shared" si="9"/>
        <v/>
      </c>
    </row>
    <row r="628" spans="1:2" x14ac:dyDescent="0.25">
      <c r="A628" s="9" t="str">
        <f>IF('Frame Sections'!A643=0,"",'Frame Sections'!A643)</f>
        <v/>
      </c>
      <c r="B628" s="9" t="str">
        <f t="shared" si="9"/>
        <v/>
      </c>
    </row>
    <row r="629" spans="1:2" x14ac:dyDescent="0.25">
      <c r="A629" s="9" t="str">
        <f>IF('Frame Sections'!A644=0,"",'Frame Sections'!A644)</f>
        <v/>
      </c>
      <c r="B629" s="9" t="str">
        <f t="shared" si="9"/>
        <v/>
      </c>
    </row>
    <row r="630" spans="1:2" x14ac:dyDescent="0.25">
      <c r="A630" s="9" t="str">
        <f>IF('Frame Sections'!A645=0,"",'Frame Sections'!A645)</f>
        <v/>
      </c>
      <c r="B630" s="9" t="str">
        <f t="shared" si="9"/>
        <v/>
      </c>
    </row>
    <row r="631" spans="1:2" x14ac:dyDescent="0.25">
      <c r="A631" s="9" t="str">
        <f>IF('Frame Sections'!A646=0,"",'Frame Sections'!A646)</f>
        <v/>
      </c>
      <c r="B631" s="9" t="str">
        <f t="shared" si="9"/>
        <v/>
      </c>
    </row>
    <row r="632" spans="1:2" x14ac:dyDescent="0.25">
      <c r="A632" s="9" t="str">
        <f>IF('Frame Sections'!A647=0,"",'Frame Sections'!A647)</f>
        <v/>
      </c>
      <c r="B632" s="9" t="str">
        <f t="shared" si="9"/>
        <v/>
      </c>
    </row>
    <row r="633" spans="1:2" x14ac:dyDescent="0.25">
      <c r="A633" s="9" t="str">
        <f>IF('Frame Sections'!A648=0,"",'Frame Sections'!A648)</f>
        <v/>
      </c>
      <c r="B633" s="9" t="str">
        <f t="shared" si="9"/>
        <v/>
      </c>
    </row>
    <row r="634" spans="1:2" x14ac:dyDescent="0.25">
      <c r="A634" s="9" t="str">
        <f>IF('Frame Sections'!A649=0,"",'Frame Sections'!A649)</f>
        <v/>
      </c>
      <c r="B634" s="9" t="str">
        <f t="shared" si="9"/>
        <v/>
      </c>
    </row>
    <row r="635" spans="1:2" x14ac:dyDescent="0.25">
      <c r="A635" s="9" t="str">
        <f>IF('Frame Sections'!A650=0,"",'Frame Sections'!A650)</f>
        <v/>
      </c>
      <c r="B635" s="9" t="str">
        <f t="shared" si="9"/>
        <v/>
      </c>
    </row>
    <row r="636" spans="1:2" x14ac:dyDescent="0.25">
      <c r="A636" s="9" t="str">
        <f>IF('Frame Sections'!A651=0,"",'Frame Sections'!A651)</f>
        <v/>
      </c>
      <c r="B636" s="9" t="str">
        <f t="shared" si="9"/>
        <v/>
      </c>
    </row>
    <row r="637" spans="1:2" x14ac:dyDescent="0.25">
      <c r="A637" s="9" t="str">
        <f>IF('Frame Sections'!A652=0,"",'Frame Sections'!A652)</f>
        <v/>
      </c>
      <c r="B637" s="9" t="str">
        <f t="shared" si="9"/>
        <v/>
      </c>
    </row>
    <row r="638" spans="1:2" x14ac:dyDescent="0.25">
      <c r="A638" s="9" t="str">
        <f>IF('Frame Sections'!A653=0,"",'Frame Sections'!A653)</f>
        <v/>
      </c>
      <c r="B638" s="9" t="str">
        <f t="shared" si="9"/>
        <v/>
      </c>
    </row>
    <row r="639" spans="1:2" x14ac:dyDescent="0.25">
      <c r="A639" s="9" t="str">
        <f>IF('Frame Sections'!A654=0,"",'Frame Sections'!A654)</f>
        <v/>
      </c>
      <c r="B639" s="9" t="str">
        <f t="shared" si="9"/>
        <v/>
      </c>
    </row>
    <row r="640" spans="1:2" x14ac:dyDescent="0.25">
      <c r="A640" s="9" t="str">
        <f>IF('Frame Sections'!A655=0,"",'Frame Sections'!A655)</f>
        <v/>
      </c>
      <c r="B640" s="9" t="str">
        <f t="shared" si="9"/>
        <v/>
      </c>
    </row>
    <row r="641" spans="1:2" x14ac:dyDescent="0.25">
      <c r="A641" s="9" t="str">
        <f>IF('Frame Sections'!A656=0,"",'Frame Sections'!A656)</f>
        <v/>
      </c>
      <c r="B641" s="9" t="str">
        <f t="shared" si="9"/>
        <v/>
      </c>
    </row>
    <row r="642" spans="1:2" x14ac:dyDescent="0.25">
      <c r="A642" s="9" t="str">
        <f>IF('Frame Sections'!A657=0,"",'Frame Sections'!A657)</f>
        <v/>
      </c>
      <c r="B642" s="9" t="str">
        <f t="shared" ref="B642:B705" si="10">IF(OR(A642=0,A642=""),"",VLOOKUP(A642,SecDB,5,FALSE))</f>
        <v/>
      </c>
    </row>
    <row r="643" spans="1:2" x14ac:dyDescent="0.25">
      <c r="A643" s="9" t="str">
        <f>IF('Frame Sections'!A658=0,"",'Frame Sections'!A658)</f>
        <v/>
      </c>
      <c r="B643" s="9" t="str">
        <f t="shared" si="10"/>
        <v/>
      </c>
    </row>
    <row r="644" spans="1:2" x14ac:dyDescent="0.25">
      <c r="A644" s="9" t="str">
        <f>IF('Frame Sections'!A659=0,"",'Frame Sections'!A659)</f>
        <v/>
      </c>
      <c r="B644" s="9" t="str">
        <f t="shared" si="10"/>
        <v/>
      </c>
    </row>
    <row r="645" spans="1:2" x14ac:dyDescent="0.25">
      <c r="A645" s="9" t="str">
        <f>IF('Frame Sections'!A660=0,"",'Frame Sections'!A660)</f>
        <v/>
      </c>
      <c r="B645" s="9" t="str">
        <f t="shared" si="10"/>
        <v/>
      </c>
    </row>
    <row r="646" spans="1:2" x14ac:dyDescent="0.25">
      <c r="A646" s="9" t="str">
        <f>IF('Frame Sections'!A661=0,"",'Frame Sections'!A661)</f>
        <v/>
      </c>
      <c r="B646" s="9" t="str">
        <f t="shared" si="10"/>
        <v/>
      </c>
    </row>
    <row r="647" spans="1:2" x14ac:dyDescent="0.25">
      <c r="A647" s="9" t="str">
        <f>IF('Frame Sections'!A662=0,"",'Frame Sections'!A662)</f>
        <v/>
      </c>
      <c r="B647" s="9" t="str">
        <f t="shared" si="10"/>
        <v/>
      </c>
    </row>
    <row r="648" spans="1:2" x14ac:dyDescent="0.25">
      <c r="A648" s="9" t="str">
        <f>IF('Frame Sections'!A663=0,"",'Frame Sections'!A663)</f>
        <v/>
      </c>
      <c r="B648" s="9" t="str">
        <f t="shared" si="10"/>
        <v/>
      </c>
    </row>
    <row r="649" spans="1:2" x14ac:dyDescent="0.25">
      <c r="A649" s="9" t="str">
        <f>IF('Frame Sections'!A664=0,"",'Frame Sections'!A664)</f>
        <v/>
      </c>
      <c r="B649" s="9" t="str">
        <f t="shared" si="10"/>
        <v/>
      </c>
    </row>
    <row r="650" spans="1:2" x14ac:dyDescent="0.25">
      <c r="A650" s="9" t="str">
        <f>IF('Frame Sections'!A665=0,"",'Frame Sections'!A665)</f>
        <v/>
      </c>
      <c r="B650" s="9" t="str">
        <f t="shared" si="10"/>
        <v/>
      </c>
    </row>
    <row r="651" spans="1:2" x14ac:dyDescent="0.25">
      <c r="A651" s="9" t="str">
        <f>IF('Frame Sections'!A666=0,"",'Frame Sections'!A666)</f>
        <v/>
      </c>
      <c r="B651" s="9" t="str">
        <f t="shared" si="10"/>
        <v/>
      </c>
    </row>
    <row r="652" spans="1:2" x14ac:dyDescent="0.25">
      <c r="A652" s="9" t="str">
        <f>IF('Frame Sections'!A667=0,"",'Frame Sections'!A667)</f>
        <v/>
      </c>
      <c r="B652" s="9" t="str">
        <f t="shared" si="10"/>
        <v/>
      </c>
    </row>
    <row r="653" spans="1:2" x14ac:dyDescent="0.25">
      <c r="A653" s="9" t="str">
        <f>IF('Frame Sections'!A668=0,"",'Frame Sections'!A668)</f>
        <v/>
      </c>
      <c r="B653" s="9" t="str">
        <f t="shared" si="10"/>
        <v/>
      </c>
    </row>
    <row r="654" spans="1:2" x14ac:dyDescent="0.25">
      <c r="A654" s="9" t="str">
        <f>IF('Frame Sections'!A669=0,"",'Frame Sections'!A669)</f>
        <v/>
      </c>
      <c r="B654" s="9" t="str">
        <f t="shared" si="10"/>
        <v/>
      </c>
    </row>
    <row r="655" spans="1:2" x14ac:dyDescent="0.25">
      <c r="A655" s="9" t="str">
        <f>IF('Frame Sections'!A670=0,"",'Frame Sections'!A670)</f>
        <v/>
      </c>
      <c r="B655" s="9" t="str">
        <f t="shared" si="10"/>
        <v/>
      </c>
    </row>
    <row r="656" spans="1:2" x14ac:dyDescent="0.25">
      <c r="A656" s="9" t="str">
        <f>IF('Frame Sections'!A671=0,"",'Frame Sections'!A671)</f>
        <v/>
      </c>
      <c r="B656" s="9" t="str">
        <f t="shared" si="10"/>
        <v/>
      </c>
    </row>
    <row r="657" spans="1:2" x14ac:dyDescent="0.25">
      <c r="A657" s="9" t="str">
        <f>IF('Frame Sections'!A672=0,"",'Frame Sections'!A672)</f>
        <v/>
      </c>
      <c r="B657" s="9" t="str">
        <f t="shared" si="10"/>
        <v/>
      </c>
    </row>
    <row r="658" spans="1:2" x14ac:dyDescent="0.25">
      <c r="A658" s="9" t="str">
        <f>IF('Frame Sections'!A673=0,"",'Frame Sections'!A673)</f>
        <v/>
      </c>
      <c r="B658" s="9" t="str">
        <f t="shared" si="10"/>
        <v/>
      </c>
    </row>
    <row r="659" spans="1:2" x14ac:dyDescent="0.25">
      <c r="A659" s="9" t="str">
        <f>IF('Frame Sections'!A674=0,"",'Frame Sections'!A674)</f>
        <v/>
      </c>
      <c r="B659" s="9" t="str">
        <f t="shared" si="10"/>
        <v/>
      </c>
    </row>
    <row r="660" spans="1:2" x14ac:dyDescent="0.25">
      <c r="A660" s="9" t="str">
        <f>IF('Frame Sections'!A675=0,"",'Frame Sections'!A675)</f>
        <v/>
      </c>
      <c r="B660" s="9" t="str">
        <f t="shared" si="10"/>
        <v/>
      </c>
    </row>
    <row r="661" spans="1:2" x14ac:dyDescent="0.25">
      <c r="A661" s="9" t="str">
        <f>IF('Frame Sections'!A676=0,"",'Frame Sections'!A676)</f>
        <v/>
      </c>
      <c r="B661" s="9" t="str">
        <f t="shared" si="10"/>
        <v/>
      </c>
    </row>
    <row r="662" spans="1:2" x14ac:dyDescent="0.25">
      <c r="A662" s="9" t="str">
        <f>IF('Frame Sections'!A677=0,"",'Frame Sections'!A677)</f>
        <v/>
      </c>
      <c r="B662" s="9" t="str">
        <f t="shared" si="10"/>
        <v/>
      </c>
    </row>
    <row r="663" spans="1:2" x14ac:dyDescent="0.25">
      <c r="A663" s="9" t="str">
        <f>IF('Frame Sections'!A678=0,"",'Frame Sections'!A678)</f>
        <v/>
      </c>
      <c r="B663" s="9" t="str">
        <f t="shared" si="10"/>
        <v/>
      </c>
    </row>
    <row r="664" spans="1:2" x14ac:dyDescent="0.25">
      <c r="A664" s="9" t="str">
        <f>IF('Frame Sections'!A679=0,"",'Frame Sections'!A679)</f>
        <v/>
      </c>
      <c r="B664" s="9" t="str">
        <f t="shared" si="10"/>
        <v/>
      </c>
    </row>
    <row r="665" spans="1:2" x14ac:dyDescent="0.25">
      <c r="A665" s="9" t="str">
        <f>IF('Frame Sections'!A680=0,"",'Frame Sections'!A680)</f>
        <v/>
      </c>
      <c r="B665" s="9" t="str">
        <f t="shared" si="10"/>
        <v/>
      </c>
    </row>
    <row r="666" spans="1:2" x14ac:dyDescent="0.25">
      <c r="A666" s="9" t="str">
        <f>IF('Frame Sections'!A681=0,"",'Frame Sections'!A681)</f>
        <v/>
      </c>
      <c r="B666" s="9" t="str">
        <f t="shared" si="10"/>
        <v/>
      </c>
    </row>
    <row r="667" spans="1:2" x14ac:dyDescent="0.25">
      <c r="A667" s="9" t="str">
        <f>IF('Frame Sections'!A682=0,"",'Frame Sections'!A682)</f>
        <v/>
      </c>
      <c r="B667" s="9" t="str">
        <f t="shared" si="10"/>
        <v/>
      </c>
    </row>
    <row r="668" spans="1:2" x14ac:dyDescent="0.25">
      <c r="A668" s="9" t="str">
        <f>IF('Frame Sections'!A683=0,"",'Frame Sections'!A683)</f>
        <v/>
      </c>
      <c r="B668" s="9" t="str">
        <f t="shared" si="10"/>
        <v/>
      </c>
    </row>
    <row r="669" spans="1:2" x14ac:dyDescent="0.25">
      <c r="A669" s="9" t="str">
        <f>IF('Frame Sections'!A684=0,"",'Frame Sections'!A684)</f>
        <v/>
      </c>
      <c r="B669" s="9" t="str">
        <f t="shared" si="10"/>
        <v/>
      </c>
    </row>
    <row r="670" spans="1:2" x14ac:dyDescent="0.25">
      <c r="A670" s="9" t="str">
        <f>IF('Frame Sections'!A685=0,"",'Frame Sections'!A685)</f>
        <v/>
      </c>
      <c r="B670" s="9" t="str">
        <f t="shared" si="10"/>
        <v/>
      </c>
    </row>
    <row r="671" spans="1:2" x14ac:dyDescent="0.25">
      <c r="A671" s="9" t="str">
        <f>IF('Frame Sections'!A686=0,"",'Frame Sections'!A686)</f>
        <v/>
      </c>
      <c r="B671" s="9" t="str">
        <f t="shared" si="10"/>
        <v/>
      </c>
    </row>
    <row r="672" spans="1:2" x14ac:dyDescent="0.25">
      <c r="A672" s="9" t="str">
        <f>IF('Frame Sections'!A687=0,"",'Frame Sections'!A687)</f>
        <v/>
      </c>
      <c r="B672" s="9" t="str">
        <f t="shared" si="10"/>
        <v/>
      </c>
    </row>
    <row r="673" spans="1:2" x14ac:dyDescent="0.25">
      <c r="A673" s="9" t="str">
        <f>IF('Frame Sections'!A688=0,"",'Frame Sections'!A688)</f>
        <v/>
      </c>
      <c r="B673" s="9" t="str">
        <f t="shared" si="10"/>
        <v/>
      </c>
    </row>
    <row r="674" spans="1:2" x14ac:dyDescent="0.25">
      <c r="A674" s="9" t="str">
        <f>IF('Frame Sections'!A689=0,"",'Frame Sections'!A689)</f>
        <v/>
      </c>
      <c r="B674" s="9" t="str">
        <f t="shared" si="10"/>
        <v/>
      </c>
    </row>
    <row r="675" spans="1:2" x14ac:dyDescent="0.25">
      <c r="A675" s="9" t="str">
        <f>IF('Frame Sections'!A690=0,"",'Frame Sections'!A690)</f>
        <v/>
      </c>
      <c r="B675" s="9" t="str">
        <f t="shared" si="10"/>
        <v/>
      </c>
    </row>
    <row r="676" spans="1:2" x14ac:dyDescent="0.25">
      <c r="A676" s="9" t="str">
        <f>IF('Frame Sections'!A691=0,"",'Frame Sections'!A691)</f>
        <v/>
      </c>
      <c r="B676" s="9" t="str">
        <f t="shared" si="10"/>
        <v/>
      </c>
    </row>
    <row r="677" spans="1:2" x14ac:dyDescent="0.25">
      <c r="A677" s="9" t="str">
        <f>IF('Frame Sections'!A692=0,"",'Frame Sections'!A692)</f>
        <v/>
      </c>
      <c r="B677" s="9" t="str">
        <f t="shared" si="10"/>
        <v/>
      </c>
    </row>
    <row r="678" spans="1:2" x14ac:dyDescent="0.25">
      <c r="A678" s="9" t="str">
        <f>IF('Frame Sections'!A693=0,"",'Frame Sections'!A693)</f>
        <v/>
      </c>
      <c r="B678" s="9" t="str">
        <f t="shared" si="10"/>
        <v/>
      </c>
    </row>
    <row r="679" spans="1:2" x14ac:dyDescent="0.25">
      <c r="A679" s="9" t="str">
        <f>IF('Frame Sections'!A694=0,"",'Frame Sections'!A694)</f>
        <v/>
      </c>
      <c r="B679" s="9" t="str">
        <f t="shared" si="10"/>
        <v/>
      </c>
    </row>
    <row r="680" spans="1:2" x14ac:dyDescent="0.25">
      <c r="A680" s="9" t="str">
        <f>IF('Frame Sections'!A695=0,"",'Frame Sections'!A695)</f>
        <v/>
      </c>
      <c r="B680" s="9" t="str">
        <f t="shared" si="10"/>
        <v/>
      </c>
    </row>
    <row r="681" spans="1:2" x14ac:dyDescent="0.25">
      <c r="A681" s="9" t="str">
        <f>IF('Frame Sections'!A696=0,"",'Frame Sections'!A696)</f>
        <v/>
      </c>
      <c r="B681" s="9" t="str">
        <f t="shared" si="10"/>
        <v/>
      </c>
    </row>
    <row r="682" spans="1:2" x14ac:dyDescent="0.25">
      <c r="A682" s="9" t="str">
        <f>IF('Frame Sections'!A697=0,"",'Frame Sections'!A697)</f>
        <v/>
      </c>
      <c r="B682" s="9" t="str">
        <f t="shared" si="10"/>
        <v/>
      </c>
    </row>
    <row r="683" spans="1:2" x14ac:dyDescent="0.25">
      <c r="A683" s="9" t="str">
        <f>IF('Frame Sections'!A698=0,"",'Frame Sections'!A698)</f>
        <v/>
      </c>
      <c r="B683" s="9" t="str">
        <f t="shared" si="10"/>
        <v/>
      </c>
    </row>
    <row r="684" spans="1:2" x14ac:dyDescent="0.25">
      <c r="A684" s="9" t="str">
        <f>IF('Frame Sections'!A699=0,"",'Frame Sections'!A699)</f>
        <v/>
      </c>
      <c r="B684" s="9" t="str">
        <f t="shared" si="10"/>
        <v/>
      </c>
    </row>
    <row r="685" spans="1:2" x14ac:dyDescent="0.25">
      <c r="A685" s="9" t="str">
        <f>IF('Frame Sections'!A700=0,"",'Frame Sections'!A700)</f>
        <v/>
      </c>
      <c r="B685" s="9" t="str">
        <f t="shared" si="10"/>
        <v/>
      </c>
    </row>
    <row r="686" spans="1:2" x14ac:dyDescent="0.25">
      <c r="A686" s="9" t="str">
        <f>IF('Frame Sections'!A701=0,"",'Frame Sections'!A701)</f>
        <v/>
      </c>
      <c r="B686" s="9" t="str">
        <f t="shared" si="10"/>
        <v/>
      </c>
    </row>
    <row r="687" spans="1:2" x14ac:dyDescent="0.25">
      <c r="A687" s="9" t="str">
        <f>IF('Frame Sections'!A702=0,"",'Frame Sections'!A702)</f>
        <v/>
      </c>
      <c r="B687" s="9" t="str">
        <f t="shared" si="10"/>
        <v/>
      </c>
    </row>
    <row r="688" spans="1:2" x14ac:dyDescent="0.25">
      <c r="A688" s="9" t="str">
        <f>IF('Frame Sections'!A703=0,"",'Frame Sections'!A703)</f>
        <v/>
      </c>
      <c r="B688" s="9" t="str">
        <f t="shared" si="10"/>
        <v/>
      </c>
    </row>
    <row r="689" spans="1:2" x14ac:dyDescent="0.25">
      <c r="A689" s="9" t="str">
        <f>IF('Frame Sections'!A704=0,"",'Frame Sections'!A704)</f>
        <v/>
      </c>
      <c r="B689" s="9" t="str">
        <f t="shared" si="10"/>
        <v/>
      </c>
    </row>
    <row r="690" spans="1:2" x14ac:dyDescent="0.25">
      <c r="A690" s="9" t="str">
        <f>IF('Frame Sections'!A705=0,"",'Frame Sections'!A705)</f>
        <v/>
      </c>
      <c r="B690" s="9" t="str">
        <f t="shared" si="10"/>
        <v/>
      </c>
    </row>
    <row r="691" spans="1:2" x14ac:dyDescent="0.25">
      <c r="A691" s="9" t="str">
        <f>IF('Frame Sections'!A706=0,"",'Frame Sections'!A706)</f>
        <v/>
      </c>
      <c r="B691" s="9" t="str">
        <f t="shared" si="10"/>
        <v/>
      </c>
    </row>
    <row r="692" spans="1:2" x14ac:dyDescent="0.25">
      <c r="A692" s="9" t="str">
        <f>IF('Frame Sections'!A707=0,"",'Frame Sections'!A707)</f>
        <v/>
      </c>
      <c r="B692" s="9" t="str">
        <f t="shared" si="10"/>
        <v/>
      </c>
    </row>
    <row r="693" spans="1:2" x14ac:dyDescent="0.25">
      <c r="A693" s="9" t="str">
        <f>IF('Frame Sections'!A708=0,"",'Frame Sections'!A708)</f>
        <v/>
      </c>
      <c r="B693" s="9" t="str">
        <f t="shared" si="10"/>
        <v/>
      </c>
    </row>
    <row r="694" spans="1:2" x14ac:dyDescent="0.25">
      <c r="A694" s="9" t="str">
        <f>IF('Frame Sections'!A709=0,"",'Frame Sections'!A709)</f>
        <v/>
      </c>
      <c r="B694" s="9" t="str">
        <f t="shared" si="10"/>
        <v/>
      </c>
    </row>
    <row r="695" spans="1:2" x14ac:dyDescent="0.25">
      <c r="A695" s="9" t="str">
        <f>IF('Frame Sections'!A710=0,"",'Frame Sections'!A710)</f>
        <v/>
      </c>
      <c r="B695" s="9" t="str">
        <f t="shared" si="10"/>
        <v/>
      </c>
    </row>
    <row r="696" spans="1:2" x14ac:dyDescent="0.25">
      <c r="A696" s="9" t="str">
        <f>IF('Frame Sections'!A711=0,"",'Frame Sections'!A711)</f>
        <v/>
      </c>
      <c r="B696" s="9" t="str">
        <f t="shared" si="10"/>
        <v/>
      </c>
    </row>
    <row r="697" spans="1:2" x14ac:dyDescent="0.25">
      <c r="A697" s="9" t="str">
        <f>IF('Frame Sections'!A712=0,"",'Frame Sections'!A712)</f>
        <v/>
      </c>
      <c r="B697" s="9" t="str">
        <f t="shared" si="10"/>
        <v/>
      </c>
    </row>
    <row r="698" spans="1:2" x14ac:dyDescent="0.25">
      <c r="A698" s="9" t="str">
        <f>IF('Frame Sections'!A713=0,"",'Frame Sections'!A713)</f>
        <v/>
      </c>
      <c r="B698" s="9" t="str">
        <f t="shared" si="10"/>
        <v/>
      </c>
    </row>
    <row r="699" spans="1:2" x14ac:dyDescent="0.25">
      <c r="A699" s="9" t="str">
        <f>IF('Frame Sections'!A714=0,"",'Frame Sections'!A714)</f>
        <v/>
      </c>
      <c r="B699" s="9" t="str">
        <f t="shared" si="10"/>
        <v/>
      </c>
    </row>
    <row r="700" spans="1:2" x14ac:dyDescent="0.25">
      <c r="A700" s="9" t="str">
        <f>IF('Frame Sections'!A715=0,"",'Frame Sections'!A715)</f>
        <v/>
      </c>
      <c r="B700" s="9" t="str">
        <f t="shared" si="10"/>
        <v/>
      </c>
    </row>
    <row r="701" spans="1:2" x14ac:dyDescent="0.25">
      <c r="A701" s="9" t="str">
        <f>IF('Frame Sections'!A716=0,"",'Frame Sections'!A716)</f>
        <v/>
      </c>
      <c r="B701" s="9" t="str">
        <f t="shared" si="10"/>
        <v/>
      </c>
    </row>
    <row r="702" spans="1:2" x14ac:dyDescent="0.25">
      <c r="A702" s="9" t="str">
        <f>IF('Frame Sections'!A717=0,"",'Frame Sections'!A717)</f>
        <v/>
      </c>
      <c r="B702" s="9" t="str">
        <f t="shared" si="10"/>
        <v/>
      </c>
    </row>
    <row r="703" spans="1:2" x14ac:dyDescent="0.25">
      <c r="A703" s="9" t="str">
        <f>IF('Frame Sections'!A718=0,"",'Frame Sections'!A718)</f>
        <v/>
      </c>
      <c r="B703" s="9" t="str">
        <f t="shared" si="10"/>
        <v/>
      </c>
    </row>
    <row r="704" spans="1:2" x14ac:dyDescent="0.25">
      <c r="A704" s="9" t="str">
        <f>IF('Frame Sections'!A719=0,"",'Frame Sections'!A719)</f>
        <v/>
      </c>
      <c r="B704" s="9" t="str">
        <f t="shared" si="10"/>
        <v/>
      </c>
    </row>
    <row r="705" spans="1:2" x14ac:dyDescent="0.25">
      <c r="A705" s="9" t="str">
        <f>IF('Frame Sections'!A720=0,"",'Frame Sections'!A720)</f>
        <v/>
      </c>
      <c r="B705" s="9" t="str">
        <f t="shared" si="10"/>
        <v/>
      </c>
    </row>
    <row r="706" spans="1:2" x14ac:dyDescent="0.25">
      <c r="A706" s="9" t="str">
        <f>IF('Frame Sections'!A721=0,"",'Frame Sections'!A721)</f>
        <v/>
      </c>
      <c r="B706" s="9" t="str">
        <f t="shared" ref="B706:B769" si="11">IF(OR(A706=0,A706=""),"",VLOOKUP(A706,SecDB,5,FALSE))</f>
        <v/>
      </c>
    </row>
    <row r="707" spans="1:2" x14ac:dyDescent="0.25">
      <c r="A707" s="9" t="str">
        <f>IF('Frame Sections'!A722=0,"",'Frame Sections'!A722)</f>
        <v/>
      </c>
      <c r="B707" s="9" t="str">
        <f t="shared" si="11"/>
        <v/>
      </c>
    </row>
    <row r="708" spans="1:2" x14ac:dyDescent="0.25">
      <c r="A708" s="9" t="str">
        <f>IF('Frame Sections'!A723=0,"",'Frame Sections'!A723)</f>
        <v/>
      </c>
      <c r="B708" s="9" t="str">
        <f t="shared" si="11"/>
        <v/>
      </c>
    </row>
    <row r="709" spans="1:2" x14ac:dyDescent="0.25">
      <c r="A709" s="9" t="str">
        <f>IF('Frame Sections'!A724=0,"",'Frame Sections'!A724)</f>
        <v/>
      </c>
      <c r="B709" s="9" t="str">
        <f t="shared" si="11"/>
        <v/>
      </c>
    </row>
    <row r="710" spans="1:2" x14ac:dyDescent="0.25">
      <c r="A710" s="9" t="str">
        <f>IF('Frame Sections'!A725=0,"",'Frame Sections'!A725)</f>
        <v/>
      </c>
      <c r="B710" s="9" t="str">
        <f t="shared" si="11"/>
        <v/>
      </c>
    </row>
    <row r="711" spans="1:2" x14ac:dyDescent="0.25">
      <c r="A711" s="9" t="str">
        <f>IF('Frame Sections'!A726=0,"",'Frame Sections'!A726)</f>
        <v/>
      </c>
      <c r="B711" s="9" t="str">
        <f t="shared" si="11"/>
        <v/>
      </c>
    </row>
    <row r="712" spans="1:2" x14ac:dyDescent="0.25">
      <c r="A712" s="9" t="str">
        <f>IF('Frame Sections'!A727=0,"",'Frame Sections'!A727)</f>
        <v/>
      </c>
      <c r="B712" s="9" t="str">
        <f t="shared" si="11"/>
        <v/>
      </c>
    </row>
    <row r="713" spans="1:2" x14ac:dyDescent="0.25">
      <c r="A713" s="9" t="str">
        <f>IF('Frame Sections'!A728=0,"",'Frame Sections'!A728)</f>
        <v/>
      </c>
      <c r="B713" s="9" t="str">
        <f t="shared" si="11"/>
        <v/>
      </c>
    </row>
    <row r="714" spans="1:2" x14ac:dyDescent="0.25">
      <c r="A714" s="9" t="str">
        <f>IF('Frame Sections'!A729=0,"",'Frame Sections'!A729)</f>
        <v/>
      </c>
      <c r="B714" s="9" t="str">
        <f t="shared" si="11"/>
        <v/>
      </c>
    </row>
    <row r="715" spans="1:2" x14ac:dyDescent="0.25">
      <c r="A715" s="9" t="str">
        <f>IF('Frame Sections'!A730=0,"",'Frame Sections'!A730)</f>
        <v/>
      </c>
      <c r="B715" s="9" t="str">
        <f t="shared" si="11"/>
        <v/>
      </c>
    </row>
    <row r="716" spans="1:2" x14ac:dyDescent="0.25">
      <c r="A716" s="9" t="str">
        <f>IF('Frame Sections'!A731=0,"",'Frame Sections'!A731)</f>
        <v/>
      </c>
      <c r="B716" s="9" t="str">
        <f t="shared" si="11"/>
        <v/>
      </c>
    </row>
    <row r="717" spans="1:2" x14ac:dyDescent="0.25">
      <c r="A717" s="9" t="str">
        <f>IF('Frame Sections'!A732=0,"",'Frame Sections'!A732)</f>
        <v/>
      </c>
      <c r="B717" s="9" t="str">
        <f t="shared" si="11"/>
        <v/>
      </c>
    </row>
    <row r="718" spans="1:2" x14ac:dyDescent="0.25">
      <c r="A718" s="9" t="str">
        <f>IF('Frame Sections'!A733=0,"",'Frame Sections'!A733)</f>
        <v/>
      </c>
      <c r="B718" s="9" t="str">
        <f t="shared" si="11"/>
        <v/>
      </c>
    </row>
    <row r="719" spans="1:2" x14ac:dyDescent="0.25">
      <c r="A719" s="9" t="str">
        <f>IF('Frame Sections'!A734=0,"",'Frame Sections'!A734)</f>
        <v/>
      </c>
      <c r="B719" s="9" t="str">
        <f t="shared" si="11"/>
        <v/>
      </c>
    </row>
    <row r="720" spans="1:2" x14ac:dyDescent="0.25">
      <c r="A720" s="9" t="str">
        <f>IF('Frame Sections'!A735=0,"",'Frame Sections'!A735)</f>
        <v/>
      </c>
      <c r="B720" s="9" t="str">
        <f t="shared" si="11"/>
        <v/>
      </c>
    </row>
    <row r="721" spans="1:2" x14ac:dyDescent="0.25">
      <c r="A721" s="9" t="str">
        <f>IF('Frame Sections'!A736=0,"",'Frame Sections'!A736)</f>
        <v/>
      </c>
      <c r="B721" s="9" t="str">
        <f t="shared" si="11"/>
        <v/>
      </c>
    </row>
    <row r="722" spans="1:2" x14ac:dyDescent="0.25">
      <c r="A722" s="9" t="str">
        <f>IF('Frame Sections'!A737=0,"",'Frame Sections'!A737)</f>
        <v/>
      </c>
      <c r="B722" s="9" t="str">
        <f t="shared" si="11"/>
        <v/>
      </c>
    </row>
    <row r="723" spans="1:2" x14ac:dyDescent="0.25">
      <c r="A723" s="9" t="str">
        <f>IF('Frame Sections'!A738=0,"",'Frame Sections'!A738)</f>
        <v/>
      </c>
      <c r="B723" s="9" t="str">
        <f t="shared" si="11"/>
        <v/>
      </c>
    </row>
    <row r="724" spans="1:2" x14ac:dyDescent="0.25">
      <c r="A724" s="9" t="str">
        <f>IF('Frame Sections'!A739=0,"",'Frame Sections'!A739)</f>
        <v/>
      </c>
      <c r="B724" s="9" t="str">
        <f t="shared" si="11"/>
        <v/>
      </c>
    </row>
    <row r="725" spans="1:2" x14ac:dyDescent="0.25">
      <c r="A725" s="9" t="str">
        <f>IF('Frame Sections'!A740=0,"",'Frame Sections'!A740)</f>
        <v/>
      </c>
      <c r="B725" s="9" t="str">
        <f t="shared" si="11"/>
        <v/>
      </c>
    </row>
    <row r="726" spans="1:2" x14ac:dyDescent="0.25">
      <c r="A726" s="9" t="str">
        <f>IF('Frame Sections'!A741=0,"",'Frame Sections'!A741)</f>
        <v/>
      </c>
      <c r="B726" s="9" t="str">
        <f t="shared" si="11"/>
        <v/>
      </c>
    </row>
    <row r="727" spans="1:2" x14ac:dyDescent="0.25">
      <c r="A727" s="9" t="str">
        <f>IF('Frame Sections'!A742=0,"",'Frame Sections'!A742)</f>
        <v/>
      </c>
      <c r="B727" s="9" t="str">
        <f t="shared" si="11"/>
        <v/>
      </c>
    </row>
    <row r="728" spans="1:2" x14ac:dyDescent="0.25">
      <c r="A728" s="9" t="str">
        <f>IF('Frame Sections'!A743=0,"",'Frame Sections'!A743)</f>
        <v/>
      </c>
      <c r="B728" s="9" t="str">
        <f t="shared" si="11"/>
        <v/>
      </c>
    </row>
    <row r="729" spans="1:2" x14ac:dyDescent="0.25">
      <c r="A729" s="9" t="str">
        <f>IF('Frame Sections'!A744=0,"",'Frame Sections'!A744)</f>
        <v/>
      </c>
      <c r="B729" s="9" t="str">
        <f t="shared" si="11"/>
        <v/>
      </c>
    </row>
    <row r="730" spans="1:2" x14ac:dyDescent="0.25">
      <c r="A730" s="9" t="str">
        <f>IF('Frame Sections'!A745=0,"",'Frame Sections'!A745)</f>
        <v/>
      </c>
      <c r="B730" s="9" t="str">
        <f t="shared" si="11"/>
        <v/>
      </c>
    </row>
    <row r="731" spans="1:2" x14ac:dyDescent="0.25">
      <c r="A731" s="9" t="str">
        <f>IF('Frame Sections'!A746=0,"",'Frame Sections'!A746)</f>
        <v/>
      </c>
      <c r="B731" s="9" t="str">
        <f t="shared" si="11"/>
        <v/>
      </c>
    </row>
    <row r="732" spans="1:2" x14ac:dyDescent="0.25">
      <c r="A732" s="9" t="str">
        <f>IF('Frame Sections'!A747=0,"",'Frame Sections'!A747)</f>
        <v/>
      </c>
      <c r="B732" s="9" t="str">
        <f t="shared" si="11"/>
        <v/>
      </c>
    </row>
    <row r="733" spans="1:2" x14ac:dyDescent="0.25">
      <c r="A733" s="9" t="str">
        <f>IF('Frame Sections'!A748=0,"",'Frame Sections'!A748)</f>
        <v/>
      </c>
      <c r="B733" s="9" t="str">
        <f t="shared" si="11"/>
        <v/>
      </c>
    </row>
    <row r="734" spans="1:2" x14ac:dyDescent="0.25">
      <c r="A734" s="9" t="str">
        <f>IF('Frame Sections'!A749=0,"",'Frame Sections'!A749)</f>
        <v/>
      </c>
      <c r="B734" s="9" t="str">
        <f t="shared" si="11"/>
        <v/>
      </c>
    </row>
    <row r="735" spans="1:2" x14ac:dyDescent="0.25">
      <c r="A735" s="9" t="str">
        <f>IF('Frame Sections'!A750=0,"",'Frame Sections'!A750)</f>
        <v/>
      </c>
      <c r="B735" s="9" t="str">
        <f t="shared" si="11"/>
        <v/>
      </c>
    </row>
    <row r="736" spans="1:2" x14ac:dyDescent="0.25">
      <c r="A736" s="9" t="str">
        <f>IF('Frame Sections'!A751=0,"",'Frame Sections'!A751)</f>
        <v/>
      </c>
      <c r="B736" s="9" t="str">
        <f t="shared" si="11"/>
        <v/>
      </c>
    </row>
    <row r="737" spans="1:2" x14ac:dyDescent="0.25">
      <c r="A737" s="9" t="str">
        <f>IF('Frame Sections'!A752=0,"",'Frame Sections'!A752)</f>
        <v/>
      </c>
      <c r="B737" s="9" t="str">
        <f t="shared" si="11"/>
        <v/>
      </c>
    </row>
    <row r="738" spans="1:2" x14ac:dyDescent="0.25">
      <c r="A738" s="9" t="str">
        <f>IF('Frame Sections'!A753=0,"",'Frame Sections'!A753)</f>
        <v/>
      </c>
      <c r="B738" s="9" t="str">
        <f t="shared" si="11"/>
        <v/>
      </c>
    </row>
    <row r="739" spans="1:2" x14ac:dyDescent="0.25">
      <c r="A739" s="9" t="str">
        <f>IF('Frame Sections'!A754=0,"",'Frame Sections'!A754)</f>
        <v/>
      </c>
      <c r="B739" s="9" t="str">
        <f t="shared" si="11"/>
        <v/>
      </c>
    </row>
    <row r="740" spans="1:2" x14ac:dyDescent="0.25">
      <c r="A740" s="9" t="str">
        <f>IF('Frame Sections'!A755=0,"",'Frame Sections'!A755)</f>
        <v/>
      </c>
      <c r="B740" s="9" t="str">
        <f t="shared" si="11"/>
        <v/>
      </c>
    </row>
    <row r="741" spans="1:2" x14ac:dyDescent="0.25">
      <c r="A741" s="9" t="str">
        <f>IF('Frame Sections'!A756=0,"",'Frame Sections'!A756)</f>
        <v/>
      </c>
      <c r="B741" s="9" t="str">
        <f t="shared" si="11"/>
        <v/>
      </c>
    </row>
    <row r="742" spans="1:2" x14ac:dyDescent="0.25">
      <c r="A742" s="9" t="str">
        <f>IF('Frame Sections'!A757=0,"",'Frame Sections'!A757)</f>
        <v/>
      </c>
      <c r="B742" s="9" t="str">
        <f t="shared" si="11"/>
        <v/>
      </c>
    </row>
    <row r="743" spans="1:2" x14ac:dyDescent="0.25">
      <c r="A743" s="9" t="str">
        <f>IF('Frame Sections'!A758=0,"",'Frame Sections'!A758)</f>
        <v/>
      </c>
      <c r="B743" s="9" t="str">
        <f t="shared" si="11"/>
        <v/>
      </c>
    </row>
    <row r="744" spans="1:2" x14ac:dyDescent="0.25">
      <c r="A744" s="9" t="str">
        <f>IF('Frame Sections'!A759=0,"",'Frame Sections'!A759)</f>
        <v/>
      </c>
      <c r="B744" s="9" t="str">
        <f t="shared" si="11"/>
        <v/>
      </c>
    </row>
    <row r="745" spans="1:2" x14ac:dyDescent="0.25">
      <c r="A745" s="9" t="str">
        <f>IF('Frame Sections'!A760=0,"",'Frame Sections'!A760)</f>
        <v/>
      </c>
      <c r="B745" s="9" t="str">
        <f t="shared" si="11"/>
        <v/>
      </c>
    </row>
    <row r="746" spans="1:2" x14ac:dyDescent="0.25">
      <c r="A746" s="9" t="str">
        <f>IF('Frame Sections'!A761=0,"",'Frame Sections'!A761)</f>
        <v/>
      </c>
      <c r="B746" s="9" t="str">
        <f t="shared" si="11"/>
        <v/>
      </c>
    </row>
    <row r="747" spans="1:2" x14ac:dyDescent="0.25">
      <c r="A747" s="9" t="str">
        <f>IF('Frame Sections'!A762=0,"",'Frame Sections'!A762)</f>
        <v/>
      </c>
      <c r="B747" s="9" t="str">
        <f t="shared" si="11"/>
        <v/>
      </c>
    </row>
    <row r="748" spans="1:2" x14ac:dyDescent="0.25">
      <c r="A748" s="9" t="str">
        <f>IF('Frame Sections'!A763=0,"",'Frame Sections'!A763)</f>
        <v/>
      </c>
      <c r="B748" s="9" t="str">
        <f t="shared" si="11"/>
        <v/>
      </c>
    </row>
    <row r="749" spans="1:2" x14ac:dyDescent="0.25">
      <c r="A749" s="9" t="str">
        <f>IF('Frame Sections'!A764=0,"",'Frame Sections'!A764)</f>
        <v/>
      </c>
      <c r="B749" s="9" t="str">
        <f t="shared" si="11"/>
        <v/>
      </c>
    </row>
    <row r="750" spans="1:2" x14ac:dyDescent="0.25">
      <c r="A750" s="9" t="str">
        <f>IF('Frame Sections'!A765=0,"",'Frame Sections'!A765)</f>
        <v/>
      </c>
      <c r="B750" s="9" t="str">
        <f t="shared" si="11"/>
        <v/>
      </c>
    </row>
    <row r="751" spans="1:2" x14ac:dyDescent="0.25">
      <c r="A751" s="9" t="str">
        <f>IF('Frame Sections'!A766=0,"",'Frame Sections'!A766)</f>
        <v/>
      </c>
      <c r="B751" s="9" t="str">
        <f t="shared" si="11"/>
        <v/>
      </c>
    </row>
    <row r="752" spans="1:2" x14ac:dyDescent="0.25">
      <c r="A752" s="9" t="str">
        <f>IF('Frame Sections'!A767=0,"",'Frame Sections'!A767)</f>
        <v/>
      </c>
      <c r="B752" s="9" t="str">
        <f t="shared" si="11"/>
        <v/>
      </c>
    </row>
    <row r="753" spans="1:2" x14ac:dyDescent="0.25">
      <c r="A753" s="9" t="str">
        <f>IF('Frame Sections'!A768=0,"",'Frame Sections'!A768)</f>
        <v/>
      </c>
      <c r="B753" s="9" t="str">
        <f t="shared" si="11"/>
        <v/>
      </c>
    </row>
    <row r="754" spans="1:2" x14ac:dyDescent="0.25">
      <c r="A754" s="9" t="str">
        <f>IF('Frame Sections'!A769=0,"",'Frame Sections'!A769)</f>
        <v/>
      </c>
      <c r="B754" s="9" t="str">
        <f t="shared" si="11"/>
        <v/>
      </c>
    </row>
    <row r="755" spans="1:2" x14ac:dyDescent="0.25">
      <c r="A755" s="9" t="str">
        <f>IF('Frame Sections'!A770=0,"",'Frame Sections'!A770)</f>
        <v/>
      </c>
      <c r="B755" s="9" t="str">
        <f t="shared" si="11"/>
        <v/>
      </c>
    </row>
    <row r="756" spans="1:2" x14ac:dyDescent="0.25">
      <c r="A756" s="9" t="str">
        <f>IF('Frame Sections'!A771=0,"",'Frame Sections'!A771)</f>
        <v/>
      </c>
      <c r="B756" s="9" t="str">
        <f t="shared" si="11"/>
        <v/>
      </c>
    </row>
    <row r="757" spans="1:2" x14ac:dyDescent="0.25">
      <c r="A757" s="9" t="str">
        <f>IF('Frame Sections'!A772=0,"",'Frame Sections'!A772)</f>
        <v/>
      </c>
      <c r="B757" s="9" t="str">
        <f t="shared" si="11"/>
        <v/>
      </c>
    </row>
    <row r="758" spans="1:2" x14ac:dyDescent="0.25">
      <c r="A758" s="9" t="str">
        <f>IF('Frame Sections'!A773=0,"",'Frame Sections'!A773)</f>
        <v/>
      </c>
      <c r="B758" s="9" t="str">
        <f t="shared" si="11"/>
        <v/>
      </c>
    </row>
    <row r="759" spans="1:2" x14ac:dyDescent="0.25">
      <c r="A759" s="9" t="str">
        <f>IF('Frame Sections'!A774=0,"",'Frame Sections'!A774)</f>
        <v/>
      </c>
      <c r="B759" s="9" t="str">
        <f t="shared" si="11"/>
        <v/>
      </c>
    </row>
    <row r="760" spans="1:2" x14ac:dyDescent="0.25">
      <c r="A760" s="9" t="str">
        <f>IF('Frame Sections'!A775=0,"",'Frame Sections'!A775)</f>
        <v/>
      </c>
      <c r="B760" s="9" t="str">
        <f t="shared" si="11"/>
        <v/>
      </c>
    </row>
    <row r="761" spans="1:2" x14ac:dyDescent="0.25">
      <c r="A761" s="9" t="str">
        <f>IF('Frame Sections'!A776=0,"",'Frame Sections'!A776)</f>
        <v/>
      </c>
      <c r="B761" s="9" t="str">
        <f t="shared" si="11"/>
        <v/>
      </c>
    </row>
    <row r="762" spans="1:2" x14ac:dyDescent="0.25">
      <c r="A762" s="9" t="str">
        <f>IF('Frame Sections'!A777=0,"",'Frame Sections'!A777)</f>
        <v/>
      </c>
      <c r="B762" s="9" t="str">
        <f t="shared" si="11"/>
        <v/>
      </c>
    </row>
    <row r="763" spans="1:2" x14ac:dyDescent="0.25">
      <c r="A763" s="9" t="str">
        <f>IF('Frame Sections'!A778=0,"",'Frame Sections'!A778)</f>
        <v/>
      </c>
      <c r="B763" s="9" t="str">
        <f t="shared" si="11"/>
        <v/>
      </c>
    </row>
    <row r="764" spans="1:2" x14ac:dyDescent="0.25">
      <c r="A764" s="9" t="str">
        <f>IF('Frame Sections'!A779=0,"",'Frame Sections'!A779)</f>
        <v/>
      </c>
      <c r="B764" s="9" t="str">
        <f t="shared" si="11"/>
        <v/>
      </c>
    </row>
    <row r="765" spans="1:2" x14ac:dyDescent="0.25">
      <c r="A765" s="9" t="str">
        <f>IF('Frame Sections'!A780=0,"",'Frame Sections'!A780)</f>
        <v/>
      </c>
      <c r="B765" s="9" t="str">
        <f t="shared" si="11"/>
        <v/>
      </c>
    </row>
    <row r="766" spans="1:2" x14ac:dyDescent="0.25">
      <c r="A766" s="9" t="str">
        <f>IF('Frame Sections'!A781=0,"",'Frame Sections'!A781)</f>
        <v/>
      </c>
      <c r="B766" s="9" t="str">
        <f t="shared" si="11"/>
        <v/>
      </c>
    </row>
    <row r="767" spans="1:2" x14ac:dyDescent="0.25">
      <c r="A767" s="9" t="str">
        <f>IF('Frame Sections'!A782=0,"",'Frame Sections'!A782)</f>
        <v/>
      </c>
      <c r="B767" s="9" t="str">
        <f t="shared" si="11"/>
        <v/>
      </c>
    </row>
    <row r="768" spans="1:2" x14ac:dyDescent="0.25">
      <c r="A768" s="9" t="str">
        <f>IF('Frame Sections'!A783=0,"",'Frame Sections'!A783)</f>
        <v/>
      </c>
      <c r="B768" s="9" t="str">
        <f t="shared" si="11"/>
        <v/>
      </c>
    </row>
    <row r="769" spans="1:2" x14ac:dyDescent="0.25">
      <c r="A769" s="9" t="str">
        <f>IF('Frame Sections'!A784=0,"",'Frame Sections'!A784)</f>
        <v/>
      </c>
      <c r="B769" s="9" t="str">
        <f t="shared" si="11"/>
        <v/>
      </c>
    </row>
    <row r="770" spans="1:2" x14ac:dyDescent="0.25">
      <c r="A770" s="9" t="str">
        <f>IF('Frame Sections'!A785=0,"",'Frame Sections'!A785)</f>
        <v/>
      </c>
      <c r="B770" s="9" t="str">
        <f t="shared" ref="B770:B833" si="12">IF(OR(A770=0,A770=""),"",VLOOKUP(A770,SecDB,5,FALSE))</f>
        <v/>
      </c>
    </row>
    <row r="771" spans="1:2" x14ac:dyDescent="0.25">
      <c r="A771" s="9" t="str">
        <f>IF('Frame Sections'!A786=0,"",'Frame Sections'!A786)</f>
        <v/>
      </c>
      <c r="B771" s="9" t="str">
        <f t="shared" si="12"/>
        <v/>
      </c>
    </row>
    <row r="772" spans="1:2" x14ac:dyDescent="0.25">
      <c r="A772" s="9" t="str">
        <f>IF('Frame Sections'!A787=0,"",'Frame Sections'!A787)</f>
        <v/>
      </c>
      <c r="B772" s="9" t="str">
        <f t="shared" si="12"/>
        <v/>
      </c>
    </row>
    <row r="773" spans="1:2" x14ac:dyDescent="0.25">
      <c r="A773" s="9" t="str">
        <f>IF('Frame Sections'!A788=0,"",'Frame Sections'!A788)</f>
        <v/>
      </c>
      <c r="B773" s="9" t="str">
        <f t="shared" si="12"/>
        <v/>
      </c>
    </row>
    <row r="774" spans="1:2" x14ac:dyDescent="0.25">
      <c r="A774" s="9" t="str">
        <f>IF('Frame Sections'!A789=0,"",'Frame Sections'!A789)</f>
        <v/>
      </c>
      <c r="B774" s="9" t="str">
        <f t="shared" si="12"/>
        <v/>
      </c>
    </row>
    <row r="775" spans="1:2" x14ac:dyDescent="0.25">
      <c r="A775" s="9" t="str">
        <f>IF('Frame Sections'!A790=0,"",'Frame Sections'!A790)</f>
        <v/>
      </c>
      <c r="B775" s="9" t="str">
        <f t="shared" si="12"/>
        <v/>
      </c>
    </row>
    <row r="776" spans="1:2" x14ac:dyDescent="0.25">
      <c r="A776" s="9" t="str">
        <f>IF('Frame Sections'!A791=0,"",'Frame Sections'!A791)</f>
        <v/>
      </c>
      <c r="B776" s="9" t="str">
        <f t="shared" si="12"/>
        <v/>
      </c>
    </row>
    <row r="777" spans="1:2" x14ac:dyDescent="0.25">
      <c r="A777" s="9" t="str">
        <f>IF('Frame Sections'!A792=0,"",'Frame Sections'!A792)</f>
        <v/>
      </c>
      <c r="B777" s="9" t="str">
        <f t="shared" si="12"/>
        <v/>
      </c>
    </row>
    <row r="778" spans="1:2" x14ac:dyDescent="0.25">
      <c r="A778" s="9" t="str">
        <f>IF('Frame Sections'!A793=0,"",'Frame Sections'!A793)</f>
        <v/>
      </c>
      <c r="B778" s="9" t="str">
        <f t="shared" si="12"/>
        <v/>
      </c>
    </row>
    <row r="779" spans="1:2" x14ac:dyDescent="0.25">
      <c r="A779" s="9" t="str">
        <f>IF('Frame Sections'!A794=0,"",'Frame Sections'!A794)</f>
        <v/>
      </c>
      <c r="B779" s="9" t="str">
        <f t="shared" si="12"/>
        <v/>
      </c>
    </row>
    <row r="780" spans="1:2" x14ac:dyDescent="0.25">
      <c r="A780" s="9" t="str">
        <f>IF('Frame Sections'!A795=0,"",'Frame Sections'!A795)</f>
        <v/>
      </c>
      <c r="B780" s="9" t="str">
        <f t="shared" si="12"/>
        <v/>
      </c>
    </row>
    <row r="781" spans="1:2" x14ac:dyDescent="0.25">
      <c r="A781" s="9" t="str">
        <f>IF('Frame Sections'!A796=0,"",'Frame Sections'!A796)</f>
        <v/>
      </c>
      <c r="B781" s="9" t="str">
        <f t="shared" si="12"/>
        <v/>
      </c>
    </row>
    <row r="782" spans="1:2" x14ac:dyDescent="0.25">
      <c r="A782" s="9" t="str">
        <f>IF('Frame Sections'!A797=0,"",'Frame Sections'!A797)</f>
        <v/>
      </c>
      <c r="B782" s="9" t="str">
        <f t="shared" si="12"/>
        <v/>
      </c>
    </row>
    <row r="783" spans="1:2" x14ac:dyDescent="0.25">
      <c r="A783" s="9" t="str">
        <f>IF('Frame Sections'!A798=0,"",'Frame Sections'!A798)</f>
        <v/>
      </c>
      <c r="B783" s="9" t="str">
        <f t="shared" si="12"/>
        <v/>
      </c>
    </row>
    <row r="784" spans="1:2" x14ac:dyDescent="0.25">
      <c r="A784" s="9" t="str">
        <f>IF('Frame Sections'!A799=0,"",'Frame Sections'!A799)</f>
        <v/>
      </c>
      <c r="B784" s="9" t="str">
        <f t="shared" si="12"/>
        <v/>
      </c>
    </row>
    <row r="785" spans="1:2" x14ac:dyDescent="0.25">
      <c r="A785" s="9" t="str">
        <f>IF('Frame Sections'!A800=0,"",'Frame Sections'!A800)</f>
        <v/>
      </c>
      <c r="B785" s="9" t="str">
        <f t="shared" si="12"/>
        <v/>
      </c>
    </row>
    <row r="786" spans="1:2" x14ac:dyDescent="0.25">
      <c r="A786" s="9" t="str">
        <f>IF('Frame Sections'!A801=0,"",'Frame Sections'!A801)</f>
        <v/>
      </c>
      <c r="B786" s="9" t="str">
        <f t="shared" si="12"/>
        <v/>
      </c>
    </row>
    <row r="787" spans="1:2" x14ac:dyDescent="0.25">
      <c r="A787" s="9" t="str">
        <f>IF('Frame Sections'!A802=0,"",'Frame Sections'!A802)</f>
        <v/>
      </c>
      <c r="B787" s="9" t="str">
        <f t="shared" si="12"/>
        <v/>
      </c>
    </row>
    <row r="788" spans="1:2" x14ac:dyDescent="0.25">
      <c r="A788" s="9" t="str">
        <f>IF('Frame Sections'!A803=0,"",'Frame Sections'!A803)</f>
        <v/>
      </c>
      <c r="B788" s="9" t="str">
        <f t="shared" si="12"/>
        <v/>
      </c>
    </row>
    <row r="789" spans="1:2" x14ac:dyDescent="0.25">
      <c r="A789" s="9" t="str">
        <f>IF('Frame Sections'!A804=0,"",'Frame Sections'!A804)</f>
        <v/>
      </c>
      <c r="B789" s="9" t="str">
        <f t="shared" si="12"/>
        <v/>
      </c>
    </row>
    <row r="790" spans="1:2" x14ac:dyDescent="0.25">
      <c r="A790" s="9" t="str">
        <f>IF('Frame Sections'!A805=0,"",'Frame Sections'!A805)</f>
        <v/>
      </c>
      <c r="B790" s="9" t="str">
        <f t="shared" si="12"/>
        <v/>
      </c>
    </row>
    <row r="791" spans="1:2" x14ac:dyDescent="0.25">
      <c r="A791" s="9" t="str">
        <f>IF('Frame Sections'!A806=0,"",'Frame Sections'!A806)</f>
        <v/>
      </c>
      <c r="B791" s="9" t="str">
        <f t="shared" si="12"/>
        <v/>
      </c>
    </row>
    <row r="792" spans="1:2" x14ac:dyDescent="0.25">
      <c r="A792" s="9" t="str">
        <f>IF('Frame Sections'!A807=0,"",'Frame Sections'!A807)</f>
        <v/>
      </c>
      <c r="B792" s="9" t="str">
        <f t="shared" si="12"/>
        <v/>
      </c>
    </row>
    <row r="793" spans="1:2" x14ac:dyDescent="0.25">
      <c r="A793" s="9" t="str">
        <f>IF('Frame Sections'!A808=0,"",'Frame Sections'!A808)</f>
        <v/>
      </c>
      <c r="B793" s="9" t="str">
        <f t="shared" si="12"/>
        <v/>
      </c>
    </row>
    <row r="794" spans="1:2" x14ac:dyDescent="0.25">
      <c r="A794" s="9" t="str">
        <f>IF('Frame Sections'!A809=0,"",'Frame Sections'!A809)</f>
        <v/>
      </c>
      <c r="B794" s="9" t="str">
        <f t="shared" si="12"/>
        <v/>
      </c>
    </row>
    <row r="795" spans="1:2" x14ac:dyDescent="0.25">
      <c r="A795" s="9" t="str">
        <f>IF('Frame Sections'!A810=0,"",'Frame Sections'!A810)</f>
        <v/>
      </c>
      <c r="B795" s="9" t="str">
        <f t="shared" si="12"/>
        <v/>
      </c>
    </row>
    <row r="796" spans="1:2" x14ac:dyDescent="0.25">
      <c r="A796" s="9" t="str">
        <f>IF('Frame Sections'!A811=0,"",'Frame Sections'!A811)</f>
        <v/>
      </c>
      <c r="B796" s="9" t="str">
        <f t="shared" si="12"/>
        <v/>
      </c>
    </row>
    <row r="797" spans="1:2" x14ac:dyDescent="0.25">
      <c r="A797" s="9" t="str">
        <f>IF('Frame Sections'!A812=0,"",'Frame Sections'!A812)</f>
        <v/>
      </c>
      <c r="B797" s="9" t="str">
        <f t="shared" si="12"/>
        <v/>
      </c>
    </row>
    <row r="798" spans="1:2" x14ac:dyDescent="0.25">
      <c r="A798" s="9" t="str">
        <f>IF('Frame Sections'!A813=0,"",'Frame Sections'!A813)</f>
        <v/>
      </c>
      <c r="B798" s="9" t="str">
        <f t="shared" si="12"/>
        <v/>
      </c>
    </row>
    <row r="799" spans="1:2" x14ac:dyDescent="0.25">
      <c r="A799" s="9" t="str">
        <f>IF('Frame Sections'!A814=0,"",'Frame Sections'!A814)</f>
        <v/>
      </c>
      <c r="B799" s="9" t="str">
        <f t="shared" si="12"/>
        <v/>
      </c>
    </row>
    <row r="800" spans="1:2" x14ac:dyDescent="0.25">
      <c r="A800" s="9" t="str">
        <f>IF('Frame Sections'!A815=0,"",'Frame Sections'!A815)</f>
        <v/>
      </c>
      <c r="B800" s="9" t="str">
        <f t="shared" si="12"/>
        <v/>
      </c>
    </row>
    <row r="801" spans="1:2" x14ac:dyDescent="0.25">
      <c r="A801" s="9" t="str">
        <f>IF('Frame Sections'!A816=0,"",'Frame Sections'!A816)</f>
        <v/>
      </c>
      <c r="B801" s="9" t="str">
        <f t="shared" si="12"/>
        <v/>
      </c>
    </row>
    <row r="802" spans="1:2" x14ac:dyDescent="0.25">
      <c r="A802" s="9" t="str">
        <f>IF('Frame Sections'!A817=0,"",'Frame Sections'!A817)</f>
        <v/>
      </c>
      <c r="B802" s="9" t="str">
        <f t="shared" si="12"/>
        <v/>
      </c>
    </row>
    <row r="803" spans="1:2" x14ac:dyDescent="0.25">
      <c r="A803" s="9" t="str">
        <f>IF('Frame Sections'!A818=0,"",'Frame Sections'!A818)</f>
        <v/>
      </c>
      <c r="B803" s="9" t="str">
        <f t="shared" si="12"/>
        <v/>
      </c>
    </row>
    <row r="804" spans="1:2" x14ac:dyDescent="0.25">
      <c r="A804" s="9" t="str">
        <f>IF('Frame Sections'!A819=0,"",'Frame Sections'!A819)</f>
        <v/>
      </c>
      <c r="B804" s="9" t="str">
        <f t="shared" si="12"/>
        <v/>
      </c>
    </row>
    <row r="805" spans="1:2" x14ac:dyDescent="0.25">
      <c r="A805" s="9" t="str">
        <f>IF('Frame Sections'!A820=0,"",'Frame Sections'!A820)</f>
        <v/>
      </c>
      <c r="B805" s="9" t="str">
        <f t="shared" si="12"/>
        <v/>
      </c>
    </row>
    <row r="806" spans="1:2" x14ac:dyDescent="0.25">
      <c r="A806" s="9" t="str">
        <f>IF('Frame Sections'!A821=0,"",'Frame Sections'!A821)</f>
        <v/>
      </c>
      <c r="B806" s="9" t="str">
        <f t="shared" si="12"/>
        <v/>
      </c>
    </row>
    <row r="807" spans="1:2" x14ac:dyDescent="0.25">
      <c r="A807" s="9" t="str">
        <f>IF('Frame Sections'!A822=0,"",'Frame Sections'!A822)</f>
        <v/>
      </c>
      <c r="B807" s="9" t="str">
        <f t="shared" si="12"/>
        <v/>
      </c>
    </row>
    <row r="808" spans="1:2" x14ac:dyDescent="0.25">
      <c r="A808" s="9" t="str">
        <f>IF('Frame Sections'!A823=0,"",'Frame Sections'!A823)</f>
        <v/>
      </c>
      <c r="B808" s="9" t="str">
        <f t="shared" si="12"/>
        <v/>
      </c>
    </row>
    <row r="809" spans="1:2" x14ac:dyDescent="0.25">
      <c r="A809" s="9" t="str">
        <f>IF('Frame Sections'!A824=0,"",'Frame Sections'!A824)</f>
        <v/>
      </c>
      <c r="B809" s="9" t="str">
        <f t="shared" si="12"/>
        <v/>
      </c>
    </row>
    <row r="810" spans="1:2" x14ac:dyDescent="0.25">
      <c r="A810" s="9" t="str">
        <f>IF('Frame Sections'!A825=0,"",'Frame Sections'!A825)</f>
        <v/>
      </c>
      <c r="B810" s="9" t="str">
        <f t="shared" si="12"/>
        <v/>
      </c>
    </row>
    <row r="811" spans="1:2" x14ac:dyDescent="0.25">
      <c r="A811" s="9" t="str">
        <f>IF('Frame Sections'!A826=0,"",'Frame Sections'!A826)</f>
        <v/>
      </c>
      <c r="B811" s="9" t="str">
        <f t="shared" si="12"/>
        <v/>
      </c>
    </row>
    <row r="812" spans="1:2" x14ac:dyDescent="0.25">
      <c r="A812" s="9" t="str">
        <f>IF('Frame Sections'!A827=0,"",'Frame Sections'!A827)</f>
        <v/>
      </c>
      <c r="B812" s="9" t="str">
        <f t="shared" si="12"/>
        <v/>
      </c>
    </row>
    <row r="813" spans="1:2" x14ac:dyDescent="0.25">
      <c r="A813" s="9" t="str">
        <f>IF('Frame Sections'!A828=0,"",'Frame Sections'!A828)</f>
        <v/>
      </c>
      <c r="B813" s="9" t="str">
        <f t="shared" si="12"/>
        <v/>
      </c>
    </row>
    <row r="814" spans="1:2" x14ac:dyDescent="0.25">
      <c r="A814" s="9" t="str">
        <f>IF('Frame Sections'!A829=0,"",'Frame Sections'!A829)</f>
        <v/>
      </c>
      <c r="B814" s="9" t="str">
        <f t="shared" si="12"/>
        <v/>
      </c>
    </row>
    <row r="815" spans="1:2" x14ac:dyDescent="0.25">
      <c r="A815" s="9" t="str">
        <f>IF('Frame Sections'!A830=0,"",'Frame Sections'!A830)</f>
        <v/>
      </c>
      <c r="B815" s="9" t="str">
        <f t="shared" si="12"/>
        <v/>
      </c>
    </row>
    <row r="816" spans="1:2" x14ac:dyDescent="0.25">
      <c r="A816" s="9" t="str">
        <f>IF('Frame Sections'!A831=0,"",'Frame Sections'!A831)</f>
        <v/>
      </c>
      <c r="B816" s="9" t="str">
        <f t="shared" si="12"/>
        <v/>
      </c>
    </row>
    <row r="817" spans="1:2" x14ac:dyDescent="0.25">
      <c r="A817" s="9" t="str">
        <f>IF('Frame Sections'!A832=0,"",'Frame Sections'!A832)</f>
        <v/>
      </c>
      <c r="B817" s="9" t="str">
        <f t="shared" si="12"/>
        <v/>
      </c>
    </row>
    <row r="818" spans="1:2" x14ac:dyDescent="0.25">
      <c r="A818" s="9" t="str">
        <f>IF('Frame Sections'!A833=0,"",'Frame Sections'!A833)</f>
        <v/>
      </c>
      <c r="B818" s="9" t="str">
        <f t="shared" si="12"/>
        <v/>
      </c>
    </row>
    <row r="819" spans="1:2" x14ac:dyDescent="0.25">
      <c r="A819" s="9" t="str">
        <f>IF('Frame Sections'!A834=0,"",'Frame Sections'!A834)</f>
        <v/>
      </c>
      <c r="B819" s="9" t="str">
        <f t="shared" si="12"/>
        <v/>
      </c>
    </row>
    <row r="820" spans="1:2" x14ac:dyDescent="0.25">
      <c r="A820" s="9" t="str">
        <f>IF('Frame Sections'!A835=0,"",'Frame Sections'!A835)</f>
        <v/>
      </c>
      <c r="B820" s="9" t="str">
        <f t="shared" si="12"/>
        <v/>
      </c>
    </row>
    <row r="821" spans="1:2" x14ac:dyDescent="0.25">
      <c r="A821" s="9" t="str">
        <f>IF('Frame Sections'!A836=0,"",'Frame Sections'!A836)</f>
        <v/>
      </c>
      <c r="B821" s="9" t="str">
        <f t="shared" si="12"/>
        <v/>
      </c>
    </row>
    <row r="822" spans="1:2" x14ac:dyDescent="0.25">
      <c r="A822" s="9" t="str">
        <f>IF('Frame Sections'!A837=0,"",'Frame Sections'!A837)</f>
        <v/>
      </c>
      <c r="B822" s="9" t="str">
        <f t="shared" si="12"/>
        <v/>
      </c>
    </row>
    <row r="823" spans="1:2" x14ac:dyDescent="0.25">
      <c r="A823" s="9" t="str">
        <f>IF('Frame Sections'!A838=0,"",'Frame Sections'!A838)</f>
        <v/>
      </c>
      <c r="B823" s="9" t="str">
        <f t="shared" si="12"/>
        <v/>
      </c>
    </row>
    <row r="824" spans="1:2" x14ac:dyDescent="0.25">
      <c r="A824" s="9" t="str">
        <f>IF('Frame Sections'!A839=0,"",'Frame Sections'!A839)</f>
        <v/>
      </c>
      <c r="B824" s="9" t="str">
        <f t="shared" si="12"/>
        <v/>
      </c>
    </row>
    <row r="825" spans="1:2" x14ac:dyDescent="0.25">
      <c r="A825" s="9" t="str">
        <f>IF('Frame Sections'!A840=0,"",'Frame Sections'!A840)</f>
        <v/>
      </c>
      <c r="B825" s="9" t="str">
        <f t="shared" si="12"/>
        <v/>
      </c>
    </row>
    <row r="826" spans="1:2" x14ac:dyDescent="0.25">
      <c r="A826" s="9" t="str">
        <f>IF('Frame Sections'!A841=0,"",'Frame Sections'!A841)</f>
        <v/>
      </c>
      <c r="B826" s="9" t="str">
        <f t="shared" si="12"/>
        <v/>
      </c>
    </row>
    <row r="827" spans="1:2" x14ac:dyDescent="0.25">
      <c r="A827" s="9" t="str">
        <f>IF('Frame Sections'!A842=0,"",'Frame Sections'!A842)</f>
        <v/>
      </c>
      <c r="B827" s="9" t="str">
        <f t="shared" si="12"/>
        <v/>
      </c>
    </row>
    <row r="828" spans="1:2" x14ac:dyDescent="0.25">
      <c r="A828" s="9" t="str">
        <f>IF('Frame Sections'!A843=0,"",'Frame Sections'!A843)</f>
        <v/>
      </c>
      <c r="B828" s="9" t="str">
        <f t="shared" si="12"/>
        <v/>
      </c>
    </row>
    <row r="829" spans="1:2" x14ac:dyDescent="0.25">
      <c r="A829" s="9" t="str">
        <f>IF('Frame Sections'!A844=0,"",'Frame Sections'!A844)</f>
        <v/>
      </c>
      <c r="B829" s="9" t="str">
        <f t="shared" si="12"/>
        <v/>
      </c>
    </row>
    <row r="830" spans="1:2" x14ac:dyDescent="0.25">
      <c r="A830" s="9" t="str">
        <f>IF('Frame Sections'!A845=0,"",'Frame Sections'!A845)</f>
        <v/>
      </c>
      <c r="B830" s="9" t="str">
        <f t="shared" si="12"/>
        <v/>
      </c>
    </row>
    <row r="831" spans="1:2" x14ac:dyDescent="0.25">
      <c r="A831" s="9" t="str">
        <f>IF('Frame Sections'!A846=0,"",'Frame Sections'!A846)</f>
        <v/>
      </c>
      <c r="B831" s="9" t="str">
        <f t="shared" si="12"/>
        <v/>
      </c>
    </row>
    <row r="832" spans="1:2" x14ac:dyDescent="0.25">
      <c r="A832" s="9" t="str">
        <f>IF('Frame Sections'!A847=0,"",'Frame Sections'!A847)</f>
        <v/>
      </c>
      <c r="B832" s="9" t="str">
        <f t="shared" si="12"/>
        <v/>
      </c>
    </row>
    <row r="833" spans="1:2" x14ac:dyDescent="0.25">
      <c r="A833" s="9" t="str">
        <f>IF('Frame Sections'!A848=0,"",'Frame Sections'!A848)</f>
        <v/>
      </c>
      <c r="B833" s="9" t="str">
        <f t="shared" si="12"/>
        <v/>
      </c>
    </row>
    <row r="834" spans="1:2" x14ac:dyDescent="0.25">
      <c r="A834" s="9" t="str">
        <f>IF('Frame Sections'!A849=0,"",'Frame Sections'!A849)</f>
        <v/>
      </c>
      <c r="B834" s="9" t="str">
        <f t="shared" ref="B834:B897" si="13">IF(OR(A834=0,A834=""),"",VLOOKUP(A834,SecDB,5,FALSE))</f>
        <v/>
      </c>
    </row>
    <row r="835" spans="1:2" x14ac:dyDescent="0.25">
      <c r="A835" s="9" t="str">
        <f>IF('Frame Sections'!A850=0,"",'Frame Sections'!A850)</f>
        <v/>
      </c>
      <c r="B835" s="9" t="str">
        <f t="shared" si="13"/>
        <v/>
      </c>
    </row>
    <row r="836" spans="1:2" x14ac:dyDescent="0.25">
      <c r="A836" s="9" t="str">
        <f>IF('Frame Sections'!A851=0,"",'Frame Sections'!A851)</f>
        <v/>
      </c>
      <c r="B836" s="9" t="str">
        <f t="shared" si="13"/>
        <v/>
      </c>
    </row>
    <row r="837" spans="1:2" x14ac:dyDescent="0.25">
      <c r="A837" s="9" t="str">
        <f>IF('Frame Sections'!A852=0,"",'Frame Sections'!A852)</f>
        <v/>
      </c>
      <c r="B837" s="9" t="str">
        <f t="shared" si="13"/>
        <v/>
      </c>
    </row>
    <row r="838" spans="1:2" x14ac:dyDescent="0.25">
      <c r="A838" s="9" t="str">
        <f>IF('Frame Sections'!A853=0,"",'Frame Sections'!A853)</f>
        <v/>
      </c>
      <c r="B838" s="9" t="str">
        <f t="shared" si="13"/>
        <v/>
      </c>
    </row>
    <row r="839" spans="1:2" x14ac:dyDescent="0.25">
      <c r="A839" s="9" t="str">
        <f>IF('Frame Sections'!A854=0,"",'Frame Sections'!A854)</f>
        <v/>
      </c>
      <c r="B839" s="9" t="str">
        <f t="shared" si="13"/>
        <v/>
      </c>
    </row>
    <row r="840" spans="1:2" x14ac:dyDescent="0.25">
      <c r="A840" s="9" t="str">
        <f>IF('Frame Sections'!A855=0,"",'Frame Sections'!A855)</f>
        <v/>
      </c>
      <c r="B840" s="9" t="str">
        <f t="shared" si="13"/>
        <v/>
      </c>
    </row>
    <row r="841" spans="1:2" x14ac:dyDescent="0.25">
      <c r="A841" s="9" t="str">
        <f>IF('Frame Sections'!A856=0,"",'Frame Sections'!A856)</f>
        <v/>
      </c>
      <c r="B841" s="9" t="str">
        <f t="shared" si="13"/>
        <v/>
      </c>
    </row>
    <row r="842" spans="1:2" x14ac:dyDescent="0.25">
      <c r="A842" s="9" t="str">
        <f>IF('Frame Sections'!A857=0,"",'Frame Sections'!A857)</f>
        <v/>
      </c>
      <c r="B842" s="9" t="str">
        <f t="shared" si="13"/>
        <v/>
      </c>
    </row>
    <row r="843" spans="1:2" x14ac:dyDescent="0.25">
      <c r="A843" s="9" t="str">
        <f>IF('Frame Sections'!A858=0,"",'Frame Sections'!A858)</f>
        <v/>
      </c>
      <c r="B843" s="9" t="str">
        <f t="shared" si="13"/>
        <v/>
      </c>
    </row>
    <row r="844" spans="1:2" x14ac:dyDescent="0.25">
      <c r="A844" s="9" t="str">
        <f>IF('Frame Sections'!A859=0,"",'Frame Sections'!A859)</f>
        <v/>
      </c>
      <c r="B844" s="9" t="str">
        <f t="shared" si="13"/>
        <v/>
      </c>
    </row>
    <row r="845" spans="1:2" x14ac:dyDescent="0.25">
      <c r="A845" s="9" t="str">
        <f>IF('Frame Sections'!A860=0,"",'Frame Sections'!A860)</f>
        <v/>
      </c>
      <c r="B845" s="9" t="str">
        <f t="shared" si="13"/>
        <v/>
      </c>
    </row>
    <row r="846" spans="1:2" x14ac:dyDescent="0.25">
      <c r="A846" s="9" t="str">
        <f>IF('Frame Sections'!A861=0,"",'Frame Sections'!A861)</f>
        <v/>
      </c>
      <c r="B846" s="9" t="str">
        <f t="shared" si="13"/>
        <v/>
      </c>
    </row>
    <row r="847" spans="1:2" x14ac:dyDescent="0.25">
      <c r="A847" s="9" t="str">
        <f>IF('Frame Sections'!A862=0,"",'Frame Sections'!A862)</f>
        <v/>
      </c>
      <c r="B847" s="9" t="str">
        <f t="shared" si="13"/>
        <v/>
      </c>
    </row>
    <row r="848" spans="1:2" x14ac:dyDescent="0.25">
      <c r="A848" s="9" t="str">
        <f>IF('Frame Sections'!A863=0,"",'Frame Sections'!A863)</f>
        <v/>
      </c>
      <c r="B848" s="9" t="str">
        <f t="shared" si="13"/>
        <v/>
      </c>
    </row>
    <row r="849" spans="1:2" x14ac:dyDescent="0.25">
      <c r="A849" s="9" t="str">
        <f>IF('Frame Sections'!A864=0,"",'Frame Sections'!A864)</f>
        <v/>
      </c>
      <c r="B849" s="9" t="str">
        <f t="shared" si="13"/>
        <v/>
      </c>
    </row>
    <row r="850" spans="1:2" x14ac:dyDescent="0.25">
      <c r="A850" s="9" t="str">
        <f>IF('Frame Sections'!A865=0,"",'Frame Sections'!A865)</f>
        <v/>
      </c>
      <c r="B850" s="9" t="str">
        <f t="shared" si="13"/>
        <v/>
      </c>
    </row>
    <row r="851" spans="1:2" x14ac:dyDescent="0.25">
      <c r="A851" s="9" t="str">
        <f>IF('Frame Sections'!A866=0,"",'Frame Sections'!A866)</f>
        <v/>
      </c>
      <c r="B851" s="9" t="str">
        <f t="shared" si="13"/>
        <v/>
      </c>
    </row>
    <row r="852" spans="1:2" x14ac:dyDescent="0.25">
      <c r="A852" s="9" t="str">
        <f>IF('Frame Sections'!A867=0,"",'Frame Sections'!A867)</f>
        <v/>
      </c>
      <c r="B852" s="9" t="str">
        <f t="shared" si="13"/>
        <v/>
      </c>
    </row>
    <row r="853" spans="1:2" x14ac:dyDescent="0.25">
      <c r="A853" s="9" t="str">
        <f>IF('Frame Sections'!A868=0,"",'Frame Sections'!A868)</f>
        <v/>
      </c>
      <c r="B853" s="9" t="str">
        <f t="shared" si="13"/>
        <v/>
      </c>
    </row>
    <row r="854" spans="1:2" x14ac:dyDescent="0.25">
      <c r="A854" s="9" t="str">
        <f>IF('Frame Sections'!A869=0,"",'Frame Sections'!A869)</f>
        <v/>
      </c>
      <c r="B854" s="9" t="str">
        <f t="shared" si="13"/>
        <v/>
      </c>
    </row>
    <row r="855" spans="1:2" x14ac:dyDescent="0.25">
      <c r="A855" s="9" t="str">
        <f>IF('Frame Sections'!A870=0,"",'Frame Sections'!A870)</f>
        <v/>
      </c>
      <c r="B855" s="9" t="str">
        <f t="shared" si="13"/>
        <v/>
      </c>
    </row>
    <row r="856" spans="1:2" x14ac:dyDescent="0.25">
      <c r="A856" s="9" t="str">
        <f>IF('Frame Sections'!A871=0,"",'Frame Sections'!A871)</f>
        <v/>
      </c>
      <c r="B856" s="9" t="str">
        <f t="shared" si="13"/>
        <v/>
      </c>
    </row>
    <row r="857" spans="1:2" x14ac:dyDescent="0.25">
      <c r="A857" s="9" t="str">
        <f>IF('Frame Sections'!A872=0,"",'Frame Sections'!A872)</f>
        <v/>
      </c>
      <c r="B857" s="9" t="str">
        <f t="shared" si="13"/>
        <v/>
      </c>
    </row>
    <row r="858" spans="1:2" x14ac:dyDescent="0.25">
      <c r="A858" s="9" t="str">
        <f>IF('Frame Sections'!A873=0,"",'Frame Sections'!A873)</f>
        <v/>
      </c>
      <c r="B858" s="9" t="str">
        <f t="shared" si="13"/>
        <v/>
      </c>
    </row>
    <row r="859" spans="1:2" x14ac:dyDescent="0.25">
      <c r="A859" s="9" t="str">
        <f>IF('Frame Sections'!A874=0,"",'Frame Sections'!A874)</f>
        <v/>
      </c>
      <c r="B859" s="9" t="str">
        <f t="shared" si="13"/>
        <v/>
      </c>
    </row>
    <row r="860" spans="1:2" x14ac:dyDescent="0.25">
      <c r="A860" s="9" t="str">
        <f>IF('Frame Sections'!A875=0,"",'Frame Sections'!A875)</f>
        <v/>
      </c>
      <c r="B860" s="9" t="str">
        <f t="shared" si="13"/>
        <v/>
      </c>
    </row>
    <row r="861" spans="1:2" x14ac:dyDescent="0.25">
      <c r="A861" s="9" t="str">
        <f>IF('Frame Sections'!A876=0,"",'Frame Sections'!A876)</f>
        <v/>
      </c>
      <c r="B861" s="9" t="str">
        <f t="shared" si="13"/>
        <v/>
      </c>
    </row>
    <row r="862" spans="1:2" x14ac:dyDescent="0.25">
      <c r="A862" s="9" t="str">
        <f>IF('Frame Sections'!A877=0,"",'Frame Sections'!A877)</f>
        <v/>
      </c>
      <c r="B862" s="9" t="str">
        <f t="shared" si="13"/>
        <v/>
      </c>
    </row>
    <row r="863" spans="1:2" x14ac:dyDescent="0.25">
      <c r="A863" s="9" t="str">
        <f>IF('Frame Sections'!A878=0,"",'Frame Sections'!A878)</f>
        <v/>
      </c>
      <c r="B863" s="9" t="str">
        <f t="shared" si="13"/>
        <v/>
      </c>
    </row>
    <row r="864" spans="1:2" x14ac:dyDescent="0.25">
      <c r="A864" s="9" t="str">
        <f>IF('Frame Sections'!A879=0,"",'Frame Sections'!A879)</f>
        <v/>
      </c>
      <c r="B864" s="9" t="str">
        <f t="shared" si="13"/>
        <v/>
      </c>
    </row>
    <row r="865" spans="1:2" x14ac:dyDescent="0.25">
      <c r="A865" s="9" t="str">
        <f>IF('Frame Sections'!A880=0,"",'Frame Sections'!A880)</f>
        <v/>
      </c>
      <c r="B865" s="9" t="str">
        <f t="shared" si="13"/>
        <v/>
      </c>
    </row>
    <row r="866" spans="1:2" x14ac:dyDescent="0.25">
      <c r="A866" s="9" t="str">
        <f>IF('Frame Sections'!A881=0,"",'Frame Sections'!A881)</f>
        <v/>
      </c>
      <c r="B866" s="9" t="str">
        <f t="shared" si="13"/>
        <v/>
      </c>
    </row>
    <row r="867" spans="1:2" x14ac:dyDescent="0.25">
      <c r="A867" s="9" t="str">
        <f>IF('Frame Sections'!A882=0,"",'Frame Sections'!A882)</f>
        <v/>
      </c>
      <c r="B867" s="9" t="str">
        <f t="shared" si="13"/>
        <v/>
      </c>
    </row>
    <row r="868" spans="1:2" x14ac:dyDescent="0.25">
      <c r="A868" s="9" t="str">
        <f>IF('Frame Sections'!A883=0,"",'Frame Sections'!A883)</f>
        <v/>
      </c>
      <c r="B868" s="9" t="str">
        <f t="shared" si="13"/>
        <v/>
      </c>
    </row>
    <row r="869" spans="1:2" x14ac:dyDescent="0.25">
      <c r="A869" s="9" t="str">
        <f>IF('Frame Sections'!A884=0,"",'Frame Sections'!A884)</f>
        <v/>
      </c>
      <c r="B869" s="9" t="str">
        <f t="shared" si="13"/>
        <v/>
      </c>
    </row>
    <row r="870" spans="1:2" x14ac:dyDescent="0.25">
      <c r="A870" s="9" t="str">
        <f>IF('Frame Sections'!A885=0,"",'Frame Sections'!A885)</f>
        <v/>
      </c>
      <c r="B870" s="9" t="str">
        <f t="shared" si="13"/>
        <v/>
      </c>
    </row>
    <row r="871" spans="1:2" x14ac:dyDescent="0.25">
      <c r="A871" s="9" t="str">
        <f>IF('Frame Sections'!A886=0,"",'Frame Sections'!A886)</f>
        <v/>
      </c>
      <c r="B871" s="9" t="str">
        <f t="shared" si="13"/>
        <v/>
      </c>
    </row>
    <row r="872" spans="1:2" x14ac:dyDescent="0.25">
      <c r="A872" s="9" t="str">
        <f>IF('Frame Sections'!A887=0,"",'Frame Sections'!A887)</f>
        <v/>
      </c>
      <c r="B872" s="9" t="str">
        <f t="shared" si="13"/>
        <v/>
      </c>
    </row>
    <row r="873" spans="1:2" x14ac:dyDescent="0.25">
      <c r="A873" s="9" t="str">
        <f>IF('Frame Sections'!A888=0,"",'Frame Sections'!A888)</f>
        <v/>
      </c>
      <c r="B873" s="9" t="str">
        <f t="shared" si="13"/>
        <v/>
      </c>
    </row>
    <row r="874" spans="1:2" x14ac:dyDescent="0.25">
      <c r="A874" s="9" t="str">
        <f>IF('Frame Sections'!A889=0,"",'Frame Sections'!A889)</f>
        <v/>
      </c>
      <c r="B874" s="9" t="str">
        <f t="shared" si="13"/>
        <v/>
      </c>
    </row>
    <row r="875" spans="1:2" x14ac:dyDescent="0.25">
      <c r="A875" s="9" t="str">
        <f>IF('Frame Sections'!A890=0,"",'Frame Sections'!A890)</f>
        <v/>
      </c>
      <c r="B875" s="9" t="str">
        <f t="shared" si="13"/>
        <v/>
      </c>
    </row>
    <row r="876" spans="1:2" x14ac:dyDescent="0.25">
      <c r="A876" s="9" t="str">
        <f>IF('Frame Sections'!A891=0,"",'Frame Sections'!A891)</f>
        <v/>
      </c>
      <c r="B876" s="9" t="str">
        <f t="shared" si="13"/>
        <v/>
      </c>
    </row>
    <row r="877" spans="1:2" x14ac:dyDescent="0.25">
      <c r="A877" s="9" t="str">
        <f>IF('Frame Sections'!A892=0,"",'Frame Sections'!A892)</f>
        <v/>
      </c>
      <c r="B877" s="9" t="str">
        <f t="shared" si="13"/>
        <v/>
      </c>
    </row>
    <row r="878" spans="1:2" x14ac:dyDescent="0.25">
      <c r="A878" s="9" t="str">
        <f>IF('Frame Sections'!A893=0,"",'Frame Sections'!A893)</f>
        <v/>
      </c>
      <c r="B878" s="9" t="str">
        <f t="shared" si="13"/>
        <v/>
      </c>
    </row>
    <row r="879" spans="1:2" x14ac:dyDescent="0.25">
      <c r="A879" s="9" t="str">
        <f>IF('Frame Sections'!A894=0,"",'Frame Sections'!A894)</f>
        <v/>
      </c>
      <c r="B879" s="9" t="str">
        <f t="shared" si="13"/>
        <v/>
      </c>
    </row>
    <row r="880" spans="1:2" x14ac:dyDescent="0.25">
      <c r="A880" s="9" t="str">
        <f>IF('Frame Sections'!A895=0,"",'Frame Sections'!A895)</f>
        <v/>
      </c>
      <c r="B880" s="9" t="str">
        <f t="shared" si="13"/>
        <v/>
      </c>
    </row>
    <row r="881" spans="1:2" x14ac:dyDescent="0.25">
      <c r="A881" s="9" t="str">
        <f>IF('Frame Sections'!A896=0,"",'Frame Sections'!A896)</f>
        <v/>
      </c>
      <c r="B881" s="9" t="str">
        <f t="shared" si="13"/>
        <v/>
      </c>
    </row>
    <row r="882" spans="1:2" x14ac:dyDescent="0.25">
      <c r="A882" s="9" t="str">
        <f>IF('Frame Sections'!A897=0,"",'Frame Sections'!A897)</f>
        <v/>
      </c>
      <c r="B882" s="9" t="str">
        <f t="shared" si="13"/>
        <v/>
      </c>
    </row>
    <row r="883" spans="1:2" x14ac:dyDescent="0.25">
      <c r="A883" s="9" t="str">
        <f>IF('Frame Sections'!A898=0,"",'Frame Sections'!A898)</f>
        <v/>
      </c>
      <c r="B883" s="9" t="str">
        <f t="shared" si="13"/>
        <v/>
      </c>
    </row>
    <row r="884" spans="1:2" x14ac:dyDescent="0.25">
      <c r="A884" s="9" t="str">
        <f>IF('Frame Sections'!A899=0,"",'Frame Sections'!A899)</f>
        <v/>
      </c>
      <c r="B884" s="9" t="str">
        <f t="shared" si="13"/>
        <v/>
      </c>
    </row>
    <row r="885" spans="1:2" x14ac:dyDescent="0.25">
      <c r="A885" s="9" t="str">
        <f>IF('Frame Sections'!A900=0,"",'Frame Sections'!A900)</f>
        <v/>
      </c>
      <c r="B885" s="9" t="str">
        <f t="shared" si="13"/>
        <v/>
      </c>
    </row>
    <row r="886" spans="1:2" x14ac:dyDescent="0.25">
      <c r="A886" s="9" t="str">
        <f>IF('Frame Sections'!A901=0,"",'Frame Sections'!A901)</f>
        <v/>
      </c>
      <c r="B886" s="9" t="str">
        <f t="shared" si="13"/>
        <v/>
      </c>
    </row>
    <row r="887" spans="1:2" x14ac:dyDescent="0.25">
      <c r="A887" s="9" t="str">
        <f>IF('Frame Sections'!A902=0,"",'Frame Sections'!A902)</f>
        <v/>
      </c>
      <c r="B887" s="9" t="str">
        <f t="shared" si="13"/>
        <v/>
      </c>
    </row>
    <row r="888" spans="1:2" x14ac:dyDescent="0.25">
      <c r="A888" s="9" t="str">
        <f>IF('Frame Sections'!A903=0,"",'Frame Sections'!A903)</f>
        <v/>
      </c>
      <c r="B888" s="9" t="str">
        <f t="shared" si="13"/>
        <v/>
      </c>
    </row>
    <row r="889" spans="1:2" x14ac:dyDescent="0.25">
      <c r="A889" s="9" t="str">
        <f>IF('Frame Sections'!A904=0,"",'Frame Sections'!A904)</f>
        <v/>
      </c>
      <c r="B889" s="9" t="str">
        <f t="shared" si="13"/>
        <v/>
      </c>
    </row>
    <row r="890" spans="1:2" x14ac:dyDescent="0.25">
      <c r="A890" s="9" t="str">
        <f>IF('Frame Sections'!A905=0,"",'Frame Sections'!A905)</f>
        <v/>
      </c>
      <c r="B890" s="9" t="str">
        <f t="shared" si="13"/>
        <v/>
      </c>
    </row>
    <row r="891" spans="1:2" x14ac:dyDescent="0.25">
      <c r="A891" s="9" t="str">
        <f>IF('Frame Sections'!A906=0,"",'Frame Sections'!A906)</f>
        <v/>
      </c>
      <c r="B891" s="9" t="str">
        <f t="shared" si="13"/>
        <v/>
      </c>
    </row>
    <row r="892" spans="1:2" x14ac:dyDescent="0.25">
      <c r="A892" s="9" t="str">
        <f>IF('Frame Sections'!A907=0,"",'Frame Sections'!A907)</f>
        <v/>
      </c>
      <c r="B892" s="9" t="str">
        <f t="shared" si="13"/>
        <v/>
      </c>
    </row>
    <row r="893" spans="1:2" x14ac:dyDescent="0.25">
      <c r="A893" s="9" t="str">
        <f>IF('Frame Sections'!A908=0,"",'Frame Sections'!A908)</f>
        <v/>
      </c>
      <c r="B893" s="9" t="str">
        <f t="shared" si="13"/>
        <v/>
      </c>
    </row>
    <row r="894" spans="1:2" x14ac:dyDescent="0.25">
      <c r="A894" s="9" t="str">
        <f>IF('Frame Sections'!A909=0,"",'Frame Sections'!A909)</f>
        <v/>
      </c>
      <c r="B894" s="9" t="str">
        <f t="shared" si="13"/>
        <v/>
      </c>
    </row>
    <row r="895" spans="1:2" x14ac:dyDescent="0.25">
      <c r="A895" s="9" t="str">
        <f>IF('Frame Sections'!A910=0,"",'Frame Sections'!A910)</f>
        <v/>
      </c>
      <c r="B895" s="9" t="str">
        <f t="shared" si="13"/>
        <v/>
      </c>
    </row>
    <row r="896" spans="1:2" x14ac:dyDescent="0.25">
      <c r="A896" s="9" t="str">
        <f>IF('Frame Sections'!A911=0,"",'Frame Sections'!A911)</f>
        <v/>
      </c>
      <c r="B896" s="9" t="str">
        <f t="shared" si="13"/>
        <v/>
      </c>
    </row>
    <row r="897" spans="1:2" x14ac:dyDescent="0.25">
      <c r="A897" s="9" t="str">
        <f>IF('Frame Sections'!A912=0,"",'Frame Sections'!A912)</f>
        <v/>
      </c>
      <c r="B897" s="9" t="str">
        <f t="shared" si="13"/>
        <v/>
      </c>
    </row>
    <row r="898" spans="1:2" x14ac:dyDescent="0.25">
      <c r="A898" s="9" t="str">
        <f>IF('Frame Sections'!A913=0,"",'Frame Sections'!A913)</f>
        <v/>
      </c>
      <c r="B898" s="9" t="str">
        <f t="shared" ref="B898:B961" si="14">IF(OR(A898=0,A898=""),"",VLOOKUP(A898,SecDB,5,FALSE))</f>
        <v/>
      </c>
    </row>
    <row r="899" spans="1:2" x14ac:dyDescent="0.25">
      <c r="A899" s="9" t="str">
        <f>IF('Frame Sections'!A914=0,"",'Frame Sections'!A914)</f>
        <v/>
      </c>
      <c r="B899" s="9" t="str">
        <f t="shared" si="14"/>
        <v/>
      </c>
    </row>
    <row r="900" spans="1:2" x14ac:dyDescent="0.25">
      <c r="A900" s="9" t="str">
        <f>IF('Frame Sections'!A915=0,"",'Frame Sections'!A915)</f>
        <v/>
      </c>
      <c r="B900" s="9" t="str">
        <f t="shared" si="14"/>
        <v/>
      </c>
    </row>
    <row r="901" spans="1:2" x14ac:dyDescent="0.25">
      <c r="A901" s="9" t="str">
        <f>IF('Frame Sections'!A916=0,"",'Frame Sections'!A916)</f>
        <v/>
      </c>
      <c r="B901" s="9" t="str">
        <f t="shared" si="14"/>
        <v/>
      </c>
    </row>
    <row r="902" spans="1:2" x14ac:dyDescent="0.25">
      <c r="A902" s="9" t="str">
        <f>IF('Frame Sections'!A917=0,"",'Frame Sections'!A917)</f>
        <v/>
      </c>
      <c r="B902" s="9" t="str">
        <f t="shared" si="14"/>
        <v/>
      </c>
    </row>
    <row r="903" spans="1:2" x14ac:dyDescent="0.25">
      <c r="A903" s="9" t="str">
        <f>IF('Frame Sections'!A918=0,"",'Frame Sections'!A918)</f>
        <v/>
      </c>
      <c r="B903" s="9" t="str">
        <f t="shared" si="14"/>
        <v/>
      </c>
    </row>
    <row r="904" spans="1:2" x14ac:dyDescent="0.25">
      <c r="A904" s="9" t="str">
        <f>IF('Frame Sections'!A919=0,"",'Frame Sections'!A919)</f>
        <v/>
      </c>
      <c r="B904" s="9" t="str">
        <f t="shared" si="14"/>
        <v/>
      </c>
    </row>
    <row r="905" spans="1:2" x14ac:dyDescent="0.25">
      <c r="A905" s="9" t="str">
        <f>IF('Frame Sections'!A920=0,"",'Frame Sections'!A920)</f>
        <v/>
      </c>
      <c r="B905" s="9" t="str">
        <f t="shared" si="14"/>
        <v/>
      </c>
    </row>
    <row r="906" spans="1:2" x14ac:dyDescent="0.25">
      <c r="A906" s="9" t="str">
        <f>IF('Frame Sections'!A921=0,"",'Frame Sections'!A921)</f>
        <v/>
      </c>
      <c r="B906" s="9" t="str">
        <f t="shared" si="14"/>
        <v/>
      </c>
    </row>
    <row r="907" spans="1:2" x14ac:dyDescent="0.25">
      <c r="A907" s="9" t="str">
        <f>IF('Frame Sections'!A922=0,"",'Frame Sections'!A922)</f>
        <v/>
      </c>
      <c r="B907" s="9" t="str">
        <f t="shared" si="14"/>
        <v/>
      </c>
    </row>
    <row r="908" spans="1:2" x14ac:dyDescent="0.25">
      <c r="A908" s="9" t="str">
        <f>IF('Frame Sections'!A923=0,"",'Frame Sections'!A923)</f>
        <v/>
      </c>
      <c r="B908" s="9" t="str">
        <f t="shared" si="14"/>
        <v/>
      </c>
    </row>
    <row r="909" spans="1:2" x14ac:dyDescent="0.25">
      <c r="A909" s="9" t="str">
        <f>IF('Frame Sections'!A924=0,"",'Frame Sections'!A924)</f>
        <v/>
      </c>
      <c r="B909" s="9" t="str">
        <f t="shared" si="14"/>
        <v/>
      </c>
    </row>
    <row r="910" spans="1:2" x14ac:dyDescent="0.25">
      <c r="A910" s="9" t="str">
        <f>IF('Frame Sections'!A925=0,"",'Frame Sections'!A925)</f>
        <v/>
      </c>
      <c r="B910" s="9" t="str">
        <f t="shared" si="14"/>
        <v/>
      </c>
    </row>
    <row r="911" spans="1:2" x14ac:dyDescent="0.25">
      <c r="A911" s="9" t="str">
        <f>IF('Frame Sections'!A926=0,"",'Frame Sections'!A926)</f>
        <v/>
      </c>
      <c r="B911" s="9" t="str">
        <f t="shared" si="14"/>
        <v/>
      </c>
    </row>
    <row r="912" spans="1:2" x14ac:dyDescent="0.25">
      <c r="A912" s="9" t="str">
        <f>IF('Frame Sections'!A927=0,"",'Frame Sections'!A927)</f>
        <v/>
      </c>
      <c r="B912" s="9" t="str">
        <f t="shared" si="14"/>
        <v/>
      </c>
    </row>
    <row r="913" spans="1:2" x14ac:dyDescent="0.25">
      <c r="A913" s="9" t="str">
        <f>IF('Frame Sections'!A928=0,"",'Frame Sections'!A928)</f>
        <v/>
      </c>
      <c r="B913" s="9" t="str">
        <f t="shared" si="14"/>
        <v/>
      </c>
    </row>
    <row r="914" spans="1:2" x14ac:dyDescent="0.25">
      <c r="A914" s="9" t="str">
        <f>IF('Frame Sections'!A929=0,"",'Frame Sections'!A929)</f>
        <v/>
      </c>
      <c r="B914" s="9" t="str">
        <f t="shared" si="14"/>
        <v/>
      </c>
    </row>
    <row r="915" spans="1:2" x14ac:dyDescent="0.25">
      <c r="A915" s="9" t="str">
        <f>IF('Frame Sections'!A930=0,"",'Frame Sections'!A930)</f>
        <v/>
      </c>
      <c r="B915" s="9" t="str">
        <f t="shared" si="14"/>
        <v/>
      </c>
    </row>
    <row r="916" spans="1:2" x14ac:dyDescent="0.25">
      <c r="A916" s="9" t="str">
        <f>IF('Frame Sections'!A931=0,"",'Frame Sections'!A931)</f>
        <v/>
      </c>
      <c r="B916" s="9" t="str">
        <f t="shared" si="14"/>
        <v/>
      </c>
    </row>
    <row r="917" spans="1:2" x14ac:dyDescent="0.25">
      <c r="A917" s="9" t="str">
        <f>IF('Frame Sections'!A932=0,"",'Frame Sections'!A932)</f>
        <v/>
      </c>
      <c r="B917" s="9" t="str">
        <f t="shared" si="14"/>
        <v/>
      </c>
    </row>
    <row r="918" spans="1:2" x14ac:dyDescent="0.25">
      <c r="A918" s="9" t="str">
        <f>IF('Frame Sections'!A933=0,"",'Frame Sections'!A933)</f>
        <v/>
      </c>
      <c r="B918" s="9" t="str">
        <f t="shared" si="14"/>
        <v/>
      </c>
    </row>
    <row r="919" spans="1:2" x14ac:dyDescent="0.25">
      <c r="A919" s="9" t="str">
        <f>IF('Frame Sections'!A934=0,"",'Frame Sections'!A934)</f>
        <v/>
      </c>
      <c r="B919" s="9" t="str">
        <f t="shared" si="14"/>
        <v/>
      </c>
    </row>
    <row r="920" spans="1:2" x14ac:dyDescent="0.25">
      <c r="A920" s="9" t="str">
        <f>IF('Frame Sections'!A935=0,"",'Frame Sections'!A935)</f>
        <v/>
      </c>
      <c r="B920" s="9" t="str">
        <f t="shared" si="14"/>
        <v/>
      </c>
    </row>
    <row r="921" spans="1:2" x14ac:dyDescent="0.25">
      <c r="A921" s="9" t="str">
        <f>IF('Frame Sections'!A936=0,"",'Frame Sections'!A936)</f>
        <v/>
      </c>
      <c r="B921" s="9" t="str">
        <f t="shared" si="14"/>
        <v/>
      </c>
    </row>
    <row r="922" spans="1:2" x14ac:dyDescent="0.25">
      <c r="A922" s="9" t="str">
        <f>IF('Frame Sections'!A937=0,"",'Frame Sections'!A937)</f>
        <v/>
      </c>
      <c r="B922" s="9" t="str">
        <f t="shared" si="14"/>
        <v/>
      </c>
    </row>
    <row r="923" spans="1:2" x14ac:dyDescent="0.25">
      <c r="A923" s="9" t="str">
        <f>IF('Frame Sections'!A938=0,"",'Frame Sections'!A938)</f>
        <v/>
      </c>
      <c r="B923" s="9" t="str">
        <f t="shared" si="14"/>
        <v/>
      </c>
    </row>
    <row r="924" spans="1:2" x14ac:dyDescent="0.25">
      <c r="A924" s="9" t="str">
        <f>IF('Frame Sections'!A939=0,"",'Frame Sections'!A939)</f>
        <v/>
      </c>
      <c r="B924" s="9" t="str">
        <f t="shared" si="14"/>
        <v/>
      </c>
    </row>
    <row r="925" spans="1:2" x14ac:dyDescent="0.25">
      <c r="A925" s="9" t="str">
        <f>IF('Frame Sections'!A940=0,"",'Frame Sections'!A940)</f>
        <v/>
      </c>
      <c r="B925" s="9" t="str">
        <f t="shared" si="14"/>
        <v/>
      </c>
    </row>
    <row r="926" spans="1:2" x14ac:dyDescent="0.25">
      <c r="A926" s="9" t="str">
        <f>IF('Frame Sections'!A941=0,"",'Frame Sections'!A941)</f>
        <v/>
      </c>
      <c r="B926" s="9" t="str">
        <f t="shared" si="14"/>
        <v/>
      </c>
    </row>
    <row r="927" spans="1:2" x14ac:dyDescent="0.25">
      <c r="A927" s="9" t="str">
        <f>IF('Frame Sections'!A942=0,"",'Frame Sections'!A942)</f>
        <v/>
      </c>
      <c r="B927" s="9" t="str">
        <f t="shared" si="14"/>
        <v/>
      </c>
    </row>
    <row r="928" spans="1:2" x14ac:dyDescent="0.25">
      <c r="A928" s="9" t="str">
        <f>IF('Frame Sections'!A943=0,"",'Frame Sections'!A943)</f>
        <v/>
      </c>
      <c r="B928" s="9" t="str">
        <f t="shared" si="14"/>
        <v/>
      </c>
    </row>
    <row r="929" spans="1:2" x14ac:dyDescent="0.25">
      <c r="A929" s="9" t="str">
        <f>IF('Frame Sections'!A944=0,"",'Frame Sections'!A944)</f>
        <v/>
      </c>
      <c r="B929" s="9" t="str">
        <f t="shared" si="14"/>
        <v/>
      </c>
    </row>
    <row r="930" spans="1:2" x14ac:dyDescent="0.25">
      <c r="A930" s="9" t="str">
        <f>IF('Frame Sections'!A945=0,"",'Frame Sections'!A945)</f>
        <v/>
      </c>
      <c r="B930" s="9" t="str">
        <f t="shared" si="14"/>
        <v/>
      </c>
    </row>
    <row r="931" spans="1:2" x14ac:dyDescent="0.25">
      <c r="A931" s="9" t="str">
        <f>IF('Frame Sections'!A946=0,"",'Frame Sections'!A946)</f>
        <v/>
      </c>
      <c r="B931" s="9" t="str">
        <f t="shared" si="14"/>
        <v/>
      </c>
    </row>
    <row r="932" spans="1:2" x14ac:dyDescent="0.25">
      <c r="A932" s="9" t="str">
        <f>IF('Frame Sections'!A947=0,"",'Frame Sections'!A947)</f>
        <v/>
      </c>
      <c r="B932" s="9" t="str">
        <f t="shared" si="14"/>
        <v/>
      </c>
    </row>
    <row r="933" spans="1:2" x14ac:dyDescent="0.25">
      <c r="A933" s="9" t="str">
        <f>IF('Frame Sections'!A948=0,"",'Frame Sections'!A948)</f>
        <v/>
      </c>
      <c r="B933" s="9" t="str">
        <f t="shared" si="14"/>
        <v/>
      </c>
    </row>
    <row r="934" spans="1:2" x14ac:dyDescent="0.25">
      <c r="A934" s="9" t="str">
        <f>IF('Frame Sections'!A949=0,"",'Frame Sections'!A949)</f>
        <v/>
      </c>
      <c r="B934" s="9" t="str">
        <f t="shared" si="14"/>
        <v/>
      </c>
    </row>
    <row r="935" spans="1:2" x14ac:dyDescent="0.25">
      <c r="A935" s="9" t="str">
        <f>IF('Frame Sections'!A950=0,"",'Frame Sections'!A950)</f>
        <v/>
      </c>
      <c r="B935" s="9" t="str">
        <f t="shared" si="14"/>
        <v/>
      </c>
    </row>
    <row r="936" spans="1:2" x14ac:dyDescent="0.25">
      <c r="A936" s="9" t="str">
        <f>IF('Frame Sections'!A951=0,"",'Frame Sections'!A951)</f>
        <v/>
      </c>
      <c r="B936" s="9" t="str">
        <f t="shared" si="14"/>
        <v/>
      </c>
    </row>
    <row r="937" spans="1:2" x14ac:dyDescent="0.25">
      <c r="A937" s="9" t="str">
        <f>IF('Frame Sections'!A952=0,"",'Frame Sections'!A952)</f>
        <v/>
      </c>
      <c r="B937" s="9" t="str">
        <f t="shared" si="14"/>
        <v/>
      </c>
    </row>
    <row r="938" spans="1:2" x14ac:dyDescent="0.25">
      <c r="A938" s="9" t="str">
        <f>IF('Frame Sections'!A953=0,"",'Frame Sections'!A953)</f>
        <v/>
      </c>
      <c r="B938" s="9" t="str">
        <f t="shared" si="14"/>
        <v/>
      </c>
    </row>
    <row r="939" spans="1:2" x14ac:dyDescent="0.25">
      <c r="A939" s="9" t="str">
        <f>IF('Frame Sections'!A954=0,"",'Frame Sections'!A954)</f>
        <v/>
      </c>
      <c r="B939" s="9" t="str">
        <f t="shared" si="14"/>
        <v/>
      </c>
    </row>
    <row r="940" spans="1:2" x14ac:dyDescent="0.25">
      <c r="A940" s="9" t="str">
        <f>IF('Frame Sections'!A955=0,"",'Frame Sections'!A955)</f>
        <v/>
      </c>
      <c r="B940" s="9" t="str">
        <f t="shared" si="14"/>
        <v/>
      </c>
    </row>
    <row r="941" spans="1:2" x14ac:dyDescent="0.25">
      <c r="A941" s="9" t="str">
        <f>IF('Frame Sections'!A956=0,"",'Frame Sections'!A956)</f>
        <v/>
      </c>
      <c r="B941" s="9" t="str">
        <f t="shared" si="14"/>
        <v/>
      </c>
    </row>
    <row r="942" spans="1:2" x14ac:dyDescent="0.25">
      <c r="A942" s="9" t="str">
        <f>IF('Frame Sections'!A957=0,"",'Frame Sections'!A957)</f>
        <v/>
      </c>
      <c r="B942" s="9" t="str">
        <f t="shared" si="14"/>
        <v/>
      </c>
    </row>
    <row r="943" spans="1:2" x14ac:dyDescent="0.25">
      <c r="A943" s="9" t="str">
        <f>IF('Frame Sections'!A958=0,"",'Frame Sections'!A958)</f>
        <v/>
      </c>
      <c r="B943" s="9" t="str">
        <f t="shared" si="14"/>
        <v/>
      </c>
    </row>
    <row r="944" spans="1:2" x14ac:dyDescent="0.25">
      <c r="A944" s="9" t="str">
        <f>IF('Frame Sections'!A959=0,"",'Frame Sections'!A959)</f>
        <v/>
      </c>
      <c r="B944" s="9" t="str">
        <f t="shared" si="14"/>
        <v/>
      </c>
    </row>
    <row r="945" spans="1:2" x14ac:dyDescent="0.25">
      <c r="A945" s="9" t="str">
        <f>IF('Frame Sections'!A960=0,"",'Frame Sections'!A960)</f>
        <v/>
      </c>
      <c r="B945" s="9" t="str">
        <f t="shared" si="14"/>
        <v/>
      </c>
    </row>
    <row r="946" spans="1:2" x14ac:dyDescent="0.25">
      <c r="A946" s="9" t="str">
        <f>IF('Frame Sections'!A961=0,"",'Frame Sections'!A961)</f>
        <v/>
      </c>
      <c r="B946" s="9" t="str">
        <f t="shared" si="14"/>
        <v/>
      </c>
    </row>
    <row r="947" spans="1:2" x14ac:dyDescent="0.25">
      <c r="A947" s="9" t="str">
        <f>IF('Frame Sections'!A962=0,"",'Frame Sections'!A962)</f>
        <v/>
      </c>
      <c r="B947" s="9" t="str">
        <f t="shared" si="14"/>
        <v/>
      </c>
    </row>
    <row r="948" spans="1:2" x14ac:dyDescent="0.25">
      <c r="A948" s="9" t="str">
        <f>IF('Frame Sections'!A963=0,"",'Frame Sections'!A963)</f>
        <v/>
      </c>
      <c r="B948" s="9" t="str">
        <f t="shared" si="14"/>
        <v/>
      </c>
    </row>
    <row r="949" spans="1:2" x14ac:dyDescent="0.25">
      <c r="A949" s="9" t="str">
        <f>IF('Frame Sections'!A964=0,"",'Frame Sections'!A964)</f>
        <v/>
      </c>
      <c r="B949" s="9" t="str">
        <f t="shared" si="14"/>
        <v/>
      </c>
    </row>
    <row r="950" spans="1:2" x14ac:dyDescent="0.25">
      <c r="A950" s="9" t="str">
        <f>IF('Frame Sections'!A965=0,"",'Frame Sections'!A965)</f>
        <v/>
      </c>
      <c r="B950" s="9" t="str">
        <f t="shared" si="14"/>
        <v/>
      </c>
    </row>
    <row r="951" spans="1:2" x14ac:dyDescent="0.25">
      <c r="A951" s="9" t="str">
        <f>IF('Frame Sections'!A966=0,"",'Frame Sections'!A966)</f>
        <v/>
      </c>
      <c r="B951" s="9" t="str">
        <f t="shared" si="14"/>
        <v/>
      </c>
    </row>
    <row r="952" spans="1:2" x14ac:dyDescent="0.25">
      <c r="A952" s="9" t="str">
        <f>IF('Frame Sections'!A967=0,"",'Frame Sections'!A967)</f>
        <v/>
      </c>
      <c r="B952" s="9" t="str">
        <f t="shared" si="14"/>
        <v/>
      </c>
    </row>
    <row r="953" spans="1:2" x14ac:dyDescent="0.25">
      <c r="A953" s="9" t="str">
        <f>IF('Frame Sections'!A968=0,"",'Frame Sections'!A968)</f>
        <v/>
      </c>
      <c r="B953" s="9" t="str">
        <f t="shared" si="14"/>
        <v/>
      </c>
    </row>
    <row r="954" spans="1:2" x14ac:dyDescent="0.25">
      <c r="A954" s="9" t="str">
        <f>IF('Frame Sections'!A969=0,"",'Frame Sections'!A969)</f>
        <v/>
      </c>
      <c r="B954" s="9" t="str">
        <f t="shared" si="14"/>
        <v/>
      </c>
    </row>
    <row r="955" spans="1:2" x14ac:dyDescent="0.25">
      <c r="A955" s="9" t="str">
        <f>IF('Frame Sections'!A970=0,"",'Frame Sections'!A970)</f>
        <v/>
      </c>
      <c r="B955" s="9" t="str">
        <f t="shared" si="14"/>
        <v/>
      </c>
    </row>
    <row r="956" spans="1:2" x14ac:dyDescent="0.25">
      <c r="A956" s="9" t="str">
        <f>IF('Frame Sections'!A971=0,"",'Frame Sections'!A971)</f>
        <v/>
      </c>
      <c r="B956" s="9" t="str">
        <f t="shared" si="14"/>
        <v/>
      </c>
    </row>
    <row r="957" spans="1:2" x14ac:dyDescent="0.25">
      <c r="A957" s="9" t="str">
        <f>IF('Frame Sections'!A972=0,"",'Frame Sections'!A972)</f>
        <v/>
      </c>
      <c r="B957" s="9" t="str">
        <f t="shared" si="14"/>
        <v/>
      </c>
    </row>
    <row r="958" spans="1:2" x14ac:dyDescent="0.25">
      <c r="A958" s="9" t="str">
        <f>IF('Frame Sections'!A973=0,"",'Frame Sections'!A973)</f>
        <v/>
      </c>
      <c r="B958" s="9" t="str">
        <f t="shared" si="14"/>
        <v/>
      </c>
    </row>
    <row r="959" spans="1:2" x14ac:dyDescent="0.25">
      <c r="A959" s="9" t="str">
        <f>IF('Frame Sections'!A974=0,"",'Frame Sections'!A974)</f>
        <v/>
      </c>
      <c r="B959" s="9" t="str">
        <f t="shared" si="14"/>
        <v/>
      </c>
    </row>
    <row r="960" spans="1:2" x14ac:dyDescent="0.25">
      <c r="A960" s="9" t="str">
        <f>IF('Frame Sections'!A975=0,"",'Frame Sections'!A975)</f>
        <v/>
      </c>
      <c r="B960" s="9" t="str">
        <f t="shared" si="14"/>
        <v/>
      </c>
    </row>
    <row r="961" spans="1:2" x14ac:dyDescent="0.25">
      <c r="A961" s="9" t="str">
        <f>IF('Frame Sections'!A976=0,"",'Frame Sections'!A976)</f>
        <v/>
      </c>
      <c r="B961" s="9" t="str">
        <f t="shared" si="14"/>
        <v/>
      </c>
    </row>
    <row r="962" spans="1:2" x14ac:dyDescent="0.25">
      <c r="A962" s="9" t="str">
        <f>IF('Frame Sections'!A977=0,"",'Frame Sections'!A977)</f>
        <v/>
      </c>
      <c r="B962" s="9" t="str">
        <f t="shared" ref="B962:B1001" si="15">IF(OR(A962=0,A962=""),"",VLOOKUP(A962,SecDB,5,FALSE))</f>
        <v/>
      </c>
    </row>
    <row r="963" spans="1:2" x14ac:dyDescent="0.25">
      <c r="A963" s="9" t="str">
        <f>IF('Frame Sections'!A978=0,"",'Frame Sections'!A978)</f>
        <v/>
      </c>
      <c r="B963" s="9" t="str">
        <f t="shared" si="15"/>
        <v/>
      </c>
    </row>
    <row r="964" spans="1:2" x14ac:dyDescent="0.25">
      <c r="A964" s="9" t="str">
        <f>IF('Frame Sections'!A979=0,"",'Frame Sections'!A979)</f>
        <v/>
      </c>
      <c r="B964" s="9" t="str">
        <f t="shared" si="15"/>
        <v/>
      </c>
    </row>
    <row r="965" spans="1:2" x14ac:dyDescent="0.25">
      <c r="A965" s="9" t="str">
        <f>IF('Frame Sections'!A980=0,"",'Frame Sections'!A980)</f>
        <v/>
      </c>
      <c r="B965" s="9" t="str">
        <f t="shared" si="15"/>
        <v/>
      </c>
    </row>
    <row r="966" spans="1:2" x14ac:dyDescent="0.25">
      <c r="A966" s="9" t="str">
        <f>IF('Frame Sections'!A981=0,"",'Frame Sections'!A981)</f>
        <v/>
      </c>
      <c r="B966" s="9" t="str">
        <f t="shared" si="15"/>
        <v/>
      </c>
    </row>
    <row r="967" spans="1:2" x14ac:dyDescent="0.25">
      <c r="A967" s="9" t="str">
        <f>IF('Frame Sections'!A982=0,"",'Frame Sections'!A982)</f>
        <v/>
      </c>
      <c r="B967" s="9" t="str">
        <f t="shared" si="15"/>
        <v/>
      </c>
    </row>
    <row r="968" spans="1:2" x14ac:dyDescent="0.25">
      <c r="A968" s="9" t="str">
        <f>IF('Frame Sections'!A983=0,"",'Frame Sections'!A983)</f>
        <v/>
      </c>
      <c r="B968" s="9" t="str">
        <f t="shared" si="15"/>
        <v/>
      </c>
    </row>
    <row r="969" spans="1:2" x14ac:dyDescent="0.25">
      <c r="A969" s="9" t="str">
        <f>IF('Frame Sections'!A984=0,"",'Frame Sections'!A984)</f>
        <v/>
      </c>
      <c r="B969" s="9" t="str">
        <f t="shared" si="15"/>
        <v/>
      </c>
    </row>
    <row r="970" spans="1:2" x14ac:dyDescent="0.25">
      <c r="A970" s="9" t="str">
        <f>IF('Frame Sections'!A985=0,"",'Frame Sections'!A985)</f>
        <v/>
      </c>
      <c r="B970" s="9" t="str">
        <f t="shared" si="15"/>
        <v/>
      </c>
    </row>
    <row r="971" spans="1:2" x14ac:dyDescent="0.25">
      <c r="A971" s="9" t="str">
        <f>IF('Frame Sections'!A986=0,"",'Frame Sections'!A986)</f>
        <v/>
      </c>
      <c r="B971" s="9" t="str">
        <f t="shared" si="15"/>
        <v/>
      </c>
    </row>
    <row r="972" spans="1:2" x14ac:dyDescent="0.25">
      <c r="A972" s="9" t="str">
        <f>IF('Frame Sections'!A987=0,"",'Frame Sections'!A987)</f>
        <v/>
      </c>
      <c r="B972" s="9" t="str">
        <f t="shared" si="15"/>
        <v/>
      </c>
    </row>
    <row r="973" spans="1:2" x14ac:dyDescent="0.25">
      <c r="A973" s="9" t="str">
        <f>IF('Frame Sections'!A988=0,"",'Frame Sections'!A988)</f>
        <v/>
      </c>
      <c r="B973" s="9" t="str">
        <f t="shared" si="15"/>
        <v/>
      </c>
    </row>
    <row r="974" spans="1:2" x14ac:dyDescent="0.25">
      <c r="A974" s="9" t="str">
        <f>IF('Frame Sections'!A989=0,"",'Frame Sections'!A989)</f>
        <v/>
      </c>
      <c r="B974" s="9" t="str">
        <f t="shared" si="15"/>
        <v/>
      </c>
    </row>
    <row r="975" spans="1:2" x14ac:dyDescent="0.25">
      <c r="A975" s="9" t="str">
        <f>IF('Frame Sections'!A990=0,"",'Frame Sections'!A990)</f>
        <v/>
      </c>
      <c r="B975" s="9" t="str">
        <f t="shared" si="15"/>
        <v/>
      </c>
    </row>
    <row r="976" spans="1:2" x14ac:dyDescent="0.25">
      <c r="A976" s="9" t="str">
        <f>IF('Frame Sections'!A991=0,"",'Frame Sections'!A991)</f>
        <v/>
      </c>
      <c r="B976" s="9" t="str">
        <f t="shared" si="15"/>
        <v/>
      </c>
    </row>
    <row r="977" spans="1:2" x14ac:dyDescent="0.25">
      <c r="A977" s="9" t="str">
        <f>IF('Frame Sections'!A992=0,"",'Frame Sections'!A992)</f>
        <v/>
      </c>
      <c r="B977" s="9" t="str">
        <f t="shared" si="15"/>
        <v/>
      </c>
    </row>
    <row r="978" spans="1:2" x14ac:dyDescent="0.25">
      <c r="A978" s="9" t="str">
        <f>IF('Frame Sections'!A993=0,"",'Frame Sections'!A993)</f>
        <v/>
      </c>
      <c r="B978" s="9" t="str">
        <f t="shared" si="15"/>
        <v/>
      </c>
    </row>
    <row r="979" spans="1:2" x14ac:dyDescent="0.25">
      <c r="A979" s="9" t="str">
        <f>IF('Frame Sections'!A994=0,"",'Frame Sections'!A994)</f>
        <v/>
      </c>
      <c r="B979" s="9" t="str">
        <f t="shared" si="15"/>
        <v/>
      </c>
    </row>
    <row r="980" spans="1:2" x14ac:dyDescent="0.25">
      <c r="A980" s="9" t="str">
        <f>IF('Frame Sections'!A995=0,"",'Frame Sections'!A995)</f>
        <v/>
      </c>
      <c r="B980" s="9" t="str">
        <f t="shared" si="15"/>
        <v/>
      </c>
    </row>
    <row r="981" spans="1:2" x14ac:dyDescent="0.25">
      <c r="A981" s="9" t="str">
        <f>IF('Frame Sections'!A996=0,"",'Frame Sections'!A996)</f>
        <v/>
      </c>
      <c r="B981" s="9" t="str">
        <f t="shared" si="15"/>
        <v/>
      </c>
    </row>
    <row r="982" spans="1:2" x14ac:dyDescent="0.25">
      <c r="A982" s="9" t="str">
        <f>IF('Frame Sections'!A997=0,"",'Frame Sections'!A997)</f>
        <v/>
      </c>
      <c r="B982" s="9" t="str">
        <f t="shared" si="15"/>
        <v/>
      </c>
    </row>
    <row r="983" spans="1:2" x14ac:dyDescent="0.25">
      <c r="A983" s="9" t="str">
        <f>IF('Frame Sections'!A998=0,"",'Frame Sections'!A998)</f>
        <v/>
      </c>
      <c r="B983" s="9" t="str">
        <f t="shared" si="15"/>
        <v/>
      </c>
    </row>
    <row r="984" spans="1:2" x14ac:dyDescent="0.25">
      <c r="A984" s="9" t="str">
        <f>IF('Frame Sections'!A999=0,"",'Frame Sections'!A999)</f>
        <v/>
      </c>
      <c r="B984" s="9" t="str">
        <f t="shared" si="15"/>
        <v/>
      </c>
    </row>
    <row r="985" spans="1:2" x14ac:dyDescent="0.25">
      <c r="A985" s="9" t="str">
        <f>IF('Frame Sections'!A1000=0,"",'Frame Sections'!A1000)</f>
        <v/>
      </c>
      <c r="B985" s="9" t="str">
        <f t="shared" si="15"/>
        <v/>
      </c>
    </row>
    <row r="986" spans="1:2" x14ac:dyDescent="0.25">
      <c r="A986" s="9" t="str">
        <f>IF('Frame Sections'!A1001=0,"",'Frame Sections'!A1001)</f>
        <v/>
      </c>
      <c r="B986" s="9" t="str">
        <f t="shared" si="15"/>
        <v/>
      </c>
    </row>
    <row r="987" spans="1:2" x14ac:dyDescent="0.25">
      <c r="A987" s="9" t="str">
        <f>IF('Frame Sections'!A1002=0,"",'Frame Sections'!A1002)</f>
        <v/>
      </c>
      <c r="B987" s="9" t="str">
        <f t="shared" si="15"/>
        <v/>
      </c>
    </row>
    <row r="988" spans="1:2" x14ac:dyDescent="0.25">
      <c r="A988" s="9" t="str">
        <f>IF('Frame Sections'!A1003=0,"",'Frame Sections'!A1003)</f>
        <v/>
      </c>
      <c r="B988" s="9" t="str">
        <f t="shared" si="15"/>
        <v/>
      </c>
    </row>
    <row r="989" spans="1:2" x14ac:dyDescent="0.25">
      <c r="A989" s="9" t="str">
        <f>IF('Frame Sections'!A1004=0,"",'Frame Sections'!A1004)</f>
        <v/>
      </c>
      <c r="B989" s="9" t="str">
        <f t="shared" si="15"/>
        <v/>
      </c>
    </row>
    <row r="990" spans="1:2" x14ac:dyDescent="0.25">
      <c r="A990" s="9" t="str">
        <f>IF('Frame Sections'!A1005=0,"",'Frame Sections'!A1005)</f>
        <v/>
      </c>
      <c r="B990" s="9" t="str">
        <f t="shared" si="15"/>
        <v/>
      </c>
    </row>
    <row r="991" spans="1:2" x14ac:dyDescent="0.25">
      <c r="A991" s="9" t="str">
        <f>IF('Frame Sections'!A1006=0,"",'Frame Sections'!A1006)</f>
        <v/>
      </c>
      <c r="B991" s="9" t="str">
        <f t="shared" si="15"/>
        <v/>
      </c>
    </row>
    <row r="992" spans="1:2" x14ac:dyDescent="0.25">
      <c r="A992" s="9" t="str">
        <f>IF('Frame Sections'!A1007=0,"",'Frame Sections'!A1007)</f>
        <v/>
      </c>
      <c r="B992" s="9" t="str">
        <f t="shared" si="15"/>
        <v/>
      </c>
    </row>
    <row r="993" spans="1:2" x14ac:dyDescent="0.25">
      <c r="A993" s="9" t="str">
        <f>IF('Frame Sections'!A1008=0,"",'Frame Sections'!A1008)</f>
        <v/>
      </c>
      <c r="B993" s="9" t="str">
        <f t="shared" si="15"/>
        <v/>
      </c>
    </row>
    <row r="994" spans="1:2" x14ac:dyDescent="0.25">
      <c r="A994" s="9" t="str">
        <f>IF('Frame Sections'!A1009=0,"",'Frame Sections'!A1009)</f>
        <v/>
      </c>
      <c r="B994" s="9" t="str">
        <f t="shared" si="15"/>
        <v/>
      </c>
    </row>
    <row r="995" spans="1:2" x14ac:dyDescent="0.25">
      <c r="A995" s="9" t="str">
        <f>IF('Frame Sections'!A1010=0,"",'Frame Sections'!A1010)</f>
        <v/>
      </c>
      <c r="B995" s="9" t="str">
        <f t="shared" si="15"/>
        <v/>
      </c>
    </row>
    <row r="996" spans="1:2" x14ac:dyDescent="0.25">
      <c r="A996" s="9" t="str">
        <f>IF('Frame Sections'!A1011=0,"",'Frame Sections'!A1011)</f>
        <v/>
      </c>
      <c r="B996" s="9" t="str">
        <f t="shared" si="15"/>
        <v/>
      </c>
    </row>
    <row r="997" spans="1:2" x14ac:dyDescent="0.25">
      <c r="A997" s="9" t="str">
        <f>IF('Frame Sections'!A1012=0,"",'Frame Sections'!A1012)</f>
        <v/>
      </c>
      <c r="B997" s="9" t="str">
        <f t="shared" si="15"/>
        <v/>
      </c>
    </row>
    <row r="998" spans="1:2" x14ac:dyDescent="0.25">
      <c r="A998" s="9" t="str">
        <f>IF('Frame Sections'!A1013=0,"",'Frame Sections'!A1013)</f>
        <v/>
      </c>
      <c r="B998" s="9" t="str">
        <f t="shared" si="15"/>
        <v/>
      </c>
    </row>
    <row r="999" spans="1:2" x14ac:dyDescent="0.25">
      <c r="A999" s="9" t="str">
        <f>IF('Frame Sections'!A1014=0,"",'Frame Sections'!A1014)</f>
        <v/>
      </c>
      <c r="B999" s="9" t="str">
        <f t="shared" si="15"/>
        <v/>
      </c>
    </row>
    <row r="1000" spans="1:2" x14ac:dyDescent="0.25">
      <c r="A1000" s="9" t="str">
        <f>IF('Frame Sections'!A1015=0,"",'Frame Sections'!A1015)</f>
        <v/>
      </c>
      <c r="B1000" s="9" t="str">
        <f t="shared" si="15"/>
        <v/>
      </c>
    </row>
    <row r="1001" spans="1:2" x14ac:dyDescent="0.25">
      <c r="A1001" s="9" t="str">
        <f>IF('Frame Sections'!A1016=0,"",'Frame Sections'!A1016)</f>
        <v/>
      </c>
      <c r="B1001" s="9" t="str">
        <f t="shared" si="15"/>
        <v/>
      </c>
    </row>
  </sheetData>
  <dataValidations count="4">
    <dataValidation allowBlank="1" showInputMessage="1" showErrorMessage="1" prompt="Element type. Automatically filled based on choosen base section" sqref="B2:B1048576" xr:uid="{971C0DD9-B9AA-4A44-A9E7-F494160C4DFB}"/>
    <dataValidation allowBlank="1" showInputMessage="1" showErrorMessage="1" prompt="Offset length at i-end_x000a__x000a_Notes:_x000a_1. Fill 0.0 value if there is no offset_x000a_2. Value should follow Default Units_x000a_" sqref="C2:C1048576" xr:uid="{14C3AE76-DB15-0544-8BB1-5F27DE6B3050}"/>
    <dataValidation allowBlank="1" showInputMessage="1" showErrorMessage="1" prompt="Offset length at j-end_x000a__x000a_Notes:_x000a_1. Fill 0.0 value if there is no offset_x000a_2. Value should follow Default Units_x000a__x000a_" sqref="D2:D1048576" xr:uid="{4BF4698C-AD81-BA43-95FC-3C01373B8910}"/>
    <dataValidation allowBlank="1" showInputMessage="1" showErrorMessage="1" prompt="Base section. Automatically filled based on frame section input" sqref="A2:A1048576" xr:uid="{FFBF2BF7-24E5-7348-B7A3-B92447ACCC5A}"/>
  </dataValidation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C47C05-8726-AA42-9415-54EB07A79E2D}">
  <sheetPr codeName="Sheet17"/>
  <dimension ref="A1:F65"/>
  <sheetViews>
    <sheetView zoomScale="130" zoomScaleNormal="130" workbookViewId="0">
      <selection activeCell="D7" sqref="D7"/>
    </sheetView>
  </sheetViews>
  <sheetFormatPr defaultColWidth="10.85546875" defaultRowHeight="15.75" x14ac:dyDescent="0.25"/>
  <cols>
    <col min="1" max="1" width="15.85546875" style="1" customWidth="1"/>
    <col min="2" max="5" width="10.85546875" style="1"/>
    <col min="6" max="6" width="15.85546875" style="1" customWidth="1"/>
    <col min="7" max="16384" width="10.85546875" style="3"/>
  </cols>
  <sheetData>
    <row r="1" spans="1:6" s="8" customFormat="1" x14ac:dyDescent="0.25">
      <c r="A1" s="8" t="s">
        <v>120</v>
      </c>
      <c r="B1" s="8" t="s">
        <v>113</v>
      </c>
      <c r="C1" s="8" t="s">
        <v>114</v>
      </c>
      <c r="D1" s="8" t="s">
        <v>121</v>
      </c>
      <c r="E1" s="8" t="s">
        <v>76</v>
      </c>
      <c r="F1" s="8" t="s">
        <v>122</v>
      </c>
    </row>
    <row r="2" spans="1:6" x14ac:dyDescent="0.25">
      <c r="A2" s="1">
        <v>1</v>
      </c>
      <c r="B2" s="1">
        <v>1001</v>
      </c>
      <c r="C2" s="1">
        <v>1006</v>
      </c>
      <c r="D2" s="1">
        <v>1007</v>
      </c>
      <c r="E2" s="1">
        <v>1002</v>
      </c>
      <c r="F2" s="1" t="s">
        <v>108</v>
      </c>
    </row>
    <row r="3" spans="1:6" x14ac:dyDescent="0.25">
      <c r="A3" s="1">
        <v>2</v>
      </c>
      <c r="B3" s="1">
        <v>1002</v>
      </c>
      <c r="C3" s="1">
        <v>1007</v>
      </c>
      <c r="D3" s="1">
        <v>1008</v>
      </c>
      <c r="E3" s="1">
        <v>1003</v>
      </c>
      <c r="F3" s="1" t="s">
        <v>108</v>
      </c>
    </row>
    <row r="4" spans="1:6" x14ac:dyDescent="0.25">
      <c r="A4" s="1">
        <v>3</v>
      </c>
      <c r="B4" s="1">
        <v>1003</v>
      </c>
      <c r="C4" s="1">
        <v>1008</v>
      </c>
      <c r="D4" s="1">
        <v>1009</v>
      </c>
      <c r="E4" s="1">
        <v>1004</v>
      </c>
      <c r="F4" s="1" t="s">
        <v>108</v>
      </c>
    </row>
    <row r="5" spans="1:6" x14ac:dyDescent="0.25">
      <c r="A5" s="1">
        <v>4</v>
      </c>
      <c r="B5" s="1">
        <v>1004</v>
      </c>
      <c r="C5" s="1">
        <v>1009</v>
      </c>
      <c r="D5" s="1">
        <v>1010</v>
      </c>
      <c r="E5" s="1">
        <v>1005</v>
      </c>
      <c r="F5" s="1" t="s">
        <v>108</v>
      </c>
    </row>
    <row r="6" spans="1:6" x14ac:dyDescent="0.25">
      <c r="A6" s="1">
        <v>5</v>
      </c>
      <c r="B6" s="1">
        <v>1006</v>
      </c>
      <c r="C6" s="1">
        <v>1011</v>
      </c>
      <c r="D6" s="1">
        <v>1012</v>
      </c>
      <c r="E6" s="1">
        <v>1007</v>
      </c>
      <c r="F6" s="1" t="s">
        <v>108</v>
      </c>
    </row>
    <row r="7" spans="1:6" x14ac:dyDescent="0.25">
      <c r="A7" s="1">
        <v>6</v>
      </c>
      <c r="B7" s="1">
        <v>1007</v>
      </c>
      <c r="C7" s="1">
        <v>1012</v>
      </c>
      <c r="D7" s="1">
        <v>1013</v>
      </c>
      <c r="E7" s="1">
        <v>1008</v>
      </c>
      <c r="F7" s="1" t="s">
        <v>108</v>
      </c>
    </row>
    <row r="8" spans="1:6" x14ac:dyDescent="0.25">
      <c r="A8" s="1">
        <v>7</v>
      </c>
      <c r="B8" s="1">
        <v>1008</v>
      </c>
      <c r="C8" s="1">
        <v>1013</v>
      </c>
      <c r="D8" s="1">
        <v>1014</v>
      </c>
      <c r="E8" s="1">
        <v>1009</v>
      </c>
      <c r="F8" s="1" t="s">
        <v>108</v>
      </c>
    </row>
    <row r="9" spans="1:6" x14ac:dyDescent="0.25">
      <c r="A9" s="1">
        <v>8</v>
      </c>
      <c r="B9" s="1">
        <v>1009</v>
      </c>
      <c r="C9" s="1">
        <v>1014</v>
      </c>
      <c r="D9" s="1">
        <v>1015</v>
      </c>
      <c r="E9" s="1">
        <v>1010</v>
      </c>
      <c r="F9" s="1" t="s">
        <v>108</v>
      </c>
    </row>
    <row r="10" spans="1:6" x14ac:dyDescent="0.25">
      <c r="A10" s="1">
        <v>9</v>
      </c>
      <c r="B10" s="1">
        <v>1011</v>
      </c>
      <c r="C10" s="1">
        <v>1016</v>
      </c>
      <c r="D10" s="1">
        <v>1017</v>
      </c>
      <c r="E10" s="1">
        <v>1012</v>
      </c>
      <c r="F10" s="1" t="s">
        <v>108</v>
      </c>
    </row>
    <row r="11" spans="1:6" x14ac:dyDescent="0.25">
      <c r="A11" s="1">
        <v>10</v>
      </c>
      <c r="B11" s="1">
        <v>1012</v>
      </c>
      <c r="C11" s="1">
        <v>1017</v>
      </c>
      <c r="D11" s="1">
        <v>1018</v>
      </c>
      <c r="E11" s="1">
        <v>1013</v>
      </c>
      <c r="F11" s="1" t="s">
        <v>108</v>
      </c>
    </row>
    <row r="12" spans="1:6" x14ac:dyDescent="0.25">
      <c r="A12" s="1">
        <v>11</v>
      </c>
      <c r="B12" s="1">
        <v>1013</v>
      </c>
      <c r="C12" s="1">
        <v>1018</v>
      </c>
      <c r="D12" s="1">
        <v>1019</v>
      </c>
      <c r="E12" s="1">
        <v>1014</v>
      </c>
      <c r="F12" s="1" t="s">
        <v>108</v>
      </c>
    </row>
    <row r="13" spans="1:6" x14ac:dyDescent="0.25">
      <c r="A13" s="1">
        <v>12</v>
      </c>
      <c r="B13" s="1">
        <v>1014</v>
      </c>
      <c r="C13" s="1">
        <v>1019</v>
      </c>
      <c r="D13" s="1">
        <v>1020</v>
      </c>
      <c r="E13" s="1">
        <v>1015</v>
      </c>
      <c r="F13" s="1" t="s">
        <v>108</v>
      </c>
    </row>
    <row r="14" spans="1:6" x14ac:dyDescent="0.25">
      <c r="A14" s="1">
        <v>13</v>
      </c>
      <c r="B14" s="1">
        <v>1016</v>
      </c>
      <c r="C14" s="1">
        <v>1021</v>
      </c>
      <c r="D14" s="1">
        <v>1022</v>
      </c>
      <c r="E14" s="1">
        <v>1017</v>
      </c>
      <c r="F14" s="1" t="s">
        <v>108</v>
      </c>
    </row>
    <row r="15" spans="1:6" x14ac:dyDescent="0.25">
      <c r="A15" s="1">
        <v>14</v>
      </c>
      <c r="B15" s="1">
        <v>1017</v>
      </c>
      <c r="C15" s="1">
        <v>1022</v>
      </c>
      <c r="D15" s="1">
        <v>1023</v>
      </c>
      <c r="E15" s="1">
        <v>1018</v>
      </c>
      <c r="F15" s="1" t="s">
        <v>108</v>
      </c>
    </row>
    <row r="16" spans="1:6" x14ac:dyDescent="0.25">
      <c r="A16" s="1">
        <v>15</v>
      </c>
      <c r="B16" s="1">
        <v>1018</v>
      </c>
      <c r="C16" s="1">
        <v>1023</v>
      </c>
      <c r="D16" s="1">
        <v>1024</v>
      </c>
      <c r="E16" s="1">
        <v>1019</v>
      </c>
      <c r="F16" s="1" t="s">
        <v>108</v>
      </c>
    </row>
    <row r="17" spans="1:6" x14ac:dyDescent="0.25">
      <c r="A17" s="1">
        <v>16</v>
      </c>
      <c r="B17" s="1">
        <v>1019</v>
      </c>
      <c r="C17" s="1">
        <v>1024</v>
      </c>
      <c r="D17" s="1">
        <v>1025</v>
      </c>
      <c r="E17" s="1">
        <v>1020</v>
      </c>
      <c r="F17" s="1" t="s">
        <v>108</v>
      </c>
    </row>
    <row r="18" spans="1:6" x14ac:dyDescent="0.25">
      <c r="A18" s="1">
        <v>17</v>
      </c>
      <c r="B18" s="1">
        <v>2001</v>
      </c>
      <c r="C18" s="1">
        <v>2006</v>
      </c>
      <c r="D18" s="1">
        <v>2007</v>
      </c>
      <c r="E18" s="1">
        <v>2002</v>
      </c>
      <c r="F18" s="1" t="s">
        <v>108</v>
      </c>
    </row>
    <row r="19" spans="1:6" x14ac:dyDescent="0.25">
      <c r="A19" s="1">
        <v>18</v>
      </c>
      <c r="B19" s="1">
        <v>2002</v>
      </c>
      <c r="C19" s="1">
        <v>2007</v>
      </c>
      <c r="D19" s="1">
        <v>2008</v>
      </c>
      <c r="E19" s="1">
        <v>2003</v>
      </c>
      <c r="F19" s="1" t="s">
        <v>108</v>
      </c>
    </row>
    <row r="20" spans="1:6" x14ac:dyDescent="0.25">
      <c r="A20" s="1">
        <v>19</v>
      </c>
      <c r="B20" s="1">
        <v>2003</v>
      </c>
      <c r="C20" s="1">
        <v>2008</v>
      </c>
      <c r="D20" s="1">
        <v>2009</v>
      </c>
      <c r="E20" s="1">
        <v>2004</v>
      </c>
      <c r="F20" s="1" t="s">
        <v>108</v>
      </c>
    </row>
    <row r="21" spans="1:6" x14ac:dyDescent="0.25">
      <c r="A21" s="1">
        <v>20</v>
      </c>
      <c r="B21" s="1">
        <v>2004</v>
      </c>
      <c r="C21" s="1">
        <v>2009</v>
      </c>
      <c r="D21" s="1">
        <v>2010</v>
      </c>
      <c r="E21" s="1">
        <v>2005</v>
      </c>
      <c r="F21" s="1" t="s">
        <v>108</v>
      </c>
    </row>
    <row r="22" spans="1:6" x14ac:dyDescent="0.25">
      <c r="A22" s="1">
        <v>21</v>
      </c>
      <c r="B22" s="1">
        <v>2006</v>
      </c>
      <c r="C22" s="1">
        <v>2011</v>
      </c>
      <c r="D22" s="1">
        <v>2012</v>
      </c>
      <c r="E22" s="1">
        <v>2007</v>
      </c>
      <c r="F22" s="1" t="s">
        <v>108</v>
      </c>
    </row>
    <row r="23" spans="1:6" x14ac:dyDescent="0.25">
      <c r="A23" s="1">
        <v>22</v>
      </c>
      <c r="B23" s="1">
        <v>2007</v>
      </c>
      <c r="C23" s="1">
        <v>2012</v>
      </c>
      <c r="D23" s="1">
        <v>2013</v>
      </c>
      <c r="E23" s="1">
        <v>2008</v>
      </c>
      <c r="F23" s="1" t="s">
        <v>108</v>
      </c>
    </row>
    <row r="24" spans="1:6" x14ac:dyDescent="0.25">
      <c r="A24" s="1">
        <v>23</v>
      </c>
      <c r="B24" s="1">
        <v>2008</v>
      </c>
      <c r="C24" s="1">
        <v>2013</v>
      </c>
      <c r="D24" s="1">
        <v>2014</v>
      </c>
      <c r="E24" s="1">
        <v>2009</v>
      </c>
      <c r="F24" s="1" t="s">
        <v>108</v>
      </c>
    </row>
    <row r="25" spans="1:6" x14ac:dyDescent="0.25">
      <c r="A25" s="1">
        <v>24</v>
      </c>
      <c r="B25" s="1">
        <v>2009</v>
      </c>
      <c r="C25" s="1">
        <v>2014</v>
      </c>
      <c r="D25" s="1">
        <v>2015</v>
      </c>
      <c r="E25" s="1">
        <v>2010</v>
      </c>
      <c r="F25" s="1" t="s">
        <v>108</v>
      </c>
    </row>
    <row r="26" spans="1:6" x14ac:dyDescent="0.25">
      <c r="A26" s="1">
        <v>25</v>
      </c>
      <c r="B26" s="1">
        <v>2011</v>
      </c>
      <c r="C26" s="1">
        <v>2016</v>
      </c>
      <c r="D26" s="1">
        <v>2017</v>
      </c>
      <c r="E26" s="1">
        <v>2012</v>
      </c>
      <c r="F26" s="1" t="s">
        <v>108</v>
      </c>
    </row>
    <row r="27" spans="1:6" x14ac:dyDescent="0.25">
      <c r="A27" s="1">
        <v>26</v>
      </c>
      <c r="B27" s="1">
        <v>2012</v>
      </c>
      <c r="C27" s="1">
        <v>2017</v>
      </c>
      <c r="D27" s="1">
        <v>2018</v>
      </c>
      <c r="E27" s="1">
        <v>2013</v>
      </c>
      <c r="F27" s="1" t="s">
        <v>108</v>
      </c>
    </row>
    <row r="28" spans="1:6" x14ac:dyDescent="0.25">
      <c r="A28" s="1">
        <v>27</v>
      </c>
      <c r="B28" s="1">
        <v>2013</v>
      </c>
      <c r="C28" s="1">
        <v>2018</v>
      </c>
      <c r="D28" s="1">
        <v>2019</v>
      </c>
      <c r="E28" s="1">
        <v>2014</v>
      </c>
      <c r="F28" s="1" t="s">
        <v>108</v>
      </c>
    </row>
    <row r="29" spans="1:6" x14ac:dyDescent="0.25">
      <c r="A29" s="1">
        <v>28</v>
      </c>
      <c r="B29" s="1">
        <v>2014</v>
      </c>
      <c r="C29" s="1">
        <v>2019</v>
      </c>
      <c r="D29" s="1">
        <v>2020</v>
      </c>
      <c r="E29" s="1">
        <v>2015</v>
      </c>
      <c r="F29" s="1" t="s">
        <v>108</v>
      </c>
    </row>
    <row r="30" spans="1:6" x14ac:dyDescent="0.25">
      <c r="A30" s="1">
        <v>29</v>
      </c>
      <c r="B30" s="1">
        <v>2016</v>
      </c>
      <c r="C30" s="1">
        <v>2021</v>
      </c>
      <c r="D30" s="1">
        <v>2022</v>
      </c>
      <c r="E30" s="1">
        <v>2017</v>
      </c>
      <c r="F30" s="1" t="s">
        <v>108</v>
      </c>
    </row>
    <row r="31" spans="1:6" x14ac:dyDescent="0.25">
      <c r="A31" s="1">
        <v>30</v>
      </c>
      <c r="B31" s="1">
        <v>2017</v>
      </c>
      <c r="C31" s="1">
        <v>2022</v>
      </c>
      <c r="D31" s="1">
        <v>2023</v>
      </c>
      <c r="E31" s="1">
        <v>2018</v>
      </c>
      <c r="F31" s="1" t="s">
        <v>108</v>
      </c>
    </row>
    <row r="32" spans="1:6" x14ac:dyDescent="0.25">
      <c r="A32" s="1">
        <v>31</v>
      </c>
      <c r="B32" s="1">
        <v>2018</v>
      </c>
      <c r="C32" s="1">
        <v>2023</v>
      </c>
      <c r="D32" s="1">
        <v>2024</v>
      </c>
      <c r="E32" s="1">
        <v>2019</v>
      </c>
      <c r="F32" s="1" t="s">
        <v>108</v>
      </c>
    </row>
    <row r="33" spans="1:6" x14ac:dyDescent="0.25">
      <c r="A33" s="1">
        <v>32</v>
      </c>
      <c r="B33" s="1">
        <v>2019</v>
      </c>
      <c r="C33" s="1">
        <v>2024</v>
      </c>
      <c r="D33" s="1">
        <v>2025</v>
      </c>
      <c r="E33" s="1">
        <v>2020</v>
      </c>
      <c r="F33" s="1" t="s">
        <v>108</v>
      </c>
    </row>
    <row r="34" spans="1:6" x14ac:dyDescent="0.25">
      <c r="A34" s="1">
        <v>33</v>
      </c>
      <c r="B34" s="1">
        <v>3001</v>
      </c>
      <c r="C34" s="1">
        <v>3006</v>
      </c>
      <c r="D34" s="1">
        <v>3007</v>
      </c>
      <c r="E34" s="1">
        <v>3002</v>
      </c>
      <c r="F34" s="1" t="s">
        <v>108</v>
      </c>
    </row>
    <row r="35" spans="1:6" x14ac:dyDescent="0.25">
      <c r="A35" s="1">
        <v>34</v>
      </c>
      <c r="B35" s="1">
        <v>3002</v>
      </c>
      <c r="C35" s="1">
        <v>3007</v>
      </c>
      <c r="D35" s="1">
        <v>3008</v>
      </c>
      <c r="E35" s="1">
        <v>3003</v>
      </c>
      <c r="F35" s="1" t="s">
        <v>108</v>
      </c>
    </row>
    <row r="36" spans="1:6" x14ac:dyDescent="0.25">
      <c r="A36" s="1">
        <v>35</v>
      </c>
      <c r="B36" s="1">
        <v>3003</v>
      </c>
      <c r="C36" s="1">
        <v>3008</v>
      </c>
      <c r="D36" s="1">
        <v>3009</v>
      </c>
      <c r="E36" s="1">
        <v>3004</v>
      </c>
      <c r="F36" s="1" t="s">
        <v>108</v>
      </c>
    </row>
    <row r="37" spans="1:6" x14ac:dyDescent="0.25">
      <c r="A37" s="1">
        <v>36</v>
      </c>
      <c r="B37" s="1">
        <v>3004</v>
      </c>
      <c r="C37" s="1">
        <v>3009</v>
      </c>
      <c r="D37" s="1">
        <v>3010</v>
      </c>
      <c r="E37" s="1">
        <v>3005</v>
      </c>
      <c r="F37" s="1" t="s">
        <v>108</v>
      </c>
    </row>
    <row r="38" spans="1:6" x14ac:dyDescent="0.25">
      <c r="A38" s="1">
        <v>37</v>
      </c>
      <c r="B38" s="1">
        <v>3006</v>
      </c>
      <c r="C38" s="1">
        <v>3011</v>
      </c>
      <c r="D38" s="1">
        <v>3012</v>
      </c>
      <c r="E38" s="1">
        <v>3007</v>
      </c>
      <c r="F38" s="1" t="s">
        <v>108</v>
      </c>
    </row>
    <row r="39" spans="1:6" x14ac:dyDescent="0.25">
      <c r="A39" s="1">
        <v>38</v>
      </c>
      <c r="B39" s="1">
        <v>3007</v>
      </c>
      <c r="C39" s="1">
        <v>3012</v>
      </c>
      <c r="D39" s="1">
        <v>3013</v>
      </c>
      <c r="E39" s="1">
        <v>3008</v>
      </c>
      <c r="F39" s="1" t="s">
        <v>108</v>
      </c>
    </row>
    <row r="40" spans="1:6" x14ac:dyDescent="0.25">
      <c r="A40" s="1">
        <v>39</v>
      </c>
      <c r="B40" s="1">
        <v>3008</v>
      </c>
      <c r="C40" s="1">
        <v>3013</v>
      </c>
      <c r="D40" s="1">
        <v>3014</v>
      </c>
      <c r="E40" s="1">
        <v>3009</v>
      </c>
      <c r="F40" s="1" t="s">
        <v>108</v>
      </c>
    </row>
    <row r="41" spans="1:6" x14ac:dyDescent="0.25">
      <c r="A41" s="1">
        <v>40</v>
      </c>
      <c r="B41" s="1">
        <v>3009</v>
      </c>
      <c r="C41" s="1">
        <v>3014</v>
      </c>
      <c r="D41" s="1">
        <v>3015</v>
      </c>
      <c r="E41" s="1">
        <v>3010</v>
      </c>
      <c r="F41" s="1" t="s">
        <v>108</v>
      </c>
    </row>
    <row r="42" spans="1:6" x14ac:dyDescent="0.25">
      <c r="A42" s="1">
        <v>41</v>
      </c>
      <c r="B42" s="1">
        <v>3011</v>
      </c>
      <c r="C42" s="1">
        <v>3016</v>
      </c>
      <c r="D42" s="1">
        <v>3017</v>
      </c>
      <c r="E42" s="1">
        <v>3012</v>
      </c>
      <c r="F42" s="1" t="s">
        <v>108</v>
      </c>
    </row>
    <row r="43" spans="1:6" x14ac:dyDescent="0.25">
      <c r="A43" s="1">
        <v>42</v>
      </c>
      <c r="B43" s="1">
        <v>3012</v>
      </c>
      <c r="C43" s="1">
        <v>3017</v>
      </c>
      <c r="D43" s="1">
        <v>3018</v>
      </c>
      <c r="E43" s="1">
        <v>3013</v>
      </c>
      <c r="F43" s="1" t="s">
        <v>108</v>
      </c>
    </row>
    <row r="44" spans="1:6" x14ac:dyDescent="0.25">
      <c r="A44" s="1">
        <v>43</v>
      </c>
      <c r="B44" s="1">
        <v>3013</v>
      </c>
      <c r="C44" s="1">
        <v>3018</v>
      </c>
      <c r="D44" s="1">
        <v>3019</v>
      </c>
      <c r="E44" s="1">
        <v>3014</v>
      </c>
      <c r="F44" s="1" t="s">
        <v>108</v>
      </c>
    </row>
    <row r="45" spans="1:6" x14ac:dyDescent="0.25">
      <c r="A45" s="1">
        <v>44</v>
      </c>
      <c r="B45" s="1">
        <v>3014</v>
      </c>
      <c r="C45" s="1">
        <v>3019</v>
      </c>
      <c r="D45" s="1">
        <v>3020</v>
      </c>
      <c r="E45" s="1">
        <v>3015</v>
      </c>
      <c r="F45" s="1" t="s">
        <v>108</v>
      </c>
    </row>
    <row r="46" spans="1:6" x14ac:dyDescent="0.25">
      <c r="A46" s="1">
        <v>45</v>
      </c>
      <c r="B46" s="1">
        <v>3016</v>
      </c>
      <c r="C46" s="1">
        <v>3021</v>
      </c>
      <c r="D46" s="1">
        <v>3022</v>
      </c>
      <c r="E46" s="1">
        <v>3017</v>
      </c>
      <c r="F46" s="1" t="s">
        <v>108</v>
      </c>
    </row>
    <row r="47" spans="1:6" x14ac:dyDescent="0.25">
      <c r="A47" s="1">
        <v>46</v>
      </c>
      <c r="B47" s="1">
        <v>3017</v>
      </c>
      <c r="C47" s="1">
        <v>3022</v>
      </c>
      <c r="D47" s="1">
        <v>3023</v>
      </c>
      <c r="E47" s="1">
        <v>3018</v>
      </c>
      <c r="F47" s="1" t="s">
        <v>108</v>
      </c>
    </row>
    <row r="48" spans="1:6" x14ac:dyDescent="0.25">
      <c r="A48" s="1">
        <v>47</v>
      </c>
      <c r="B48" s="1">
        <v>3018</v>
      </c>
      <c r="C48" s="1">
        <v>3023</v>
      </c>
      <c r="D48" s="1">
        <v>3024</v>
      </c>
      <c r="E48" s="1">
        <v>3019</v>
      </c>
      <c r="F48" s="1" t="s">
        <v>108</v>
      </c>
    </row>
    <row r="49" spans="1:6" x14ac:dyDescent="0.25">
      <c r="A49" s="1">
        <v>48</v>
      </c>
      <c r="B49" s="1">
        <v>3019</v>
      </c>
      <c r="C49" s="1">
        <v>3024</v>
      </c>
      <c r="D49" s="1">
        <v>3025</v>
      </c>
      <c r="E49" s="1">
        <v>3020</v>
      </c>
      <c r="F49" s="1" t="s">
        <v>108</v>
      </c>
    </row>
    <row r="50" spans="1:6" x14ac:dyDescent="0.25">
      <c r="A50" s="1">
        <v>49</v>
      </c>
      <c r="B50" s="1">
        <v>4001</v>
      </c>
      <c r="C50" s="1">
        <v>4006</v>
      </c>
      <c r="D50" s="1">
        <v>4007</v>
      </c>
      <c r="E50" s="1">
        <v>4002</v>
      </c>
      <c r="F50" s="1" t="s">
        <v>108</v>
      </c>
    </row>
    <row r="51" spans="1:6" x14ac:dyDescent="0.25">
      <c r="A51" s="1">
        <v>50</v>
      </c>
      <c r="B51" s="1">
        <v>4002</v>
      </c>
      <c r="C51" s="1">
        <v>4007</v>
      </c>
      <c r="D51" s="1">
        <v>4008</v>
      </c>
      <c r="E51" s="1">
        <v>4003</v>
      </c>
      <c r="F51" s="1" t="s">
        <v>108</v>
      </c>
    </row>
    <row r="52" spans="1:6" x14ac:dyDescent="0.25">
      <c r="A52" s="1">
        <v>51</v>
      </c>
      <c r="B52" s="1">
        <v>4003</v>
      </c>
      <c r="C52" s="1">
        <v>4008</v>
      </c>
      <c r="D52" s="1">
        <v>4009</v>
      </c>
      <c r="E52" s="1">
        <v>4004</v>
      </c>
      <c r="F52" s="1" t="s">
        <v>108</v>
      </c>
    </row>
    <row r="53" spans="1:6" x14ac:dyDescent="0.25">
      <c r="A53" s="1">
        <v>52</v>
      </c>
      <c r="B53" s="1">
        <v>4004</v>
      </c>
      <c r="C53" s="1">
        <v>4009</v>
      </c>
      <c r="D53" s="1">
        <v>4010</v>
      </c>
      <c r="E53" s="1">
        <v>4005</v>
      </c>
      <c r="F53" s="1" t="s">
        <v>108</v>
      </c>
    </row>
    <row r="54" spans="1:6" x14ac:dyDescent="0.25">
      <c r="A54" s="1">
        <v>53</v>
      </c>
      <c r="B54" s="1">
        <v>4006</v>
      </c>
      <c r="C54" s="1">
        <v>4011</v>
      </c>
      <c r="D54" s="1">
        <v>4012</v>
      </c>
      <c r="E54" s="1">
        <v>4007</v>
      </c>
      <c r="F54" s="1" t="s">
        <v>108</v>
      </c>
    </row>
    <row r="55" spans="1:6" x14ac:dyDescent="0.25">
      <c r="A55" s="1">
        <v>54</v>
      </c>
      <c r="B55" s="1">
        <v>4007</v>
      </c>
      <c r="C55" s="1">
        <v>4012</v>
      </c>
      <c r="D55" s="1">
        <v>4013</v>
      </c>
      <c r="E55" s="1">
        <v>4008</v>
      </c>
      <c r="F55" s="1" t="s">
        <v>108</v>
      </c>
    </row>
    <row r="56" spans="1:6" x14ac:dyDescent="0.25">
      <c r="A56" s="1">
        <v>55</v>
      </c>
      <c r="B56" s="1">
        <v>4008</v>
      </c>
      <c r="C56" s="1">
        <v>4013</v>
      </c>
      <c r="D56" s="1">
        <v>4014</v>
      </c>
      <c r="E56" s="1">
        <v>4009</v>
      </c>
      <c r="F56" s="1" t="s">
        <v>108</v>
      </c>
    </row>
    <row r="57" spans="1:6" x14ac:dyDescent="0.25">
      <c r="A57" s="1">
        <v>56</v>
      </c>
      <c r="B57" s="1">
        <v>4009</v>
      </c>
      <c r="C57" s="1">
        <v>4014</v>
      </c>
      <c r="D57" s="1">
        <v>4015</v>
      </c>
      <c r="E57" s="1">
        <v>4010</v>
      </c>
      <c r="F57" s="1" t="s">
        <v>108</v>
      </c>
    </row>
    <row r="58" spans="1:6" x14ac:dyDescent="0.25">
      <c r="A58" s="1">
        <v>57</v>
      </c>
      <c r="B58" s="1">
        <v>4011</v>
      </c>
      <c r="C58" s="1">
        <v>4016</v>
      </c>
      <c r="D58" s="1">
        <v>4017</v>
      </c>
      <c r="E58" s="1">
        <v>4012</v>
      </c>
      <c r="F58" s="1" t="s">
        <v>108</v>
      </c>
    </row>
    <row r="59" spans="1:6" x14ac:dyDescent="0.25">
      <c r="A59" s="1">
        <v>58</v>
      </c>
      <c r="B59" s="1">
        <v>4012</v>
      </c>
      <c r="C59" s="1">
        <v>4017</v>
      </c>
      <c r="D59" s="1">
        <v>4018</v>
      </c>
      <c r="E59" s="1">
        <v>4013</v>
      </c>
      <c r="F59" s="1" t="s">
        <v>108</v>
      </c>
    </row>
    <row r="60" spans="1:6" x14ac:dyDescent="0.25">
      <c r="A60" s="1">
        <v>59</v>
      </c>
      <c r="B60" s="1">
        <v>4013</v>
      </c>
      <c r="C60" s="1">
        <v>4018</v>
      </c>
      <c r="D60" s="1">
        <v>4019</v>
      </c>
      <c r="E60" s="1">
        <v>4014</v>
      </c>
      <c r="F60" s="1" t="s">
        <v>108</v>
      </c>
    </row>
    <row r="61" spans="1:6" x14ac:dyDescent="0.25">
      <c r="A61" s="1">
        <v>60</v>
      </c>
      <c r="B61" s="1">
        <v>4014</v>
      </c>
      <c r="C61" s="1">
        <v>4019</v>
      </c>
      <c r="D61" s="1">
        <v>4020</v>
      </c>
      <c r="E61" s="1">
        <v>4015</v>
      </c>
      <c r="F61" s="1" t="s">
        <v>108</v>
      </c>
    </row>
    <row r="62" spans="1:6" x14ac:dyDescent="0.25">
      <c r="A62" s="1">
        <v>61</v>
      </c>
      <c r="B62" s="1">
        <v>4016</v>
      </c>
      <c r="C62" s="1">
        <v>4021</v>
      </c>
      <c r="D62" s="1">
        <v>4022</v>
      </c>
      <c r="E62" s="1">
        <v>4017</v>
      </c>
      <c r="F62" s="1" t="s">
        <v>108</v>
      </c>
    </row>
    <row r="63" spans="1:6" x14ac:dyDescent="0.25">
      <c r="A63" s="1">
        <v>62</v>
      </c>
      <c r="B63" s="1">
        <v>4017</v>
      </c>
      <c r="C63" s="1">
        <v>4022</v>
      </c>
      <c r="D63" s="1">
        <v>4023</v>
      </c>
      <c r="E63" s="1">
        <v>4018</v>
      </c>
      <c r="F63" s="1" t="s">
        <v>108</v>
      </c>
    </row>
    <row r="64" spans="1:6" x14ac:dyDescent="0.25">
      <c r="A64" s="1">
        <v>63</v>
      </c>
      <c r="B64" s="1">
        <v>4018</v>
      </c>
      <c r="C64" s="1">
        <v>4023</v>
      </c>
      <c r="D64" s="1">
        <v>4024</v>
      </c>
      <c r="E64" s="1">
        <v>4019</v>
      </c>
      <c r="F64" s="1" t="s">
        <v>108</v>
      </c>
    </row>
    <row r="65" spans="1:6" x14ac:dyDescent="0.25">
      <c r="A65" s="1">
        <v>64</v>
      </c>
      <c r="B65" s="1">
        <v>4019</v>
      </c>
      <c r="C65" s="1">
        <v>4024</v>
      </c>
      <c r="D65" s="1">
        <v>4025</v>
      </c>
      <c r="E65" s="1">
        <v>4020</v>
      </c>
      <c r="F65" s="1" t="s">
        <v>108</v>
      </c>
    </row>
  </sheetData>
  <phoneticPr fontId="11" type="noConversion"/>
  <dataValidations count="3">
    <dataValidation type="list" allowBlank="1" showInputMessage="1" showErrorMessage="1" error="Choose from the list" prompt="Choose slab section" sqref="F2:F1048576" xr:uid="{0D75CF82-AF92-D64F-AA71-13F2F2A47D84}">
      <formula1>Slab_Sec</formula1>
    </dataValidation>
    <dataValidation allowBlank="1" showInputMessage="1" showErrorMessage="1" prompt="User input" sqref="A2:A1048576" xr:uid="{F86A5A3D-DBED-F24F-98D4-6E47AC0421A9}"/>
    <dataValidation allowBlank="1" showInputMessage="1" showErrorMessage="1" prompt="Node tag. User input" sqref="B2:E1048576" xr:uid="{1F0474E6-2632-F643-B4C5-65310AF03F0A}"/>
  </dataValidation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6E9970-6793-2341-90F0-27B7AA76C867}">
  <sheetPr codeName="Sheet18"/>
  <dimension ref="A1:G26"/>
  <sheetViews>
    <sheetView zoomScale="130" zoomScaleNormal="130" workbookViewId="0">
      <selection activeCell="E6" sqref="E6"/>
    </sheetView>
  </sheetViews>
  <sheetFormatPr defaultColWidth="10.85546875" defaultRowHeight="15.75" x14ac:dyDescent="0.25"/>
  <cols>
    <col min="1" max="1" width="15.85546875" style="1" customWidth="1"/>
    <col min="2" max="7" width="10.85546875" style="1"/>
    <col min="8" max="16384" width="10.85546875" style="3"/>
  </cols>
  <sheetData>
    <row r="1" spans="1:7" s="7" customFormat="1" x14ac:dyDescent="0.25">
      <c r="A1" s="8" t="s">
        <v>109</v>
      </c>
      <c r="B1" s="8" t="s">
        <v>123</v>
      </c>
      <c r="C1" s="8" t="s">
        <v>124</v>
      </c>
      <c r="D1" s="8" t="s">
        <v>125</v>
      </c>
      <c r="E1" s="8" t="s">
        <v>126</v>
      </c>
      <c r="F1" s="8" t="s">
        <v>127</v>
      </c>
      <c r="G1" s="8" t="s">
        <v>128</v>
      </c>
    </row>
    <row r="2" spans="1:7" x14ac:dyDescent="0.25">
      <c r="A2" s="1">
        <v>1</v>
      </c>
      <c r="B2" s="1">
        <v>1</v>
      </c>
      <c r="C2" s="1">
        <v>1</v>
      </c>
      <c r="D2" s="1">
        <v>1</v>
      </c>
      <c r="E2" s="1">
        <v>1</v>
      </c>
      <c r="F2" s="1">
        <v>1</v>
      </c>
      <c r="G2" s="1">
        <v>1</v>
      </c>
    </row>
    <row r="3" spans="1:7" x14ac:dyDescent="0.25">
      <c r="A3" s="1">
        <v>2</v>
      </c>
      <c r="B3" s="1">
        <v>1</v>
      </c>
      <c r="C3" s="1">
        <v>1</v>
      </c>
      <c r="D3" s="1">
        <v>1</v>
      </c>
      <c r="E3" s="1">
        <v>1</v>
      </c>
      <c r="F3" s="1">
        <v>1</v>
      </c>
      <c r="G3" s="1">
        <v>1</v>
      </c>
    </row>
    <row r="4" spans="1:7" x14ac:dyDescent="0.25">
      <c r="A4" s="1">
        <v>3</v>
      </c>
      <c r="B4" s="1">
        <v>1</v>
      </c>
      <c r="C4" s="1">
        <v>1</v>
      </c>
      <c r="D4" s="1">
        <v>1</v>
      </c>
      <c r="E4" s="1">
        <v>1</v>
      </c>
      <c r="F4" s="1">
        <v>1</v>
      </c>
      <c r="G4" s="1">
        <v>1</v>
      </c>
    </row>
    <row r="5" spans="1:7" x14ac:dyDescent="0.25">
      <c r="A5" s="1">
        <v>4</v>
      </c>
      <c r="B5" s="1">
        <v>1</v>
      </c>
      <c r="C5" s="1">
        <v>1</v>
      </c>
      <c r="D5" s="1">
        <v>1</v>
      </c>
      <c r="E5" s="1">
        <v>1</v>
      </c>
      <c r="F5" s="1">
        <v>1</v>
      </c>
      <c r="G5" s="1">
        <v>1</v>
      </c>
    </row>
    <row r="6" spans="1:7" x14ac:dyDescent="0.25">
      <c r="A6" s="1">
        <v>5</v>
      </c>
      <c r="B6" s="1">
        <v>1</v>
      </c>
      <c r="C6" s="1">
        <v>1</v>
      </c>
      <c r="D6" s="1">
        <v>1</v>
      </c>
      <c r="E6" s="1">
        <v>1</v>
      </c>
      <c r="F6" s="1">
        <v>1</v>
      </c>
      <c r="G6" s="1">
        <v>1</v>
      </c>
    </row>
    <row r="7" spans="1:7" x14ac:dyDescent="0.25">
      <c r="A7" s="1">
        <v>6</v>
      </c>
      <c r="B7" s="1">
        <v>1</v>
      </c>
      <c r="C7" s="1">
        <v>1</v>
      </c>
      <c r="D7" s="1">
        <v>1</v>
      </c>
      <c r="E7" s="1">
        <v>1</v>
      </c>
      <c r="F7" s="1">
        <v>1</v>
      </c>
      <c r="G7" s="1">
        <v>1</v>
      </c>
    </row>
    <row r="8" spans="1:7" x14ac:dyDescent="0.25">
      <c r="A8" s="1">
        <v>7</v>
      </c>
      <c r="B8" s="1">
        <v>1</v>
      </c>
      <c r="C8" s="1">
        <v>1</v>
      </c>
      <c r="D8" s="1">
        <v>1</v>
      </c>
      <c r="E8" s="1">
        <v>1</v>
      </c>
      <c r="F8" s="1">
        <v>1</v>
      </c>
      <c r="G8" s="1">
        <v>1</v>
      </c>
    </row>
    <row r="9" spans="1:7" x14ac:dyDescent="0.25">
      <c r="A9" s="1">
        <v>8</v>
      </c>
      <c r="B9" s="1">
        <v>1</v>
      </c>
      <c r="C9" s="1">
        <v>1</v>
      </c>
      <c r="D9" s="1">
        <v>1</v>
      </c>
      <c r="E9" s="1">
        <v>1</v>
      </c>
      <c r="F9" s="1">
        <v>1</v>
      </c>
      <c r="G9" s="1">
        <v>1</v>
      </c>
    </row>
    <row r="10" spans="1:7" x14ac:dyDescent="0.25">
      <c r="A10" s="1">
        <v>9</v>
      </c>
      <c r="B10" s="1">
        <v>1</v>
      </c>
      <c r="C10" s="1">
        <v>1</v>
      </c>
      <c r="D10" s="1">
        <v>1</v>
      </c>
      <c r="E10" s="1">
        <v>1</v>
      </c>
      <c r="F10" s="1">
        <v>1</v>
      </c>
      <c r="G10" s="1">
        <v>1</v>
      </c>
    </row>
    <row r="11" spans="1:7" x14ac:dyDescent="0.25">
      <c r="A11" s="1">
        <v>10</v>
      </c>
      <c r="B11" s="1">
        <v>1</v>
      </c>
      <c r="C11" s="1">
        <v>1</v>
      </c>
      <c r="D11" s="1">
        <v>1</v>
      </c>
      <c r="E11" s="1">
        <v>1</v>
      </c>
      <c r="F11" s="1">
        <v>1</v>
      </c>
      <c r="G11" s="1">
        <v>1</v>
      </c>
    </row>
    <row r="12" spans="1:7" x14ac:dyDescent="0.25">
      <c r="A12" s="1">
        <v>11</v>
      </c>
      <c r="B12" s="1">
        <v>1</v>
      </c>
      <c r="C12" s="1">
        <v>1</v>
      </c>
      <c r="D12" s="1">
        <v>1</v>
      </c>
      <c r="E12" s="1">
        <v>1</v>
      </c>
      <c r="F12" s="1">
        <v>1</v>
      </c>
      <c r="G12" s="1">
        <v>1</v>
      </c>
    </row>
    <row r="13" spans="1:7" x14ac:dyDescent="0.25">
      <c r="A13" s="1">
        <v>12</v>
      </c>
      <c r="B13" s="1">
        <v>1</v>
      </c>
      <c r="C13" s="1">
        <v>1</v>
      </c>
      <c r="D13" s="1">
        <v>1</v>
      </c>
      <c r="E13" s="1">
        <v>1</v>
      </c>
      <c r="F13" s="1">
        <v>1</v>
      </c>
      <c r="G13" s="1">
        <v>1</v>
      </c>
    </row>
    <row r="14" spans="1:7" x14ac:dyDescent="0.25">
      <c r="A14" s="1">
        <v>13</v>
      </c>
      <c r="B14" s="1">
        <v>1</v>
      </c>
      <c r="C14" s="1">
        <v>1</v>
      </c>
      <c r="D14" s="1">
        <v>1</v>
      </c>
      <c r="E14" s="1">
        <v>1</v>
      </c>
      <c r="F14" s="1">
        <v>1</v>
      </c>
      <c r="G14" s="1">
        <v>1</v>
      </c>
    </row>
    <row r="15" spans="1:7" x14ac:dyDescent="0.25">
      <c r="A15" s="1">
        <v>14</v>
      </c>
      <c r="B15" s="1">
        <v>1</v>
      </c>
      <c r="C15" s="1">
        <v>1</v>
      </c>
      <c r="D15" s="1">
        <v>1</v>
      </c>
      <c r="E15" s="1">
        <v>1</v>
      </c>
      <c r="F15" s="1">
        <v>1</v>
      </c>
      <c r="G15" s="1">
        <v>1</v>
      </c>
    </row>
    <row r="16" spans="1:7" x14ac:dyDescent="0.25">
      <c r="A16" s="1">
        <v>15</v>
      </c>
      <c r="B16" s="1">
        <v>1</v>
      </c>
      <c r="C16" s="1">
        <v>1</v>
      </c>
      <c r="D16" s="1">
        <v>1</v>
      </c>
      <c r="E16" s="1">
        <v>1</v>
      </c>
      <c r="F16" s="1">
        <v>1</v>
      </c>
      <c r="G16" s="1">
        <v>1</v>
      </c>
    </row>
    <row r="17" spans="1:7" x14ac:dyDescent="0.25">
      <c r="A17" s="1">
        <v>16</v>
      </c>
      <c r="B17" s="1">
        <v>1</v>
      </c>
      <c r="C17" s="1">
        <v>1</v>
      </c>
      <c r="D17" s="1">
        <v>1</v>
      </c>
      <c r="E17" s="1">
        <v>1</v>
      </c>
      <c r="F17" s="1">
        <v>1</v>
      </c>
      <c r="G17" s="1">
        <v>1</v>
      </c>
    </row>
    <row r="18" spans="1:7" x14ac:dyDescent="0.25">
      <c r="A18" s="1">
        <v>17</v>
      </c>
      <c r="B18" s="1">
        <v>1</v>
      </c>
      <c r="C18" s="1">
        <v>1</v>
      </c>
      <c r="D18" s="1">
        <v>1</v>
      </c>
      <c r="E18" s="1">
        <v>1</v>
      </c>
      <c r="F18" s="1">
        <v>1</v>
      </c>
      <c r="G18" s="1">
        <v>1</v>
      </c>
    </row>
    <row r="19" spans="1:7" x14ac:dyDescent="0.25">
      <c r="A19" s="1">
        <v>18</v>
      </c>
      <c r="B19" s="1">
        <v>1</v>
      </c>
      <c r="C19" s="1">
        <v>1</v>
      </c>
      <c r="D19" s="1">
        <v>1</v>
      </c>
      <c r="E19" s="1">
        <v>1</v>
      </c>
      <c r="F19" s="1">
        <v>1</v>
      </c>
      <c r="G19" s="1">
        <v>1</v>
      </c>
    </row>
    <row r="20" spans="1:7" x14ac:dyDescent="0.25">
      <c r="A20" s="1">
        <v>19</v>
      </c>
      <c r="B20" s="1">
        <v>1</v>
      </c>
      <c r="C20" s="1">
        <v>1</v>
      </c>
      <c r="D20" s="1">
        <v>1</v>
      </c>
      <c r="E20" s="1">
        <v>1</v>
      </c>
      <c r="F20" s="1">
        <v>1</v>
      </c>
      <c r="G20" s="1">
        <v>1</v>
      </c>
    </row>
    <row r="21" spans="1:7" x14ac:dyDescent="0.25">
      <c r="A21" s="1">
        <v>20</v>
      </c>
      <c r="B21" s="1">
        <v>1</v>
      </c>
      <c r="C21" s="1">
        <v>1</v>
      </c>
      <c r="D21" s="1">
        <v>1</v>
      </c>
      <c r="E21" s="1">
        <v>1</v>
      </c>
      <c r="F21" s="1">
        <v>1</v>
      </c>
      <c r="G21" s="1">
        <v>1</v>
      </c>
    </row>
    <row r="22" spans="1:7" x14ac:dyDescent="0.25">
      <c r="A22" s="1">
        <v>21</v>
      </c>
      <c r="B22" s="1">
        <v>1</v>
      </c>
      <c r="C22" s="1">
        <v>1</v>
      </c>
      <c r="D22" s="1">
        <v>1</v>
      </c>
      <c r="E22" s="1">
        <v>1</v>
      </c>
      <c r="F22" s="1">
        <v>1</v>
      </c>
      <c r="G22" s="1">
        <v>1</v>
      </c>
    </row>
    <row r="23" spans="1:7" x14ac:dyDescent="0.25">
      <c r="A23" s="1">
        <v>22</v>
      </c>
      <c r="B23" s="1">
        <v>1</v>
      </c>
      <c r="C23" s="1">
        <v>1</v>
      </c>
      <c r="D23" s="1">
        <v>1</v>
      </c>
      <c r="E23" s="1">
        <v>1</v>
      </c>
      <c r="F23" s="1">
        <v>1</v>
      </c>
      <c r="G23" s="1">
        <v>1</v>
      </c>
    </row>
    <row r="24" spans="1:7" x14ac:dyDescent="0.25">
      <c r="A24" s="1">
        <v>23</v>
      </c>
      <c r="B24" s="1">
        <v>1</v>
      </c>
      <c r="C24" s="1">
        <v>1</v>
      </c>
      <c r="D24" s="1">
        <v>1</v>
      </c>
      <c r="E24" s="1">
        <v>1</v>
      </c>
      <c r="F24" s="1">
        <v>1</v>
      </c>
      <c r="G24" s="1">
        <v>1</v>
      </c>
    </row>
    <row r="25" spans="1:7" x14ac:dyDescent="0.25">
      <c r="A25" s="1">
        <v>24</v>
      </c>
      <c r="B25" s="1">
        <v>1</v>
      </c>
      <c r="C25" s="1">
        <v>1</v>
      </c>
      <c r="D25" s="1">
        <v>1</v>
      </c>
      <c r="E25" s="1">
        <v>1</v>
      </c>
      <c r="F25" s="1">
        <v>1</v>
      </c>
      <c r="G25" s="1">
        <v>1</v>
      </c>
    </row>
    <row r="26" spans="1:7" x14ac:dyDescent="0.25">
      <c r="A26" s="1">
        <v>25</v>
      </c>
      <c r="B26" s="1">
        <v>1</v>
      </c>
      <c r="C26" s="1">
        <v>1</v>
      </c>
      <c r="D26" s="1">
        <v>1</v>
      </c>
      <c r="E26" s="1">
        <v>1</v>
      </c>
      <c r="F26" s="1">
        <v>1</v>
      </c>
      <c r="G26" s="1">
        <v>1</v>
      </c>
    </row>
  </sheetData>
  <dataValidations count="2">
    <dataValidation allowBlank="1" showInputMessage="1" showErrorMessage="1" prompt="User input" sqref="A2:A1048576" xr:uid="{42AC77BB-01CE-FF40-9664-ACAD3DF3DE5D}"/>
    <dataValidation allowBlank="1" showInputMessage="1" showErrorMessage="1" prompt="Restraint DOF._x000a__x000a_Note:_x000a_0: Unrestrained_x000a_1: Restrained" sqref="B2:G1048576" xr:uid="{B53EB0B5-C7FA-5143-A6E6-7FC2A72F9ACA}"/>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39FACB-756A-E348-83BC-C70442772EC8}">
  <sheetPr codeName="Sheet19"/>
  <dimension ref="A1:E7"/>
  <sheetViews>
    <sheetView zoomScale="130" zoomScaleNormal="130" workbookViewId="0">
      <selection activeCell="D9" sqref="D9"/>
    </sheetView>
  </sheetViews>
  <sheetFormatPr defaultColWidth="10.85546875" defaultRowHeight="15.75" x14ac:dyDescent="0.25"/>
  <cols>
    <col min="1" max="2" width="20.85546875" style="1" customWidth="1"/>
    <col min="3" max="3" width="15.85546875" style="1" customWidth="1"/>
    <col min="4" max="4" width="10.85546875" style="4"/>
    <col min="5" max="5" width="50.85546875" style="12" customWidth="1"/>
    <col min="6" max="16384" width="10.85546875" style="3"/>
  </cols>
  <sheetData>
    <row r="1" spans="1:5" s="8" customFormat="1" x14ac:dyDescent="0.25">
      <c r="A1" s="8" t="s">
        <v>129</v>
      </c>
      <c r="B1" s="8" t="s">
        <v>73</v>
      </c>
      <c r="C1" s="8" t="s">
        <v>130</v>
      </c>
      <c r="D1" s="8" t="s">
        <v>131</v>
      </c>
      <c r="E1" s="8" t="s">
        <v>132</v>
      </c>
    </row>
    <row r="2" spans="1:5" x14ac:dyDescent="0.25">
      <c r="A2" s="1" t="s">
        <v>133</v>
      </c>
      <c r="B2" s="1" t="s">
        <v>75</v>
      </c>
      <c r="C2" s="1" t="s">
        <v>139</v>
      </c>
      <c r="D2" s="4">
        <v>0.41</v>
      </c>
      <c r="E2" s="12" t="s">
        <v>141</v>
      </c>
    </row>
    <row r="3" spans="1:5" x14ac:dyDescent="0.25">
      <c r="A3" s="1" t="s">
        <v>134</v>
      </c>
      <c r="B3" s="1" t="s">
        <v>77</v>
      </c>
      <c r="C3" s="1" t="s">
        <v>139</v>
      </c>
      <c r="D3" s="4">
        <v>0.57999999999999996</v>
      </c>
      <c r="E3" s="12" t="s">
        <v>141</v>
      </c>
    </row>
    <row r="4" spans="1:5" x14ac:dyDescent="0.25">
      <c r="A4" s="1" t="s">
        <v>135</v>
      </c>
      <c r="B4" s="1" t="s">
        <v>75</v>
      </c>
      <c r="C4" s="1" t="s">
        <v>139</v>
      </c>
      <c r="D4" s="4">
        <v>1.1100000000000001</v>
      </c>
      <c r="E4" s="12" t="s">
        <v>142</v>
      </c>
    </row>
    <row r="5" spans="1:5" x14ac:dyDescent="0.25">
      <c r="A5" s="1" t="s">
        <v>136</v>
      </c>
      <c r="B5" s="1" t="s">
        <v>76</v>
      </c>
      <c r="C5" s="1" t="s">
        <v>139</v>
      </c>
      <c r="D5" s="4">
        <v>2.69</v>
      </c>
      <c r="E5" s="12" t="s">
        <v>142</v>
      </c>
    </row>
    <row r="6" spans="1:5" x14ac:dyDescent="0.25">
      <c r="A6" s="1" t="s">
        <v>137</v>
      </c>
      <c r="B6" s="1" t="s">
        <v>75</v>
      </c>
      <c r="C6" s="1" t="s">
        <v>140</v>
      </c>
      <c r="D6" s="4">
        <v>2.41</v>
      </c>
      <c r="E6" s="12" t="s">
        <v>143</v>
      </c>
    </row>
    <row r="7" spans="1:5" x14ac:dyDescent="0.25">
      <c r="A7" s="1" t="s">
        <v>138</v>
      </c>
      <c r="B7" s="1" t="s">
        <v>75</v>
      </c>
      <c r="C7" s="1" t="s">
        <v>140</v>
      </c>
      <c r="D7" s="4">
        <v>7.04</v>
      </c>
      <c r="E7" s="12" t="s">
        <v>144</v>
      </c>
    </row>
  </sheetData>
  <dataValidations count="3">
    <dataValidation allowBlank="1" showInputMessage="1" showErrorMessage="1" prompt="User input" sqref="A2:A1048576" xr:uid="{8D31C49A-1361-E747-AFDC-4EB7237E4AEA}"/>
    <dataValidation type="list" allowBlank="1" showInputMessage="1" showErrorMessage="1" error="Choose from the list" prompt="Choose load case type" sqref="B2:B1048576" xr:uid="{2D8B3756-9C07-3644-B3CB-867181E2CBBE}">
      <formula1>LC_Type</formula1>
    </dataValidation>
    <dataValidation type="list" allowBlank="1" showInputMessage="1" showErrorMessage="1" error="Choose from the list" prompt="Choose load type" sqref="C2:C1048576" xr:uid="{3BDF7959-48CA-9444-B342-3D19379B8BC7}">
      <formula1>"Area Load, Element Load, Point Load, Nodal Load"</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22</vt:i4>
      </vt:variant>
      <vt:variant>
        <vt:lpstr>Named Ranges</vt:lpstr>
      </vt:variant>
      <vt:variant>
        <vt:i4>22</vt:i4>
      </vt:variant>
    </vt:vector>
  </HeadingPairs>
  <TitlesOfParts>
    <vt:vector size="44" baseType="lpstr">
      <vt:lpstr>Design Preferences</vt:lpstr>
      <vt:lpstr>ListDB</vt:lpstr>
      <vt:lpstr>Instructions</vt:lpstr>
      <vt:lpstr>Project Information</vt:lpstr>
      <vt:lpstr>User Specified Unitsystem</vt:lpstr>
      <vt:lpstr>Analysis Preferences</vt:lpstr>
      <vt:lpstr>Point Objects</vt:lpstr>
      <vt:lpstr>Line Objects</vt:lpstr>
      <vt:lpstr>Surface Objects</vt:lpstr>
      <vt:lpstr>Materials</vt:lpstr>
      <vt:lpstr>Mat_Concrete04</vt:lpstr>
      <vt:lpstr>Mat_Steel02</vt:lpstr>
      <vt:lpstr>Mat_MinMax</vt:lpstr>
      <vt:lpstr>Mat_IMK</vt:lpstr>
      <vt:lpstr>Frame Sections</vt:lpstr>
      <vt:lpstr>Sec_Fiber</vt:lpstr>
      <vt:lpstr>Sec_Aggregator</vt:lpstr>
      <vt:lpstr>Slab Sections</vt:lpstr>
      <vt:lpstr>Element Offset</vt:lpstr>
      <vt:lpstr>Slabs</vt:lpstr>
      <vt:lpstr>Restraints</vt:lpstr>
      <vt:lpstr>Loads</vt:lpstr>
      <vt:lpstr>Base_Mat</vt:lpstr>
      <vt:lpstr>Base_Mat_Conc</vt:lpstr>
      <vt:lpstr>Base_Mat_Steel</vt:lpstr>
      <vt:lpstr>Base_Sec</vt:lpstr>
      <vt:lpstr>Int_Type_Con</vt:lpstr>
      <vt:lpstr>Int_Type_Dist</vt:lpstr>
      <vt:lpstr>LC_Type</vt:lpstr>
      <vt:lpstr>Mat_Name</vt:lpstr>
      <vt:lpstr>Mat_Type</vt:lpstr>
      <vt:lpstr>MatDB</vt:lpstr>
      <vt:lpstr>NL_Mat_Name</vt:lpstr>
      <vt:lpstr>Sec_Name</vt:lpstr>
      <vt:lpstr>Sec_Shape</vt:lpstr>
      <vt:lpstr>SecDB</vt:lpstr>
      <vt:lpstr>SecFiberDB</vt:lpstr>
      <vt:lpstr>Slab_Sec</vt:lpstr>
      <vt:lpstr>Unit_Angle</vt:lpstr>
      <vt:lpstr>Unit_Force</vt:lpstr>
      <vt:lpstr>Unit_Length</vt:lpstr>
      <vt:lpstr>Unit_Mass</vt:lpstr>
      <vt:lpstr>Unit_Stress</vt:lpstr>
      <vt:lpstr>Unit_Time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Input file for modelling Revision 0.1</dc:title>
  <dc:creator>Wiciardo, Julian</dc:creator>
  <cp:keywords/>
  <cp:lastModifiedBy>Julian Wiciardo</cp:lastModifiedBy>
  <dcterms:created xsi:type="dcterms:W3CDTF">2026-05-20T13:34:35Z</dcterms:created>
  <dcterms:modified xsi:type="dcterms:W3CDTF">2026-06-26T13:27:03Z</dcterms:modified>
</cp:coreProperties>
</file>