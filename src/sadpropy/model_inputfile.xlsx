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6A5996CD-7F5C-406A-B836-80D4B929C109}" xr6:coauthVersionLast="47" xr6:coauthVersionMax="47" xr10:uidLastSave="{00000000-0000-0000-0000-000000000000}"/>
  <bookViews>
    <workbookView xWindow="-120" yWindow="-120" windowWidth="29040" windowHeight="15720" firstSheet="11"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Objects'!$A$15:$A$1048576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8" i="28"/>
  <c r="A7" i="28"/>
  <c r="A4" i="26"/>
  <c r="A3" i="26"/>
  <c r="E19" i="7" l="1"/>
  <c r="D19" i="7"/>
  <c r="D14" i="6"/>
  <c r="D13" i="6"/>
  <c r="G14" i="6" s="1"/>
  <c r="C15" i="5"/>
  <c r="E15" i="5"/>
  <c r="H15" i="5"/>
  <c r="G15" i="5"/>
  <c r="F14" i="5"/>
  <c r="C14" i="5" s="1"/>
  <c r="G13" i="6" l="1"/>
  <c r="F2" i="1" a="1"/>
  <c r="F2" i="1" s="1"/>
  <c r="E2" i="1" a="1"/>
  <c r="E2" i="1" s="1"/>
  <c r="A3" i="16" l="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B292" i="16" s="1"/>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B3" i="16" s="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<sst xmlns="http://schemas.openxmlformats.org/spreadsheetml/2006/main" count="1620" uniqueCount="343">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</sst>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6">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7" fillId="2" borderId="0" xfId="0" applyFont="1" applyFill="1" applyBorder="1" applyAlignment="1">
      <alignment horizontal="center"/>
    </xf>
    <xf numFmtId="2" fontId="7" fillId="2" borderId="0" xfId="0" applyNumberFormat="1" applyFont="1" applyFill="1" applyBorder="1"/>
    <xf numFmtId="0" fontId="7" fillId="2" borderId="0" xfId="0" applyFont="1" applyFill="1" applyBorder="1"/>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61" customWidth="1"/>
    <col min="2" max="2" width="20.7109375" style="61" customWidth="1"/>
    <col min="3" max="7" width="20.7109375" style="92" customWidth="1"/>
    <col min="8" max="11" width="20.7109375" style="61" customWidth="1"/>
    <col min="12" max="13" width="20.7109375" style="92" customWidth="1"/>
    <col min="14" max="20" width="10.7109375" style="61" customWidth="1"/>
    <col min="21" max="16384" width="9.140625" style="61"/>
  </cols>
  <sheetData>
    <row r="1" spans="1:20" s="161" customFormat="1" ht="47.25" x14ac:dyDescent="0.25">
      <c r="A1" s="201" t="s">
        <v>281</v>
      </c>
      <c r="B1" s="201" t="s">
        <v>8</v>
      </c>
      <c r="C1" s="201" t="s">
        <v>342</v>
      </c>
      <c r="D1" s="201" t="s">
        <v>10</v>
      </c>
      <c r="E1" s="201" t="s">
        <v>135</v>
      </c>
      <c r="F1" s="201" t="s">
        <v>136</v>
      </c>
      <c r="G1" s="201" t="s">
        <v>33</v>
      </c>
      <c r="H1" s="201" t="s">
        <v>65</v>
      </c>
      <c r="I1" s="201" t="s">
        <v>66</v>
      </c>
      <c r="J1" s="201" t="s">
        <v>101</v>
      </c>
      <c r="K1" s="201" t="s">
        <v>69</v>
      </c>
      <c r="L1" s="201" t="s">
        <v>322</v>
      </c>
      <c r="M1" s="201" t="s">
        <v>70</v>
      </c>
      <c r="N1" s="201" t="s">
        <v>71</v>
      </c>
      <c r="O1" s="201" t="s">
        <v>144</v>
      </c>
      <c r="P1" s="201" t="s">
        <v>145</v>
      </c>
      <c r="Q1" s="201" t="s">
        <v>146</v>
      </c>
      <c r="R1" s="201" t="s">
        <v>147</v>
      </c>
      <c r="S1" s="201" t="s">
        <v>148</v>
      </c>
      <c r="T1" s="201" t="s">
        <v>149</v>
      </c>
    </row>
    <row r="2" spans="1:20" ht="31.5" x14ac:dyDescent="0.25">
      <c r="A2" s="162" t="s">
        <v>283</v>
      </c>
      <c r="B2" s="163" t="s">
        <v>2</v>
      </c>
      <c r="C2" s="200" t="str" cm="1">
        <f t="array" ref="C2">_xlfn.LET(_xlpm.data, _xlfn.VSTACK(Mat_IMK!$A$20:$A$1019), _xlfn._xlws.FILTER(_xlpm.data, _xlpm.data&lt;&gt;""))</f>
        <v>Rotational Spring</v>
      </c>
      <c r="D2" s="200" t="str" cm="1">
        <f t="array" ref="D2:D6">_xlfn.LET(_xlpm.data, _xlfn.VSTACK(Materials!$A$14:$A$1013,Mat_Concrete04!$A$13:$A$1012,Mat_Steel02!$A$19:$A$1018), _xlfn._xlws.FILTER(_xlpm.data, _xlpm.data&lt;&gt;""))</f>
        <v>RC30</v>
      </c>
      <c r="E2" s="200" t="str" cm="1">
        <f t="array" ref="E2">_xlfn._xlws.FILTER(Materials!A14:A1013,(Materials!B14:B1013="Concrete")*(Materials!A14:A1013&lt;&gt;""))</f>
        <v>RC30</v>
      </c>
      <c r="F2" s="200" t="str" cm="1">
        <f t="array" ref="F2">_xlfn._xlws.FILTER(Materials!A14:A1013,((Materials!B14:B1013="Rebar")+(Materials!B14:B1013="Steel"))*(Materials!A14:A1013&lt;&gt;""))</f>
        <v>Rebar420</v>
      </c>
      <c r="G2" s="200" t="str" cm="1">
        <f t="array" ref="G2:G4">_xlfn.LET(_xlpm.data, _xlfn.VSTACK(Mat_Concrete04!$A$13:$A$1012,Mat_Steel02!$A$19:$A$1018), _xlfn._xlws.FILTER(_xlpm.data, _xlpm.data&lt;&gt;""))</f>
        <v>RC Unconfined</v>
      </c>
      <c r="H2" s="163" t="s">
        <v>67</v>
      </c>
      <c r="I2" s="163" t="s">
        <v>68</v>
      </c>
      <c r="J2" s="199" t="s">
        <v>103</v>
      </c>
      <c r="K2" s="163" t="s">
        <v>72</v>
      </c>
      <c r="L2" s="200" t="str" cm="1">
        <f t="array" ref="L2:L4">_xlfn.LET(_xlpm.data, _xlfn.VSTACK('Frame Sections'!$A$16:$A$1015,Sec_Fiber!$A$21:$A$1020), _xlfn._xlws.FILTER(_xlpm.data, _xlpm.data&lt;&gt;""))</f>
        <v>C1</v>
      </c>
      <c r="M2" s="200" t="str" cm="1">
        <f t="array" ref="M2:M5">_xlfn.LET(_xlpm.data, _xlfn.VSTACK('Frame Sections'!$A$16:$A$1015,Sec_Fiber!$A$21:$A$1020,Sec_Aggregator!$A$16:$A$1015), _xlfn._xlws.FILTER(_xlpm.data, _xlpm.data&lt;&gt;""))</f>
        <v>C1</v>
      </c>
      <c r="N2" s="163" t="s">
        <v>73</v>
      </c>
      <c r="O2" s="164" t="s">
        <v>150</v>
      </c>
      <c r="P2" s="164" t="s">
        <v>157</v>
      </c>
      <c r="Q2" s="164" t="s">
        <v>162</v>
      </c>
      <c r="R2" s="164" t="s">
        <v>167</v>
      </c>
      <c r="S2" s="164" t="s">
        <v>175</v>
      </c>
      <c r="T2" s="164" t="s">
        <v>176</v>
      </c>
    </row>
    <row r="3" spans="1:20" ht="31.5" x14ac:dyDescent="0.25">
      <c r="A3" s="162" t="s">
        <v>284</v>
      </c>
      <c r="B3" s="163" t="s">
        <v>3</v>
      </c>
      <c r="C3" s="200"/>
      <c r="D3" s="200" t="str">
        <v>Rebar420</v>
      </c>
      <c r="E3" s="200"/>
      <c r="F3" s="200"/>
      <c r="G3" s="200" t="str">
        <v>RC Confined</v>
      </c>
      <c r="H3" s="163"/>
      <c r="I3" s="163"/>
      <c r="J3" s="199" t="s">
        <v>102</v>
      </c>
      <c r="K3" s="163"/>
      <c r="L3" s="200" t="str">
        <v>B1</v>
      </c>
      <c r="M3" s="200" t="str">
        <v>B1</v>
      </c>
      <c r="N3" s="163" t="s">
        <v>74</v>
      </c>
      <c r="O3" s="164" t="s">
        <v>151</v>
      </c>
      <c r="P3" s="164" t="s">
        <v>158</v>
      </c>
      <c r="Q3" s="164" t="s">
        <v>163</v>
      </c>
      <c r="R3" s="164" t="s">
        <v>168</v>
      </c>
      <c r="S3" s="164" t="s">
        <v>187</v>
      </c>
      <c r="T3" s="164" t="s">
        <v>177</v>
      </c>
    </row>
    <row r="4" spans="1:20" x14ac:dyDescent="0.25">
      <c r="A4" s="162" t="s">
        <v>285</v>
      </c>
      <c r="B4" s="163" t="s">
        <v>9</v>
      </c>
      <c r="C4" s="200"/>
      <c r="D4" s="200" t="str">
        <v>RC Unconfined</v>
      </c>
      <c r="E4" s="200"/>
      <c r="F4" s="200"/>
      <c r="G4" s="200" t="str">
        <v>Rebar420NL</v>
      </c>
      <c r="H4" s="163"/>
      <c r="I4" s="163"/>
      <c r="J4" s="199" t="s">
        <v>323</v>
      </c>
      <c r="K4" s="163"/>
      <c r="L4" s="200" t="str">
        <v>C1_Fiber</v>
      </c>
      <c r="M4" s="200" t="str">
        <v>C1_Fiber</v>
      </c>
      <c r="N4" s="163" t="s">
        <v>75</v>
      </c>
      <c r="O4" s="164" t="s">
        <v>152</v>
      </c>
      <c r="P4" s="164" t="s">
        <v>159</v>
      </c>
      <c r="Q4" s="164" t="s">
        <v>164</v>
      </c>
      <c r="R4" s="164" t="s">
        <v>169</v>
      </c>
      <c r="S4" s="163"/>
      <c r="T4" s="163"/>
    </row>
    <row r="5" spans="1:20" x14ac:dyDescent="0.25">
      <c r="A5" s="165"/>
      <c r="B5" s="163"/>
      <c r="C5" s="200"/>
      <c r="D5" s="200" t="str">
        <v>RC Confined</v>
      </c>
      <c r="E5" s="200"/>
      <c r="F5" s="200"/>
      <c r="G5" s="200"/>
      <c r="H5" s="163"/>
      <c r="I5" s="163"/>
      <c r="J5" s="163"/>
      <c r="K5" s="163"/>
      <c r="L5" s="200"/>
      <c r="M5" s="200" t="str">
        <v>C1_Fiber_Agg</v>
      </c>
      <c r="N5" s="163" t="s">
        <v>14</v>
      </c>
      <c r="O5" s="164" t="s">
        <v>153</v>
      </c>
      <c r="P5" s="164" t="s">
        <v>160</v>
      </c>
      <c r="Q5" s="164" t="s">
        <v>165</v>
      </c>
      <c r="R5" s="164" t="s">
        <v>170</v>
      </c>
      <c r="S5" s="163"/>
      <c r="T5" s="163"/>
    </row>
    <row r="6" spans="1:20" x14ac:dyDescent="0.25">
      <c r="A6" s="165"/>
      <c r="B6" s="163"/>
      <c r="C6" s="200"/>
      <c r="D6" s="200" t="str">
        <v>Rebar420NL</v>
      </c>
      <c r="E6" s="200"/>
      <c r="F6" s="200"/>
      <c r="G6" s="200"/>
      <c r="H6" s="163"/>
      <c r="I6" s="163"/>
      <c r="J6" s="163"/>
      <c r="K6" s="163"/>
      <c r="L6" s="200"/>
      <c r="M6" s="200"/>
      <c r="N6" s="163" t="s">
        <v>76</v>
      </c>
      <c r="O6" s="164" t="s">
        <v>154</v>
      </c>
      <c r="P6" s="164" t="s">
        <v>161</v>
      </c>
      <c r="Q6" s="164" t="s">
        <v>166</v>
      </c>
      <c r="R6" s="164" t="s">
        <v>171</v>
      </c>
      <c r="S6" s="163"/>
      <c r="T6" s="163"/>
    </row>
    <row r="7" spans="1:20" x14ac:dyDescent="0.25">
      <c r="A7" s="165"/>
      <c r="B7" s="163"/>
      <c r="C7" s="200"/>
      <c r="D7" s="200"/>
      <c r="E7" s="200"/>
      <c r="F7" s="200"/>
      <c r="G7" s="200"/>
      <c r="H7" s="163"/>
      <c r="I7" s="163"/>
      <c r="J7" s="163"/>
      <c r="K7" s="163"/>
      <c r="L7" s="200"/>
      <c r="M7" s="200"/>
      <c r="N7" s="163"/>
      <c r="O7" s="164" t="s">
        <v>155</v>
      </c>
      <c r="P7" s="163"/>
      <c r="Q7" s="163"/>
      <c r="R7" s="164" t="s">
        <v>172</v>
      </c>
      <c r="S7" s="163"/>
      <c r="T7" s="163"/>
    </row>
    <row r="8" spans="1:20" x14ac:dyDescent="0.25">
      <c r="A8" s="165"/>
      <c r="B8" s="163"/>
      <c r="C8" s="200"/>
      <c r="D8" s="200"/>
      <c r="E8" s="200"/>
      <c r="F8" s="200"/>
      <c r="G8" s="200"/>
      <c r="H8" s="163"/>
      <c r="I8" s="163"/>
      <c r="J8" s="163"/>
      <c r="K8" s="163"/>
      <c r="L8" s="200"/>
      <c r="M8" s="200"/>
      <c r="N8" s="163"/>
      <c r="O8" s="164" t="s">
        <v>156</v>
      </c>
      <c r="P8" s="163"/>
      <c r="Q8" s="163"/>
      <c r="R8" s="164" t="s">
        <v>173</v>
      </c>
      <c r="S8" s="163"/>
      <c r="T8" s="163"/>
    </row>
    <row r="9" spans="1:20" x14ac:dyDescent="0.25">
      <c r="A9" s="165"/>
      <c r="B9" s="163"/>
      <c r="C9" s="200"/>
      <c r="D9" s="200"/>
      <c r="E9" s="200"/>
      <c r="F9" s="200"/>
      <c r="G9" s="200"/>
      <c r="H9" s="163"/>
      <c r="I9" s="163"/>
      <c r="J9" s="163"/>
      <c r="K9" s="163"/>
      <c r="L9" s="200"/>
      <c r="M9" s="200"/>
      <c r="N9" s="163"/>
      <c r="O9" s="163"/>
      <c r="P9" s="163"/>
      <c r="Q9" s="163"/>
      <c r="R9" s="164" t="s">
        <v>174</v>
      </c>
      <c r="S9" s="163"/>
      <c r="T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287</v>
      </c>
      <c r="B2" s="21"/>
    </row>
    <row r="3" spans="1:2" x14ac:dyDescent="0.25">
      <c r="A3" s="30" t="s">
        <v>198</v>
      </c>
      <c r="B3" s="21"/>
    </row>
    <row r="4" spans="1:2" x14ac:dyDescent="0.25">
      <c r="A4" s="167" t="s">
        <v>289</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282</v>
      </c>
      <c r="B9" s="160" t="s">
        <v>288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286</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207" t="s">
        <v>245</v>
      </c>
      <c r="B5" s="208"/>
      <c r="C5" s="208"/>
      <c r="D5" s="208"/>
      <c r="E5" s="208"/>
      <c r="F5" s="208"/>
      <c r="G5" s="208"/>
      <c r="H5" s="208"/>
      <c r="I5" s="208"/>
      <c r="J5" s="208"/>
      <c r="K5" s="208"/>
      <c r="L5" s="208"/>
      <c r="M5" s="208"/>
      <c r="N5" s="208"/>
      <c r="O5" s="209"/>
      <c r="P5" s="144" t="s">
        <v>252</v>
      </c>
      <c r="Q5" s="111"/>
      <c r="R5" s="111"/>
      <c r="S5" s="111"/>
      <c r="T5" s="111"/>
      <c r="U5" s="111"/>
      <c r="V5" s="111"/>
      <c r="W5" s="111"/>
      <c r="X5" s="111"/>
      <c r="Y5" s="111"/>
      <c r="Z5" s="111"/>
      <c r="AA5" s="111"/>
      <c r="AB5" s="111"/>
      <c r="AC5" s="111"/>
      <c r="AD5" s="111"/>
      <c r="AE5" s="112"/>
    </row>
    <row r="6" spans="1:31" ht="31.5" customHeight="1" x14ac:dyDescent="0.25">
      <c r="A6" s="207" t="s">
        <v>246</v>
      </c>
      <c r="B6" s="208"/>
      <c r="C6" s="208"/>
      <c r="D6" s="208"/>
      <c r="E6" s="208"/>
      <c r="F6" s="208"/>
      <c r="G6" s="208"/>
      <c r="H6" s="208"/>
      <c r="I6" s="208"/>
      <c r="J6" s="208"/>
      <c r="K6" s="208"/>
      <c r="L6" s="208"/>
      <c r="M6" s="208"/>
      <c r="N6" s="208"/>
      <c r="O6" s="209"/>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207" t="s">
        <v>255</v>
      </c>
      <c r="B11" s="208"/>
      <c r="C11" s="208"/>
      <c r="D11" s="208"/>
      <c r="E11" s="208"/>
      <c r="F11" s="208"/>
      <c r="G11" s="208"/>
      <c r="H11" s="208"/>
      <c r="I11" s="208"/>
      <c r="J11" s="208"/>
      <c r="K11" s="208"/>
      <c r="L11" s="208"/>
      <c r="M11" s="208"/>
      <c r="N11" s="208"/>
      <c r="O11" s="209"/>
      <c r="P11" s="144" t="s">
        <v>262</v>
      </c>
      <c r="Q11" s="111"/>
      <c r="R11" s="111"/>
      <c r="S11" s="111"/>
      <c r="T11" s="111"/>
      <c r="U11" s="111"/>
      <c r="V11" s="111"/>
      <c r="W11" s="111"/>
      <c r="X11" s="111"/>
      <c r="Y11" s="111"/>
      <c r="Z11" s="111"/>
      <c r="AA11" s="111"/>
      <c r="AB11" s="111"/>
      <c r="AC11" s="111"/>
      <c r="AD11" s="111"/>
      <c r="AE11" s="112"/>
    </row>
    <row r="12" spans="1:31" ht="31.5" customHeight="1" x14ac:dyDescent="0.25">
      <c r="A12" s="207" t="s">
        <v>256</v>
      </c>
      <c r="B12" s="208"/>
      <c r="C12" s="208"/>
      <c r="D12" s="208"/>
      <c r="E12" s="208"/>
      <c r="F12" s="208"/>
      <c r="G12" s="208"/>
      <c r="H12" s="208"/>
      <c r="I12" s="208"/>
      <c r="J12" s="208"/>
      <c r="K12" s="208"/>
      <c r="L12" s="208"/>
      <c r="M12" s="208"/>
      <c r="N12" s="208"/>
      <c r="O12" s="209"/>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10" t="s">
        <v>248</v>
      </c>
      <c r="B16" s="211"/>
      <c r="C16" s="211"/>
      <c r="D16" s="211"/>
      <c r="E16" s="211"/>
      <c r="F16" s="211"/>
      <c r="G16" s="211"/>
      <c r="H16" s="211"/>
      <c r="I16" s="211"/>
      <c r="J16" s="211"/>
      <c r="K16" s="211"/>
      <c r="L16" s="211"/>
      <c r="M16" s="211"/>
      <c r="N16" s="211"/>
      <c r="O16" s="212"/>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297</v>
      </c>
      <c r="B20" s="104" t="s">
        <v>296</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5" customWidth="1"/>
    <col min="4" max="4" width="20.7109375" style="41" customWidth="1"/>
    <col min="5" max="12" width="10.7109375" style="52" customWidth="1"/>
    <col min="13" max="16384" width="10.85546875" style="3"/>
  </cols>
  <sheetData>
    <row r="1" spans="1:12" x14ac:dyDescent="0.25">
      <c r="A1" s="33" t="s">
        <v>183</v>
      </c>
      <c r="B1" s="39"/>
      <c r="C1" s="39"/>
      <c r="D1" s="39"/>
      <c r="E1" s="46"/>
      <c r="F1" s="46"/>
      <c r="G1" s="46"/>
      <c r="H1" s="46"/>
      <c r="I1" s="46"/>
      <c r="J1" s="46"/>
      <c r="K1" s="46"/>
      <c r="L1" s="47"/>
    </row>
    <row r="2" spans="1:12" x14ac:dyDescent="0.25">
      <c r="A2" s="48" t="s">
        <v>269</v>
      </c>
      <c r="B2" s="41"/>
      <c r="C2" s="41"/>
      <c r="E2" s="58"/>
      <c r="F2" s="58"/>
      <c r="G2" s="58"/>
      <c r="H2" s="58"/>
      <c r="I2" s="58"/>
      <c r="J2" s="58"/>
      <c r="K2" s="58"/>
      <c r="L2" s="49"/>
    </row>
    <row r="3" spans="1:12" x14ac:dyDescent="0.25">
      <c r="A3" s="48" t="s">
        <v>270</v>
      </c>
      <c r="B3" s="41"/>
      <c r="C3" s="41"/>
      <c r="E3" s="58"/>
      <c r="F3" s="58"/>
      <c r="G3" s="58"/>
      <c r="H3" s="58"/>
      <c r="I3" s="58"/>
      <c r="J3" s="58"/>
      <c r="K3" s="58"/>
      <c r="L3" s="49"/>
    </row>
    <row r="4" spans="1:12" x14ac:dyDescent="0.25">
      <c r="A4" s="191" t="s">
        <v>325</v>
      </c>
      <c r="B4" s="41"/>
      <c r="C4" s="41"/>
      <c r="E4" s="58"/>
      <c r="F4" s="58"/>
      <c r="G4" s="58"/>
      <c r="H4" s="58"/>
      <c r="I4" s="58"/>
      <c r="J4" s="58"/>
      <c r="K4" s="58"/>
      <c r="L4" s="49"/>
    </row>
    <row r="5" spans="1:12" x14ac:dyDescent="0.25">
      <c r="A5" s="48" t="s">
        <v>271</v>
      </c>
      <c r="B5" s="41"/>
      <c r="C5" s="41"/>
      <c r="E5" s="58"/>
      <c r="F5" s="58"/>
      <c r="G5" s="58"/>
      <c r="H5" s="58"/>
      <c r="I5" s="58"/>
      <c r="J5" s="58"/>
      <c r="K5" s="58"/>
      <c r="L5" s="49"/>
    </row>
    <row r="6" spans="1:12" x14ac:dyDescent="0.25">
      <c r="A6" s="48" t="str">
        <f>"- h: Section height (Input as Float) ("&amp;'User Defined Units'!$B$11&amp;")"</f>
        <v>- h: Section height (Input as Float) (m)</v>
      </c>
      <c r="B6" s="41"/>
      <c r="C6" s="41"/>
      <c r="E6" s="58"/>
      <c r="F6" s="58"/>
      <c r="G6" s="58"/>
      <c r="H6" s="58"/>
      <c r="I6" s="58"/>
      <c r="J6" s="58"/>
      <c r="K6" s="58"/>
      <c r="L6" s="49"/>
    </row>
    <row r="7" spans="1:12" x14ac:dyDescent="0.25">
      <c r="A7" s="48" t="str">
        <f>"- b: Section width (Input as Float) ("&amp;'User Defined Units'!$B$11&amp;")"</f>
        <v>- b: Section width (Input as Float) (m)</v>
      </c>
      <c r="B7" s="41"/>
      <c r="C7" s="41"/>
      <c r="E7" s="58"/>
      <c r="F7" s="58"/>
      <c r="G7" s="58"/>
      <c r="H7" s="58"/>
      <c r="I7" s="58"/>
      <c r="J7" s="58"/>
      <c r="K7" s="58"/>
      <c r="L7" s="49"/>
    </row>
    <row r="8" spans="1:12" x14ac:dyDescent="0.25">
      <c r="A8" s="195" t="s">
        <v>316</v>
      </c>
      <c r="B8" s="41"/>
      <c r="C8" s="41"/>
      <c r="E8" s="58"/>
      <c r="F8" s="58"/>
      <c r="G8" s="58"/>
      <c r="H8" s="58"/>
      <c r="I8" s="58"/>
      <c r="J8" s="58"/>
      <c r="K8" s="58"/>
      <c r="L8" s="49"/>
    </row>
    <row r="9" spans="1:12" x14ac:dyDescent="0.25">
      <c r="A9" s="195" t="s">
        <v>317</v>
      </c>
      <c r="B9" s="41"/>
      <c r="C9" s="41"/>
      <c r="E9" s="58"/>
      <c r="F9" s="58"/>
      <c r="G9" s="58"/>
      <c r="H9" s="58"/>
      <c r="I9" s="58"/>
      <c r="J9" s="58"/>
      <c r="K9" s="58"/>
      <c r="L9" s="49"/>
    </row>
    <row r="10" spans="1:12" x14ac:dyDescent="0.25">
      <c r="A10" s="195" t="s">
        <v>318</v>
      </c>
      <c r="B10" s="41"/>
      <c r="C10" s="41"/>
      <c r="E10" s="58"/>
      <c r="F10" s="58"/>
      <c r="G10" s="58"/>
      <c r="H10" s="58"/>
      <c r="I10" s="58"/>
      <c r="J10" s="58"/>
      <c r="K10" s="58"/>
      <c r="L10" s="49"/>
    </row>
    <row r="11" spans="1:12" x14ac:dyDescent="0.25">
      <c r="A11" s="195" t="s">
        <v>319</v>
      </c>
      <c r="B11" s="41"/>
      <c r="C11" s="41"/>
      <c r="E11" s="58"/>
      <c r="F11" s="58"/>
      <c r="G11" s="58"/>
      <c r="H11" s="58"/>
      <c r="I11" s="58"/>
      <c r="J11" s="58"/>
      <c r="K11" s="58"/>
      <c r="L11" s="49"/>
    </row>
    <row r="12" spans="1:12" x14ac:dyDescent="0.25">
      <c r="A12" s="195" t="s">
        <v>320</v>
      </c>
      <c r="B12" s="41"/>
      <c r="C12" s="41"/>
      <c r="E12" s="58"/>
      <c r="F12" s="58"/>
      <c r="G12" s="58"/>
      <c r="H12" s="58"/>
      <c r="I12" s="58"/>
      <c r="J12" s="58"/>
      <c r="K12" s="58"/>
      <c r="L12" s="49"/>
    </row>
    <row r="13" spans="1:12" x14ac:dyDescent="0.25">
      <c r="A13" s="196" t="s">
        <v>321</v>
      </c>
      <c r="B13" s="43"/>
      <c r="C13" s="43"/>
      <c r="D13" s="43"/>
      <c r="E13" s="50"/>
      <c r="F13" s="50"/>
      <c r="G13" s="50"/>
      <c r="H13" s="50"/>
      <c r="I13" s="50"/>
      <c r="J13" s="50"/>
      <c r="K13" s="50"/>
      <c r="L13" s="51"/>
    </row>
    <row r="14" spans="1:12" x14ac:dyDescent="0.25">
      <c r="A14" s="34"/>
      <c r="B14" s="1"/>
      <c r="C14" s="1"/>
      <c r="D14" s="1"/>
      <c r="E14" s="4"/>
      <c r="F14" s="4"/>
      <c r="G14" s="4"/>
      <c r="H14" s="4"/>
      <c r="I14" s="4"/>
      <c r="J14" s="4"/>
      <c r="K14" s="4"/>
      <c r="L14" s="4"/>
    </row>
    <row r="15" spans="1:12" s="2" customFormat="1" x14ac:dyDescent="0.25">
      <c r="A15" s="31" t="s">
        <v>70</v>
      </c>
      <c r="B15" s="31" t="s">
        <v>69</v>
      </c>
      <c r="C15" s="31" t="s">
        <v>324</v>
      </c>
      <c r="D15" s="31" t="s">
        <v>77</v>
      </c>
      <c r="E15" s="31" t="s">
        <v>78</v>
      </c>
      <c r="F15" s="31" t="s">
        <v>28</v>
      </c>
      <c r="G15" s="31" t="s">
        <v>310</v>
      </c>
      <c r="H15" s="31" t="s">
        <v>311</v>
      </c>
      <c r="I15" s="31" t="s">
        <v>312</v>
      </c>
      <c r="J15" s="31" t="s">
        <v>313</v>
      </c>
      <c r="K15" s="31" t="s">
        <v>314</v>
      </c>
      <c r="L15" s="31" t="s">
        <v>315</v>
      </c>
    </row>
    <row r="16" spans="1:12" x14ac:dyDescent="0.25">
      <c r="A16" s="45" t="s">
        <v>79</v>
      </c>
      <c r="B16" s="45" t="s">
        <v>72</v>
      </c>
      <c r="C16" s="45" t="s">
        <v>16</v>
      </c>
      <c r="D16" s="41" t="str">
        <f t="shared" ref="D16:D79" si="0">IF(A16=0,"","Elastic")</f>
        <v>Elastic</v>
      </c>
      <c r="E16" s="52">
        <v>0.7</v>
      </c>
      <c r="F16" s="52">
        <v>0.7</v>
      </c>
      <c r="G16" s="52">
        <v>1</v>
      </c>
      <c r="H16" s="52">
        <v>1</v>
      </c>
      <c r="I16" s="52">
        <v>1</v>
      </c>
      <c r="J16" s="52">
        <v>0.7</v>
      </c>
      <c r="K16" s="52">
        <v>0.7</v>
      </c>
      <c r="L16" s="52">
        <v>1</v>
      </c>
    </row>
    <row r="17" spans="1:12" x14ac:dyDescent="0.25">
      <c r="A17" s="45" t="s">
        <v>80</v>
      </c>
      <c r="B17" s="45" t="s">
        <v>72</v>
      </c>
      <c r="C17" s="45" t="s">
        <v>16</v>
      </c>
      <c r="D17" s="41" t="str">
        <f t="shared" si="0"/>
        <v>Elastic</v>
      </c>
      <c r="E17" s="52">
        <v>0.6</v>
      </c>
      <c r="F17" s="52">
        <v>0.3</v>
      </c>
      <c r="G17" s="52">
        <v>1</v>
      </c>
      <c r="H17" s="52">
        <v>1</v>
      </c>
      <c r="I17" s="52">
        <v>1</v>
      </c>
      <c r="J17" s="52">
        <v>0.35</v>
      </c>
      <c r="K17" s="52">
        <v>0.35</v>
      </c>
      <c r="L17" s="52">
        <v>1</v>
      </c>
    </row>
    <row r="18" spans="1:12" x14ac:dyDescent="0.25">
      <c r="D18" s="41" t="str">
        <f t="shared" si="0"/>
        <v/>
      </c>
    </row>
    <row r="19" spans="1:12" x14ac:dyDescent="0.25">
      <c r="D19" s="41" t="str">
        <f t="shared" si="0"/>
        <v/>
      </c>
    </row>
    <row r="20" spans="1:12" x14ac:dyDescent="0.25">
      <c r="D20" s="41" t="str">
        <f t="shared" si="0"/>
        <v/>
      </c>
    </row>
    <row r="21" spans="1:12" x14ac:dyDescent="0.25">
      <c r="D21" s="41" t="str">
        <f t="shared" si="0"/>
        <v/>
      </c>
    </row>
    <row r="22" spans="1:12" x14ac:dyDescent="0.25">
      <c r="D22" s="41" t="str">
        <f t="shared" si="0"/>
        <v/>
      </c>
    </row>
    <row r="23" spans="1:12" x14ac:dyDescent="0.25">
      <c r="D23" s="41" t="str">
        <f t="shared" si="0"/>
        <v/>
      </c>
    </row>
    <row r="24" spans="1:12" x14ac:dyDescent="0.25">
      <c r="D24" s="41" t="str">
        <f t="shared" si="0"/>
        <v/>
      </c>
    </row>
    <row r="25" spans="1:12" x14ac:dyDescent="0.25">
      <c r="D25" s="41" t="str">
        <f t="shared" si="0"/>
        <v/>
      </c>
    </row>
    <row r="26" spans="1:12" x14ac:dyDescent="0.25">
      <c r="D26" s="41" t="str">
        <f t="shared" si="0"/>
        <v/>
      </c>
    </row>
    <row r="27" spans="1:12" x14ac:dyDescent="0.25">
      <c r="D27" s="41" t="str">
        <f t="shared" si="0"/>
        <v/>
      </c>
    </row>
    <row r="28" spans="1:12" x14ac:dyDescent="0.25">
      <c r="D28" s="41" t="str">
        <f t="shared" si="0"/>
        <v/>
      </c>
    </row>
    <row r="29" spans="1:12" x14ac:dyDescent="0.25">
      <c r="D29" s="41" t="str">
        <f t="shared" si="0"/>
        <v/>
      </c>
    </row>
    <row r="30" spans="1:12" x14ac:dyDescent="0.25">
      <c r="D30" s="41" t="str">
        <f t="shared" si="0"/>
        <v/>
      </c>
    </row>
    <row r="31" spans="1:12" x14ac:dyDescent="0.25">
      <c r="D31" s="41" t="str">
        <f t="shared" si="0"/>
        <v/>
      </c>
    </row>
    <row r="32" spans="1:12"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ref="D80:D143" si="1">IF(A80=0,"","Elastic")</f>
        <v/>
      </c>
    </row>
    <row r="81" spans="4:4" x14ac:dyDescent="0.25">
      <c r="D81" s="41" t="str">
        <f t="shared" si="1"/>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ref="D144:D207" si="2">IF(A144=0,"","Elastic")</f>
        <v/>
      </c>
    </row>
    <row r="145" spans="4:4" x14ac:dyDescent="0.25">
      <c r="D145" s="41" t="str">
        <f t="shared" si="2"/>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ref="D208:D271" si="3">IF(A208=0,"","Elastic")</f>
        <v/>
      </c>
    </row>
    <row r="209" spans="4:4" x14ac:dyDescent="0.25">
      <c r="D209" s="41" t="str">
        <f t="shared" si="3"/>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ref="D272:D335" si="4">IF(A272=0,"","Elastic")</f>
        <v/>
      </c>
    </row>
    <row r="273" spans="4:4" x14ac:dyDescent="0.25">
      <c r="D273" s="41" t="str">
        <f t="shared" si="4"/>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ref="D336:D399" si="5">IF(A336=0,"","Elastic")</f>
        <v/>
      </c>
    </row>
    <row r="337" spans="4:4" x14ac:dyDescent="0.25">
      <c r="D337" s="41" t="str">
        <f t="shared" si="5"/>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ref="D400:D463" si="6">IF(A400=0,"","Elastic")</f>
        <v/>
      </c>
    </row>
    <row r="401" spans="4:4" x14ac:dyDescent="0.25">
      <c r="D401" s="41" t="str">
        <f t="shared" si="6"/>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ref="D464:D527" si="7">IF(A464=0,"","Elastic")</f>
        <v/>
      </c>
    </row>
    <row r="465" spans="4:4" x14ac:dyDescent="0.25">
      <c r="D465" s="41" t="str">
        <f t="shared" si="7"/>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ref="D528:D591" si="8">IF(A528=0,"","Elastic")</f>
        <v/>
      </c>
    </row>
    <row r="529" spans="4:4" x14ac:dyDescent="0.25">
      <c r="D529" s="41" t="str">
        <f t="shared" si="8"/>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ref="D592:D655" si="9">IF(A592=0,"","Elastic")</f>
        <v/>
      </c>
    </row>
    <row r="593" spans="4:4" x14ac:dyDescent="0.25">
      <c r="D593" s="41" t="str">
        <f t="shared" si="9"/>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ref="D656:D719" si="10">IF(A656=0,"","Elastic")</f>
        <v/>
      </c>
    </row>
    <row r="657" spans="4:4" x14ac:dyDescent="0.25">
      <c r="D657" s="41" t="str">
        <f t="shared" si="10"/>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ref="D720:D783" si="11">IF(A720=0,"","Elastic")</f>
        <v/>
      </c>
    </row>
    <row r="721" spans="4:4" x14ac:dyDescent="0.25">
      <c r="D721" s="41" t="str">
        <f t="shared" si="11"/>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ref="D784:D847" si="12">IF(A784=0,"","Elastic")</f>
        <v/>
      </c>
    </row>
    <row r="785" spans="4:4" x14ac:dyDescent="0.25">
      <c r="D785" s="41" t="str">
        <f t="shared" si="12"/>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ref="D848:D911" si="13">IF(A848=0,"","Elastic")</f>
        <v/>
      </c>
    </row>
    <row r="849" spans="4:4" x14ac:dyDescent="0.25">
      <c r="D849" s="41" t="str">
        <f t="shared" si="13"/>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ref="D912:D975" si="14">IF(A912=0,"","Elastic")</f>
        <v/>
      </c>
    </row>
    <row r="913" spans="4:4" x14ac:dyDescent="0.25">
      <c r="D913" s="41" t="str">
        <f t="shared" si="14"/>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ref="D976:D1015" si="15">IF(A976=0,"","Elastic")</f>
        <v/>
      </c>
    </row>
    <row r="977" spans="4:4" x14ac:dyDescent="0.25">
      <c r="D977" s="41" t="str">
        <f t="shared" si="15"/>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G25" sqref="G25"/>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41"/>
      <c r="C2" s="41"/>
      <c r="D2" s="41"/>
      <c r="E2" s="41"/>
      <c r="F2" s="41"/>
      <c r="H2" s="58"/>
      <c r="I2" s="205"/>
      <c r="J2" s="205"/>
      <c r="K2" s="205"/>
      <c r="L2" s="206"/>
      <c r="M2" s="206"/>
      <c r="N2" s="206"/>
      <c r="O2" s="154"/>
    </row>
    <row r="3" spans="1:15" x14ac:dyDescent="0.25">
      <c r="A3" s="48" t="s">
        <v>274</v>
      </c>
      <c r="B3" s="41"/>
      <c r="C3" s="41"/>
      <c r="D3" s="41"/>
      <c r="E3" s="41"/>
      <c r="F3" s="41"/>
      <c r="H3" s="58"/>
      <c r="I3" s="205"/>
      <c r="J3" s="205"/>
      <c r="K3" s="205"/>
      <c r="L3" s="206"/>
      <c r="M3" s="206"/>
      <c r="N3" s="206"/>
      <c r="O3" s="154"/>
    </row>
    <row r="4" spans="1:15" x14ac:dyDescent="0.25">
      <c r="A4" s="48" t="s">
        <v>275</v>
      </c>
      <c r="B4" s="41"/>
      <c r="C4" s="41"/>
      <c r="D4" s="41"/>
      <c r="E4" s="41"/>
      <c r="F4" s="41"/>
      <c r="H4" s="58"/>
      <c r="I4" s="205"/>
      <c r="J4" s="205"/>
      <c r="K4" s="205"/>
      <c r="L4" s="206"/>
      <c r="M4" s="206"/>
      <c r="N4" s="206"/>
      <c r="O4" s="154"/>
    </row>
    <row r="5" spans="1:15" x14ac:dyDescent="0.25">
      <c r="A5" s="195" t="s">
        <v>340</v>
      </c>
      <c r="B5" s="41"/>
      <c r="C5" s="41"/>
      <c r="D5" s="41"/>
      <c r="E5" s="41"/>
      <c r="F5" s="41"/>
      <c r="H5" s="58"/>
      <c r="I5" s="205"/>
      <c r="J5" s="205"/>
      <c r="K5" s="205"/>
      <c r="L5" s="206"/>
      <c r="M5" s="206"/>
      <c r="N5" s="206"/>
      <c r="O5" s="154"/>
    </row>
    <row r="6" spans="1:15" x14ac:dyDescent="0.25">
      <c r="A6" s="195" t="s">
        <v>330</v>
      </c>
      <c r="B6" s="41"/>
      <c r="C6" s="41"/>
      <c r="D6" s="41"/>
      <c r="E6" s="41"/>
      <c r="F6" s="41"/>
      <c r="H6" s="58"/>
      <c r="I6" s="205"/>
      <c r="J6" s="205"/>
      <c r="K6" s="205"/>
      <c r="L6" s="206"/>
      <c r="M6" s="206"/>
      <c r="N6" s="206"/>
      <c r="O6" s="154"/>
    </row>
    <row r="7" spans="1:15" x14ac:dyDescent="0.25">
      <c r="A7" s="195" t="s">
        <v>331</v>
      </c>
      <c r="B7" s="41"/>
      <c r="C7" s="41"/>
      <c r="D7" s="41"/>
      <c r="E7" s="41"/>
      <c r="F7" s="41"/>
      <c r="H7" s="58"/>
      <c r="I7" s="205"/>
      <c r="J7" s="205"/>
      <c r="K7" s="205"/>
      <c r="L7" s="206"/>
      <c r="M7" s="206"/>
      <c r="N7" s="206"/>
      <c r="O7" s="154"/>
    </row>
    <row r="8" spans="1:15" x14ac:dyDescent="0.25">
      <c r="A8" s="48" t="s">
        <v>271</v>
      </c>
      <c r="B8" s="41"/>
      <c r="C8" s="41"/>
      <c r="D8" s="41"/>
      <c r="E8" s="41"/>
      <c r="F8" s="41"/>
      <c r="H8" s="58"/>
      <c r="I8" s="205"/>
      <c r="J8" s="205"/>
      <c r="K8" s="205"/>
      <c r="L8" s="206"/>
      <c r="M8" s="206"/>
      <c r="N8" s="206"/>
      <c r="O8" s="154"/>
    </row>
    <row r="9" spans="1:15" x14ac:dyDescent="0.25">
      <c r="A9" s="48" t="s">
        <v>276</v>
      </c>
      <c r="B9" s="41"/>
      <c r="C9" s="41"/>
      <c r="D9" s="41"/>
      <c r="E9" s="41"/>
      <c r="F9" s="41"/>
      <c r="H9" s="58"/>
      <c r="I9" s="205"/>
      <c r="J9" s="205"/>
      <c r="K9" s="205"/>
      <c r="L9" s="206"/>
      <c r="M9" s="206"/>
      <c r="N9" s="206"/>
      <c r="O9" s="154"/>
    </row>
    <row r="10" spans="1:15" x14ac:dyDescent="0.25">
      <c r="A10" s="48" t="s">
        <v>277</v>
      </c>
      <c r="B10" s="41"/>
      <c r="C10" s="41"/>
      <c r="D10" s="41"/>
      <c r="E10" s="41"/>
      <c r="F10" s="41"/>
      <c r="H10" s="58"/>
      <c r="I10" s="205"/>
      <c r="J10" s="205"/>
      <c r="K10" s="205"/>
      <c r="L10" s="206"/>
      <c r="M10" s="206"/>
      <c r="N10" s="206"/>
      <c r="O10" s="154"/>
    </row>
    <row r="11" spans="1:15" x14ac:dyDescent="0.25">
      <c r="A11" s="48" t="s">
        <v>278</v>
      </c>
      <c r="B11" s="41"/>
      <c r="C11" s="41"/>
      <c r="D11" s="41"/>
      <c r="E11" s="41"/>
      <c r="F11" s="41"/>
      <c r="H11" s="58"/>
      <c r="I11" s="205"/>
      <c r="J11" s="205"/>
      <c r="K11" s="205"/>
      <c r="L11" s="206"/>
      <c r="M11" s="206"/>
      <c r="N11" s="206"/>
      <c r="O11" s="154"/>
    </row>
    <row r="12" spans="1:15" x14ac:dyDescent="0.25">
      <c r="A12" s="48" t="s">
        <v>279</v>
      </c>
      <c r="B12" s="41"/>
      <c r="C12" s="41"/>
      <c r="D12" s="41"/>
      <c r="E12" s="41"/>
      <c r="F12" s="41"/>
      <c r="H12" s="58"/>
      <c r="I12" s="205"/>
      <c r="J12" s="205"/>
      <c r="K12" s="205"/>
      <c r="L12" s="206"/>
      <c r="M12" s="206"/>
      <c r="N12" s="206"/>
      <c r="O12" s="154"/>
    </row>
    <row r="13" spans="1:15" x14ac:dyDescent="0.25">
      <c r="A13" s="48" t="str">
        <f>"- barDiaHoop: Diameter of hoops (Input as Float) ("&amp;'User Defined Units'!$B$11&amp;")"</f>
        <v>- barDiaHoop: Diameter of hoops (Input as Float) (m)</v>
      </c>
      <c r="B13" s="41"/>
      <c r="C13" s="41"/>
      <c r="D13" s="41"/>
      <c r="E13" s="41"/>
      <c r="F13" s="41"/>
      <c r="H13" s="58"/>
      <c r="I13" s="205"/>
      <c r="J13" s="205"/>
      <c r="K13" s="205"/>
      <c r="L13" s="206"/>
      <c r="M13" s="206"/>
      <c r="N13" s="206"/>
      <c r="O13" s="154"/>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205"/>
      <c r="J14" s="205"/>
      <c r="K14" s="205"/>
      <c r="L14" s="206"/>
      <c r="M14" s="206"/>
      <c r="N14" s="206"/>
      <c r="O14" s="154"/>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205"/>
      <c r="J15" s="205"/>
      <c r="K15" s="205"/>
      <c r="L15" s="206"/>
      <c r="M15" s="206"/>
      <c r="N15" s="206"/>
      <c r="O15" s="154"/>
    </row>
    <row r="16" spans="1:15" x14ac:dyDescent="0.25">
      <c r="A16" s="48" t="str">
        <f>"- barDiaInt: Diameter of intermediate reinforcements (Input as Float) ("&amp;'User Defined Units'!$B$11&amp;")"</f>
        <v>- barDiaInt: Diameter of intermediate reinforcements (Input as Float) (m)</v>
      </c>
      <c r="B16" s="41"/>
      <c r="C16" s="41"/>
      <c r="D16" s="41"/>
      <c r="E16" s="41"/>
      <c r="F16" s="41"/>
      <c r="H16" s="58"/>
      <c r="I16" s="205"/>
      <c r="J16" s="205"/>
      <c r="K16" s="205"/>
      <c r="L16" s="206"/>
      <c r="M16" s="206"/>
      <c r="N16" s="206"/>
      <c r="O16" s="154"/>
    </row>
    <row r="17" spans="1:15" x14ac:dyDescent="0.25">
      <c r="A17" s="96" t="s">
        <v>207</v>
      </c>
      <c r="B17" s="41"/>
      <c r="C17" s="41"/>
      <c r="D17" s="41"/>
      <c r="E17" s="41"/>
      <c r="F17" s="41"/>
      <c r="H17" s="58"/>
      <c r="I17" s="205"/>
      <c r="J17" s="205"/>
      <c r="K17" s="205"/>
      <c r="L17" s="206"/>
      <c r="M17" s="206"/>
      <c r="N17" s="206"/>
      <c r="O17" s="154"/>
    </row>
    <row r="18" spans="1:15" x14ac:dyDescent="0.25">
      <c r="A18" s="97" t="s">
        <v>329</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324</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B16" sqref="B16"/>
    </sheetView>
  </sheetViews>
  <sheetFormatPr defaultColWidth="10.85546875" defaultRowHeight="15.75" x14ac:dyDescent="0.25"/>
  <cols>
    <col min="1" max="2" width="20.7109375" style="45" customWidth="1"/>
    <col min="3" max="8" width="20.7109375" style="1" customWidth="1"/>
    <col min="9" max="9" width="20.7109375" style="41" customWidth="1"/>
    <col min="10" max="10" width="20.7109375" style="45" customWidth="1"/>
    <col min="11" max="16384" width="10.85546875" style="3"/>
  </cols>
  <sheetData>
    <row r="1" spans="1:11" x14ac:dyDescent="0.25">
      <c r="A1" s="33" t="s">
        <v>183</v>
      </c>
      <c r="B1" s="202"/>
      <c r="C1" s="39"/>
      <c r="D1" s="39"/>
      <c r="E1" s="39"/>
      <c r="F1" s="39"/>
      <c r="G1" s="39"/>
      <c r="H1" s="39"/>
      <c r="I1" s="39"/>
      <c r="J1" s="39"/>
      <c r="K1" s="40"/>
    </row>
    <row r="2" spans="1:11" x14ac:dyDescent="0.25">
      <c r="A2" s="48" t="s">
        <v>280</v>
      </c>
      <c r="B2" s="203"/>
      <c r="C2" s="41"/>
      <c r="D2" s="41"/>
      <c r="E2" s="41"/>
      <c r="F2" s="41"/>
      <c r="G2" s="41"/>
      <c r="H2" s="41"/>
      <c r="J2" s="41"/>
      <c r="K2" s="42"/>
    </row>
    <row r="3" spans="1:11" x14ac:dyDescent="0.25">
      <c r="A3" s="195" t="s">
        <v>339</v>
      </c>
      <c r="B3" s="203"/>
      <c r="C3" s="41"/>
      <c r="D3" s="41"/>
      <c r="E3" s="41"/>
      <c r="F3" s="41"/>
      <c r="G3" s="41"/>
      <c r="H3" s="41"/>
      <c r="J3" s="41"/>
      <c r="K3" s="42"/>
    </row>
    <row r="4" spans="1:11" x14ac:dyDescent="0.25">
      <c r="A4" s="195" t="s">
        <v>332</v>
      </c>
      <c r="B4" s="203"/>
      <c r="C4" s="41"/>
      <c r="D4" s="41"/>
      <c r="E4" s="41"/>
      <c r="F4" s="41"/>
      <c r="G4" s="41"/>
      <c r="H4" s="41"/>
      <c r="J4" s="41"/>
      <c r="K4" s="42"/>
    </row>
    <row r="5" spans="1:11" x14ac:dyDescent="0.25">
      <c r="A5" s="195" t="s">
        <v>334</v>
      </c>
      <c r="B5" s="203"/>
      <c r="C5" s="41"/>
      <c r="D5" s="41"/>
      <c r="E5" s="41"/>
      <c r="F5" s="41"/>
      <c r="G5" s="41"/>
      <c r="H5" s="41"/>
      <c r="J5" s="41"/>
      <c r="K5" s="42"/>
    </row>
    <row r="6" spans="1:11" x14ac:dyDescent="0.25">
      <c r="A6" s="195" t="s">
        <v>333</v>
      </c>
      <c r="B6" s="203"/>
      <c r="C6" s="41"/>
      <c r="D6" s="41"/>
      <c r="E6" s="41"/>
      <c r="F6" s="41"/>
      <c r="G6" s="41"/>
      <c r="H6" s="41"/>
      <c r="J6" s="41"/>
      <c r="K6" s="42"/>
    </row>
    <row r="7" spans="1:11" x14ac:dyDescent="0.25">
      <c r="A7" s="195" t="s">
        <v>335</v>
      </c>
      <c r="B7" s="203"/>
      <c r="C7" s="41"/>
      <c r="D7" s="41"/>
      <c r="E7" s="41"/>
      <c r="F7" s="41"/>
      <c r="G7" s="41"/>
      <c r="H7" s="41"/>
      <c r="J7" s="41"/>
      <c r="K7" s="42"/>
    </row>
    <row r="8" spans="1:11" x14ac:dyDescent="0.25">
      <c r="A8" s="195" t="s">
        <v>336</v>
      </c>
      <c r="B8" s="203"/>
      <c r="C8" s="41"/>
      <c r="D8" s="41"/>
      <c r="E8" s="41"/>
      <c r="F8" s="41"/>
      <c r="G8" s="41"/>
      <c r="H8" s="41"/>
      <c r="J8" s="41"/>
      <c r="K8" s="42"/>
    </row>
    <row r="9" spans="1:11" x14ac:dyDescent="0.25">
      <c r="A9" s="195" t="s">
        <v>337</v>
      </c>
      <c r="B9" s="203"/>
      <c r="C9" s="41"/>
      <c r="D9" s="41"/>
      <c r="E9" s="41"/>
      <c r="F9" s="41"/>
      <c r="G9" s="41"/>
      <c r="H9" s="41"/>
      <c r="J9" s="41"/>
      <c r="K9" s="42"/>
    </row>
    <row r="10" spans="1:11" x14ac:dyDescent="0.25">
      <c r="A10" s="48" t="s">
        <v>271</v>
      </c>
      <c r="B10" s="203"/>
      <c r="C10" s="41"/>
      <c r="D10" s="41"/>
      <c r="E10" s="41"/>
      <c r="F10" s="41"/>
      <c r="G10" s="41"/>
      <c r="H10" s="41"/>
      <c r="J10" s="41"/>
      <c r="K10" s="42"/>
    </row>
    <row r="11" spans="1:11" x14ac:dyDescent="0.25">
      <c r="A11" s="195" t="s">
        <v>338</v>
      </c>
      <c r="B11" s="203"/>
      <c r="C11" s="41"/>
      <c r="D11" s="41"/>
      <c r="E11" s="41"/>
      <c r="F11" s="41"/>
      <c r="G11" s="41"/>
      <c r="H11" s="41"/>
      <c r="J11" s="41"/>
      <c r="K11" s="42"/>
    </row>
    <row r="12" spans="1:11" x14ac:dyDescent="0.25">
      <c r="A12" s="96" t="s">
        <v>207</v>
      </c>
      <c r="B12" s="203"/>
      <c r="C12" s="41"/>
      <c r="D12" s="41"/>
      <c r="E12" s="41"/>
      <c r="F12" s="41"/>
      <c r="G12" s="41"/>
      <c r="H12" s="41"/>
      <c r="J12" s="41"/>
      <c r="K12" s="42"/>
    </row>
    <row r="13" spans="1:11" x14ac:dyDescent="0.25">
      <c r="A13" s="97" t="s">
        <v>329</v>
      </c>
      <c r="B13" s="204"/>
      <c r="C13" s="43"/>
      <c r="D13" s="43"/>
      <c r="E13" s="43"/>
      <c r="F13" s="43"/>
      <c r="G13" s="43"/>
      <c r="H13" s="43"/>
      <c r="I13" s="43"/>
      <c r="J13" s="43"/>
      <c r="K13" s="44"/>
    </row>
    <row r="14" spans="1:11" x14ac:dyDescent="0.25">
      <c r="A14" s="34"/>
      <c r="B14" s="34"/>
      <c r="I14" s="1"/>
      <c r="J14" s="1"/>
    </row>
    <row r="15" spans="1:11" s="2" customFormat="1" x14ac:dyDescent="0.25">
      <c r="A15" s="31" t="s">
        <v>70</v>
      </c>
      <c r="B15" s="31" t="s">
        <v>81</v>
      </c>
      <c r="C15" s="31" t="s">
        <v>324</v>
      </c>
      <c r="D15" s="31" t="s">
        <v>83</v>
      </c>
      <c r="E15" s="31" t="s">
        <v>84</v>
      </c>
      <c r="F15" s="31" t="s">
        <v>326</v>
      </c>
      <c r="G15" s="31" t="s">
        <v>327</v>
      </c>
      <c r="H15" s="31" t="s">
        <v>328</v>
      </c>
      <c r="I15" s="31" t="s">
        <v>77</v>
      </c>
      <c r="J15" s="31" t="s">
        <v>94</v>
      </c>
    </row>
    <row r="16" spans="1:11" x14ac:dyDescent="0.25">
      <c r="A16" s="45" t="s">
        <v>95</v>
      </c>
      <c r="B16" s="45" t="s">
        <v>93</v>
      </c>
      <c r="H16" s="1"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183</v>
      </c>
      <c r="B1" s="39"/>
      <c r="C1" s="46"/>
      <c r="D1" s="170"/>
      <c r="E1" s="40"/>
    </row>
    <row r="2" spans="1:5" x14ac:dyDescent="0.25">
      <c r="A2" s="48" t="s">
        <v>294</v>
      </c>
      <c r="B2" s="213"/>
      <c r="C2" s="214"/>
      <c r="D2" s="215"/>
      <c r="E2" s="42"/>
    </row>
    <row r="3" spans="1:5" x14ac:dyDescent="0.25">
      <c r="A3" s="195" t="s">
        <v>341</v>
      </c>
      <c r="B3" s="213"/>
      <c r="C3" s="214"/>
      <c r="D3" s="215"/>
      <c r="E3" s="42"/>
    </row>
    <row r="4" spans="1:5" x14ac:dyDescent="0.25">
      <c r="A4" s="53" t="str">
        <f>"- t: Slab thickness (Input as float) ("&amp;'User Defined Units'!$B$11&amp;")"</f>
        <v>- t: Slab thickness (Input as float) (m)</v>
      </c>
      <c r="B4" s="43"/>
      <c r="C4" s="50"/>
      <c r="D4" s="171"/>
      <c r="E4" s="44"/>
    </row>
    <row r="5" spans="1:5" x14ac:dyDescent="0.25">
      <c r="A5" s="34"/>
      <c r="B5" s="1"/>
      <c r="C5" s="4"/>
    </row>
    <row r="6" spans="1:5" s="8" customFormat="1" x14ac:dyDescent="0.25">
      <c r="A6" s="32" t="s">
        <v>70</v>
      </c>
      <c r="B6" s="31" t="s">
        <v>324</v>
      </c>
      <c r="C6" s="32" t="s">
        <v>96</v>
      </c>
    </row>
    <row r="7" spans="1:5" x14ac:dyDescent="0.25">
      <c r="A7" s="45" t="s">
        <v>97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topLeftCell="A8"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291</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290</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I274"/>
  <sheetViews>
    <sheetView tabSelected="1" zoomScale="130" zoomScaleNormal="130" workbookViewId="0">
      <selection activeCell="D15" sqref="D15"/>
    </sheetView>
  </sheetViews>
  <sheetFormatPr defaultColWidth="10.85546875" defaultRowHeight="15.75" x14ac:dyDescent="0.25"/>
  <cols>
    <col min="1" max="1" width="15.7109375" style="104" customWidth="1"/>
    <col min="2" max="3" width="10.7109375" style="104" customWidth="1"/>
    <col min="4" max="4" width="20.7109375" style="45" customWidth="1"/>
    <col min="5" max="5" width="25.7109375" style="61" customWidth="1"/>
    <col min="6" max="7" width="20.7109375" style="101" customWidth="1"/>
    <col min="8" max="8" width="10.7109375" style="61" customWidth="1"/>
    <col min="9" max="9" width="20.7109375" style="61" customWidth="1"/>
    <col min="10" max="16384" width="10.85546875" style="91"/>
  </cols>
  <sheetData>
    <row r="1" spans="1:9" x14ac:dyDescent="0.25">
      <c r="A1" s="71" t="s">
        <v>183</v>
      </c>
      <c r="B1" s="88"/>
      <c r="C1" s="88"/>
      <c r="D1" s="41"/>
      <c r="E1" s="89"/>
      <c r="F1" s="89"/>
      <c r="G1" s="89"/>
      <c r="H1" s="88"/>
      <c r="I1" s="192"/>
    </row>
    <row r="2" spans="1:9" x14ac:dyDescent="0.25">
      <c r="A2" s="95" t="s">
        <v>292</v>
      </c>
      <c r="B2" s="92"/>
      <c r="C2" s="92"/>
      <c r="D2" s="41"/>
      <c r="E2" s="93"/>
      <c r="F2" s="93"/>
      <c r="G2" s="93"/>
      <c r="H2" s="92"/>
      <c r="I2" s="193"/>
    </row>
    <row r="3" spans="1:9" x14ac:dyDescent="0.25">
      <c r="A3" s="78" t="s">
        <v>200</v>
      </c>
      <c r="B3" s="92"/>
      <c r="C3" s="92"/>
      <c r="D3" s="41"/>
      <c r="E3" s="93"/>
      <c r="F3" s="93"/>
      <c r="G3" s="93"/>
      <c r="H3" s="92"/>
      <c r="I3" s="193"/>
    </row>
    <row r="4" spans="1:9" x14ac:dyDescent="0.25">
      <c r="A4" s="78" t="s">
        <v>201</v>
      </c>
      <c r="B4" s="92"/>
      <c r="C4" s="92"/>
      <c r="D4" s="41"/>
      <c r="E4" s="93"/>
      <c r="F4" s="93"/>
      <c r="G4" s="93"/>
      <c r="H4" s="92"/>
      <c r="I4" s="193"/>
    </row>
    <row r="5" spans="1:9" x14ac:dyDescent="0.25">
      <c r="A5" s="191" t="s">
        <v>272</v>
      </c>
      <c r="B5" s="92"/>
      <c r="C5" s="92"/>
      <c r="D5" s="41"/>
      <c r="E5" s="93"/>
      <c r="F5" s="93"/>
      <c r="G5" s="93"/>
      <c r="H5" s="92"/>
      <c r="I5" s="193"/>
    </row>
    <row r="6" spans="1:9" x14ac:dyDescent="0.25">
      <c r="A6" s="95" t="s">
        <v>212</v>
      </c>
      <c r="B6" s="92"/>
      <c r="C6" s="92"/>
      <c r="D6" s="41"/>
      <c r="E6" s="93"/>
      <c r="F6" s="93"/>
      <c r="G6" s="93"/>
      <c r="H6" s="92"/>
      <c r="I6" s="193"/>
    </row>
    <row r="7" spans="1:9" x14ac:dyDescent="0.25">
      <c r="A7" s="95" t="str">
        <f>"- I-End Offset Length: Offset length at the start (I) of the line object (Input as Float) ("&amp;'User Defined Units'!$B$11&amp;")"</f>
        <v>- I-End Offset Length: Offset length at the start (I) of the line object (Input as Float) (m)</v>
      </c>
      <c r="B7" s="92"/>
      <c r="C7" s="92"/>
      <c r="D7" s="41"/>
      <c r="E7" s="93"/>
      <c r="F7" s="93"/>
      <c r="G7" s="93"/>
      <c r="H7" s="92"/>
      <c r="I7" s="193"/>
    </row>
    <row r="8" spans="1:9" x14ac:dyDescent="0.25">
      <c r="A8" s="95" t="str">
        <f>"-J-End Offset Length: Offset length at the end (J) of the line object (Input as Float) ("&amp;'User Defined Units'!$B$11&amp;")"</f>
        <v>-J-End Offset Length: Offset length at the end (J) of the line object (Input as Float) (m)</v>
      </c>
      <c r="B8" s="92"/>
      <c r="C8" s="92"/>
      <c r="D8" s="41"/>
      <c r="E8" s="93"/>
      <c r="F8" s="93"/>
      <c r="G8" s="93"/>
      <c r="H8" s="92"/>
      <c r="I8" s="193"/>
    </row>
    <row r="9" spans="1:9" x14ac:dyDescent="0.25">
      <c r="A9" s="191" t="s">
        <v>300</v>
      </c>
      <c r="B9" s="92"/>
      <c r="C9" s="92"/>
      <c r="D9" s="41"/>
      <c r="E9" s="93"/>
      <c r="F9" s="93"/>
      <c r="G9" s="93"/>
      <c r="H9" s="92"/>
      <c r="I9" s="193"/>
    </row>
    <row r="10" spans="1:9" x14ac:dyDescent="0.25">
      <c r="A10" s="191" t="s">
        <v>299</v>
      </c>
      <c r="B10" s="92"/>
      <c r="C10" s="92"/>
      <c r="D10" s="41"/>
      <c r="E10" s="93"/>
      <c r="F10" s="93"/>
      <c r="G10" s="93"/>
      <c r="H10" s="92"/>
      <c r="I10" s="193"/>
    </row>
    <row r="11" spans="1:9" x14ac:dyDescent="0.25">
      <c r="A11" s="96" t="s">
        <v>207</v>
      </c>
      <c r="B11" s="92"/>
      <c r="C11" s="92"/>
      <c r="D11" s="41"/>
      <c r="E11" s="93"/>
      <c r="F11" s="93"/>
      <c r="G11" s="93"/>
      <c r="H11" s="92"/>
      <c r="I11" s="193"/>
    </row>
    <row r="12" spans="1:9" x14ac:dyDescent="0.25">
      <c r="A12" s="97" t="s">
        <v>223</v>
      </c>
      <c r="B12" s="98"/>
      <c r="C12" s="99"/>
      <c r="D12" s="43"/>
      <c r="E12" s="99"/>
      <c r="F12" s="99"/>
      <c r="G12" s="99"/>
      <c r="H12" s="197"/>
      <c r="I12" s="194"/>
    </row>
    <row r="13" spans="1:9" x14ac:dyDescent="0.25">
      <c r="A13" s="102"/>
      <c r="B13" s="61"/>
      <c r="C13" s="61"/>
      <c r="D13" s="1"/>
      <c r="E13" s="91"/>
      <c r="F13" s="91"/>
      <c r="G13" s="91"/>
    </row>
    <row r="14" spans="1:9" s="13" customFormat="1" x14ac:dyDescent="0.25">
      <c r="A14" s="85" t="s">
        <v>290</v>
      </c>
      <c r="B14" s="17" t="s">
        <v>188</v>
      </c>
      <c r="C14" s="17" t="s">
        <v>189</v>
      </c>
      <c r="D14" s="31" t="s">
        <v>101</v>
      </c>
      <c r="E14" s="85" t="s">
        <v>210</v>
      </c>
      <c r="F14" s="103" t="s">
        <v>208</v>
      </c>
      <c r="G14" s="103" t="s">
        <v>209</v>
      </c>
      <c r="H14" s="85" t="s">
        <v>295</v>
      </c>
      <c r="I14" s="85" t="s">
        <v>298</v>
      </c>
    </row>
    <row r="15" spans="1:9" x14ac:dyDescent="0.25">
      <c r="A15" s="104">
        <v>1</v>
      </c>
      <c r="B15" s="104">
        <v>1</v>
      </c>
      <c r="C15" s="104">
        <v>26</v>
      </c>
      <c r="D15" s="45" t="s">
        <v>102</v>
      </c>
      <c r="E15" s="61" t="s">
        <v>211</v>
      </c>
      <c r="F15" s="101">
        <v>0</v>
      </c>
      <c r="G15" s="101">
        <v>0</v>
      </c>
      <c r="H15" s="61" t="s">
        <v>79</v>
      </c>
      <c r="I15" s="61" t="s">
        <v>286</v>
      </c>
    </row>
    <row r="16" spans="1:9" x14ac:dyDescent="0.25">
      <c r="A16" s="104">
        <v>2</v>
      </c>
      <c r="B16" s="104">
        <v>2</v>
      </c>
      <c r="C16" s="104">
        <v>27</v>
      </c>
      <c r="D16" s="45" t="s">
        <v>102</v>
      </c>
      <c r="E16" s="61" t="s">
        <v>211</v>
      </c>
      <c r="F16" s="101">
        <v>0</v>
      </c>
      <c r="G16" s="101">
        <v>0</v>
      </c>
      <c r="H16" s="61" t="s">
        <v>79</v>
      </c>
      <c r="I16" s="61" t="s">
        <v>286</v>
      </c>
    </row>
    <row r="17" spans="1:9" x14ac:dyDescent="0.25">
      <c r="A17" s="104">
        <v>3</v>
      </c>
      <c r="B17" s="104">
        <v>3</v>
      </c>
      <c r="C17" s="104">
        <v>28</v>
      </c>
      <c r="D17" s="45" t="s">
        <v>102</v>
      </c>
      <c r="E17" s="61" t="s">
        <v>211</v>
      </c>
      <c r="F17" s="101">
        <v>0</v>
      </c>
      <c r="G17" s="101">
        <v>0</v>
      </c>
      <c r="H17" s="61" t="s">
        <v>79</v>
      </c>
      <c r="I17" s="61" t="s">
        <v>286</v>
      </c>
    </row>
    <row r="18" spans="1:9" x14ac:dyDescent="0.25">
      <c r="A18" s="104">
        <v>4</v>
      </c>
      <c r="B18" s="104">
        <v>4</v>
      </c>
      <c r="C18" s="104">
        <v>29</v>
      </c>
      <c r="D18" s="45" t="s">
        <v>102</v>
      </c>
      <c r="E18" s="61" t="s">
        <v>211</v>
      </c>
      <c r="F18" s="101">
        <v>0</v>
      </c>
      <c r="G18" s="101">
        <v>0</v>
      </c>
      <c r="H18" s="61" t="s">
        <v>79</v>
      </c>
      <c r="I18" s="61" t="s">
        <v>286</v>
      </c>
    </row>
    <row r="19" spans="1:9" x14ac:dyDescent="0.25">
      <c r="A19" s="104">
        <v>5</v>
      </c>
      <c r="B19" s="104">
        <v>5</v>
      </c>
      <c r="C19" s="104">
        <v>30</v>
      </c>
      <c r="D19" s="45" t="s">
        <v>102</v>
      </c>
      <c r="E19" s="61" t="s">
        <v>211</v>
      </c>
      <c r="F19" s="101">
        <v>0</v>
      </c>
      <c r="G19" s="101">
        <v>0</v>
      </c>
      <c r="H19" s="61" t="s">
        <v>79</v>
      </c>
      <c r="I19" s="61" t="s">
        <v>286</v>
      </c>
    </row>
    <row r="20" spans="1:9" x14ac:dyDescent="0.25">
      <c r="A20" s="104">
        <v>6</v>
      </c>
      <c r="B20" s="104">
        <v>6</v>
      </c>
      <c r="C20" s="104">
        <v>31</v>
      </c>
      <c r="D20" s="45" t="s">
        <v>102</v>
      </c>
      <c r="E20" s="61" t="s">
        <v>211</v>
      </c>
      <c r="F20" s="101">
        <v>0</v>
      </c>
      <c r="G20" s="101">
        <v>0</v>
      </c>
      <c r="H20" s="61" t="s">
        <v>79</v>
      </c>
      <c r="I20" s="61" t="s">
        <v>286</v>
      </c>
    </row>
    <row r="21" spans="1:9" x14ac:dyDescent="0.25">
      <c r="A21" s="104">
        <v>7</v>
      </c>
      <c r="B21" s="104">
        <v>7</v>
      </c>
      <c r="C21" s="104">
        <v>32</v>
      </c>
      <c r="D21" s="45" t="s">
        <v>102</v>
      </c>
      <c r="E21" s="61" t="s">
        <v>211</v>
      </c>
      <c r="F21" s="101">
        <v>0</v>
      </c>
      <c r="G21" s="101">
        <v>0</v>
      </c>
      <c r="H21" s="61" t="s">
        <v>79</v>
      </c>
      <c r="I21" s="61" t="s">
        <v>286</v>
      </c>
    </row>
    <row r="22" spans="1:9" x14ac:dyDescent="0.25">
      <c r="A22" s="104">
        <v>8</v>
      </c>
      <c r="B22" s="104">
        <v>8</v>
      </c>
      <c r="C22" s="104">
        <v>33</v>
      </c>
      <c r="D22" s="45" t="s">
        <v>102</v>
      </c>
      <c r="E22" s="61" t="s">
        <v>211</v>
      </c>
      <c r="F22" s="101">
        <v>0</v>
      </c>
      <c r="G22" s="101">
        <v>0</v>
      </c>
      <c r="H22" s="61" t="s">
        <v>79</v>
      </c>
      <c r="I22" s="61" t="s">
        <v>286</v>
      </c>
    </row>
    <row r="23" spans="1:9" x14ac:dyDescent="0.25">
      <c r="A23" s="104">
        <v>9</v>
      </c>
      <c r="B23" s="104">
        <v>9</v>
      </c>
      <c r="C23" s="104">
        <v>34</v>
      </c>
      <c r="D23" s="45" t="s">
        <v>102</v>
      </c>
      <c r="E23" s="61" t="s">
        <v>211</v>
      </c>
      <c r="F23" s="101">
        <v>0</v>
      </c>
      <c r="G23" s="101">
        <v>0</v>
      </c>
      <c r="H23" s="61" t="s">
        <v>79</v>
      </c>
      <c r="I23" s="61" t="s">
        <v>286</v>
      </c>
    </row>
    <row r="24" spans="1:9" x14ac:dyDescent="0.25">
      <c r="A24" s="104">
        <v>10</v>
      </c>
      <c r="B24" s="104">
        <v>10</v>
      </c>
      <c r="C24" s="104">
        <v>35</v>
      </c>
      <c r="D24" s="45" t="s">
        <v>102</v>
      </c>
      <c r="E24" s="61" t="s">
        <v>211</v>
      </c>
      <c r="F24" s="101">
        <v>0</v>
      </c>
      <c r="G24" s="101">
        <v>0</v>
      </c>
      <c r="H24" s="61" t="s">
        <v>79</v>
      </c>
      <c r="I24" s="61" t="s">
        <v>286</v>
      </c>
    </row>
    <row r="25" spans="1:9" x14ac:dyDescent="0.25">
      <c r="A25" s="104">
        <v>11</v>
      </c>
      <c r="B25" s="104">
        <v>11</v>
      </c>
      <c r="C25" s="104">
        <v>36</v>
      </c>
      <c r="D25" s="45" t="s">
        <v>102</v>
      </c>
      <c r="E25" s="61" t="s">
        <v>211</v>
      </c>
      <c r="F25" s="101">
        <v>0</v>
      </c>
      <c r="G25" s="101">
        <v>0</v>
      </c>
      <c r="H25" s="61" t="s">
        <v>79</v>
      </c>
      <c r="I25" s="61" t="s">
        <v>286</v>
      </c>
    </row>
    <row r="26" spans="1:9" x14ac:dyDescent="0.25">
      <c r="A26" s="104">
        <v>12</v>
      </c>
      <c r="B26" s="104">
        <v>12</v>
      </c>
      <c r="C26" s="104">
        <v>37</v>
      </c>
      <c r="D26" s="45" t="s">
        <v>102</v>
      </c>
      <c r="E26" s="61" t="s">
        <v>211</v>
      </c>
      <c r="F26" s="101">
        <v>0</v>
      </c>
      <c r="G26" s="101">
        <v>0</v>
      </c>
      <c r="H26" s="61" t="s">
        <v>79</v>
      </c>
      <c r="I26" s="61" t="s">
        <v>286</v>
      </c>
    </row>
    <row r="27" spans="1:9" x14ac:dyDescent="0.25">
      <c r="A27" s="104">
        <v>13</v>
      </c>
      <c r="B27" s="104">
        <v>13</v>
      </c>
      <c r="C27" s="104">
        <v>38</v>
      </c>
      <c r="D27" s="45" t="s">
        <v>102</v>
      </c>
      <c r="E27" s="61" t="s">
        <v>211</v>
      </c>
      <c r="F27" s="101">
        <v>0</v>
      </c>
      <c r="G27" s="101">
        <v>0</v>
      </c>
      <c r="H27" s="61" t="s">
        <v>79</v>
      </c>
      <c r="I27" s="61" t="s">
        <v>286</v>
      </c>
    </row>
    <row r="28" spans="1:9" x14ac:dyDescent="0.25">
      <c r="A28" s="104">
        <v>14</v>
      </c>
      <c r="B28" s="104">
        <v>14</v>
      </c>
      <c r="C28" s="104">
        <v>39</v>
      </c>
      <c r="D28" s="45" t="s">
        <v>102</v>
      </c>
      <c r="E28" s="61" t="s">
        <v>211</v>
      </c>
      <c r="F28" s="101">
        <v>0</v>
      </c>
      <c r="G28" s="101">
        <v>0</v>
      </c>
      <c r="H28" s="61" t="s">
        <v>79</v>
      </c>
      <c r="I28" s="61" t="s">
        <v>286</v>
      </c>
    </row>
    <row r="29" spans="1:9" x14ac:dyDescent="0.25">
      <c r="A29" s="104">
        <v>15</v>
      </c>
      <c r="B29" s="104">
        <v>15</v>
      </c>
      <c r="C29" s="104">
        <v>40</v>
      </c>
      <c r="D29" s="45" t="s">
        <v>102</v>
      </c>
      <c r="E29" s="61" t="s">
        <v>211</v>
      </c>
      <c r="F29" s="101">
        <v>0</v>
      </c>
      <c r="G29" s="101">
        <v>0</v>
      </c>
      <c r="H29" s="61" t="s">
        <v>79</v>
      </c>
      <c r="I29" s="61" t="s">
        <v>286</v>
      </c>
    </row>
    <row r="30" spans="1:9" x14ac:dyDescent="0.25">
      <c r="A30" s="104">
        <v>16</v>
      </c>
      <c r="B30" s="104">
        <v>16</v>
      </c>
      <c r="C30" s="104">
        <v>41</v>
      </c>
      <c r="D30" s="45" t="s">
        <v>102</v>
      </c>
      <c r="E30" s="61" t="s">
        <v>211</v>
      </c>
      <c r="F30" s="101">
        <v>0</v>
      </c>
      <c r="G30" s="101">
        <v>0</v>
      </c>
      <c r="H30" s="61" t="s">
        <v>79</v>
      </c>
      <c r="I30" s="61" t="s">
        <v>286</v>
      </c>
    </row>
    <row r="31" spans="1:9" x14ac:dyDescent="0.25">
      <c r="A31" s="104">
        <v>17</v>
      </c>
      <c r="B31" s="104">
        <v>17</v>
      </c>
      <c r="C31" s="104">
        <v>42</v>
      </c>
      <c r="D31" s="45" t="s">
        <v>102</v>
      </c>
      <c r="E31" s="61" t="s">
        <v>211</v>
      </c>
      <c r="F31" s="101">
        <v>0</v>
      </c>
      <c r="G31" s="101">
        <v>0</v>
      </c>
      <c r="H31" s="61" t="s">
        <v>79</v>
      </c>
      <c r="I31" s="61" t="s">
        <v>286</v>
      </c>
    </row>
    <row r="32" spans="1:9" x14ac:dyDescent="0.25">
      <c r="A32" s="104">
        <v>18</v>
      </c>
      <c r="B32" s="104">
        <v>18</v>
      </c>
      <c r="C32" s="104">
        <v>43</v>
      </c>
      <c r="D32" s="45" t="s">
        <v>102</v>
      </c>
      <c r="E32" s="61" t="s">
        <v>211</v>
      </c>
      <c r="F32" s="101">
        <v>0</v>
      </c>
      <c r="G32" s="101">
        <v>0</v>
      </c>
      <c r="H32" s="61" t="s">
        <v>79</v>
      </c>
      <c r="I32" s="61" t="s">
        <v>286</v>
      </c>
    </row>
    <row r="33" spans="1:9" x14ac:dyDescent="0.25">
      <c r="A33" s="104">
        <v>19</v>
      </c>
      <c r="B33" s="104">
        <v>19</v>
      </c>
      <c r="C33" s="104">
        <v>44</v>
      </c>
      <c r="D33" s="45" t="s">
        <v>102</v>
      </c>
      <c r="E33" s="61" t="s">
        <v>211</v>
      </c>
      <c r="F33" s="101">
        <v>0</v>
      </c>
      <c r="G33" s="101">
        <v>0</v>
      </c>
      <c r="H33" s="61" t="s">
        <v>79</v>
      </c>
      <c r="I33" s="61" t="s">
        <v>286</v>
      </c>
    </row>
    <row r="34" spans="1:9" x14ac:dyDescent="0.25">
      <c r="A34" s="104">
        <v>20</v>
      </c>
      <c r="B34" s="104">
        <v>20</v>
      </c>
      <c r="C34" s="104">
        <v>45</v>
      </c>
      <c r="D34" s="45" t="s">
        <v>102</v>
      </c>
      <c r="E34" s="61" t="s">
        <v>211</v>
      </c>
      <c r="F34" s="101">
        <v>0</v>
      </c>
      <c r="G34" s="101">
        <v>0</v>
      </c>
      <c r="H34" s="61" t="s">
        <v>79</v>
      </c>
      <c r="I34" s="61" t="s">
        <v>286</v>
      </c>
    </row>
    <row r="35" spans="1:9" x14ac:dyDescent="0.25">
      <c r="A35" s="104">
        <v>21</v>
      </c>
      <c r="B35" s="104">
        <v>21</v>
      </c>
      <c r="C35" s="104">
        <v>46</v>
      </c>
      <c r="D35" s="45" t="s">
        <v>102</v>
      </c>
      <c r="E35" s="61" t="s">
        <v>211</v>
      </c>
      <c r="F35" s="101">
        <v>0</v>
      </c>
      <c r="G35" s="101">
        <v>0</v>
      </c>
      <c r="H35" s="61" t="s">
        <v>79</v>
      </c>
      <c r="I35" s="61" t="s">
        <v>286</v>
      </c>
    </row>
    <row r="36" spans="1:9" x14ac:dyDescent="0.25">
      <c r="A36" s="104">
        <v>22</v>
      </c>
      <c r="B36" s="104">
        <v>22</v>
      </c>
      <c r="C36" s="104">
        <v>47</v>
      </c>
      <c r="D36" s="45" t="s">
        <v>102</v>
      </c>
      <c r="E36" s="61" t="s">
        <v>211</v>
      </c>
      <c r="F36" s="101">
        <v>0</v>
      </c>
      <c r="G36" s="101">
        <v>0</v>
      </c>
      <c r="H36" s="61" t="s">
        <v>79</v>
      </c>
      <c r="I36" s="61" t="s">
        <v>286</v>
      </c>
    </row>
    <row r="37" spans="1:9" x14ac:dyDescent="0.25">
      <c r="A37" s="104">
        <v>23</v>
      </c>
      <c r="B37" s="104">
        <v>23</v>
      </c>
      <c r="C37" s="104">
        <v>48</v>
      </c>
      <c r="D37" s="45" t="s">
        <v>102</v>
      </c>
      <c r="E37" s="61" t="s">
        <v>211</v>
      </c>
      <c r="F37" s="101">
        <v>0</v>
      </c>
      <c r="G37" s="101">
        <v>0</v>
      </c>
      <c r="H37" s="61" t="s">
        <v>79</v>
      </c>
      <c r="I37" s="61" t="s">
        <v>286</v>
      </c>
    </row>
    <row r="38" spans="1:9" x14ac:dyDescent="0.25">
      <c r="A38" s="104">
        <v>24</v>
      </c>
      <c r="B38" s="104">
        <v>24</v>
      </c>
      <c r="C38" s="104">
        <v>49</v>
      </c>
      <c r="D38" s="45" t="s">
        <v>102</v>
      </c>
      <c r="E38" s="61" t="s">
        <v>211</v>
      </c>
      <c r="F38" s="101">
        <v>0</v>
      </c>
      <c r="G38" s="101">
        <v>0</v>
      </c>
      <c r="H38" s="61" t="s">
        <v>79</v>
      </c>
      <c r="I38" s="61" t="s">
        <v>286</v>
      </c>
    </row>
    <row r="39" spans="1:9" x14ac:dyDescent="0.25">
      <c r="A39" s="104">
        <v>25</v>
      </c>
      <c r="B39" s="104">
        <v>25</v>
      </c>
      <c r="C39" s="104">
        <v>50</v>
      </c>
      <c r="D39" s="45" t="s">
        <v>102</v>
      </c>
      <c r="E39" s="61" t="s">
        <v>211</v>
      </c>
      <c r="F39" s="101">
        <v>0</v>
      </c>
      <c r="G39" s="101">
        <v>0</v>
      </c>
      <c r="H39" s="61" t="s">
        <v>79</v>
      </c>
      <c r="I39" s="61" t="s">
        <v>286</v>
      </c>
    </row>
    <row r="40" spans="1:9" x14ac:dyDescent="0.25">
      <c r="A40" s="104">
        <v>26</v>
      </c>
      <c r="B40" s="104">
        <v>26</v>
      </c>
      <c r="C40" s="104">
        <v>51</v>
      </c>
      <c r="D40" s="45" t="s">
        <v>102</v>
      </c>
      <c r="E40" s="61" t="s">
        <v>211</v>
      </c>
      <c r="F40" s="101">
        <v>0</v>
      </c>
      <c r="G40" s="101">
        <v>0</v>
      </c>
      <c r="H40" s="61" t="s">
        <v>79</v>
      </c>
      <c r="I40" s="61" t="s">
        <v>286</v>
      </c>
    </row>
    <row r="41" spans="1:9" x14ac:dyDescent="0.25">
      <c r="A41" s="104">
        <v>27</v>
      </c>
      <c r="B41" s="104">
        <v>27</v>
      </c>
      <c r="C41" s="104">
        <v>52</v>
      </c>
      <c r="D41" s="45" t="s">
        <v>102</v>
      </c>
      <c r="E41" s="61" t="s">
        <v>211</v>
      </c>
      <c r="F41" s="101">
        <v>0</v>
      </c>
      <c r="G41" s="101">
        <v>0</v>
      </c>
      <c r="H41" s="61" t="s">
        <v>79</v>
      </c>
      <c r="I41" s="61" t="s">
        <v>286</v>
      </c>
    </row>
    <row r="42" spans="1:9" x14ac:dyDescent="0.25">
      <c r="A42" s="104">
        <v>28</v>
      </c>
      <c r="B42" s="104">
        <v>28</v>
      </c>
      <c r="C42" s="104">
        <v>53</v>
      </c>
      <c r="D42" s="45" t="s">
        <v>102</v>
      </c>
      <c r="E42" s="61" t="s">
        <v>211</v>
      </c>
      <c r="F42" s="101">
        <v>0</v>
      </c>
      <c r="G42" s="101">
        <v>0</v>
      </c>
      <c r="H42" s="61" t="s">
        <v>79</v>
      </c>
      <c r="I42" s="61" t="s">
        <v>286</v>
      </c>
    </row>
    <row r="43" spans="1:9" x14ac:dyDescent="0.25">
      <c r="A43" s="104">
        <v>29</v>
      </c>
      <c r="B43" s="104">
        <v>29</v>
      </c>
      <c r="C43" s="104">
        <v>54</v>
      </c>
      <c r="D43" s="45" t="s">
        <v>102</v>
      </c>
      <c r="E43" s="61" t="s">
        <v>211</v>
      </c>
      <c r="F43" s="101">
        <v>0</v>
      </c>
      <c r="G43" s="101">
        <v>0</v>
      </c>
      <c r="H43" s="61" t="s">
        <v>79</v>
      </c>
      <c r="I43" s="61" t="s">
        <v>286</v>
      </c>
    </row>
    <row r="44" spans="1:9" x14ac:dyDescent="0.25">
      <c r="A44" s="104">
        <v>30</v>
      </c>
      <c r="B44" s="104">
        <v>30</v>
      </c>
      <c r="C44" s="104">
        <v>55</v>
      </c>
      <c r="D44" s="45" t="s">
        <v>102</v>
      </c>
      <c r="E44" s="61" t="s">
        <v>211</v>
      </c>
      <c r="F44" s="101">
        <v>0</v>
      </c>
      <c r="G44" s="101">
        <v>0</v>
      </c>
      <c r="H44" s="61" t="s">
        <v>79</v>
      </c>
      <c r="I44" s="61" t="s">
        <v>286</v>
      </c>
    </row>
    <row r="45" spans="1:9" x14ac:dyDescent="0.25">
      <c r="A45" s="104">
        <v>31</v>
      </c>
      <c r="B45" s="104">
        <v>31</v>
      </c>
      <c r="C45" s="104">
        <v>56</v>
      </c>
      <c r="D45" s="45" t="s">
        <v>102</v>
      </c>
      <c r="E45" s="61" t="s">
        <v>211</v>
      </c>
      <c r="F45" s="101">
        <v>0</v>
      </c>
      <c r="G45" s="101">
        <v>0</v>
      </c>
      <c r="H45" s="61" t="s">
        <v>79</v>
      </c>
      <c r="I45" s="61" t="s">
        <v>286</v>
      </c>
    </row>
    <row r="46" spans="1:9" x14ac:dyDescent="0.25">
      <c r="A46" s="104">
        <v>32</v>
      </c>
      <c r="B46" s="104">
        <v>32</v>
      </c>
      <c r="C46" s="104">
        <v>57</v>
      </c>
      <c r="D46" s="45" t="s">
        <v>102</v>
      </c>
      <c r="E46" s="61" t="s">
        <v>211</v>
      </c>
      <c r="F46" s="101">
        <v>0</v>
      </c>
      <c r="G46" s="101">
        <v>0</v>
      </c>
      <c r="H46" s="61" t="s">
        <v>79</v>
      </c>
      <c r="I46" s="61" t="s">
        <v>286</v>
      </c>
    </row>
    <row r="47" spans="1:9" x14ac:dyDescent="0.25">
      <c r="A47" s="104">
        <v>33</v>
      </c>
      <c r="B47" s="104">
        <v>33</v>
      </c>
      <c r="C47" s="104">
        <v>58</v>
      </c>
      <c r="D47" s="45" t="s">
        <v>102</v>
      </c>
      <c r="E47" s="61" t="s">
        <v>211</v>
      </c>
      <c r="F47" s="101">
        <v>0</v>
      </c>
      <c r="G47" s="101">
        <v>0</v>
      </c>
      <c r="H47" s="61" t="s">
        <v>79</v>
      </c>
      <c r="I47" s="61" t="s">
        <v>286</v>
      </c>
    </row>
    <row r="48" spans="1:9" x14ac:dyDescent="0.25">
      <c r="A48" s="104">
        <v>34</v>
      </c>
      <c r="B48" s="104">
        <v>34</v>
      </c>
      <c r="C48" s="104">
        <v>59</v>
      </c>
      <c r="D48" s="45" t="s">
        <v>102</v>
      </c>
      <c r="E48" s="61" t="s">
        <v>211</v>
      </c>
      <c r="F48" s="101">
        <v>0</v>
      </c>
      <c r="G48" s="101">
        <v>0</v>
      </c>
      <c r="H48" s="61" t="s">
        <v>79</v>
      </c>
      <c r="I48" s="61" t="s">
        <v>286</v>
      </c>
    </row>
    <row r="49" spans="1:9" x14ac:dyDescent="0.25">
      <c r="A49" s="104">
        <v>35</v>
      </c>
      <c r="B49" s="104">
        <v>35</v>
      </c>
      <c r="C49" s="104">
        <v>60</v>
      </c>
      <c r="D49" s="45" t="s">
        <v>102</v>
      </c>
      <c r="E49" s="61" t="s">
        <v>211</v>
      </c>
      <c r="F49" s="101">
        <v>0</v>
      </c>
      <c r="G49" s="101">
        <v>0</v>
      </c>
      <c r="H49" s="61" t="s">
        <v>79</v>
      </c>
      <c r="I49" s="61" t="s">
        <v>286</v>
      </c>
    </row>
    <row r="50" spans="1:9" x14ac:dyDescent="0.25">
      <c r="A50" s="104">
        <v>36</v>
      </c>
      <c r="B50" s="104">
        <v>36</v>
      </c>
      <c r="C50" s="104">
        <v>61</v>
      </c>
      <c r="D50" s="45" t="s">
        <v>102</v>
      </c>
      <c r="E50" s="61" t="s">
        <v>211</v>
      </c>
      <c r="F50" s="101">
        <v>0</v>
      </c>
      <c r="G50" s="101">
        <v>0</v>
      </c>
      <c r="H50" s="61" t="s">
        <v>79</v>
      </c>
      <c r="I50" s="61" t="s">
        <v>286</v>
      </c>
    </row>
    <row r="51" spans="1:9" x14ac:dyDescent="0.25">
      <c r="A51" s="104">
        <v>37</v>
      </c>
      <c r="B51" s="104">
        <v>37</v>
      </c>
      <c r="C51" s="104">
        <v>62</v>
      </c>
      <c r="D51" s="45" t="s">
        <v>102</v>
      </c>
      <c r="E51" s="61" t="s">
        <v>211</v>
      </c>
      <c r="F51" s="101">
        <v>0</v>
      </c>
      <c r="G51" s="101">
        <v>0</v>
      </c>
      <c r="H51" s="61" t="s">
        <v>79</v>
      </c>
      <c r="I51" s="61" t="s">
        <v>286</v>
      </c>
    </row>
    <row r="52" spans="1:9" x14ac:dyDescent="0.25">
      <c r="A52" s="104">
        <v>38</v>
      </c>
      <c r="B52" s="104">
        <v>38</v>
      </c>
      <c r="C52" s="104">
        <v>63</v>
      </c>
      <c r="D52" s="45" t="s">
        <v>102</v>
      </c>
      <c r="E52" s="61" t="s">
        <v>211</v>
      </c>
      <c r="F52" s="101">
        <v>0</v>
      </c>
      <c r="G52" s="101">
        <v>0</v>
      </c>
      <c r="H52" s="61" t="s">
        <v>79</v>
      </c>
      <c r="I52" s="61" t="s">
        <v>286</v>
      </c>
    </row>
    <row r="53" spans="1:9" x14ac:dyDescent="0.25">
      <c r="A53" s="104">
        <v>39</v>
      </c>
      <c r="B53" s="104">
        <v>39</v>
      </c>
      <c r="C53" s="104">
        <v>64</v>
      </c>
      <c r="D53" s="45" t="s">
        <v>102</v>
      </c>
      <c r="E53" s="61" t="s">
        <v>211</v>
      </c>
      <c r="F53" s="101">
        <v>0</v>
      </c>
      <c r="G53" s="101">
        <v>0</v>
      </c>
      <c r="H53" s="61" t="s">
        <v>79</v>
      </c>
      <c r="I53" s="61" t="s">
        <v>286</v>
      </c>
    </row>
    <row r="54" spans="1:9" x14ac:dyDescent="0.25">
      <c r="A54" s="104">
        <v>40</v>
      </c>
      <c r="B54" s="104">
        <v>40</v>
      </c>
      <c r="C54" s="104">
        <v>65</v>
      </c>
      <c r="D54" s="45" t="s">
        <v>102</v>
      </c>
      <c r="E54" s="61" t="s">
        <v>211</v>
      </c>
      <c r="F54" s="101">
        <v>0</v>
      </c>
      <c r="G54" s="101">
        <v>0</v>
      </c>
      <c r="H54" s="61" t="s">
        <v>79</v>
      </c>
      <c r="I54" s="61" t="s">
        <v>286</v>
      </c>
    </row>
    <row r="55" spans="1:9" x14ac:dyDescent="0.25">
      <c r="A55" s="104">
        <v>41</v>
      </c>
      <c r="B55" s="104">
        <v>41</v>
      </c>
      <c r="C55" s="104">
        <v>66</v>
      </c>
      <c r="D55" s="45" t="s">
        <v>102</v>
      </c>
      <c r="E55" s="61" t="s">
        <v>211</v>
      </c>
      <c r="F55" s="101">
        <v>0</v>
      </c>
      <c r="G55" s="101">
        <v>0</v>
      </c>
      <c r="H55" s="61" t="s">
        <v>79</v>
      </c>
      <c r="I55" s="61" t="s">
        <v>286</v>
      </c>
    </row>
    <row r="56" spans="1:9" x14ac:dyDescent="0.25">
      <c r="A56" s="104">
        <v>42</v>
      </c>
      <c r="B56" s="104">
        <v>42</v>
      </c>
      <c r="C56" s="104">
        <v>67</v>
      </c>
      <c r="D56" s="45" t="s">
        <v>102</v>
      </c>
      <c r="E56" s="61" t="s">
        <v>211</v>
      </c>
      <c r="F56" s="101">
        <v>0</v>
      </c>
      <c r="G56" s="101">
        <v>0</v>
      </c>
      <c r="H56" s="61" t="s">
        <v>79</v>
      </c>
      <c r="I56" s="61" t="s">
        <v>286</v>
      </c>
    </row>
    <row r="57" spans="1:9" x14ac:dyDescent="0.25">
      <c r="A57" s="104">
        <v>43</v>
      </c>
      <c r="B57" s="104">
        <v>43</v>
      </c>
      <c r="C57" s="104">
        <v>68</v>
      </c>
      <c r="D57" s="45" t="s">
        <v>102</v>
      </c>
      <c r="E57" s="61" t="s">
        <v>211</v>
      </c>
      <c r="F57" s="101">
        <v>0</v>
      </c>
      <c r="G57" s="101">
        <v>0</v>
      </c>
      <c r="H57" s="61" t="s">
        <v>79</v>
      </c>
      <c r="I57" s="61" t="s">
        <v>286</v>
      </c>
    </row>
    <row r="58" spans="1:9" x14ac:dyDescent="0.25">
      <c r="A58" s="104">
        <v>44</v>
      </c>
      <c r="B58" s="104">
        <v>44</v>
      </c>
      <c r="C58" s="104">
        <v>69</v>
      </c>
      <c r="D58" s="45" t="s">
        <v>102</v>
      </c>
      <c r="E58" s="61" t="s">
        <v>211</v>
      </c>
      <c r="F58" s="101">
        <v>0</v>
      </c>
      <c r="G58" s="101">
        <v>0</v>
      </c>
      <c r="H58" s="61" t="s">
        <v>79</v>
      </c>
      <c r="I58" s="61" t="s">
        <v>286</v>
      </c>
    </row>
    <row r="59" spans="1:9" x14ac:dyDescent="0.25">
      <c r="A59" s="104">
        <v>45</v>
      </c>
      <c r="B59" s="104">
        <v>45</v>
      </c>
      <c r="C59" s="104">
        <v>70</v>
      </c>
      <c r="D59" s="45" t="s">
        <v>102</v>
      </c>
      <c r="E59" s="61" t="s">
        <v>211</v>
      </c>
      <c r="F59" s="101">
        <v>0</v>
      </c>
      <c r="G59" s="101">
        <v>0</v>
      </c>
      <c r="H59" s="61" t="s">
        <v>79</v>
      </c>
      <c r="I59" s="61" t="s">
        <v>286</v>
      </c>
    </row>
    <row r="60" spans="1:9" x14ac:dyDescent="0.25">
      <c r="A60" s="104">
        <v>46</v>
      </c>
      <c r="B60" s="104">
        <v>46</v>
      </c>
      <c r="C60" s="104">
        <v>71</v>
      </c>
      <c r="D60" s="45" t="s">
        <v>102</v>
      </c>
      <c r="E60" s="61" t="s">
        <v>211</v>
      </c>
      <c r="F60" s="101">
        <v>0</v>
      </c>
      <c r="G60" s="101">
        <v>0</v>
      </c>
      <c r="H60" s="61" t="s">
        <v>79</v>
      </c>
      <c r="I60" s="61" t="s">
        <v>286</v>
      </c>
    </row>
    <row r="61" spans="1:9" x14ac:dyDescent="0.25">
      <c r="A61" s="104">
        <v>47</v>
      </c>
      <c r="B61" s="104">
        <v>47</v>
      </c>
      <c r="C61" s="104">
        <v>72</v>
      </c>
      <c r="D61" s="45" t="s">
        <v>102</v>
      </c>
      <c r="E61" s="61" t="s">
        <v>211</v>
      </c>
      <c r="F61" s="101">
        <v>0</v>
      </c>
      <c r="G61" s="101">
        <v>0</v>
      </c>
      <c r="H61" s="61" t="s">
        <v>79</v>
      </c>
      <c r="I61" s="61" t="s">
        <v>286</v>
      </c>
    </row>
    <row r="62" spans="1:9" x14ac:dyDescent="0.25">
      <c r="A62" s="104">
        <v>48</v>
      </c>
      <c r="B62" s="104">
        <v>48</v>
      </c>
      <c r="C62" s="104">
        <v>73</v>
      </c>
      <c r="D62" s="45" t="s">
        <v>102</v>
      </c>
      <c r="E62" s="61" t="s">
        <v>211</v>
      </c>
      <c r="F62" s="101">
        <v>0</v>
      </c>
      <c r="G62" s="101">
        <v>0</v>
      </c>
      <c r="H62" s="61" t="s">
        <v>79</v>
      </c>
      <c r="I62" s="61" t="s">
        <v>286</v>
      </c>
    </row>
    <row r="63" spans="1:9" x14ac:dyDescent="0.25">
      <c r="A63" s="104">
        <v>49</v>
      </c>
      <c r="B63" s="104">
        <v>49</v>
      </c>
      <c r="C63" s="104">
        <v>74</v>
      </c>
      <c r="D63" s="45" t="s">
        <v>102</v>
      </c>
      <c r="E63" s="61" t="s">
        <v>211</v>
      </c>
      <c r="F63" s="101">
        <v>0</v>
      </c>
      <c r="G63" s="101">
        <v>0</v>
      </c>
      <c r="H63" s="61" t="s">
        <v>79</v>
      </c>
      <c r="I63" s="61" t="s">
        <v>286</v>
      </c>
    </row>
    <row r="64" spans="1:9" x14ac:dyDescent="0.25">
      <c r="A64" s="104">
        <v>50</v>
      </c>
      <c r="B64" s="104">
        <v>50</v>
      </c>
      <c r="C64" s="104">
        <v>75</v>
      </c>
      <c r="D64" s="45" t="s">
        <v>102</v>
      </c>
      <c r="E64" s="61" t="s">
        <v>211</v>
      </c>
      <c r="F64" s="101">
        <v>0</v>
      </c>
      <c r="G64" s="101">
        <v>0</v>
      </c>
      <c r="H64" s="61" t="s">
        <v>79</v>
      </c>
      <c r="I64" s="61" t="s">
        <v>286</v>
      </c>
    </row>
    <row r="65" spans="1:9" x14ac:dyDescent="0.25">
      <c r="A65" s="104">
        <v>51</v>
      </c>
      <c r="B65" s="104">
        <v>51</v>
      </c>
      <c r="C65" s="104">
        <v>76</v>
      </c>
      <c r="D65" s="45" t="s">
        <v>102</v>
      </c>
      <c r="E65" s="61" t="s">
        <v>211</v>
      </c>
      <c r="F65" s="101">
        <v>0</v>
      </c>
      <c r="G65" s="101">
        <v>0</v>
      </c>
      <c r="H65" s="61" t="s">
        <v>79</v>
      </c>
      <c r="I65" s="61" t="s">
        <v>286</v>
      </c>
    </row>
    <row r="66" spans="1:9" x14ac:dyDescent="0.25">
      <c r="A66" s="104">
        <v>52</v>
      </c>
      <c r="B66" s="104">
        <v>52</v>
      </c>
      <c r="C66" s="104">
        <v>77</v>
      </c>
      <c r="D66" s="45" t="s">
        <v>102</v>
      </c>
      <c r="E66" s="61" t="s">
        <v>211</v>
      </c>
      <c r="F66" s="101">
        <v>0</v>
      </c>
      <c r="G66" s="101">
        <v>0</v>
      </c>
      <c r="H66" s="61" t="s">
        <v>79</v>
      </c>
      <c r="I66" s="61" t="s">
        <v>286</v>
      </c>
    </row>
    <row r="67" spans="1:9" x14ac:dyDescent="0.25">
      <c r="A67" s="104">
        <v>53</v>
      </c>
      <c r="B67" s="104">
        <v>53</v>
      </c>
      <c r="C67" s="104">
        <v>78</v>
      </c>
      <c r="D67" s="45" t="s">
        <v>102</v>
      </c>
      <c r="E67" s="61" t="s">
        <v>211</v>
      </c>
      <c r="F67" s="101">
        <v>0</v>
      </c>
      <c r="G67" s="101">
        <v>0</v>
      </c>
      <c r="H67" s="61" t="s">
        <v>79</v>
      </c>
      <c r="I67" s="61" t="s">
        <v>286</v>
      </c>
    </row>
    <row r="68" spans="1:9" x14ac:dyDescent="0.25">
      <c r="A68" s="104">
        <v>54</v>
      </c>
      <c r="B68" s="104">
        <v>54</v>
      </c>
      <c r="C68" s="104">
        <v>79</v>
      </c>
      <c r="D68" s="45" t="s">
        <v>102</v>
      </c>
      <c r="E68" s="61" t="s">
        <v>211</v>
      </c>
      <c r="F68" s="101">
        <v>0</v>
      </c>
      <c r="G68" s="101">
        <v>0</v>
      </c>
      <c r="H68" s="61" t="s">
        <v>79</v>
      </c>
      <c r="I68" s="61" t="s">
        <v>286</v>
      </c>
    </row>
    <row r="69" spans="1:9" x14ac:dyDescent="0.25">
      <c r="A69" s="104">
        <v>55</v>
      </c>
      <c r="B69" s="104">
        <v>55</v>
      </c>
      <c r="C69" s="104">
        <v>80</v>
      </c>
      <c r="D69" s="45" t="s">
        <v>102</v>
      </c>
      <c r="E69" s="61" t="s">
        <v>211</v>
      </c>
      <c r="F69" s="101">
        <v>0</v>
      </c>
      <c r="G69" s="101">
        <v>0</v>
      </c>
      <c r="H69" s="61" t="s">
        <v>79</v>
      </c>
      <c r="I69" s="61" t="s">
        <v>286</v>
      </c>
    </row>
    <row r="70" spans="1:9" x14ac:dyDescent="0.25">
      <c r="A70" s="104">
        <v>56</v>
      </c>
      <c r="B70" s="104">
        <v>56</v>
      </c>
      <c r="C70" s="104">
        <v>81</v>
      </c>
      <c r="D70" s="45" t="s">
        <v>102</v>
      </c>
      <c r="E70" s="61" t="s">
        <v>211</v>
      </c>
      <c r="F70" s="101">
        <v>0</v>
      </c>
      <c r="G70" s="101">
        <v>0</v>
      </c>
      <c r="H70" s="61" t="s">
        <v>79</v>
      </c>
      <c r="I70" s="61" t="s">
        <v>286</v>
      </c>
    </row>
    <row r="71" spans="1:9" x14ac:dyDescent="0.25">
      <c r="A71" s="104">
        <v>57</v>
      </c>
      <c r="B71" s="104">
        <v>57</v>
      </c>
      <c r="C71" s="104">
        <v>82</v>
      </c>
      <c r="D71" s="45" t="s">
        <v>102</v>
      </c>
      <c r="E71" s="61" t="s">
        <v>211</v>
      </c>
      <c r="F71" s="101">
        <v>0</v>
      </c>
      <c r="G71" s="101">
        <v>0</v>
      </c>
      <c r="H71" s="61" t="s">
        <v>79</v>
      </c>
      <c r="I71" s="61" t="s">
        <v>286</v>
      </c>
    </row>
    <row r="72" spans="1:9" x14ac:dyDescent="0.25">
      <c r="A72" s="104">
        <v>58</v>
      </c>
      <c r="B72" s="104">
        <v>58</v>
      </c>
      <c r="C72" s="104">
        <v>83</v>
      </c>
      <c r="D72" s="45" t="s">
        <v>102</v>
      </c>
      <c r="E72" s="61" t="s">
        <v>211</v>
      </c>
      <c r="F72" s="101">
        <v>0</v>
      </c>
      <c r="G72" s="101">
        <v>0</v>
      </c>
      <c r="H72" s="61" t="s">
        <v>79</v>
      </c>
      <c r="I72" s="61" t="s">
        <v>286</v>
      </c>
    </row>
    <row r="73" spans="1:9" x14ac:dyDescent="0.25">
      <c r="A73" s="104">
        <v>59</v>
      </c>
      <c r="B73" s="104">
        <v>59</v>
      </c>
      <c r="C73" s="104">
        <v>84</v>
      </c>
      <c r="D73" s="45" t="s">
        <v>102</v>
      </c>
      <c r="E73" s="61" t="s">
        <v>211</v>
      </c>
      <c r="F73" s="101">
        <v>0</v>
      </c>
      <c r="G73" s="101">
        <v>0</v>
      </c>
      <c r="H73" s="61" t="s">
        <v>79</v>
      </c>
      <c r="I73" s="61" t="s">
        <v>286</v>
      </c>
    </row>
    <row r="74" spans="1:9" x14ac:dyDescent="0.25">
      <c r="A74" s="104">
        <v>60</v>
      </c>
      <c r="B74" s="104">
        <v>60</v>
      </c>
      <c r="C74" s="104">
        <v>85</v>
      </c>
      <c r="D74" s="45" t="s">
        <v>102</v>
      </c>
      <c r="E74" s="61" t="s">
        <v>211</v>
      </c>
      <c r="F74" s="101">
        <v>0</v>
      </c>
      <c r="G74" s="101">
        <v>0</v>
      </c>
      <c r="H74" s="61" t="s">
        <v>79</v>
      </c>
      <c r="I74" s="61" t="s">
        <v>286</v>
      </c>
    </row>
    <row r="75" spans="1:9" x14ac:dyDescent="0.25">
      <c r="A75" s="104">
        <v>61</v>
      </c>
      <c r="B75" s="104">
        <v>61</v>
      </c>
      <c r="C75" s="104">
        <v>86</v>
      </c>
      <c r="D75" s="45" t="s">
        <v>102</v>
      </c>
      <c r="E75" s="61" t="s">
        <v>211</v>
      </c>
      <c r="F75" s="101">
        <v>0</v>
      </c>
      <c r="G75" s="101">
        <v>0</v>
      </c>
      <c r="H75" s="61" t="s">
        <v>79</v>
      </c>
      <c r="I75" s="61" t="s">
        <v>286</v>
      </c>
    </row>
    <row r="76" spans="1:9" x14ac:dyDescent="0.25">
      <c r="A76" s="104">
        <v>62</v>
      </c>
      <c r="B76" s="104">
        <v>62</v>
      </c>
      <c r="C76" s="104">
        <v>87</v>
      </c>
      <c r="D76" s="45" t="s">
        <v>102</v>
      </c>
      <c r="E76" s="61" t="s">
        <v>211</v>
      </c>
      <c r="F76" s="101">
        <v>0</v>
      </c>
      <c r="G76" s="101">
        <v>0</v>
      </c>
      <c r="H76" s="61" t="s">
        <v>79</v>
      </c>
      <c r="I76" s="61" t="s">
        <v>286</v>
      </c>
    </row>
    <row r="77" spans="1:9" x14ac:dyDescent="0.25">
      <c r="A77" s="104">
        <v>63</v>
      </c>
      <c r="B77" s="104">
        <v>63</v>
      </c>
      <c r="C77" s="104">
        <v>88</v>
      </c>
      <c r="D77" s="45" t="s">
        <v>102</v>
      </c>
      <c r="E77" s="61" t="s">
        <v>211</v>
      </c>
      <c r="F77" s="101">
        <v>0</v>
      </c>
      <c r="G77" s="101">
        <v>0</v>
      </c>
      <c r="H77" s="61" t="s">
        <v>79</v>
      </c>
      <c r="I77" s="61" t="s">
        <v>286</v>
      </c>
    </row>
    <row r="78" spans="1:9" x14ac:dyDescent="0.25">
      <c r="A78" s="104">
        <v>64</v>
      </c>
      <c r="B78" s="104">
        <v>64</v>
      </c>
      <c r="C78" s="104">
        <v>89</v>
      </c>
      <c r="D78" s="45" t="s">
        <v>102</v>
      </c>
      <c r="E78" s="61" t="s">
        <v>211</v>
      </c>
      <c r="F78" s="101">
        <v>0</v>
      </c>
      <c r="G78" s="101">
        <v>0</v>
      </c>
      <c r="H78" s="61" t="s">
        <v>79</v>
      </c>
      <c r="I78" s="61" t="s">
        <v>286</v>
      </c>
    </row>
    <row r="79" spans="1:9" x14ac:dyDescent="0.25">
      <c r="A79" s="104">
        <v>65</v>
      </c>
      <c r="B79" s="104">
        <v>65</v>
      </c>
      <c r="C79" s="104">
        <v>90</v>
      </c>
      <c r="D79" s="45" t="s">
        <v>102</v>
      </c>
      <c r="E79" s="61" t="s">
        <v>211</v>
      </c>
      <c r="F79" s="101">
        <v>0</v>
      </c>
      <c r="G79" s="101">
        <v>0</v>
      </c>
      <c r="H79" s="61" t="s">
        <v>79</v>
      </c>
      <c r="I79" s="61" t="s">
        <v>286</v>
      </c>
    </row>
    <row r="80" spans="1:9" x14ac:dyDescent="0.25">
      <c r="A80" s="104">
        <v>66</v>
      </c>
      <c r="B80" s="104">
        <v>66</v>
      </c>
      <c r="C80" s="104">
        <v>91</v>
      </c>
      <c r="D80" s="45" t="s">
        <v>102</v>
      </c>
      <c r="E80" s="61" t="s">
        <v>211</v>
      </c>
      <c r="F80" s="101">
        <v>0</v>
      </c>
      <c r="G80" s="101">
        <v>0</v>
      </c>
      <c r="H80" s="61" t="s">
        <v>79</v>
      </c>
      <c r="I80" s="61" t="s">
        <v>286</v>
      </c>
    </row>
    <row r="81" spans="1:9" x14ac:dyDescent="0.25">
      <c r="A81" s="104">
        <v>67</v>
      </c>
      <c r="B81" s="104">
        <v>67</v>
      </c>
      <c r="C81" s="104">
        <v>92</v>
      </c>
      <c r="D81" s="45" t="s">
        <v>102</v>
      </c>
      <c r="E81" s="61" t="s">
        <v>211</v>
      </c>
      <c r="F81" s="101">
        <v>0</v>
      </c>
      <c r="G81" s="101">
        <v>0</v>
      </c>
      <c r="H81" s="61" t="s">
        <v>79</v>
      </c>
      <c r="I81" s="61" t="s">
        <v>286</v>
      </c>
    </row>
    <row r="82" spans="1:9" x14ac:dyDescent="0.25">
      <c r="A82" s="104">
        <v>68</v>
      </c>
      <c r="B82" s="104">
        <v>68</v>
      </c>
      <c r="C82" s="104">
        <v>93</v>
      </c>
      <c r="D82" s="45" t="s">
        <v>102</v>
      </c>
      <c r="E82" s="61" t="s">
        <v>211</v>
      </c>
      <c r="F82" s="101">
        <v>0</v>
      </c>
      <c r="G82" s="101">
        <v>0</v>
      </c>
      <c r="H82" s="61" t="s">
        <v>79</v>
      </c>
      <c r="I82" s="61" t="s">
        <v>286</v>
      </c>
    </row>
    <row r="83" spans="1:9" x14ac:dyDescent="0.25">
      <c r="A83" s="104">
        <v>69</v>
      </c>
      <c r="B83" s="104">
        <v>69</v>
      </c>
      <c r="C83" s="104">
        <v>94</v>
      </c>
      <c r="D83" s="45" t="s">
        <v>102</v>
      </c>
      <c r="E83" s="61" t="s">
        <v>211</v>
      </c>
      <c r="F83" s="101">
        <v>0</v>
      </c>
      <c r="G83" s="101">
        <v>0</v>
      </c>
      <c r="H83" s="61" t="s">
        <v>79</v>
      </c>
      <c r="I83" s="61" t="s">
        <v>286</v>
      </c>
    </row>
    <row r="84" spans="1:9" x14ac:dyDescent="0.25">
      <c r="A84" s="104">
        <v>70</v>
      </c>
      <c r="B84" s="104">
        <v>70</v>
      </c>
      <c r="C84" s="104">
        <v>95</v>
      </c>
      <c r="D84" s="45" t="s">
        <v>102</v>
      </c>
      <c r="E84" s="61" t="s">
        <v>211</v>
      </c>
      <c r="F84" s="101">
        <v>0</v>
      </c>
      <c r="G84" s="101">
        <v>0</v>
      </c>
      <c r="H84" s="61" t="s">
        <v>79</v>
      </c>
      <c r="I84" s="61" t="s">
        <v>286</v>
      </c>
    </row>
    <row r="85" spans="1:9" x14ac:dyDescent="0.25">
      <c r="A85" s="104">
        <v>71</v>
      </c>
      <c r="B85" s="104">
        <v>71</v>
      </c>
      <c r="C85" s="104">
        <v>96</v>
      </c>
      <c r="D85" s="45" t="s">
        <v>102</v>
      </c>
      <c r="E85" s="61" t="s">
        <v>211</v>
      </c>
      <c r="F85" s="101">
        <v>0</v>
      </c>
      <c r="G85" s="101">
        <v>0</v>
      </c>
      <c r="H85" s="61" t="s">
        <v>79</v>
      </c>
      <c r="I85" s="61" t="s">
        <v>286</v>
      </c>
    </row>
    <row r="86" spans="1:9" x14ac:dyDescent="0.25">
      <c r="A86" s="104">
        <v>72</v>
      </c>
      <c r="B86" s="104">
        <v>72</v>
      </c>
      <c r="C86" s="104">
        <v>97</v>
      </c>
      <c r="D86" s="45" t="s">
        <v>102</v>
      </c>
      <c r="E86" s="61" t="s">
        <v>211</v>
      </c>
      <c r="F86" s="101">
        <v>0</v>
      </c>
      <c r="G86" s="101">
        <v>0</v>
      </c>
      <c r="H86" s="61" t="s">
        <v>79</v>
      </c>
      <c r="I86" s="61" t="s">
        <v>286</v>
      </c>
    </row>
    <row r="87" spans="1:9" x14ac:dyDescent="0.25">
      <c r="A87" s="104">
        <v>73</v>
      </c>
      <c r="B87" s="104">
        <v>73</v>
      </c>
      <c r="C87" s="104">
        <v>98</v>
      </c>
      <c r="D87" s="45" t="s">
        <v>102</v>
      </c>
      <c r="E87" s="61" t="s">
        <v>211</v>
      </c>
      <c r="F87" s="101">
        <v>0</v>
      </c>
      <c r="G87" s="101">
        <v>0</v>
      </c>
      <c r="H87" s="61" t="s">
        <v>79</v>
      </c>
      <c r="I87" s="61" t="s">
        <v>286</v>
      </c>
    </row>
    <row r="88" spans="1:9" x14ac:dyDescent="0.25">
      <c r="A88" s="104">
        <v>74</v>
      </c>
      <c r="B88" s="104">
        <v>74</v>
      </c>
      <c r="C88" s="104">
        <v>99</v>
      </c>
      <c r="D88" s="45" t="s">
        <v>102</v>
      </c>
      <c r="E88" s="61" t="s">
        <v>211</v>
      </c>
      <c r="F88" s="101">
        <v>0</v>
      </c>
      <c r="G88" s="101">
        <v>0</v>
      </c>
      <c r="H88" s="61" t="s">
        <v>79</v>
      </c>
      <c r="I88" s="61" t="s">
        <v>286</v>
      </c>
    </row>
    <row r="89" spans="1:9" x14ac:dyDescent="0.25">
      <c r="A89" s="104">
        <v>75</v>
      </c>
      <c r="B89" s="104">
        <v>75</v>
      </c>
      <c r="C89" s="104">
        <v>100</v>
      </c>
      <c r="D89" s="45" t="s">
        <v>102</v>
      </c>
      <c r="E89" s="61" t="s">
        <v>211</v>
      </c>
      <c r="F89" s="101">
        <v>0</v>
      </c>
      <c r="G89" s="101">
        <v>0</v>
      </c>
      <c r="H89" s="61" t="s">
        <v>79</v>
      </c>
      <c r="I89" s="61" t="s">
        <v>286</v>
      </c>
    </row>
    <row r="90" spans="1:9" x14ac:dyDescent="0.25">
      <c r="A90" s="104">
        <v>76</v>
      </c>
      <c r="B90" s="104">
        <v>76</v>
      </c>
      <c r="C90" s="104">
        <v>101</v>
      </c>
      <c r="D90" s="45" t="s">
        <v>102</v>
      </c>
      <c r="E90" s="61" t="s">
        <v>211</v>
      </c>
      <c r="F90" s="101">
        <v>0</v>
      </c>
      <c r="G90" s="101">
        <v>0</v>
      </c>
      <c r="H90" s="61" t="s">
        <v>79</v>
      </c>
      <c r="I90" s="61" t="s">
        <v>286</v>
      </c>
    </row>
    <row r="91" spans="1:9" x14ac:dyDescent="0.25">
      <c r="A91" s="104">
        <v>77</v>
      </c>
      <c r="B91" s="104">
        <v>77</v>
      </c>
      <c r="C91" s="104">
        <v>102</v>
      </c>
      <c r="D91" s="45" t="s">
        <v>102</v>
      </c>
      <c r="E91" s="61" t="s">
        <v>211</v>
      </c>
      <c r="F91" s="101">
        <v>0</v>
      </c>
      <c r="G91" s="101">
        <v>0</v>
      </c>
      <c r="H91" s="61" t="s">
        <v>79</v>
      </c>
      <c r="I91" s="61" t="s">
        <v>286</v>
      </c>
    </row>
    <row r="92" spans="1:9" x14ac:dyDescent="0.25">
      <c r="A92" s="104">
        <v>78</v>
      </c>
      <c r="B92" s="104">
        <v>78</v>
      </c>
      <c r="C92" s="104">
        <v>103</v>
      </c>
      <c r="D92" s="45" t="s">
        <v>102</v>
      </c>
      <c r="E92" s="61" t="s">
        <v>211</v>
      </c>
      <c r="F92" s="101">
        <v>0</v>
      </c>
      <c r="G92" s="101">
        <v>0</v>
      </c>
      <c r="H92" s="61" t="s">
        <v>79</v>
      </c>
      <c r="I92" s="61" t="s">
        <v>286</v>
      </c>
    </row>
    <row r="93" spans="1:9" x14ac:dyDescent="0.25">
      <c r="A93" s="104">
        <v>79</v>
      </c>
      <c r="B93" s="104">
        <v>79</v>
      </c>
      <c r="C93" s="104">
        <v>104</v>
      </c>
      <c r="D93" s="45" t="s">
        <v>102</v>
      </c>
      <c r="E93" s="61" t="s">
        <v>211</v>
      </c>
      <c r="F93" s="101">
        <v>0</v>
      </c>
      <c r="G93" s="101">
        <v>0</v>
      </c>
      <c r="H93" s="61" t="s">
        <v>79</v>
      </c>
      <c r="I93" s="61" t="s">
        <v>286</v>
      </c>
    </row>
    <row r="94" spans="1:9" x14ac:dyDescent="0.25">
      <c r="A94" s="104">
        <v>80</v>
      </c>
      <c r="B94" s="104">
        <v>80</v>
      </c>
      <c r="C94" s="104">
        <v>105</v>
      </c>
      <c r="D94" s="45" t="s">
        <v>102</v>
      </c>
      <c r="E94" s="61" t="s">
        <v>211</v>
      </c>
      <c r="F94" s="101">
        <v>0</v>
      </c>
      <c r="G94" s="101">
        <v>0</v>
      </c>
      <c r="H94" s="61" t="s">
        <v>79</v>
      </c>
      <c r="I94" s="61" t="s">
        <v>286</v>
      </c>
    </row>
    <row r="95" spans="1:9" x14ac:dyDescent="0.25">
      <c r="A95" s="104">
        <v>81</v>
      </c>
      <c r="B95" s="104">
        <v>81</v>
      </c>
      <c r="C95" s="104">
        <v>106</v>
      </c>
      <c r="D95" s="45" t="s">
        <v>102</v>
      </c>
      <c r="E95" s="61" t="s">
        <v>211</v>
      </c>
      <c r="F95" s="101">
        <v>0</v>
      </c>
      <c r="G95" s="101">
        <v>0</v>
      </c>
      <c r="H95" s="61" t="s">
        <v>79</v>
      </c>
      <c r="I95" s="61" t="s">
        <v>286</v>
      </c>
    </row>
    <row r="96" spans="1:9" x14ac:dyDescent="0.25">
      <c r="A96" s="104">
        <v>82</v>
      </c>
      <c r="B96" s="104">
        <v>82</v>
      </c>
      <c r="C96" s="104">
        <v>107</v>
      </c>
      <c r="D96" s="45" t="s">
        <v>102</v>
      </c>
      <c r="E96" s="61" t="s">
        <v>211</v>
      </c>
      <c r="F96" s="101">
        <v>0</v>
      </c>
      <c r="G96" s="101">
        <v>0</v>
      </c>
      <c r="H96" s="61" t="s">
        <v>79</v>
      </c>
      <c r="I96" s="61" t="s">
        <v>286</v>
      </c>
    </row>
    <row r="97" spans="1:9" x14ac:dyDescent="0.25">
      <c r="A97" s="104">
        <v>83</v>
      </c>
      <c r="B97" s="104">
        <v>83</v>
      </c>
      <c r="C97" s="104">
        <v>108</v>
      </c>
      <c r="D97" s="45" t="s">
        <v>102</v>
      </c>
      <c r="E97" s="61" t="s">
        <v>211</v>
      </c>
      <c r="F97" s="101">
        <v>0</v>
      </c>
      <c r="G97" s="101">
        <v>0</v>
      </c>
      <c r="H97" s="61" t="s">
        <v>79</v>
      </c>
      <c r="I97" s="61" t="s">
        <v>286</v>
      </c>
    </row>
    <row r="98" spans="1:9" x14ac:dyDescent="0.25">
      <c r="A98" s="104">
        <v>84</v>
      </c>
      <c r="B98" s="104">
        <v>84</v>
      </c>
      <c r="C98" s="104">
        <v>109</v>
      </c>
      <c r="D98" s="45" t="s">
        <v>102</v>
      </c>
      <c r="E98" s="61" t="s">
        <v>211</v>
      </c>
      <c r="F98" s="101">
        <v>0</v>
      </c>
      <c r="G98" s="101">
        <v>0</v>
      </c>
      <c r="H98" s="61" t="s">
        <v>79</v>
      </c>
      <c r="I98" s="61" t="s">
        <v>286</v>
      </c>
    </row>
    <row r="99" spans="1:9" x14ac:dyDescent="0.25">
      <c r="A99" s="104">
        <v>85</v>
      </c>
      <c r="B99" s="104">
        <v>85</v>
      </c>
      <c r="C99" s="104">
        <v>110</v>
      </c>
      <c r="D99" s="45" t="s">
        <v>102</v>
      </c>
      <c r="E99" s="61" t="s">
        <v>211</v>
      </c>
      <c r="F99" s="101">
        <v>0</v>
      </c>
      <c r="G99" s="101">
        <v>0</v>
      </c>
      <c r="H99" s="61" t="s">
        <v>79</v>
      </c>
      <c r="I99" s="61" t="s">
        <v>286</v>
      </c>
    </row>
    <row r="100" spans="1:9" x14ac:dyDescent="0.25">
      <c r="A100" s="104">
        <v>86</v>
      </c>
      <c r="B100" s="104">
        <v>86</v>
      </c>
      <c r="C100" s="104">
        <v>111</v>
      </c>
      <c r="D100" s="45" t="s">
        <v>102</v>
      </c>
      <c r="E100" s="61" t="s">
        <v>211</v>
      </c>
      <c r="F100" s="101">
        <v>0</v>
      </c>
      <c r="G100" s="101">
        <v>0</v>
      </c>
      <c r="H100" s="61" t="s">
        <v>79</v>
      </c>
      <c r="I100" s="61" t="s">
        <v>286</v>
      </c>
    </row>
    <row r="101" spans="1:9" x14ac:dyDescent="0.25">
      <c r="A101" s="104">
        <v>87</v>
      </c>
      <c r="B101" s="104">
        <v>87</v>
      </c>
      <c r="C101" s="104">
        <v>112</v>
      </c>
      <c r="D101" s="45" t="s">
        <v>102</v>
      </c>
      <c r="E101" s="61" t="s">
        <v>211</v>
      </c>
      <c r="F101" s="101">
        <v>0</v>
      </c>
      <c r="G101" s="101">
        <v>0</v>
      </c>
      <c r="H101" s="61" t="s">
        <v>79</v>
      </c>
      <c r="I101" s="61" t="s">
        <v>286</v>
      </c>
    </row>
    <row r="102" spans="1:9" x14ac:dyDescent="0.25">
      <c r="A102" s="104">
        <v>88</v>
      </c>
      <c r="B102" s="104">
        <v>88</v>
      </c>
      <c r="C102" s="104">
        <v>113</v>
      </c>
      <c r="D102" s="45" t="s">
        <v>102</v>
      </c>
      <c r="E102" s="61" t="s">
        <v>211</v>
      </c>
      <c r="F102" s="101">
        <v>0</v>
      </c>
      <c r="G102" s="101">
        <v>0</v>
      </c>
      <c r="H102" s="61" t="s">
        <v>79</v>
      </c>
      <c r="I102" s="61" t="s">
        <v>286</v>
      </c>
    </row>
    <row r="103" spans="1:9" x14ac:dyDescent="0.25">
      <c r="A103" s="104">
        <v>89</v>
      </c>
      <c r="B103" s="104">
        <v>89</v>
      </c>
      <c r="C103" s="104">
        <v>114</v>
      </c>
      <c r="D103" s="45" t="s">
        <v>102</v>
      </c>
      <c r="E103" s="61" t="s">
        <v>211</v>
      </c>
      <c r="F103" s="101">
        <v>0</v>
      </c>
      <c r="G103" s="101">
        <v>0</v>
      </c>
      <c r="H103" s="61" t="s">
        <v>79</v>
      </c>
      <c r="I103" s="61" t="s">
        <v>286</v>
      </c>
    </row>
    <row r="104" spans="1:9" x14ac:dyDescent="0.25">
      <c r="A104" s="104">
        <v>90</v>
      </c>
      <c r="B104" s="104">
        <v>90</v>
      </c>
      <c r="C104" s="104">
        <v>115</v>
      </c>
      <c r="D104" s="45" t="s">
        <v>102</v>
      </c>
      <c r="E104" s="61" t="s">
        <v>211</v>
      </c>
      <c r="F104" s="101">
        <v>0</v>
      </c>
      <c r="G104" s="101">
        <v>0</v>
      </c>
      <c r="H104" s="61" t="s">
        <v>79</v>
      </c>
      <c r="I104" s="61" t="s">
        <v>286</v>
      </c>
    </row>
    <row r="105" spans="1:9" x14ac:dyDescent="0.25">
      <c r="A105" s="104">
        <v>91</v>
      </c>
      <c r="B105" s="104">
        <v>91</v>
      </c>
      <c r="C105" s="104">
        <v>116</v>
      </c>
      <c r="D105" s="45" t="s">
        <v>102</v>
      </c>
      <c r="E105" s="61" t="s">
        <v>211</v>
      </c>
      <c r="F105" s="101">
        <v>0</v>
      </c>
      <c r="G105" s="101">
        <v>0</v>
      </c>
      <c r="H105" s="61" t="s">
        <v>79</v>
      </c>
      <c r="I105" s="61" t="s">
        <v>286</v>
      </c>
    </row>
    <row r="106" spans="1:9" x14ac:dyDescent="0.25">
      <c r="A106" s="104">
        <v>92</v>
      </c>
      <c r="B106" s="104">
        <v>92</v>
      </c>
      <c r="C106" s="104">
        <v>117</v>
      </c>
      <c r="D106" s="45" t="s">
        <v>102</v>
      </c>
      <c r="E106" s="61" t="s">
        <v>211</v>
      </c>
      <c r="F106" s="101">
        <v>0</v>
      </c>
      <c r="G106" s="101">
        <v>0</v>
      </c>
      <c r="H106" s="61" t="s">
        <v>79</v>
      </c>
      <c r="I106" s="61" t="s">
        <v>286</v>
      </c>
    </row>
    <row r="107" spans="1:9" x14ac:dyDescent="0.25">
      <c r="A107" s="104">
        <v>93</v>
      </c>
      <c r="B107" s="104">
        <v>93</v>
      </c>
      <c r="C107" s="104">
        <v>118</v>
      </c>
      <c r="D107" s="45" t="s">
        <v>102</v>
      </c>
      <c r="E107" s="61" t="s">
        <v>211</v>
      </c>
      <c r="F107" s="101">
        <v>0</v>
      </c>
      <c r="G107" s="101">
        <v>0</v>
      </c>
      <c r="H107" s="61" t="s">
        <v>79</v>
      </c>
      <c r="I107" s="61" t="s">
        <v>286</v>
      </c>
    </row>
    <row r="108" spans="1:9" x14ac:dyDescent="0.25">
      <c r="A108" s="104">
        <v>94</v>
      </c>
      <c r="B108" s="104">
        <v>94</v>
      </c>
      <c r="C108" s="104">
        <v>119</v>
      </c>
      <c r="D108" s="45" t="s">
        <v>102</v>
      </c>
      <c r="E108" s="61" t="s">
        <v>211</v>
      </c>
      <c r="F108" s="101">
        <v>0</v>
      </c>
      <c r="G108" s="101">
        <v>0</v>
      </c>
      <c r="H108" s="61" t="s">
        <v>79</v>
      </c>
      <c r="I108" s="61" t="s">
        <v>286</v>
      </c>
    </row>
    <row r="109" spans="1:9" x14ac:dyDescent="0.25">
      <c r="A109" s="104">
        <v>95</v>
      </c>
      <c r="B109" s="104">
        <v>95</v>
      </c>
      <c r="C109" s="104">
        <v>120</v>
      </c>
      <c r="D109" s="45" t="s">
        <v>102</v>
      </c>
      <c r="E109" s="61" t="s">
        <v>211</v>
      </c>
      <c r="F109" s="101">
        <v>0</v>
      </c>
      <c r="G109" s="101">
        <v>0</v>
      </c>
      <c r="H109" s="61" t="s">
        <v>79</v>
      </c>
      <c r="I109" s="61" t="s">
        <v>286</v>
      </c>
    </row>
    <row r="110" spans="1:9" x14ac:dyDescent="0.25">
      <c r="A110" s="104">
        <v>96</v>
      </c>
      <c r="B110" s="104">
        <v>96</v>
      </c>
      <c r="C110" s="104">
        <v>121</v>
      </c>
      <c r="D110" s="45" t="s">
        <v>102</v>
      </c>
      <c r="E110" s="61" t="s">
        <v>211</v>
      </c>
      <c r="F110" s="101">
        <v>0</v>
      </c>
      <c r="G110" s="101">
        <v>0</v>
      </c>
      <c r="H110" s="61" t="s">
        <v>79</v>
      </c>
      <c r="I110" s="61" t="s">
        <v>286</v>
      </c>
    </row>
    <row r="111" spans="1:9" x14ac:dyDescent="0.25">
      <c r="A111" s="104">
        <v>97</v>
      </c>
      <c r="B111" s="104">
        <v>97</v>
      </c>
      <c r="C111" s="104">
        <v>122</v>
      </c>
      <c r="D111" s="45" t="s">
        <v>102</v>
      </c>
      <c r="E111" s="61" t="s">
        <v>211</v>
      </c>
      <c r="F111" s="101">
        <v>0</v>
      </c>
      <c r="G111" s="101">
        <v>0</v>
      </c>
      <c r="H111" s="61" t="s">
        <v>79</v>
      </c>
      <c r="I111" s="61" t="s">
        <v>286</v>
      </c>
    </row>
    <row r="112" spans="1:9" x14ac:dyDescent="0.25">
      <c r="A112" s="104">
        <v>98</v>
      </c>
      <c r="B112" s="104">
        <v>98</v>
      </c>
      <c r="C112" s="104">
        <v>123</v>
      </c>
      <c r="D112" s="45" t="s">
        <v>102</v>
      </c>
      <c r="E112" s="61" t="s">
        <v>211</v>
      </c>
      <c r="F112" s="101">
        <v>0</v>
      </c>
      <c r="G112" s="101">
        <v>0</v>
      </c>
      <c r="H112" s="61" t="s">
        <v>79</v>
      </c>
      <c r="I112" s="61" t="s">
        <v>286</v>
      </c>
    </row>
    <row r="113" spans="1:9" x14ac:dyDescent="0.25">
      <c r="A113" s="104">
        <v>99</v>
      </c>
      <c r="B113" s="104">
        <v>99</v>
      </c>
      <c r="C113" s="104">
        <v>124</v>
      </c>
      <c r="D113" s="45" t="s">
        <v>102</v>
      </c>
      <c r="E113" s="61" t="s">
        <v>211</v>
      </c>
      <c r="F113" s="101">
        <v>0</v>
      </c>
      <c r="G113" s="101">
        <v>0</v>
      </c>
      <c r="H113" s="61" t="s">
        <v>79</v>
      </c>
      <c r="I113" s="61" t="s">
        <v>286</v>
      </c>
    </row>
    <row r="114" spans="1:9" x14ac:dyDescent="0.25">
      <c r="A114" s="104">
        <v>100</v>
      </c>
      <c r="B114" s="104">
        <v>100</v>
      </c>
      <c r="C114" s="104">
        <v>125</v>
      </c>
      <c r="D114" s="45" t="s">
        <v>102</v>
      </c>
      <c r="E114" s="61" t="s">
        <v>211</v>
      </c>
      <c r="F114" s="101">
        <v>0</v>
      </c>
      <c r="G114" s="101">
        <v>0</v>
      </c>
      <c r="H114" s="61" t="s">
        <v>79</v>
      </c>
      <c r="I114" s="61" t="s">
        <v>286</v>
      </c>
    </row>
    <row r="115" spans="1:9" x14ac:dyDescent="0.25">
      <c r="A115" s="104">
        <v>101</v>
      </c>
      <c r="B115" s="104">
        <v>26</v>
      </c>
      <c r="C115" s="104">
        <v>27</v>
      </c>
      <c r="D115" s="45" t="s">
        <v>103</v>
      </c>
      <c r="E115" s="61" t="s">
        <v>211</v>
      </c>
      <c r="F115" s="101">
        <v>0</v>
      </c>
      <c r="G115" s="101">
        <v>0</v>
      </c>
      <c r="H115" s="61" t="s">
        <v>80</v>
      </c>
      <c r="I115" s="61" t="s">
        <v>133</v>
      </c>
    </row>
    <row r="116" spans="1:9" x14ac:dyDescent="0.25">
      <c r="A116" s="104">
        <v>102</v>
      </c>
      <c r="B116" s="104">
        <v>27</v>
      </c>
      <c r="C116" s="104">
        <v>28</v>
      </c>
      <c r="D116" s="45" t="s">
        <v>103</v>
      </c>
      <c r="E116" s="61" t="s">
        <v>211</v>
      </c>
      <c r="F116" s="101">
        <v>0</v>
      </c>
      <c r="G116" s="101">
        <v>0</v>
      </c>
      <c r="H116" s="61" t="s">
        <v>80</v>
      </c>
      <c r="I116" s="61" t="s">
        <v>133</v>
      </c>
    </row>
    <row r="117" spans="1:9" x14ac:dyDescent="0.25">
      <c r="A117" s="104">
        <v>103</v>
      </c>
      <c r="B117" s="104">
        <v>28</v>
      </c>
      <c r="C117" s="104">
        <v>29</v>
      </c>
      <c r="D117" s="45" t="s">
        <v>103</v>
      </c>
      <c r="E117" s="61" t="s">
        <v>211</v>
      </c>
      <c r="F117" s="101">
        <v>0</v>
      </c>
      <c r="G117" s="101">
        <v>0</v>
      </c>
      <c r="H117" s="61" t="s">
        <v>80</v>
      </c>
      <c r="I117" s="61" t="s">
        <v>133</v>
      </c>
    </row>
    <row r="118" spans="1:9" x14ac:dyDescent="0.25">
      <c r="A118" s="104">
        <v>104</v>
      </c>
      <c r="B118" s="104">
        <v>29</v>
      </c>
      <c r="C118" s="104">
        <v>30</v>
      </c>
      <c r="D118" s="45" t="s">
        <v>103</v>
      </c>
      <c r="E118" s="61" t="s">
        <v>211</v>
      </c>
      <c r="F118" s="101">
        <v>0</v>
      </c>
      <c r="G118" s="101">
        <v>0</v>
      </c>
      <c r="H118" s="61" t="s">
        <v>80</v>
      </c>
      <c r="I118" s="61" t="s">
        <v>133</v>
      </c>
    </row>
    <row r="119" spans="1:9" x14ac:dyDescent="0.25">
      <c r="A119" s="104">
        <v>105</v>
      </c>
      <c r="B119" s="104">
        <v>31</v>
      </c>
      <c r="C119" s="104">
        <v>32</v>
      </c>
      <c r="D119" s="45" t="s">
        <v>103</v>
      </c>
      <c r="E119" s="61" t="s">
        <v>211</v>
      </c>
      <c r="F119" s="101">
        <v>0</v>
      </c>
      <c r="G119" s="101">
        <v>0</v>
      </c>
      <c r="H119" s="61" t="s">
        <v>80</v>
      </c>
      <c r="I119" s="61" t="s">
        <v>133</v>
      </c>
    </row>
    <row r="120" spans="1:9" x14ac:dyDescent="0.25">
      <c r="A120" s="104">
        <v>106</v>
      </c>
      <c r="B120" s="104">
        <v>32</v>
      </c>
      <c r="C120" s="104">
        <v>33</v>
      </c>
      <c r="D120" s="45" t="s">
        <v>103</v>
      </c>
      <c r="E120" s="61" t="s">
        <v>211</v>
      </c>
      <c r="F120" s="101">
        <v>0</v>
      </c>
      <c r="G120" s="101">
        <v>0</v>
      </c>
      <c r="H120" s="61" t="s">
        <v>80</v>
      </c>
      <c r="I120" s="61" t="s">
        <v>133</v>
      </c>
    </row>
    <row r="121" spans="1:9" x14ac:dyDescent="0.25">
      <c r="A121" s="104">
        <v>107</v>
      </c>
      <c r="B121" s="104">
        <v>33</v>
      </c>
      <c r="C121" s="104">
        <v>34</v>
      </c>
      <c r="D121" s="45" t="s">
        <v>103</v>
      </c>
      <c r="E121" s="61" t="s">
        <v>211</v>
      </c>
      <c r="F121" s="101">
        <v>0</v>
      </c>
      <c r="G121" s="101">
        <v>0</v>
      </c>
      <c r="H121" s="61" t="s">
        <v>80</v>
      </c>
      <c r="I121" s="61" t="s">
        <v>133</v>
      </c>
    </row>
    <row r="122" spans="1:9" x14ac:dyDescent="0.25">
      <c r="A122" s="104">
        <v>108</v>
      </c>
      <c r="B122" s="104">
        <v>34</v>
      </c>
      <c r="C122" s="104">
        <v>35</v>
      </c>
      <c r="D122" s="45" t="s">
        <v>103</v>
      </c>
      <c r="E122" s="61" t="s">
        <v>211</v>
      </c>
      <c r="F122" s="101">
        <v>0</v>
      </c>
      <c r="G122" s="101">
        <v>0</v>
      </c>
      <c r="H122" s="61" t="s">
        <v>80</v>
      </c>
      <c r="I122" s="61" t="s">
        <v>133</v>
      </c>
    </row>
    <row r="123" spans="1:9" x14ac:dyDescent="0.25">
      <c r="A123" s="104">
        <v>109</v>
      </c>
      <c r="B123" s="104">
        <v>36</v>
      </c>
      <c r="C123" s="104">
        <v>37</v>
      </c>
      <c r="D123" s="45" t="s">
        <v>103</v>
      </c>
      <c r="E123" s="61" t="s">
        <v>211</v>
      </c>
      <c r="F123" s="101">
        <v>0</v>
      </c>
      <c r="G123" s="101">
        <v>0</v>
      </c>
      <c r="H123" s="61" t="s">
        <v>80</v>
      </c>
      <c r="I123" s="61" t="s">
        <v>133</v>
      </c>
    </row>
    <row r="124" spans="1:9" x14ac:dyDescent="0.25">
      <c r="A124" s="104">
        <v>110</v>
      </c>
      <c r="B124" s="104">
        <v>37</v>
      </c>
      <c r="C124" s="104">
        <v>38</v>
      </c>
      <c r="D124" s="45" t="s">
        <v>103</v>
      </c>
      <c r="E124" s="61" t="s">
        <v>211</v>
      </c>
      <c r="F124" s="101">
        <v>0</v>
      </c>
      <c r="G124" s="101">
        <v>0</v>
      </c>
      <c r="H124" s="61" t="s">
        <v>80</v>
      </c>
      <c r="I124" s="61" t="s">
        <v>133</v>
      </c>
    </row>
    <row r="125" spans="1:9" x14ac:dyDescent="0.25">
      <c r="A125" s="104">
        <v>111</v>
      </c>
      <c r="B125" s="104">
        <v>38</v>
      </c>
      <c r="C125" s="104">
        <v>39</v>
      </c>
      <c r="D125" s="45" t="s">
        <v>103</v>
      </c>
      <c r="E125" s="61" t="s">
        <v>211</v>
      </c>
      <c r="F125" s="101">
        <v>0</v>
      </c>
      <c r="G125" s="101">
        <v>0</v>
      </c>
      <c r="H125" s="61" t="s">
        <v>80</v>
      </c>
      <c r="I125" s="61" t="s">
        <v>133</v>
      </c>
    </row>
    <row r="126" spans="1:9" x14ac:dyDescent="0.25">
      <c r="A126" s="104">
        <v>112</v>
      </c>
      <c r="B126" s="104">
        <v>39</v>
      </c>
      <c r="C126" s="104">
        <v>40</v>
      </c>
      <c r="D126" s="45" t="s">
        <v>103</v>
      </c>
      <c r="E126" s="61" t="s">
        <v>211</v>
      </c>
      <c r="F126" s="101">
        <v>0</v>
      </c>
      <c r="G126" s="101">
        <v>0</v>
      </c>
      <c r="H126" s="61" t="s">
        <v>80</v>
      </c>
      <c r="I126" s="61" t="s">
        <v>133</v>
      </c>
    </row>
    <row r="127" spans="1:9" x14ac:dyDescent="0.25">
      <c r="A127" s="104">
        <v>113</v>
      </c>
      <c r="B127" s="104">
        <v>41</v>
      </c>
      <c r="C127" s="104">
        <v>42</v>
      </c>
      <c r="D127" s="45" t="s">
        <v>103</v>
      </c>
      <c r="E127" s="61" t="s">
        <v>211</v>
      </c>
      <c r="F127" s="101">
        <v>0</v>
      </c>
      <c r="G127" s="101">
        <v>0</v>
      </c>
      <c r="H127" s="61" t="s">
        <v>80</v>
      </c>
      <c r="I127" s="61" t="s">
        <v>133</v>
      </c>
    </row>
    <row r="128" spans="1:9" x14ac:dyDescent="0.25">
      <c r="A128" s="104">
        <v>114</v>
      </c>
      <c r="B128" s="104">
        <v>42</v>
      </c>
      <c r="C128" s="104">
        <v>43</v>
      </c>
      <c r="D128" s="45" t="s">
        <v>103</v>
      </c>
      <c r="E128" s="61" t="s">
        <v>211</v>
      </c>
      <c r="F128" s="101">
        <v>0</v>
      </c>
      <c r="G128" s="101">
        <v>0</v>
      </c>
      <c r="H128" s="61" t="s">
        <v>80</v>
      </c>
      <c r="I128" s="61" t="s">
        <v>133</v>
      </c>
    </row>
    <row r="129" spans="1:9" x14ac:dyDescent="0.25">
      <c r="A129" s="104">
        <v>115</v>
      </c>
      <c r="B129" s="104">
        <v>43</v>
      </c>
      <c r="C129" s="104">
        <v>44</v>
      </c>
      <c r="D129" s="45" t="s">
        <v>103</v>
      </c>
      <c r="E129" s="61" t="s">
        <v>211</v>
      </c>
      <c r="F129" s="101">
        <v>0</v>
      </c>
      <c r="G129" s="101">
        <v>0</v>
      </c>
      <c r="H129" s="61" t="s">
        <v>80</v>
      </c>
      <c r="I129" s="61" t="s">
        <v>133</v>
      </c>
    </row>
    <row r="130" spans="1:9" x14ac:dyDescent="0.25">
      <c r="A130" s="104">
        <v>116</v>
      </c>
      <c r="B130" s="104">
        <v>44</v>
      </c>
      <c r="C130" s="104">
        <v>45</v>
      </c>
      <c r="D130" s="45" t="s">
        <v>103</v>
      </c>
      <c r="E130" s="61" t="s">
        <v>211</v>
      </c>
      <c r="F130" s="101">
        <v>0</v>
      </c>
      <c r="G130" s="101">
        <v>0</v>
      </c>
      <c r="H130" s="61" t="s">
        <v>80</v>
      </c>
      <c r="I130" s="61" t="s">
        <v>133</v>
      </c>
    </row>
    <row r="131" spans="1:9" x14ac:dyDescent="0.25">
      <c r="A131" s="104">
        <v>117</v>
      </c>
      <c r="B131" s="104">
        <v>46</v>
      </c>
      <c r="C131" s="104">
        <v>47</v>
      </c>
      <c r="D131" s="45" t="s">
        <v>103</v>
      </c>
      <c r="E131" s="61" t="s">
        <v>211</v>
      </c>
      <c r="F131" s="101">
        <v>0</v>
      </c>
      <c r="G131" s="101">
        <v>0</v>
      </c>
      <c r="H131" s="61" t="s">
        <v>80</v>
      </c>
      <c r="I131" s="61" t="s">
        <v>133</v>
      </c>
    </row>
    <row r="132" spans="1:9" x14ac:dyDescent="0.25">
      <c r="A132" s="104">
        <v>118</v>
      </c>
      <c r="B132" s="104">
        <v>47</v>
      </c>
      <c r="C132" s="104">
        <v>48</v>
      </c>
      <c r="D132" s="45" t="s">
        <v>103</v>
      </c>
      <c r="E132" s="61" t="s">
        <v>211</v>
      </c>
      <c r="F132" s="101">
        <v>0</v>
      </c>
      <c r="G132" s="101">
        <v>0</v>
      </c>
      <c r="H132" s="61" t="s">
        <v>80</v>
      </c>
      <c r="I132" s="61" t="s">
        <v>133</v>
      </c>
    </row>
    <row r="133" spans="1:9" x14ac:dyDescent="0.25">
      <c r="A133" s="104">
        <v>119</v>
      </c>
      <c r="B133" s="104">
        <v>48</v>
      </c>
      <c r="C133" s="104">
        <v>49</v>
      </c>
      <c r="D133" s="45" t="s">
        <v>103</v>
      </c>
      <c r="E133" s="61" t="s">
        <v>211</v>
      </c>
      <c r="F133" s="101">
        <v>0</v>
      </c>
      <c r="G133" s="101">
        <v>0</v>
      </c>
      <c r="H133" s="61" t="s">
        <v>80</v>
      </c>
      <c r="I133" s="61" t="s">
        <v>133</v>
      </c>
    </row>
    <row r="134" spans="1:9" x14ac:dyDescent="0.25">
      <c r="A134" s="104">
        <v>120</v>
      </c>
      <c r="B134" s="104">
        <v>49</v>
      </c>
      <c r="C134" s="104">
        <v>50</v>
      </c>
      <c r="D134" s="45" t="s">
        <v>103</v>
      </c>
      <c r="E134" s="61" t="s">
        <v>211</v>
      </c>
      <c r="F134" s="101">
        <v>0</v>
      </c>
      <c r="G134" s="101">
        <v>0</v>
      </c>
      <c r="H134" s="61" t="s">
        <v>80</v>
      </c>
      <c r="I134" s="61" t="s">
        <v>133</v>
      </c>
    </row>
    <row r="135" spans="1:9" x14ac:dyDescent="0.25">
      <c r="A135" s="104">
        <v>121</v>
      </c>
      <c r="B135" s="104">
        <v>51</v>
      </c>
      <c r="C135" s="104">
        <v>52</v>
      </c>
      <c r="D135" s="45" t="s">
        <v>103</v>
      </c>
      <c r="E135" s="61" t="s">
        <v>211</v>
      </c>
      <c r="F135" s="101">
        <v>0</v>
      </c>
      <c r="G135" s="101">
        <v>0</v>
      </c>
      <c r="H135" s="61" t="s">
        <v>80</v>
      </c>
      <c r="I135" s="61" t="s">
        <v>133</v>
      </c>
    </row>
    <row r="136" spans="1:9" x14ac:dyDescent="0.25">
      <c r="A136" s="104">
        <v>122</v>
      </c>
      <c r="B136" s="104">
        <v>52</v>
      </c>
      <c r="C136" s="104">
        <v>53</v>
      </c>
      <c r="D136" s="45" t="s">
        <v>103</v>
      </c>
      <c r="E136" s="61" t="s">
        <v>211</v>
      </c>
      <c r="F136" s="101">
        <v>0</v>
      </c>
      <c r="G136" s="101">
        <v>0</v>
      </c>
      <c r="H136" s="61" t="s">
        <v>80</v>
      </c>
      <c r="I136" s="61" t="s">
        <v>133</v>
      </c>
    </row>
    <row r="137" spans="1:9" x14ac:dyDescent="0.25">
      <c r="A137" s="104">
        <v>123</v>
      </c>
      <c r="B137" s="104">
        <v>53</v>
      </c>
      <c r="C137" s="104">
        <v>54</v>
      </c>
      <c r="D137" s="45" t="s">
        <v>103</v>
      </c>
      <c r="E137" s="61" t="s">
        <v>211</v>
      </c>
      <c r="F137" s="101">
        <v>0</v>
      </c>
      <c r="G137" s="101">
        <v>0</v>
      </c>
      <c r="H137" s="61" t="s">
        <v>80</v>
      </c>
      <c r="I137" s="61" t="s">
        <v>133</v>
      </c>
    </row>
    <row r="138" spans="1:9" x14ac:dyDescent="0.25">
      <c r="A138" s="104">
        <v>124</v>
      </c>
      <c r="B138" s="104">
        <v>54</v>
      </c>
      <c r="C138" s="104">
        <v>55</v>
      </c>
      <c r="D138" s="45" t="s">
        <v>103</v>
      </c>
      <c r="E138" s="61" t="s">
        <v>211</v>
      </c>
      <c r="F138" s="101">
        <v>0</v>
      </c>
      <c r="G138" s="101">
        <v>0</v>
      </c>
      <c r="H138" s="61" t="s">
        <v>80</v>
      </c>
      <c r="I138" s="61" t="s">
        <v>133</v>
      </c>
    </row>
    <row r="139" spans="1:9" x14ac:dyDescent="0.25">
      <c r="A139" s="104">
        <v>125</v>
      </c>
      <c r="B139" s="104">
        <v>56</v>
      </c>
      <c r="C139" s="104">
        <v>57</v>
      </c>
      <c r="D139" s="45" t="s">
        <v>103</v>
      </c>
      <c r="E139" s="61" t="s">
        <v>211</v>
      </c>
      <c r="F139" s="101">
        <v>0</v>
      </c>
      <c r="G139" s="101">
        <v>0</v>
      </c>
      <c r="H139" s="61" t="s">
        <v>80</v>
      </c>
      <c r="I139" s="61" t="s">
        <v>133</v>
      </c>
    </row>
    <row r="140" spans="1:9" x14ac:dyDescent="0.25">
      <c r="A140" s="104">
        <v>126</v>
      </c>
      <c r="B140" s="104">
        <v>57</v>
      </c>
      <c r="C140" s="104">
        <v>58</v>
      </c>
      <c r="D140" s="45" t="s">
        <v>103</v>
      </c>
      <c r="E140" s="61" t="s">
        <v>211</v>
      </c>
      <c r="F140" s="101">
        <v>0</v>
      </c>
      <c r="G140" s="101">
        <v>0</v>
      </c>
      <c r="H140" s="61" t="s">
        <v>80</v>
      </c>
      <c r="I140" s="61" t="s">
        <v>133</v>
      </c>
    </row>
    <row r="141" spans="1:9" x14ac:dyDescent="0.25">
      <c r="A141" s="104">
        <v>127</v>
      </c>
      <c r="B141" s="104">
        <v>58</v>
      </c>
      <c r="C141" s="104">
        <v>59</v>
      </c>
      <c r="D141" s="45" t="s">
        <v>103</v>
      </c>
      <c r="E141" s="61" t="s">
        <v>211</v>
      </c>
      <c r="F141" s="101">
        <v>0</v>
      </c>
      <c r="G141" s="101">
        <v>0</v>
      </c>
      <c r="H141" s="61" t="s">
        <v>80</v>
      </c>
      <c r="I141" s="61" t="s">
        <v>133</v>
      </c>
    </row>
    <row r="142" spans="1:9" x14ac:dyDescent="0.25">
      <c r="A142" s="104">
        <v>128</v>
      </c>
      <c r="B142" s="104">
        <v>59</v>
      </c>
      <c r="C142" s="104">
        <v>60</v>
      </c>
      <c r="D142" s="45" t="s">
        <v>103</v>
      </c>
      <c r="E142" s="61" t="s">
        <v>211</v>
      </c>
      <c r="F142" s="101">
        <v>0</v>
      </c>
      <c r="G142" s="101">
        <v>0</v>
      </c>
      <c r="H142" s="61" t="s">
        <v>80</v>
      </c>
      <c r="I142" s="61" t="s">
        <v>133</v>
      </c>
    </row>
    <row r="143" spans="1:9" x14ac:dyDescent="0.25">
      <c r="A143" s="104">
        <v>129</v>
      </c>
      <c r="B143" s="104">
        <v>61</v>
      </c>
      <c r="C143" s="104">
        <v>62</v>
      </c>
      <c r="D143" s="45" t="s">
        <v>103</v>
      </c>
      <c r="E143" s="61" t="s">
        <v>211</v>
      </c>
      <c r="F143" s="101">
        <v>0</v>
      </c>
      <c r="G143" s="101">
        <v>0</v>
      </c>
      <c r="H143" s="61" t="s">
        <v>80</v>
      </c>
      <c r="I143" s="61" t="s">
        <v>133</v>
      </c>
    </row>
    <row r="144" spans="1:9" x14ac:dyDescent="0.25">
      <c r="A144" s="104">
        <v>130</v>
      </c>
      <c r="B144" s="104">
        <v>62</v>
      </c>
      <c r="C144" s="104">
        <v>63</v>
      </c>
      <c r="D144" s="45" t="s">
        <v>103</v>
      </c>
      <c r="E144" s="61" t="s">
        <v>211</v>
      </c>
      <c r="F144" s="101">
        <v>0</v>
      </c>
      <c r="G144" s="101">
        <v>0</v>
      </c>
      <c r="H144" s="61" t="s">
        <v>80</v>
      </c>
      <c r="I144" s="61" t="s">
        <v>133</v>
      </c>
    </row>
    <row r="145" spans="1:9" x14ac:dyDescent="0.25">
      <c r="A145" s="104">
        <v>131</v>
      </c>
      <c r="B145" s="104">
        <v>63</v>
      </c>
      <c r="C145" s="104">
        <v>64</v>
      </c>
      <c r="D145" s="45" t="s">
        <v>103</v>
      </c>
      <c r="E145" s="61" t="s">
        <v>211</v>
      </c>
      <c r="F145" s="101">
        <v>0</v>
      </c>
      <c r="G145" s="101">
        <v>0</v>
      </c>
      <c r="H145" s="61" t="s">
        <v>80</v>
      </c>
      <c r="I145" s="61" t="s">
        <v>133</v>
      </c>
    </row>
    <row r="146" spans="1:9" x14ac:dyDescent="0.25">
      <c r="A146" s="104">
        <v>132</v>
      </c>
      <c r="B146" s="104">
        <v>64</v>
      </c>
      <c r="C146" s="104">
        <v>65</v>
      </c>
      <c r="D146" s="45" t="s">
        <v>103</v>
      </c>
      <c r="E146" s="61" t="s">
        <v>211</v>
      </c>
      <c r="F146" s="101">
        <v>0</v>
      </c>
      <c r="G146" s="101">
        <v>0</v>
      </c>
      <c r="H146" s="61" t="s">
        <v>80</v>
      </c>
      <c r="I146" s="61" t="s">
        <v>133</v>
      </c>
    </row>
    <row r="147" spans="1:9" x14ac:dyDescent="0.25">
      <c r="A147" s="104">
        <v>133</v>
      </c>
      <c r="B147" s="104">
        <v>66</v>
      </c>
      <c r="C147" s="104">
        <v>67</v>
      </c>
      <c r="D147" s="45" t="s">
        <v>103</v>
      </c>
      <c r="E147" s="61" t="s">
        <v>211</v>
      </c>
      <c r="F147" s="101">
        <v>0</v>
      </c>
      <c r="G147" s="101">
        <v>0</v>
      </c>
      <c r="H147" s="61" t="s">
        <v>80</v>
      </c>
      <c r="I147" s="61" t="s">
        <v>133</v>
      </c>
    </row>
    <row r="148" spans="1:9" x14ac:dyDescent="0.25">
      <c r="A148" s="104">
        <v>134</v>
      </c>
      <c r="B148" s="104">
        <v>67</v>
      </c>
      <c r="C148" s="104">
        <v>68</v>
      </c>
      <c r="D148" s="45" t="s">
        <v>103</v>
      </c>
      <c r="E148" s="61" t="s">
        <v>211</v>
      </c>
      <c r="F148" s="101">
        <v>0</v>
      </c>
      <c r="G148" s="101">
        <v>0</v>
      </c>
      <c r="H148" s="61" t="s">
        <v>80</v>
      </c>
      <c r="I148" s="61" t="s">
        <v>133</v>
      </c>
    </row>
    <row r="149" spans="1:9" x14ac:dyDescent="0.25">
      <c r="A149" s="104">
        <v>135</v>
      </c>
      <c r="B149" s="104">
        <v>68</v>
      </c>
      <c r="C149" s="104">
        <v>69</v>
      </c>
      <c r="D149" s="45" t="s">
        <v>103</v>
      </c>
      <c r="E149" s="61" t="s">
        <v>211</v>
      </c>
      <c r="F149" s="101">
        <v>0</v>
      </c>
      <c r="G149" s="101">
        <v>0</v>
      </c>
      <c r="H149" s="61" t="s">
        <v>80</v>
      </c>
      <c r="I149" s="61" t="s">
        <v>133</v>
      </c>
    </row>
    <row r="150" spans="1:9" x14ac:dyDescent="0.25">
      <c r="A150" s="104">
        <v>136</v>
      </c>
      <c r="B150" s="104">
        <v>69</v>
      </c>
      <c r="C150" s="104">
        <v>70</v>
      </c>
      <c r="D150" s="45" t="s">
        <v>103</v>
      </c>
      <c r="E150" s="61" t="s">
        <v>211</v>
      </c>
      <c r="F150" s="101">
        <v>0</v>
      </c>
      <c r="G150" s="101">
        <v>0</v>
      </c>
      <c r="H150" s="61" t="s">
        <v>80</v>
      </c>
      <c r="I150" s="61" t="s">
        <v>133</v>
      </c>
    </row>
    <row r="151" spans="1:9" x14ac:dyDescent="0.25">
      <c r="A151" s="104">
        <v>137</v>
      </c>
      <c r="B151" s="104">
        <v>71</v>
      </c>
      <c r="C151" s="104">
        <v>72</v>
      </c>
      <c r="D151" s="45" t="s">
        <v>103</v>
      </c>
      <c r="E151" s="61" t="s">
        <v>211</v>
      </c>
      <c r="F151" s="101">
        <v>0</v>
      </c>
      <c r="G151" s="101">
        <v>0</v>
      </c>
      <c r="H151" s="61" t="s">
        <v>80</v>
      </c>
      <c r="I151" s="61" t="s">
        <v>133</v>
      </c>
    </row>
    <row r="152" spans="1:9" x14ac:dyDescent="0.25">
      <c r="A152" s="104">
        <v>138</v>
      </c>
      <c r="B152" s="104">
        <v>72</v>
      </c>
      <c r="C152" s="104">
        <v>73</v>
      </c>
      <c r="D152" s="45" t="s">
        <v>103</v>
      </c>
      <c r="E152" s="61" t="s">
        <v>211</v>
      </c>
      <c r="F152" s="101">
        <v>0</v>
      </c>
      <c r="G152" s="101">
        <v>0</v>
      </c>
      <c r="H152" s="61" t="s">
        <v>80</v>
      </c>
      <c r="I152" s="61" t="s">
        <v>133</v>
      </c>
    </row>
    <row r="153" spans="1:9" x14ac:dyDescent="0.25">
      <c r="A153" s="104">
        <v>139</v>
      </c>
      <c r="B153" s="104">
        <v>73</v>
      </c>
      <c r="C153" s="104">
        <v>74</v>
      </c>
      <c r="D153" s="45" t="s">
        <v>103</v>
      </c>
      <c r="E153" s="61" t="s">
        <v>211</v>
      </c>
      <c r="F153" s="101">
        <v>0</v>
      </c>
      <c r="G153" s="101">
        <v>0</v>
      </c>
      <c r="H153" s="61" t="s">
        <v>80</v>
      </c>
      <c r="I153" s="61" t="s">
        <v>133</v>
      </c>
    </row>
    <row r="154" spans="1:9" x14ac:dyDescent="0.25">
      <c r="A154" s="104">
        <v>140</v>
      </c>
      <c r="B154" s="104">
        <v>74</v>
      </c>
      <c r="C154" s="104">
        <v>75</v>
      </c>
      <c r="D154" s="45" t="s">
        <v>103</v>
      </c>
      <c r="E154" s="61" t="s">
        <v>211</v>
      </c>
      <c r="F154" s="101">
        <v>0</v>
      </c>
      <c r="G154" s="101">
        <v>0</v>
      </c>
      <c r="H154" s="61" t="s">
        <v>80</v>
      </c>
      <c r="I154" s="61" t="s">
        <v>133</v>
      </c>
    </row>
    <row r="155" spans="1:9" x14ac:dyDescent="0.25">
      <c r="A155" s="104">
        <v>141</v>
      </c>
      <c r="B155" s="104">
        <v>76</v>
      </c>
      <c r="C155" s="104">
        <v>77</v>
      </c>
      <c r="D155" s="45" t="s">
        <v>103</v>
      </c>
      <c r="E155" s="61" t="s">
        <v>211</v>
      </c>
      <c r="F155" s="101">
        <v>0</v>
      </c>
      <c r="G155" s="101">
        <v>0</v>
      </c>
      <c r="H155" s="61" t="s">
        <v>80</v>
      </c>
      <c r="I155" s="61" t="s">
        <v>133</v>
      </c>
    </row>
    <row r="156" spans="1:9" x14ac:dyDescent="0.25">
      <c r="A156" s="104">
        <v>142</v>
      </c>
      <c r="B156" s="104">
        <v>77</v>
      </c>
      <c r="C156" s="104">
        <v>78</v>
      </c>
      <c r="D156" s="45" t="s">
        <v>103</v>
      </c>
      <c r="E156" s="61" t="s">
        <v>211</v>
      </c>
      <c r="F156" s="101">
        <v>0</v>
      </c>
      <c r="G156" s="101">
        <v>0</v>
      </c>
      <c r="H156" s="61" t="s">
        <v>80</v>
      </c>
      <c r="I156" s="61" t="s">
        <v>133</v>
      </c>
    </row>
    <row r="157" spans="1:9" x14ac:dyDescent="0.25">
      <c r="A157" s="104">
        <v>143</v>
      </c>
      <c r="B157" s="104">
        <v>78</v>
      </c>
      <c r="C157" s="104">
        <v>79</v>
      </c>
      <c r="D157" s="45" t="s">
        <v>103</v>
      </c>
      <c r="E157" s="61" t="s">
        <v>211</v>
      </c>
      <c r="F157" s="101">
        <v>0</v>
      </c>
      <c r="G157" s="101">
        <v>0</v>
      </c>
      <c r="H157" s="61" t="s">
        <v>80</v>
      </c>
      <c r="I157" s="61" t="s">
        <v>133</v>
      </c>
    </row>
    <row r="158" spans="1:9" x14ac:dyDescent="0.25">
      <c r="A158" s="104">
        <v>144</v>
      </c>
      <c r="B158" s="104">
        <v>79</v>
      </c>
      <c r="C158" s="104">
        <v>80</v>
      </c>
      <c r="D158" s="45" t="s">
        <v>103</v>
      </c>
      <c r="E158" s="61" t="s">
        <v>211</v>
      </c>
      <c r="F158" s="101">
        <v>0</v>
      </c>
      <c r="G158" s="101">
        <v>0</v>
      </c>
      <c r="H158" s="61" t="s">
        <v>80</v>
      </c>
      <c r="I158" s="61" t="s">
        <v>133</v>
      </c>
    </row>
    <row r="159" spans="1:9" x14ac:dyDescent="0.25">
      <c r="A159" s="104">
        <v>145</v>
      </c>
      <c r="B159" s="104">
        <v>81</v>
      </c>
      <c r="C159" s="104">
        <v>82</v>
      </c>
      <c r="D159" s="45" t="s">
        <v>103</v>
      </c>
      <c r="E159" s="61" t="s">
        <v>211</v>
      </c>
      <c r="F159" s="101">
        <v>0</v>
      </c>
      <c r="G159" s="101">
        <v>0</v>
      </c>
      <c r="H159" s="61" t="s">
        <v>80</v>
      </c>
      <c r="I159" s="61" t="s">
        <v>133</v>
      </c>
    </row>
    <row r="160" spans="1:9" x14ac:dyDescent="0.25">
      <c r="A160" s="104">
        <v>146</v>
      </c>
      <c r="B160" s="104">
        <v>82</v>
      </c>
      <c r="C160" s="104">
        <v>83</v>
      </c>
      <c r="D160" s="45" t="s">
        <v>103</v>
      </c>
      <c r="E160" s="61" t="s">
        <v>211</v>
      </c>
      <c r="F160" s="101">
        <v>0</v>
      </c>
      <c r="G160" s="101">
        <v>0</v>
      </c>
      <c r="H160" s="61" t="s">
        <v>80</v>
      </c>
      <c r="I160" s="61" t="s">
        <v>133</v>
      </c>
    </row>
    <row r="161" spans="1:9" x14ac:dyDescent="0.25">
      <c r="A161" s="104">
        <v>147</v>
      </c>
      <c r="B161" s="104">
        <v>83</v>
      </c>
      <c r="C161" s="104">
        <v>84</v>
      </c>
      <c r="D161" s="45" t="s">
        <v>103</v>
      </c>
      <c r="E161" s="61" t="s">
        <v>211</v>
      </c>
      <c r="F161" s="101">
        <v>0</v>
      </c>
      <c r="G161" s="101">
        <v>0</v>
      </c>
      <c r="H161" s="61" t="s">
        <v>80</v>
      </c>
      <c r="I161" s="61" t="s">
        <v>133</v>
      </c>
    </row>
    <row r="162" spans="1:9" x14ac:dyDescent="0.25">
      <c r="A162" s="104">
        <v>148</v>
      </c>
      <c r="B162" s="104">
        <v>84</v>
      </c>
      <c r="C162" s="104">
        <v>85</v>
      </c>
      <c r="D162" s="45" t="s">
        <v>103</v>
      </c>
      <c r="E162" s="61" t="s">
        <v>211</v>
      </c>
      <c r="F162" s="101">
        <v>0</v>
      </c>
      <c r="G162" s="101">
        <v>0</v>
      </c>
      <c r="H162" s="61" t="s">
        <v>80</v>
      </c>
      <c r="I162" s="61" t="s">
        <v>133</v>
      </c>
    </row>
    <row r="163" spans="1:9" x14ac:dyDescent="0.25">
      <c r="A163" s="104">
        <v>149</v>
      </c>
      <c r="B163" s="104">
        <v>86</v>
      </c>
      <c r="C163" s="104">
        <v>87</v>
      </c>
      <c r="D163" s="45" t="s">
        <v>103</v>
      </c>
      <c r="E163" s="61" t="s">
        <v>211</v>
      </c>
      <c r="F163" s="101">
        <v>0</v>
      </c>
      <c r="G163" s="101">
        <v>0</v>
      </c>
      <c r="H163" s="61" t="s">
        <v>80</v>
      </c>
      <c r="I163" s="61" t="s">
        <v>133</v>
      </c>
    </row>
    <row r="164" spans="1:9" x14ac:dyDescent="0.25">
      <c r="A164" s="104">
        <v>150</v>
      </c>
      <c r="B164" s="104">
        <v>87</v>
      </c>
      <c r="C164" s="104">
        <v>88</v>
      </c>
      <c r="D164" s="45" t="s">
        <v>103</v>
      </c>
      <c r="E164" s="61" t="s">
        <v>211</v>
      </c>
      <c r="F164" s="101">
        <v>0</v>
      </c>
      <c r="G164" s="101">
        <v>0</v>
      </c>
      <c r="H164" s="61" t="s">
        <v>80</v>
      </c>
      <c r="I164" s="61" t="s">
        <v>133</v>
      </c>
    </row>
    <row r="165" spans="1:9" x14ac:dyDescent="0.25">
      <c r="A165" s="104">
        <v>151</v>
      </c>
      <c r="B165" s="104">
        <v>88</v>
      </c>
      <c r="C165" s="104">
        <v>89</v>
      </c>
      <c r="D165" s="45" t="s">
        <v>103</v>
      </c>
      <c r="E165" s="61" t="s">
        <v>211</v>
      </c>
      <c r="F165" s="101">
        <v>0</v>
      </c>
      <c r="G165" s="101">
        <v>0</v>
      </c>
      <c r="H165" s="61" t="s">
        <v>80</v>
      </c>
      <c r="I165" s="61" t="s">
        <v>133</v>
      </c>
    </row>
    <row r="166" spans="1:9" x14ac:dyDescent="0.25">
      <c r="A166" s="104">
        <v>152</v>
      </c>
      <c r="B166" s="104">
        <v>89</v>
      </c>
      <c r="C166" s="104">
        <v>90</v>
      </c>
      <c r="D166" s="45" t="s">
        <v>103</v>
      </c>
      <c r="E166" s="61" t="s">
        <v>211</v>
      </c>
      <c r="F166" s="101">
        <v>0</v>
      </c>
      <c r="G166" s="101">
        <v>0</v>
      </c>
      <c r="H166" s="61" t="s">
        <v>80</v>
      </c>
      <c r="I166" s="61" t="s">
        <v>133</v>
      </c>
    </row>
    <row r="167" spans="1:9" x14ac:dyDescent="0.25">
      <c r="A167" s="104">
        <v>153</v>
      </c>
      <c r="B167" s="104">
        <v>91</v>
      </c>
      <c r="C167" s="104">
        <v>92</v>
      </c>
      <c r="D167" s="45" t="s">
        <v>103</v>
      </c>
      <c r="E167" s="61" t="s">
        <v>211</v>
      </c>
      <c r="F167" s="101">
        <v>0</v>
      </c>
      <c r="G167" s="101">
        <v>0</v>
      </c>
      <c r="H167" s="61" t="s">
        <v>80</v>
      </c>
      <c r="I167" s="61" t="s">
        <v>133</v>
      </c>
    </row>
    <row r="168" spans="1:9" x14ac:dyDescent="0.25">
      <c r="A168" s="104">
        <v>154</v>
      </c>
      <c r="B168" s="104">
        <v>92</v>
      </c>
      <c r="C168" s="104">
        <v>93</v>
      </c>
      <c r="D168" s="45" t="s">
        <v>103</v>
      </c>
      <c r="E168" s="61" t="s">
        <v>211</v>
      </c>
      <c r="F168" s="101">
        <v>0</v>
      </c>
      <c r="G168" s="101">
        <v>0</v>
      </c>
      <c r="H168" s="61" t="s">
        <v>80</v>
      </c>
      <c r="I168" s="61" t="s">
        <v>133</v>
      </c>
    </row>
    <row r="169" spans="1:9" x14ac:dyDescent="0.25">
      <c r="A169" s="104">
        <v>155</v>
      </c>
      <c r="B169" s="104">
        <v>93</v>
      </c>
      <c r="C169" s="104">
        <v>94</v>
      </c>
      <c r="D169" s="45" t="s">
        <v>103</v>
      </c>
      <c r="E169" s="61" t="s">
        <v>211</v>
      </c>
      <c r="F169" s="101">
        <v>0</v>
      </c>
      <c r="G169" s="101">
        <v>0</v>
      </c>
      <c r="H169" s="61" t="s">
        <v>80</v>
      </c>
      <c r="I169" s="61" t="s">
        <v>133</v>
      </c>
    </row>
    <row r="170" spans="1:9" x14ac:dyDescent="0.25">
      <c r="A170" s="104">
        <v>156</v>
      </c>
      <c r="B170" s="104">
        <v>94</v>
      </c>
      <c r="C170" s="104">
        <v>95</v>
      </c>
      <c r="D170" s="45" t="s">
        <v>103</v>
      </c>
      <c r="E170" s="61" t="s">
        <v>211</v>
      </c>
      <c r="F170" s="101">
        <v>0</v>
      </c>
      <c r="G170" s="101">
        <v>0</v>
      </c>
      <c r="H170" s="61" t="s">
        <v>80</v>
      </c>
      <c r="I170" s="61" t="s">
        <v>133</v>
      </c>
    </row>
    <row r="171" spans="1:9" x14ac:dyDescent="0.25">
      <c r="A171" s="104">
        <v>157</v>
      </c>
      <c r="B171" s="104">
        <v>96</v>
      </c>
      <c r="C171" s="104">
        <v>97</v>
      </c>
      <c r="D171" s="45" t="s">
        <v>103</v>
      </c>
      <c r="E171" s="61" t="s">
        <v>211</v>
      </c>
      <c r="F171" s="101">
        <v>0</v>
      </c>
      <c r="G171" s="101">
        <v>0</v>
      </c>
      <c r="H171" s="61" t="s">
        <v>80</v>
      </c>
      <c r="I171" s="61" t="s">
        <v>133</v>
      </c>
    </row>
    <row r="172" spans="1:9" x14ac:dyDescent="0.25">
      <c r="A172" s="104">
        <v>158</v>
      </c>
      <c r="B172" s="104">
        <v>97</v>
      </c>
      <c r="C172" s="104">
        <v>98</v>
      </c>
      <c r="D172" s="45" t="s">
        <v>103</v>
      </c>
      <c r="E172" s="61" t="s">
        <v>211</v>
      </c>
      <c r="F172" s="101">
        <v>0</v>
      </c>
      <c r="G172" s="101">
        <v>0</v>
      </c>
      <c r="H172" s="61" t="s">
        <v>80</v>
      </c>
      <c r="I172" s="61" t="s">
        <v>133</v>
      </c>
    </row>
    <row r="173" spans="1:9" x14ac:dyDescent="0.25">
      <c r="A173" s="104">
        <v>159</v>
      </c>
      <c r="B173" s="104">
        <v>98</v>
      </c>
      <c r="C173" s="104">
        <v>99</v>
      </c>
      <c r="D173" s="45" t="s">
        <v>103</v>
      </c>
      <c r="E173" s="61" t="s">
        <v>211</v>
      </c>
      <c r="F173" s="101">
        <v>0</v>
      </c>
      <c r="G173" s="101">
        <v>0</v>
      </c>
      <c r="H173" s="61" t="s">
        <v>80</v>
      </c>
      <c r="I173" s="61" t="s">
        <v>133</v>
      </c>
    </row>
    <row r="174" spans="1:9" x14ac:dyDescent="0.25">
      <c r="A174" s="104">
        <v>160</v>
      </c>
      <c r="B174" s="104">
        <v>99</v>
      </c>
      <c r="C174" s="104">
        <v>100</v>
      </c>
      <c r="D174" s="45" t="s">
        <v>103</v>
      </c>
      <c r="E174" s="61" t="s">
        <v>211</v>
      </c>
      <c r="F174" s="101">
        <v>0</v>
      </c>
      <c r="G174" s="101">
        <v>0</v>
      </c>
      <c r="H174" s="61" t="s">
        <v>80</v>
      </c>
      <c r="I174" s="61" t="s">
        <v>133</v>
      </c>
    </row>
    <row r="175" spans="1:9" x14ac:dyDescent="0.25">
      <c r="A175" s="104">
        <v>161</v>
      </c>
      <c r="B175" s="104">
        <v>101</v>
      </c>
      <c r="C175" s="104">
        <v>102</v>
      </c>
      <c r="D175" s="45" t="s">
        <v>103</v>
      </c>
      <c r="E175" s="61" t="s">
        <v>211</v>
      </c>
      <c r="F175" s="101">
        <v>0</v>
      </c>
      <c r="G175" s="101">
        <v>0</v>
      </c>
      <c r="H175" s="61" t="s">
        <v>80</v>
      </c>
      <c r="I175" s="61" t="s">
        <v>133</v>
      </c>
    </row>
    <row r="176" spans="1:9" x14ac:dyDescent="0.25">
      <c r="A176" s="104">
        <v>162</v>
      </c>
      <c r="B176" s="104">
        <v>102</v>
      </c>
      <c r="C176" s="104">
        <v>103</v>
      </c>
      <c r="D176" s="45" t="s">
        <v>103</v>
      </c>
      <c r="E176" s="61" t="s">
        <v>211</v>
      </c>
      <c r="F176" s="101">
        <v>0</v>
      </c>
      <c r="G176" s="101">
        <v>0</v>
      </c>
      <c r="H176" s="61" t="s">
        <v>80</v>
      </c>
      <c r="I176" s="61" t="s">
        <v>133</v>
      </c>
    </row>
    <row r="177" spans="1:9" x14ac:dyDescent="0.25">
      <c r="A177" s="104">
        <v>163</v>
      </c>
      <c r="B177" s="104">
        <v>103</v>
      </c>
      <c r="C177" s="104">
        <v>104</v>
      </c>
      <c r="D177" s="45" t="s">
        <v>103</v>
      </c>
      <c r="E177" s="61" t="s">
        <v>211</v>
      </c>
      <c r="F177" s="101">
        <v>0</v>
      </c>
      <c r="G177" s="101">
        <v>0</v>
      </c>
      <c r="H177" s="61" t="s">
        <v>80</v>
      </c>
      <c r="I177" s="61" t="s">
        <v>133</v>
      </c>
    </row>
    <row r="178" spans="1:9" x14ac:dyDescent="0.25">
      <c r="A178" s="104">
        <v>164</v>
      </c>
      <c r="B178" s="104">
        <v>104</v>
      </c>
      <c r="C178" s="104">
        <v>105</v>
      </c>
      <c r="D178" s="45" t="s">
        <v>103</v>
      </c>
      <c r="E178" s="61" t="s">
        <v>211</v>
      </c>
      <c r="F178" s="101">
        <v>0</v>
      </c>
      <c r="G178" s="101">
        <v>0</v>
      </c>
      <c r="H178" s="61" t="s">
        <v>80</v>
      </c>
      <c r="I178" s="61" t="s">
        <v>133</v>
      </c>
    </row>
    <row r="179" spans="1:9" x14ac:dyDescent="0.25">
      <c r="A179" s="104">
        <v>165</v>
      </c>
      <c r="B179" s="104">
        <v>106</v>
      </c>
      <c r="C179" s="104">
        <v>107</v>
      </c>
      <c r="D179" s="45" t="s">
        <v>103</v>
      </c>
      <c r="E179" s="61" t="s">
        <v>211</v>
      </c>
      <c r="F179" s="101">
        <v>0</v>
      </c>
      <c r="G179" s="101">
        <v>0</v>
      </c>
      <c r="H179" s="61" t="s">
        <v>80</v>
      </c>
      <c r="I179" s="61" t="s">
        <v>133</v>
      </c>
    </row>
    <row r="180" spans="1:9" x14ac:dyDescent="0.25">
      <c r="A180" s="104">
        <v>166</v>
      </c>
      <c r="B180" s="104">
        <v>107</v>
      </c>
      <c r="C180" s="104">
        <v>108</v>
      </c>
      <c r="D180" s="45" t="s">
        <v>103</v>
      </c>
      <c r="E180" s="61" t="s">
        <v>211</v>
      </c>
      <c r="F180" s="101">
        <v>0</v>
      </c>
      <c r="G180" s="101">
        <v>0</v>
      </c>
      <c r="H180" s="61" t="s">
        <v>80</v>
      </c>
      <c r="I180" s="61" t="s">
        <v>133</v>
      </c>
    </row>
    <row r="181" spans="1:9" x14ac:dyDescent="0.25">
      <c r="A181" s="104">
        <v>167</v>
      </c>
      <c r="B181" s="104">
        <v>108</v>
      </c>
      <c r="C181" s="104">
        <v>109</v>
      </c>
      <c r="D181" s="45" t="s">
        <v>103</v>
      </c>
      <c r="E181" s="61" t="s">
        <v>211</v>
      </c>
      <c r="F181" s="101">
        <v>0</v>
      </c>
      <c r="G181" s="101">
        <v>0</v>
      </c>
      <c r="H181" s="61" t="s">
        <v>80</v>
      </c>
      <c r="I181" s="61" t="s">
        <v>133</v>
      </c>
    </row>
    <row r="182" spans="1:9" x14ac:dyDescent="0.25">
      <c r="A182" s="104">
        <v>168</v>
      </c>
      <c r="B182" s="104">
        <v>109</v>
      </c>
      <c r="C182" s="104">
        <v>110</v>
      </c>
      <c r="D182" s="45" t="s">
        <v>103</v>
      </c>
      <c r="E182" s="61" t="s">
        <v>211</v>
      </c>
      <c r="F182" s="101">
        <v>0</v>
      </c>
      <c r="G182" s="101">
        <v>0</v>
      </c>
      <c r="H182" s="61" t="s">
        <v>80</v>
      </c>
      <c r="I182" s="61" t="s">
        <v>133</v>
      </c>
    </row>
    <row r="183" spans="1:9" x14ac:dyDescent="0.25">
      <c r="A183" s="104">
        <v>169</v>
      </c>
      <c r="B183" s="104">
        <v>111</v>
      </c>
      <c r="C183" s="104">
        <v>112</v>
      </c>
      <c r="D183" s="45" t="s">
        <v>103</v>
      </c>
      <c r="E183" s="61" t="s">
        <v>211</v>
      </c>
      <c r="F183" s="101">
        <v>0</v>
      </c>
      <c r="G183" s="101">
        <v>0</v>
      </c>
      <c r="H183" s="61" t="s">
        <v>80</v>
      </c>
      <c r="I183" s="61" t="s">
        <v>133</v>
      </c>
    </row>
    <row r="184" spans="1:9" x14ac:dyDescent="0.25">
      <c r="A184" s="104">
        <v>170</v>
      </c>
      <c r="B184" s="104">
        <v>112</v>
      </c>
      <c r="C184" s="104">
        <v>113</v>
      </c>
      <c r="D184" s="45" t="s">
        <v>103</v>
      </c>
      <c r="E184" s="61" t="s">
        <v>211</v>
      </c>
      <c r="F184" s="101">
        <v>0</v>
      </c>
      <c r="G184" s="101">
        <v>0</v>
      </c>
      <c r="H184" s="61" t="s">
        <v>80</v>
      </c>
      <c r="I184" s="61" t="s">
        <v>133</v>
      </c>
    </row>
    <row r="185" spans="1:9" x14ac:dyDescent="0.25">
      <c r="A185" s="104">
        <v>171</v>
      </c>
      <c r="B185" s="104">
        <v>113</v>
      </c>
      <c r="C185" s="104">
        <v>114</v>
      </c>
      <c r="D185" s="45" t="s">
        <v>103</v>
      </c>
      <c r="E185" s="61" t="s">
        <v>211</v>
      </c>
      <c r="F185" s="101">
        <v>0</v>
      </c>
      <c r="G185" s="101">
        <v>0</v>
      </c>
      <c r="H185" s="61" t="s">
        <v>80</v>
      </c>
      <c r="I185" s="61" t="s">
        <v>133</v>
      </c>
    </row>
    <row r="186" spans="1:9" x14ac:dyDescent="0.25">
      <c r="A186" s="104">
        <v>172</v>
      </c>
      <c r="B186" s="104">
        <v>114</v>
      </c>
      <c r="C186" s="104">
        <v>115</v>
      </c>
      <c r="D186" s="45" t="s">
        <v>103</v>
      </c>
      <c r="E186" s="61" t="s">
        <v>211</v>
      </c>
      <c r="F186" s="101">
        <v>0</v>
      </c>
      <c r="G186" s="101">
        <v>0</v>
      </c>
      <c r="H186" s="61" t="s">
        <v>80</v>
      </c>
      <c r="I186" s="61" t="s">
        <v>133</v>
      </c>
    </row>
    <row r="187" spans="1:9" x14ac:dyDescent="0.25">
      <c r="A187" s="104">
        <v>173</v>
      </c>
      <c r="B187" s="104">
        <v>116</v>
      </c>
      <c r="C187" s="104">
        <v>117</v>
      </c>
      <c r="D187" s="45" t="s">
        <v>103</v>
      </c>
      <c r="E187" s="61" t="s">
        <v>211</v>
      </c>
      <c r="F187" s="101">
        <v>0</v>
      </c>
      <c r="G187" s="101">
        <v>0</v>
      </c>
      <c r="H187" s="61" t="s">
        <v>80</v>
      </c>
      <c r="I187" s="61" t="s">
        <v>133</v>
      </c>
    </row>
    <row r="188" spans="1:9" x14ac:dyDescent="0.25">
      <c r="A188" s="104">
        <v>174</v>
      </c>
      <c r="B188" s="104">
        <v>117</v>
      </c>
      <c r="C188" s="104">
        <v>118</v>
      </c>
      <c r="D188" s="45" t="s">
        <v>103</v>
      </c>
      <c r="E188" s="61" t="s">
        <v>211</v>
      </c>
      <c r="F188" s="101">
        <v>0</v>
      </c>
      <c r="G188" s="101">
        <v>0</v>
      </c>
      <c r="H188" s="61" t="s">
        <v>80</v>
      </c>
      <c r="I188" s="61" t="s">
        <v>133</v>
      </c>
    </row>
    <row r="189" spans="1:9" x14ac:dyDescent="0.25">
      <c r="A189" s="104">
        <v>175</v>
      </c>
      <c r="B189" s="104">
        <v>118</v>
      </c>
      <c r="C189" s="104">
        <v>119</v>
      </c>
      <c r="D189" s="45" t="s">
        <v>103</v>
      </c>
      <c r="E189" s="61" t="s">
        <v>211</v>
      </c>
      <c r="F189" s="101">
        <v>0</v>
      </c>
      <c r="G189" s="101">
        <v>0</v>
      </c>
      <c r="H189" s="61" t="s">
        <v>80</v>
      </c>
      <c r="I189" s="61" t="s">
        <v>133</v>
      </c>
    </row>
    <row r="190" spans="1:9" x14ac:dyDescent="0.25">
      <c r="A190" s="104">
        <v>176</v>
      </c>
      <c r="B190" s="104">
        <v>119</v>
      </c>
      <c r="C190" s="104">
        <v>120</v>
      </c>
      <c r="D190" s="45" t="s">
        <v>103</v>
      </c>
      <c r="E190" s="61" t="s">
        <v>211</v>
      </c>
      <c r="F190" s="101">
        <v>0</v>
      </c>
      <c r="G190" s="101">
        <v>0</v>
      </c>
      <c r="H190" s="61" t="s">
        <v>80</v>
      </c>
      <c r="I190" s="61" t="s">
        <v>133</v>
      </c>
    </row>
    <row r="191" spans="1:9" x14ac:dyDescent="0.25">
      <c r="A191" s="104">
        <v>177</v>
      </c>
      <c r="B191" s="104">
        <v>121</v>
      </c>
      <c r="C191" s="104">
        <v>122</v>
      </c>
      <c r="D191" s="45" t="s">
        <v>103</v>
      </c>
      <c r="E191" s="61" t="s">
        <v>211</v>
      </c>
      <c r="F191" s="101">
        <v>0</v>
      </c>
      <c r="G191" s="101">
        <v>0</v>
      </c>
      <c r="H191" s="61" t="s">
        <v>80</v>
      </c>
      <c r="I191" s="61" t="s">
        <v>133</v>
      </c>
    </row>
    <row r="192" spans="1:9" x14ac:dyDescent="0.25">
      <c r="A192" s="104">
        <v>178</v>
      </c>
      <c r="B192" s="104">
        <v>122</v>
      </c>
      <c r="C192" s="104">
        <v>123</v>
      </c>
      <c r="D192" s="45" t="s">
        <v>103</v>
      </c>
      <c r="E192" s="61" t="s">
        <v>211</v>
      </c>
      <c r="F192" s="101">
        <v>0</v>
      </c>
      <c r="G192" s="101">
        <v>0</v>
      </c>
      <c r="H192" s="61" t="s">
        <v>80</v>
      </c>
      <c r="I192" s="61" t="s">
        <v>133</v>
      </c>
    </row>
    <row r="193" spans="1:9" x14ac:dyDescent="0.25">
      <c r="A193" s="104">
        <v>179</v>
      </c>
      <c r="B193" s="104">
        <v>123</v>
      </c>
      <c r="C193" s="104">
        <v>124</v>
      </c>
      <c r="D193" s="45" t="s">
        <v>103</v>
      </c>
      <c r="E193" s="61" t="s">
        <v>211</v>
      </c>
      <c r="F193" s="101">
        <v>0</v>
      </c>
      <c r="G193" s="101">
        <v>0</v>
      </c>
      <c r="H193" s="61" t="s">
        <v>80</v>
      </c>
      <c r="I193" s="61" t="s">
        <v>133</v>
      </c>
    </row>
    <row r="194" spans="1:9" x14ac:dyDescent="0.25">
      <c r="A194" s="104">
        <v>180</v>
      </c>
      <c r="B194" s="104">
        <v>124</v>
      </c>
      <c r="C194" s="104">
        <v>125</v>
      </c>
      <c r="D194" s="45" t="s">
        <v>103</v>
      </c>
      <c r="E194" s="61" t="s">
        <v>211</v>
      </c>
      <c r="F194" s="101">
        <v>0</v>
      </c>
      <c r="G194" s="101">
        <v>0</v>
      </c>
      <c r="H194" s="61" t="s">
        <v>80</v>
      </c>
      <c r="I194" s="61" t="s">
        <v>133</v>
      </c>
    </row>
    <row r="195" spans="1:9" x14ac:dyDescent="0.25">
      <c r="A195" s="104">
        <v>181</v>
      </c>
      <c r="B195" s="104">
        <v>26</v>
      </c>
      <c r="C195" s="104">
        <v>31</v>
      </c>
      <c r="D195" s="45" t="s">
        <v>103</v>
      </c>
      <c r="E195" s="61" t="s">
        <v>211</v>
      </c>
      <c r="F195" s="101">
        <v>0</v>
      </c>
      <c r="G195" s="101">
        <v>0</v>
      </c>
      <c r="H195" s="61" t="s">
        <v>80</v>
      </c>
      <c r="I195" s="61" t="s">
        <v>133</v>
      </c>
    </row>
    <row r="196" spans="1:9" x14ac:dyDescent="0.25">
      <c r="A196" s="104">
        <v>182</v>
      </c>
      <c r="B196" s="104">
        <v>27</v>
      </c>
      <c r="C196" s="104">
        <v>32</v>
      </c>
      <c r="D196" s="45" t="s">
        <v>103</v>
      </c>
      <c r="E196" s="61" t="s">
        <v>211</v>
      </c>
      <c r="F196" s="101">
        <v>0</v>
      </c>
      <c r="G196" s="101">
        <v>0</v>
      </c>
      <c r="H196" s="61" t="s">
        <v>80</v>
      </c>
      <c r="I196" s="61" t="s">
        <v>133</v>
      </c>
    </row>
    <row r="197" spans="1:9" x14ac:dyDescent="0.25">
      <c r="A197" s="104">
        <v>183</v>
      </c>
      <c r="B197" s="104">
        <v>28</v>
      </c>
      <c r="C197" s="104">
        <v>33</v>
      </c>
      <c r="D197" s="45" t="s">
        <v>103</v>
      </c>
      <c r="E197" s="61" t="s">
        <v>211</v>
      </c>
      <c r="F197" s="101">
        <v>0</v>
      </c>
      <c r="G197" s="101">
        <v>0</v>
      </c>
      <c r="H197" s="61" t="s">
        <v>80</v>
      </c>
      <c r="I197" s="61" t="s">
        <v>133</v>
      </c>
    </row>
    <row r="198" spans="1:9" x14ac:dyDescent="0.25">
      <c r="A198" s="104">
        <v>184</v>
      </c>
      <c r="B198" s="104">
        <v>29</v>
      </c>
      <c r="C198" s="104">
        <v>34</v>
      </c>
      <c r="D198" s="45" t="s">
        <v>103</v>
      </c>
      <c r="E198" s="61" t="s">
        <v>211</v>
      </c>
      <c r="F198" s="101">
        <v>0</v>
      </c>
      <c r="G198" s="101">
        <v>0</v>
      </c>
      <c r="H198" s="61" t="s">
        <v>80</v>
      </c>
      <c r="I198" s="61" t="s">
        <v>133</v>
      </c>
    </row>
    <row r="199" spans="1:9" x14ac:dyDescent="0.25">
      <c r="A199" s="104">
        <v>185</v>
      </c>
      <c r="B199" s="104">
        <v>30</v>
      </c>
      <c r="C199" s="104">
        <v>35</v>
      </c>
      <c r="D199" s="45" t="s">
        <v>103</v>
      </c>
      <c r="E199" s="61" t="s">
        <v>211</v>
      </c>
      <c r="F199" s="101">
        <v>0</v>
      </c>
      <c r="G199" s="101">
        <v>0</v>
      </c>
      <c r="H199" s="61" t="s">
        <v>80</v>
      </c>
      <c r="I199" s="61" t="s">
        <v>133</v>
      </c>
    </row>
    <row r="200" spans="1:9" x14ac:dyDescent="0.25">
      <c r="A200" s="104">
        <v>186</v>
      </c>
      <c r="B200" s="104">
        <v>31</v>
      </c>
      <c r="C200" s="104">
        <v>36</v>
      </c>
      <c r="D200" s="45" t="s">
        <v>103</v>
      </c>
      <c r="E200" s="61" t="s">
        <v>211</v>
      </c>
      <c r="F200" s="101">
        <v>0</v>
      </c>
      <c r="G200" s="101">
        <v>0</v>
      </c>
      <c r="H200" s="61" t="s">
        <v>80</v>
      </c>
      <c r="I200" s="61" t="s">
        <v>133</v>
      </c>
    </row>
    <row r="201" spans="1:9" x14ac:dyDescent="0.25">
      <c r="A201" s="104">
        <v>187</v>
      </c>
      <c r="B201" s="104">
        <v>32</v>
      </c>
      <c r="C201" s="104">
        <v>37</v>
      </c>
      <c r="D201" s="45" t="s">
        <v>103</v>
      </c>
      <c r="E201" s="61" t="s">
        <v>211</v>
      </c>
      <c r="F201" s="101">
        <v>0</v>
      </c>
      <c r="G201" s="101">
        <v>0</v>
      </c>
      <c r="H201" s="61" t="s">
        <v>80</v>
      </c>
      <c r="I201" s="61" t="s">
        <v>133</v>
      </c>
    </row>
    <row r="202" spans="1:9" x14ac:dyDescent="0.25">
      <c r="A202" s="104">
        <v>188</v>
      </c>
      <c r="B202" s="104">
        <v>33</v>
      </c>
      <c r="C202" s="104">
        <v>38</v>
      </c>
      <c r="D202" s="45" t="s">
        <v>103</v>
      </c>
      <c r="E202" s="61" t="s">
        <v>211</v>
      </c>
      <c r="F202" s="101">
        <v>0</v>
      </c>
      <c r="G202" s="101">
        <v>0</v>
      </c>
      <c r="H202" s="61" t="s">
        <v>80</v>
      </c>
      <c r="I202" s="61" t="s">
        <v>133</v>
      </c>
    </row>
    <row r="203" spans="1:9" x14ac:dyDescent="0.25">
      <c r="A203" s="104">
        <v>189</v>
      </c>
      <c r="B203" s="104">
        <v>34</v>
      </c>
      <c r="C203" s="104">
        <v>39</v>
      </c>
      <c r="D203" s="45" t="s">
        <v>103</v>
      </c>
      <c r="E203" s="61" t="s">
        <v>211</v>
      </c>
      <c r="F203" s="101">
        <v>0</v>
      </c>
      <c r="G203" s="101">
        <v>0</v>
      </c>
      <c r="H203" s="61" t="s">
        <v>80</v>
      </c>
      <c r="I203" s="61" t="s">
        <v>133</v>
      </c>
    </row>
    <row r="204" spans="1:9" x14ac:dyDescent="0.25">
      <c r="A204" s="104">
        <v>190</v>
      </c>
      <c r="B204" s="104">
        <v>35</v>
      </c>
      <c r="C204" s="104">
        <v>40</v>
      </c>
      <c r="D204" s="45" t="s">
        <v>103</v>
      </c>
      <c r="E204" s="61" t="s">
        <v>211</v>
      </c>
      <c r="F204" s="101">
        <v>0</v>
      </c>
      <c r="G204" s="101">
        <v>0</v>
      </c>
      <c r="H204" s="61" t="s">
        <v>80</v>
      </c>
      <c r="I204" s="61" t="s">
        <v>133</v>
      </c>
    </row>
    <row r="205" spans="1:9" x14ac:dyDescent="0.25">
      <c r="A205" s="104">
        <v>191</v>
      </c>
      <c r="B205" s="104">
        <v>36</v>
      </c>
      <c r="C205" s="104">
        <v>41</v>
      </c>
      <c r="D205" s="45" t="s">
        <v>103</v>
      </c>
      <c r="E205" s="61" t="s">
        <v>211</v>
      </c>
      <c r="F205" s="101">
        <v>0</v>
      </c>
      <c r="G205" s="101">
        <v>0</v>
      </c>
      <c r="H205" s="61" t="s">
        <v>80</v>
      </c>
      <c r="I205" s="61" t="s">
        <v>133</v>
      </c>
    </row>
    <row r="206" spans="1:9" x14ac:dyDescent="0.25">
      <c r="A206" s="104">
        <v>192</v>
      </c>
      <c r="B206" s="104">
        <v>37</v>
      </c>
      <c r="C206" s="104">
        <v>42</v>
      </c>
      <c r="D206" s="45" t="s">
        <v>103</v>
      </c>
      <c r="E206" s="61" t="s">
        <v>211</v>
      </c>
      <c r="F206" s="101">
        <v>0</v>
      </c>
      <c r="G206" s="101">
        <v>0</v>
      </c>
      <c r="H206" s="61" t="s">
        <v>80</v>
      </c>
      <c r="I206" s="61" t="s">
        <v>133</v>
      </c>
    </row>
    <row r="207" spans="1:9" x14ac:dyDescent="0.25">
      <c r="A207" s="104">
        <v>193</v>
      </c>
      <c r="B207" s="104">
        <v>38</v>
      </c>
      <c r="C207" s="104">
        <v>43</v>
      </c>
      <c r="D207" s="45" t="s">
        <v>103</v>
      </c>
      <c r="E207" s="61" t="s">
        <v>211</v>
      </c>
      <c r="F207" s="101">
        <v>0</v>
      </c>
      <c r="G207" s="101">
        <v>0</v>
      </c>
      <c r="H207" s="61" t="s">
        <v>80</v>
      </c>
      <c r="I207" s="61" t="s">
        <v>133</v>
      </c>
    </row>
    <row r="208" spans="1:9" x14ac:dyDescent="0.25">
      <c r="A208" s="104">
        <v>194</v>
      </c>
      <c r="B208" s="104">
        <v>39</v>
      </c>
      <c r="C208" s="104">
        <v>44</v>
      </c>
      <c r="D208" s="45" t="s">
        <v>103</v>
      </c>
      <c r="E208" s="61" t="s">
        <v>211</v>
      </c>
      <c r="F208" s="101">
        <v>0</v>
      </c>
      <c r="G208" s="101">
        <v>0</v>
      </c>
      <c r="H208" s="61" t="s">
        <v>80</v>
      </c>
      <c r="I208" s="61" t="s">
        <v>133</v>
      </c>
    </row>
    <row r="209" spans="1:9" x14ac:dyDescent="0.25">
      <c r="A209" s="104">
        <v>195</v>
      </c>
      <c r="B209" s="104">
        <v>40</v>
      </c>
      <c r="C209" s="104">
        <v>45</v>
      </c>
      <c r="D209" s="45" t="s">
        <v>103</v>
      </c>
      <c r="E209" s="61" t="s">
        <v>211</v>
      </c>
      <c r="F209" s="101">
        <v>0</v>
      </c>
      <c r="G209" s="101">
        <v>0</v>
      </c>
      <c r="H209" s="61" t="s">
        <v>80</v>
      </c>
      <c r="I209" s="61" t="s">
        <v>133</v>
      </c>
    </row>
    <row r="210" spans="1:9" x14ac:dyDescent="0.25">
      <c r="A210" s="104">
        <v>196</v>
      </c>
      <c r="B210" s="104">
        <v>41</v>
      </c>
      <c r="C210" s="104">
        <v>46</v>
      </c>
      <c r="D210" s="45" t="s">
        <v>103</v>
      </c>
      <c r="E210" s="61" t="s">
        <v>211</v>
      </c>
      <c r="F210" s="101">
        <v>0</v>
      </c>
      <c r="G210" s="101">
        <v>0</v>
      </c>
      <c r="H210" s="61" t="s">
        <v>80</v>
      </c>
      <c r="I210" s="61" t="s">
        <v>133</v>
      </c>
    </row>
    <row r="211" spans="1:9" x14ac:dyDescent="0.25">
      <c r="A211" s="104">
        <v>197</v>
      </c>
      <c r="B211" s="104">
        <v>42</v>
      </c>
      <c r="C211" s="104">
        <v>47</v>
      </c>
      <c r="D211" s="45" t="s">
        <v>103</v>
      </c>
      <c r="E211" s="61" t="s">
        <v>211</v>
      </c>
      <c r="F211" s="101">
        <v>0</v>
      </c>
      <c r="G211" s="101">
        <v>0</v>
      </c>
      <c r="H211" s="61" t="s">
        <v>80</v>
      </c>
      <c r="I211" s="61" t="s">
        <v>133</v>
      </c>
    </row>
    <row r="212" spans="1:9" x14ac:dyDescent="0.25">
      <c r="A212" s="104">
        <v>198</v>
      </c>
      <c r="B212" s="104">
        <v>43</v>
      </c>
      <c r="C212" s="104">
        <v>48</v>
      </c>
      <c r="D212" s="45" t="s">
        <v>103</v>
      </c>
      <c r="E212" s="61" t="s">
        <v>211</v>
      </c>
      <c r="F212" s="101">
        <v>0</v>
      </c>
      <c r="G212" s="101">
        <v>0</v>
      </c>
      <c r="H212" s="61" t="s">
        <v>80</v>
      </c>
      <c r="I212" s="61" t="s">
        <v>133</v>
      </c>
    </row>
    <row r="213" spans="1:9" x14ac:dyDescent="0.25">
      <c r="A213" s="104">
        <v>199</v>
      </c>
      <c r="B213" s="104">
        <v>44</v>
      </c>
      <c r="C213" s="104">
        <v>49</v>
      </c>
      <c r="D213" s="45" t="s">
        <v>103</v>
      </c>
      <c r="E213" s="61" t="s">
        <v>211</v>
      </c>
      <c r="F213" s="101">
        <v>0</v>
      </c>
      <c r="G213" s="101">
        <v>0</v>
      </c>
      <c r="H213" s="61" t="s">
        <v>80</v>
      </c>
      <c r="I213" s="61" t="s">
        <v>133</v>
      </c>
    </row>
    <row r="214" spans="1:9" x14ac:dyDescent="0.25">
      <c r="A214" s="104">
        <v>200</v>
      </c>
      <c r="B214" s="104">
        <v>45</v>
      </c>
      <c r="C214" s="104">
        <v>50</v>
      </c>
      <c r="D214" s="45" t="s">
        <v>103</v>
      </c>
      <c r="E214" s="61" t="s">
        <v>211</v>
      </c>
      <c r="F214" s="101">
        <v>0</v>
      </c>
      <c r="G214" s="101">
        <v>0</v>
      </c>
      <c r="H214" s="61" t="s">
        <v>80</v>
      </c>
      <c r="I214" s="61" t="s">
        <v>133</v>
      </c>
    </row>
    <row r="215" spans="1:9" x14ac:dyDescent="0.25">
      <c r="A215" s="104">
        <v>201</v>
      </c>
      <c r="B215" s="104">
        <v>51</v>
      </c>
      <c r="C215" s="104">
        <v>56</v>
      </c>
      <c r="D215" s="45" t="s">
        <v>103</v>
      </c>
      <c r="E215" s="61" t="s">
        <v>211</v>
      </c>
      <c r="F215" s="101">
        <v>0</v>
      </c>
      <c r="G215" s="101">
        <v>0</v>
      </c>
      <c r="H215" s="61" t="s">
        <v>80</v>
      </c>
      <c r="I215" s="61" t="s">
        <v>133</v>
      </c>
    </row>
    <row r="216" spans="1:9" x14ac:dyDescent="0.25">
      <c r="A216" s="104">
        <v>202</v>
      </c>
      <c r="B216" s="104">
        <v>52</v>
      </c>
      <c r="C216" s="104">
        <v>57</v>
      </c>
      <c r="D216" s="45" t="s">
        <v>103</v>
      </c>
      <c r="E216" s="61" t="s">
        <v>211</v>
      </c>
      <c r="F216" s="101">
        <v>0</v>
      </c>
      <c r="G216" s="101">
        <v>0</v>
      </c>
      <c r="H216" s="61" t="s">
        <v>80</v>
      </c>
      <c r="I216" s="61" t="s">
        <v>133</v>
      </c>
    </row>
    <row r="217" spans="1:9" x14ac:dyDescent="0.25">
      <c r="A217" s="104">
        <v>203</v>
      </c>
      <c r="B217" s="104">
        <v>53</v>
      </c>
      <c r="C217" s="104">
        <v>58</v>
      </c>
      <c r="D217" s="45" t="s">
        <v>103</v>
      </c>
      <c r="E217" s="61" t="s">
        <v>211</v>
      </c>
      <c r="F217" s="101">
        <v>0</v>
      </c>
      <c r="G217" s="101">
        <v>0</v>
      </c>
      <c r="H217" s="61" t="s">
        <v>80</v>
      </c>
      <c r="I217" s="61" t="s">
        <v>133</v>
      </c>
    </row>
    <row r="218" spans="1:9" x14ac:dyDescent="0.25">
      <c r="A218" s="104">
        <v>204</v>
      </c>
      <c r="B218" s="104">
        <v>54</v>
      </c>
      <c r="C218" s="104">
        <v>59</v>
      </c>
      <c r="D218" s="45" t="s">
        <v>103</v>
      </c>
      <c r="E218" s="61" t="s">
        <v>211</v>
      </c>
      <c r="F218" s="101">
        <v>0</v>
      </c>
      <c r="G218" s="101">
        <v>0</v>
      </c>
      <c r="H218" s="61" t="s">
        <v>80</v>
      </c>
      <c r="I218" s="61" t="s">
        <v>133</v>
      </c>
    </row>
    <row r="219" spans="1:9" x14ac:dyDescent="0.25">
      <c r="A219" s="104">
        <v>205</v>
      </c>
      <c r="B219" s="104">
        <v>55</v>
      </c>
      <c r="C219" s="104">
        <v>60</v>
      </c>
      <c r="D219" s="45" t="s">
        <v>103</v>
      </c>
      <c r="E219" s="61" t="s">
        <v>211</v>
      </c>
      <c r="F219" s="101">
        <v>0</v>
      </c>
      <c r="G219" s="101">
        <v>0</v>
      </c>
      <c r="H219" s="61" t="s">
        <v>80</v>
      </c>
      <c r="I219" s="61" t="s">
        <v>133</v>
      </c>
    </row>
    <row r="220" spans="1:9" x14ac:dyDescent="0.25">
      <c r="A220" s="104">
        <v>206</v>
      </c>
      <c r="B220" s="104">
        <v>56</v>
      </c>
      <c r="C220" s="104">
        <v>61</v>
      </c>
      <c r="D220" s="45" t="s">
        <v>103</v>
      </c>
      <c r="E220" s="61" t="s">
        <v>211</v>
      </c>
      <c r="F220" s="101">
        <v>0</v>
      </c>
      <c r="G220" s="101">
        <v>0</v>
      </c>
      <c r="H220" s="61" t="s">
        <v>80</v>
      </c>
      <c r="I220" s="61" t="s">
        <v>133</v>
      </c>
    </row>
    <row r="221" spans="1:9" x14ac:dyDescent="0.25">
      <c r="A221" s="104">
        <v>207</v>
      </c>
      <c r="B221" s="104">
        <v>57</v>
      </c>
      <c r="C221" s="104">
        <v>62</v>
      </c>
      <c r="D221" s="45" t="s">
        <v>103</v>
      </c>
      <c r="E221" s="61" t="s">
        <v>211</v>
      </c>
      <c r="F221" s="101">
        <v>0</v>
      </c>
      <c r="G221" s="101">
        <v>0</v>
      </c>
      <c r="H221" s="61" t="s">
        <v>80</v>
      </c>
      <c r="I221" s="61" t="s">
        <v>133</v>
      </c>
    </row>
    <row r="222" spans="1:9" x14ac:dyDescent="0.25">
      <c r="A222" s="104">
        <v>208</v>
      </c>
      <c r="B222" s="104">
        <v>58</v>
      </c>
      <c r="C222" s="104">
        <v>63</v>
      </c>
      <c r="D222" s="45" t="s">
        <v>103</v>
      </c>
      <c r="E222" s="61" t="s">
        <v>211</v>
      </c>
      <c r="F222" s="101">
        <v>0</v>
      </c>
      <c r="G222" s="101">
        <v>0</v>
      </c>
      <c r="H222" s="61" t="s">
        <v>80</v>
      </c>
      <c r="I222" s="61" t="s">
        <v>133</v>
      </c>
    </row>
    <row r="223" spans="1:9" x14ac:dyDescent="0.25">
      <c r="A223" s="104">
        <v>209</v>
      </c>
      <c r="B223" s="104">
        <v>59</v>
      </c>
      <c r="C223" s="104">
        <v>64</v>
      </c>
      <c r="D223" s="45" t="s">
        <v>103</v>
      </c>
      <c r="E223" s="61" t="s">
        <v>211</v>
      </c>
      <c r="F223" s="101">
        <v>0</v>
      </c>
      <c r="G223" s="101">
        <v>0</v>
      </c>
      <c r="H223" s="61" t="s">
        <v>80</v>
      </c>
      <c r="I223" s="61" t="s">
        <v>133</v>
      </c>
    </row>
    <row r="224" spans="1:9" x14ac:dyDescent="0.25">
      <c r="A224" s="104">
        <v>210</v>
      </c>
      <c r="B224" s="104">
        <v>60</v>
      </c>
      <c r="C224" s="104">
        <v>65</v>
      </c>
      <c r="D224" s="45" t="s">
        <v>103</v>
      </c>
      <c r="E224" s="61" t="s">
        <v>211</v>
      </c>
      <c r="F224" s="101">
        <v>0</v>
      </c>
      <c r="G224" s="101">
        <v>0</v>
      </c>
      <c r="H224" s="61" t="s">
        <v>80</v>
      </c>
      <c r="I224" s="61" t="s">
        <v>133</v>
      </c>
    </row>
    <row r="225" spans="1:9" x14ac:dyDescent="0.25">
      <c r="A225" s="104">
        <v>211</v>
      </c>
      <c r="B225" s="104">
        <v>61</v>
      </c>
      <c r="C225" s="104">
        <v>66</v>
      </c>
      <c r="D225" s="45" t="s">
        <v>103</v>
      </c>
      <c r="E225" s="61" t="s">
        <v>211</v>
      </c>
      <c r="F225" s="101">
        <v>0</v>
      </c>
      <c r="G225" s="101">
        <v>0</v>
      </c>
      <c r="H225" s="61" t="s">
        <v>80</v>
      </c>
      <c r="I225" s="61" t="s">
        <v>133</v>
      </c>
    </row>
    <row r="226" spans="1:9" x14ac:dyDescent="0.25">
      <c r="A226" s="104">
        <v>212</v>
      </c>
      <c r="B226" s="104">
        <v>62</v>
      </c>
      <c r="C226" s="104">
        <v>67</v>
      </c>
      <c r="D226" s="45" t="s">
        <v>103</v>
      </c>
      <c r="E226" s="61" t="s">
        <v>211</v>
      </c>
      <c r="F226" s="101">
        <v>0</v>
      </c>
      <c r="G226" s="101">
        <v>0</v>
      </c>
      <c r="H226" s="61" t="s">
        <v>80</v>
      </c>
      <c r="I226" s="61" t="s">
        <v>133</v>
      </c>
    </row>
    <row r="227" spans="1:9" x14ac:dyDescent="0.25">
      <c r="A227" s="104">
        <v>213</v>
      </c>
      <c r="B227" s="104">
        <v>63</v>
      </c>
      <c r="C227" s="104">
        <v>68</v>
      </c>
      <c r="D227" s="45" t="s">
        <v>103</v>
      </c>
      <c r="E227" s="61" t="s">
        <v>211</v>
      </c>
      <c r="F227" s="101">
        <v>0</v>
      </c>
      <c r="G227" s="101">
        <v>0</v>
      </c>
      <c r="H227" s="61" t="s">
        <v>80</v>
      </c>
      <c r="I227" s="61" t="s">
        <v>133</v>
      </c>
    </row>
    <row r="228" spans="1:9" x14ac:dyDescent="0.25">
      <c r="A228" s="104">
        <v>214</v>
      </c>
      <c r="B228" s="104">
        <v>64</v>
      </c>
      <c r="C228" s="104">
        <v>69</v>
      </c>
      <c r="D228" s="45" t="s">
        <v>103</v>
      </c>
      <c r="E228" s="61" t="s">
        <v>211</v>
      </c>
      <c r="F228" s="101">
        <v>0</v>
      </c>
      <c r="G228" s="101">
        <v>0</v>
      </c>
      <c r="H228" s="61" t="s">
        <v>80</v>
      </c>
      <c r="I228" s="61" t="s">
        <v>133</v>
      </c>
    </row>
    <row r="229" spans="1:9" x14ac:dyDescent="0.25">
      <c r="A229" s="104">
        <v>215</v>
      </c>
      <c r="B229" s="104">
        <v>65</v>
      </c>
      <c r="C229" s="104">
        <v>70</v>
      </c>
      <c r="D229" s="45" t="s">
        <v>103</v>
      </c>
      <c r="E229" s="61" t="s">
        <v>211</v>
      </c>
      <c r="F229" s="101">
        <v>0</v>
      </c>
      <c r="G229" s="101">
        <v>0</v>
      </c>
      <c r="H229" s="61" t="s">
        <v>80</v>
      </c>
      <c r="I229" s="61" t="s">
        <v>133</v>
      </c>
    </row>
    <row r="230" spans="1:9" x14ac:dyDescent="0.25">
      <c r="A230" s="104">
        <v>216</v>
      </c>
      <c r="B230" s="104">
        <v>66</v>
      </c>
      <c r="C230" s="104">
        <v>71</v>
      </c>
      <c r="D230" s="45" t="s">
        <v>103</v>
      </c>
      <c r="E230" s="61" t="s">
        <v>211</v>
      </c>
      <c r="F230" s="101">
        <v>0</v>
      </c>
      <c r="G230" s="101">
        <v>0</v>
      </c>
      <c r="H230" s="61" t="s">
        <v>80</v>
      </c>
      <c r="I230" s="61" t="s">
        <v>133</v>
      </c>
    </row>
    <row r="231" spans="1:9" x14ac:dyDescent="0.25">
      <c r="A231" s="104">
        <v>217</v>
      </c>
      <c r="B231" s="104">
        <v>67</v>
      </c>
      <c r="C231" s="104">
        <v>72</v>
      </c>
      <c r="D231" s="45" t="s">
        <v>103</v>
      </c>
      <c r="E231" s="61" t="s">
        <v>211</v>
      </c>
      <c r="F231" s="101">
        <v>0</v>
      </c>
      <c r="G231" s="101">
        <v>0</v>
      </c>
      <c r="H231" s="61" t="s">
        <v>80</v>
      </c>
      <c r="I231" s="61" t="s">
        <v>133</v>
      </c>
    </row>
    <row r="232" spans="1:9" x14ac:dyDescent="0.25">
      <c r="A232" s="104">
        <v>218</v>
      </c>
      <c r="B232" s="104">
        <v>68</v>
      </c>
      <c r="C232" s="104">
        <v>73</v>
      </c>
      <c r="D232" s="45" t="s">
        <v>103</v>
      </c>
      <c r="E232" s="61" t="s">
        <v>211</v>
      </c>
      <c r="F232" s="101">
        <v>0</v>
      </c>
      <c r="G232" s="101">
        <v>0</v>
      </c>
      <c r="H232" s="61" t="s">
        <v>80</v>
      </c>
      <c r="I232" s="61" t="s">
        <v>133</v>
      </c>
    </row>
    <row r="233" spans="1:9" x14ac:dyDescent="0.25">
      <c r="A233" s="104">
        <v>219</v>
      </c>
      <c r="B233" s="104">
        <v>69</v>
      </c>
      <c r="C233" s="104">
        <v>74</v>
      </c>
      <c r="D233" s="45" t="s">
        <v>103</v>
      </c>
      <c r="E233" s="61" t="s">
        <v>211</v>
      </c>
      <c r="F233" s="101">
        <v>0</v>
      </c>
      <c r="G233" s="101">
        <v>0</v>
      </c>
      <c r="H233" s="61" t="s">
        <v>80</v>
      </c>
      <c r="I233" s="61" t="s">
        <v>133</v>
      </c>
    </row>
    <row r="234" spans="1:9" x14ac:dyDescent="0.25">
      <c r="A234" s="104">
        <v>220</v>
      </c>
      <c r="B234" s="104">
        <v>70</v>
      </c>
      <c r="C234" s="104">
        <v>75</v>
      </c>
      <c r="D234" s="45" t="s">
        <v>103</v>
      </c>
      <c r="E234" s="61" t="s">
        <v>211</v>
      </c>
      <c r="F234" s="101">
        <v>0</v>
      </c>
      <c r="G234" s="101">
        <v>0</v>
      </c>
      <c r="H234" s="61" t="s">
        <v>80</v>
      </c>
      <c r="I234" s="61" t="s">
        <v>133</v>
      </c>
    </row>
    <row r="235" spans="1:9" x14ac:dyDescent="0.25">
      <c r="A235" s="104">
        <v>221</v>
      </c>
      <c r="B235" s="104">
        <v>76</v>
      </c>
      <c r="C235" s="104">
        <v>81</v>
      </c>
      <c r="D235" s="45" t="s">
        <v>103</v>
      </c>
      <c r="E235" s="61" t="s">
        <v>211</v>
      </c>
      <c r="F235" s="101">
        <v>0</v>
      </c>
      <c r="G235" s="101">
        <v>0</v>
      </c>
      <c r="H235" s="61" t="s">
        <v>80</v>
      </c>
      <c r="I235" s="61" t="s">
        <v>133</v>
      </c>
    </row>
    <row r="236" spans="1:9" x14ac:dyDescent="0.25">
      <c r="A236" s="104">
        <v>222</v>
      </c>
      <c r="B236" s="104">
        <v>77</v>
      </c>
      <c r="C236" s="104">
        <v>82</v>
      </c>
      <c r="D236" s="45" t="s">
        <v>103</v>
      </c>
      <c r="E236" s="61" t="s">
        <v>211</v>
      </c>
      <c r="F236" s="101">
        <v>0</v>
      </c>
      <c r="G236" s="101">
        <v>0</v>
      </c>
      <c r="H236" s="61" t="s">
        <v>80</v>
      </c>
      <c r="I236" s="61" t="s">
        <v>133</v>
      </c>
    </row>
    <row r="237" spans="1:9" x14ac:dyDescent="0.25">
      <c r="A237" s="104">
        <v>223</v>
      </c>
      <c r="B237" s="104">
        <v>78</v>
      </c>
      <c r="C237" s="104">
        <v>83</v>
      </c>
      <c r="D237" s="45" t="s">
        <v>103</v>
      </c>
      <c r="E237" s="61" t="s">
        <v>211</v>
      </c>
      <c r="F237" s="101">
        <v>0</v>
      </c>
      <c r="G237" s="101">
        <v>0</v>
      </c>
      <c r="H237" s="61" t="s">
        <v>80</v>
      </c>
      <c r="I237" s="61" t="s">
        <v>133</v>
      </c>
    </row>
    <row r="238" spans="1:9" x14ac:dyDescent="0.25">
      <c r="A238" s="104">
        <v>224</v>
      </c>
      <c r="B238" s="104">
        <v>79</v>
      </c>
      <c r="C238" s="104">
        <v>84</v>
      </c>
      <c r="D238" s="45" t="s">
        <v>103</v>
      </c>
      <c r="E238" s="61" t="s">
        <v>211</v>
      </c>
      <c r="F238" s="101">
        <v>0</v>
      </c>
      <c r="G238" s="101">
        <v>0</v>
      </c>
      <c r="H238" s="61" t="s">
        <v>80</v>
      </c>
      <c r="I238" s="61" t="s">
        <v>133</v>
      </c>
    </row>
    <row r="239" spans="1:9" x14ac:dyDescent="0.25">
      <c r="A239" s="104">
        <v>225</v>
      </c>
      <c r="B239" s="104">
        <v>80</v>
      </c>
      <c r="C239" s="104">
        <v>85</v>
      </c>
      <c r="D239" s="45" t="s">
        <v>103</v>
      </c>
      <c r="E239" s="61" t="s">
        <v>211</v>
      </c>
      <c r="F239" s="101">
        <v>0</v>
      </c>
      <c r="G239" s="101">
        <v>0</v>
      </c>
      <c r="H239" s="61" t="s">
        <v>80</v>
      </c>
      <c r="I239" s="61" t="s">
        <v>133</v>
      </c>
    </row>
    <row r="240" spans="1:9" x14ac:dyDescent="0.25">
      <c r="A240" s="104">
        <v>226</v>
      </c>
      <c r="B240" s="104">
        <v>81</v>
      </c>
      <c r="C240" s="104">
        <v>86</v>
      </c>
      <c r="D240" s="45" t="s">
        <v>103</v>
      </c>
      <c r="E240" s="61" t="s">
        <v>211</v>
      </c>
      <c r="F240" s="101">
        <v>0</v>
      </c>
      <c r="G240" s="101">
        <v>0</v>
      </c>
      <c r="H240" s="61" t="s">
        <v>80</v>
      </c>
      <c r="I240" s="61" t="s">
        <v>133</v>
      </c>
    </row>
    <row r="241" spans="1:9" x14ac:dyDescent="0.25">
      <c r="A241" s="104">
        <v>227</v>
      </c>
      <c r="B241" s="104">
        <v>82</v>
      </c>
      <c r="C241" s="104">
        <v>87</v>
      </c>
      <c r="D241" s="45" t="s">
        <v>103</v>
      </c>
      <c r="E241" s="61" t="s">
        <v>211</v>
      </c>
      <c r="F241" s="101">
        <v>0</v>
      </c>
      <c r="G241" s="101">
        <v>0</v>
      </c>
      <c r="H241" s="61" t="s">
        <v>80</v>
      </c>
      <c r="I241" s="61" t="s">
        <v>133</v>
      </c>
    </row>
    <row r="242" spans="1:9" x14ac:dyDescent="0.25">
      <c r="A242" s="104">
        <v>228</v>
      </c>
      <c r="B242" s="104">
        <v>83</v>
      </c>
      <c r="C242" s="104">
        <v>88</v>
      </c>
      <c r="D242" s="45" t="s">
        <v>103</v>
      </c>
      <c r="E242" s="61" t="s">
        <v>211</v>
      </c>
      <c r="F242" s="101">
        <v>0</v>
      </c>
      <c r="G242" s="101">
        <v>0</v>
      </c>
      <c r="H242" s="61" t="s">
        <v>80</v>
      </c>
      <c r="I242" s="61" t="s">
        <v>133</v>
      </c>
    </row>
    <row r="243" spans="1:9" x14ac:dyDescent="0.25">
      <c r="A243" s="104">
        <v>229</v>
      </c>
      <c r="B243" s="104">
        <v>84</v>
      </c>
      <c r="C243" s="104">
        <v>89</v>
      </c>
      <c r="D243" s="45" t="s">
        <v>103</v>
      </c>
      <c r="E243" s="61" t="s">
        <v>211</v>
      </c>
      <c r="F243" s="101">
        <v>0</v>
      </c>
      <c r="G243" s="101">
        <v>0</v>
      </c>
      <c r="H243" s="61" t="s">
        <v>80</v>
      </c>
      <c r="I243" s="61" t="s">
        <v>133</v>
      </c>
    </row>
    <row r="244" spans="1:9" x14ac:dyDescent="0.25">
      <c r="A244" s="104">
        <v>230</v>
      </c>
      <c r="B244" s="104">
        <v>85</v>
      </c>
      <c r="C244" s="104">
        <v>90</v>
      </c>
      <c r="D244" s="45" t="s">
        <v>103</v>
      </c>
      <c r="E244" s="61" t="s">
        <v>211</v>
      </c>
      <c r="F244" s="101">
        <v>0</v>
      </c>
      <c r="G244" s="101">
        <v>0</v>
      </c>
      <c r="H244" s="61" t="s">
        <v>80</v>
      </c>
      <c r="I244" s="61" t="s">
        <v>133</v>
      </c>
    </row>
    <row r="245" spans="1:9" x14ac:dyDescent="0.25">
      <c r="A245" s="104">
        <v>231</v>
      </c>
      <c r="B245" s="104">
        <v>86</v>
      </c>
      <c r="C245" s="104">
        <v>91</v>
      </c>
      <c r="D245" s="45" t="s">
        <v>103</v>
      </c>
      <c r="E245" s="61" t="s">
        <v>211</v>
      </c>
      <c r="F245" s="101">
        <v>0</v>
      </c>
      <c r="G245" s="101">
        <v>0</v>
      </c>
      <c r="H245" s="61" t="s">
        <v>80</v>
      </c>
      <c r="I245" s="61" t="s">
        <v>133</v>
      </c>
    </row>
    <row r="246" spans="1:9" x14ac:dyDescent="0.25">
      <c r="A246" s="104">
        <v>232</v>
      </c>
      <c r="B246" s="104">
        <v>87</v>
      </c>
      <c r="C246" s="104">
        <v>92</v>
      </c>
      <c r="D246" s="45" t="s">
        <v>103</v>
      </c>
      <c r="E246" s="61" t="s">
        <v>211</v>
      </c>
      <c r="F246" s="101">
        <v>0</v>
      </c>
      <c r="G246" s="101">
        <v>0</v>
      </c>
      <c r="H246" s="61" t="s">
        <v>80</v>
      </c>
      <c r="I246" s="61" t="s">
        <v>133</v>
      </c>
    </row>
    <row r="247" spans="1:9" x14ac:dyDescent="0.25">
      <c r="A247" s="104">
        <v>233</v>
      </c>
      <c r="B247" s="104">
        <v>88</v>
      </c>
      <c r="C247" s="104">
        <v>93</v>
      </c>
      <c r="D247" s="45" t="s">
        <v>103</v>
      </c>
      <c r="E247" s="61" t="s">
        <v>211</v>
      </c>
      <c r="F247" s="101">
        <v>0</v>
      </c>
      <c r="G247" s="101">
        <v>0</v>
      </c>
      <c r="H247" s="61" t="s">
        <v>80</v>
      </c>
      <c r="I247" s="61" t="s">
        <v>133</v>
      </c>
    </row>
    <row r="248" spans="1:9" x14ac:dyDescent="0.25">
      <c r="A248" s="104">
        <v>234</v>
      </c>
      <c r="B248" s="104">
        <v>89</v>
      </c>
      <c r="C248" s="104">
        <v>94</v>
      </c>
      <c r="D248" s="45" t="s">
        <v>103</v>
      </c>
      <c r="E248" s="61" t="s">
        <v>211</v>
      </c>
      <c r="F248" s="101">
        <v>0</v>
      </c>
      <c r="G248" s="101">
        <v>0</v>
      </c>
      <c r="H248" s="61" t="s">
        <v>80</v>
      </c>
      <c r="I248" s="61" t="s">
        <v>133</v>
      </c>
    </row>
    <row r="249" spans="1:9" x14ac:dyDescent="0.25">
      <c r="A249" s="104">
        <v>235</v>
      </c>
      <c r="B249" s="104">
        <v>90</v>
      </c>
      <c r="C249" s="104">
        <v>95</v>
      </c>
      <c r="D249" s="45" t="s">
        <v>103</v>
      </c>
      <c r="E249" s="61" t="s">
        <v>211</v>
      </c>
      <c r="F249" s="101">
        <v>0</v>
      </c>
      <c r="G249" s="101">
        <v>0</v>
      </c>
      <c r="H249" s="61" t="s">
        <v>80</v>
      </c>
      <c r="I249" s="61" t="s">
        <v>133</v>
      </c>
    </row>
    <row r="250" spans="1:9" x14ac:dyDescent="0.25">
      <c r="A250" s="104">
        <v>236</v>
      </c>
      <c r="B250" s="104">
        <v>91</v>
      </c>
      <c r="C250" s="104">
        <v>96</v>
      </c>
      <c r="D250" s="45" t="s">
        <v>103</v>
      </c>
      <c r="E250" s="61" t="s">
        <v>211</v>
      </c>
      <c r="F250" s="101">
        <v>0</v>
      </c>
      <c r="G250" s="101">
        <v>0</v>
      </c>
      <c r="H250" s="61" t="s">
        <v>80</v>
      </c>
      <c r="I250" s="61" t="s">
        <v>133</v>
      </c>
    </row>
    <row r="251" spans="1:9" x14ac:dyDescent="0.25">
      <c r="A251" s="104">
        <v>237</v>
      </c>
      <c r="B251" s="104">
        <v>92</v>
      </c>
      <c r="C251" s="104">
        <v>97</v>
      </c>
      <c r="D251" s="45" t="s">
        <v>103</v>
      </c>
      <c r="E251" s="61" t="s">
        <v>211</v>
      </c>
      <c r="F251" s="101">
        <v>0</v>
      </c>
      <c r="G251" s="101">
        <v>0</v>
      </c>
      <c r="H251" s="61" t="s">
        <v>80</v>
      </c>
      <c r="I251" s="61" t="s">
        <v>133</v>
      </c>
    </row>
    <row r="252" spans="1:9" x14ac:dyDescent="0.25">
      <c r="A252" s="104">
        <v>238</v>
      </c>
      <c r="B252" s="104">
        <v>93</v>
      </c>
      <c r="C252" s="104">
        <v>98</v>
      </c>
      <c r="D252" s="45" t="s">
        <v>103</v>
      </c>
      <c r="E252" s="61" t="s">
        <v>211</v>
      </c>
      <c r="F252" s="101">
        <v>0</v>
      </c>
      <c r="G252" s="101">
        <v>0</v>
      </c>
      <c r="H252" s="61" t="s">
        <v>80</v>
      </c>
      <c r="I252" s="61" t="s">
        <v>133</v>
      </c>
    </row>
    <row r="253" spans="1:9" x14ac:dyDescent="0.25">
      <c r="A253" s="104">
        <v>239</v>
      </c>
      <c r="B253" s="104">
        <v>94</v>
      </c>
      <c r="C253" s="104">
        <v>99</v>
      </c>
      <c r="D253" s="45" t="s">
        <v>103</v>
      </c>
      <c r="E253" s="61" t="s">
        <v>211</v>
      </c>
      <c r="F253" s="101">
        <v>0</v>
      </c>
      <c r="G253" s="101">
        <v>0</v>
      </c>
      <c r="H253" s="61" t="s">
        <v>80</v>
      </c>
      <c r="I253" s="61" t="s">
        <v>133</v>
      </c>
    </row>
    <row r="254" spans="1:9" x14ac:dyDescent="0.25">
      <c r="A254" s="104">
        <v>240</v>
      </c>
      <c r="B254" s="104">
        <v>95</v>
      </c>
      <c r="C254" s="104">
        <v>100</v>
      </c>
      <c r="D254" s="45" t="s">
        <v>103</v>
      </c>
      <c r="E254" s="61" t="s">
        <v>211</v>
      </c>
      <c r="F254" s="101">
        <v>0</v>
      </c>
      <c r="G254" s="101">
        <v>0</v>
      </c>
      <c r="H254" s="61" t="s">
        <v>80</v>
      </c>
      <c r="I254" s="61" t="s">
        <v>133</v>
      </c>
    </row>
    <row r="255" spans="1:9" x14ac:dyDescent="0.25">
      <c r="A255" s="104">
        <v>241</v>
      </c>
      <c r="B255" s="104">
        <v>101</v>
      </c>
      <c r="C255" s="104">
        <v>106</v>
      </c>
      <c r="D255" s="45" t="s">
        <v>103</v>
      </c>
      <c r="E255" s="61" t="s">
        <v>211</v>
      </c>
      <c r="F255" s="101">
        <v>0</v>
      </c>
      <c r="G255" s="101">
        <v>0</v>
      </c>
      <c r="H255" s="61" t="s">
        <v>80</v>
      </c>
      <c r="I255" s="61" t="s">
        <v>133</v>
      </c>
    </row>
    <row r="256" spans="1:9" x14ac:dyDescent="0.25">
      <c r="A256" s="104">
        <v>242</v>
      </c>
      <c r="B256" s="104">
        <v>102</v>
      </c>
      <c r="C256" s="104">
        <v>107</v>
      </c>
      <c r="D256" s="45" t="s">
        <v>103</v>
      </c>
      <c r="E256" s="61" t="s">
        <v>211</v>
      </c>
      <c r="F256" s="101">
        <v>0</v>
      </c>
      <c r="G256" s="101">
        <v>0</v>
      </c>
      <c r="H256" s="61" t="s">
        <v>80</v>
      </c>
      <c r="I256" s="61" t="s">
        <v>133</v>
      </c>
    </row>
    <row r="257" spans="1:9" x14ac:dyDescent="0.25">
      <c r="A257" s="104">
        <v>243</v>
      </c>
      <c r="B257" s="104">
        <v>103</v>
      </c>
      <c r="C257" s="104">
        <v>108</v>
      </c>
      <c r="D257" s="45" t="s">
        <v>103</v>
      </c>
      <c r="E257" s="61" t="s">
        <v>211</v>
      </c>
      <c r="F257" s="101">
        <v>0</v>
      </c>
      <c r="G257" s="101">
        <v>0</v>
      </c>
      <c r="H257" s="61" t="s">
        <v>80</v>
      </c>
      <c r="I257" s="61" t="s">
        <v>133</v>
      </c>
    </row>
    <row r="258" spans="1:9" x14ac:dyDescent="0.25">
      <c r="A258" s="104">
        <v>244</v>
      </c>
      <c r="B258" s="104">
        <v>104</v>
      </c>
      <c r="C258" s="104">
        <v>109</v>
      </c>
      <c r="D258" s="45" t="s">
        <v>103</v>
      </c>
      <c r="E258" s="61" t="s">
        <v>211</v>
      </c>
      <c r="F258" s="101">
        <v>0</v>
      </c>
      <c r="G258" s="101">
        <v>0</v>
      </c>
      <c r="H258" s="61" t="s">
        <v>80</v>
      </c>
      <c r="I258" s="61" t="s">
        <v>133</v>
      </c>
    </row>
    <row r="259" spans="1:9" x14ac:dyDescent="0.25">
      <c r="A259" s="104">
        <v>245</v>
      </c>
      <c r="B259" s="104">
        <v>105</v>
      </c>
      <c r="C259" s="104">
        <v>110</v>
      </c>
      <c r="D259" s="45" t="s">
        <v>103</v>
      </c>
      <c r="E259" s="61" t="s">
        <v>211</v>
      </c>
      <c r="F259" s="101">
        <v>0</v>
      </c>
      <c r="G259" s="101">
        <v>0</v>
      </c>
      <c r="H259" s="61" t="s">
        <v>80</v>
      </c>
      <c r="I259" s="61" t="s">
        <v>133</v>
      </c>
    </row>
    <row r="260" spans="1:9" x14ac:dyDescent="0.25">
      <c r="A260" s="104">
        <v>246</v>
      </c>
      <c r="B260" s="104">
        <v>106</v>
      </c>
      <c r="C260" s="104">
        <v>111</v>
      </c>
      <c r="D260" s="45" t="s">
        <v>103</v>
      </c>
      <c r="E260" s="61" t="s">
        <v>211</v>
      </c>
      <c r="F260" s="101">
        <v>0</v>
      </c>
      <c r="G260" s="101">
        <v>0</v>
      </c>
      <c r="H260" s="61" t="s">
        <v>80</v>
      </c>
      <c r="I260" s="61" t="s">
        <v>133</v>
      </c>
    </row>
    <row r="261" spans="1:9" x14ac:dyDescent="0.25">
      <c r="A261" s="104">
        <v>247</v>
      </c>
      <c r="B261" s="104">
        <v>107</v>
      </c>
      <c r="C261" s="104">
        <v>112</v>
      </c>
      <c r="D261" s="45" t="s">
        <v>103</v>
      </c>
      <c r="E261" s="61" t="s">
        <v>211</v>
      </c>
      <c r="F261" s="101">
        <v>0</v>
      </c>
      <c r="G261" s="101">
        <v>0</v>
      </c>
      <c r="H261" s="61" t="s">
        <v>80</v>
      </c>
      <c r="I261" s="61" t="s">
        <v>133</v>
      </c>
    </row>
    <row r="262" spans="1:9" x14ac:dyDescent="0.25">
      <c r="A262" s="104">
        <v>248</v>
      </c>
      <c r="B262" s="104">
        <v>108</v>
      </c>
      <c r="C262" s="104">
        <v>113</v>
      </c>
      <c r="D262" s="45" t="s">
        <v>103</v>
      </c>
      <c r="E262" s="61" t="s">
        <v>211</v>
      </c>
      <c r="F262" s="101">
        <v>0</v>
      </c>
      <c r="G262" s="101">
        <v>0</v>
      </c>
      <c r="H262" s="61" t="s">
        <v>80</v>
      </c>
      <c r="I262" s="61" t="s">
        <v>133</v>
      </c>
    </row>
    <row r="263" spans="1:9" x14ac:dyDescent="0.25">
      <c r="A263" s="104">
        <v>249</v>
      </c>
      <c r="B263" s="104">
        <v>109</v>
      </c>
      <c r="C263" s="104">
        <v>114</v>
      </c>
      <c r="D263" s="45" t="s">
        <v>103</v>
      </c>
      <c r="E263" s="61" t="s">
        <v>211</v>
      </c>
      <c r="F263" s="101">
        <v>0</v>
      </c>
      <c r="G263" s="101">
        <v>0</v>
      </c>
      <c r="H263" s="61" t="s">
        <v>80</v>
      </c>
      <c r="I263" s="61" t="s">
        <v>133</v>
      </c>
    </row>
    <row r="264" spans="1:9" x14ac:dyDescent="0.25">
      <c r="A264" s="104">
        <v>250</v>
      </c>
      <c r="B264" s="104">
        <v>110</v>
      </c>
      <c r="C264" s="104">
        <v>115</v>
      </c>
      <c r="D264" s="45" t="s">
        <v>103</v>
      </c>
      <c r="E264" s="61" t="s">
        <v>211</v>
      </c>
      <c r="F264" s="101">
        <v>0</v>
      </c>
      <c r="G264" s="101">
        <v>0</v>
      </c>
      <c r="H264" s="61" t="s">
        <v>80</v>
      </c>
      <c r="I264" s="61" t="s">
        <v>133</v>
      </c>
    </row>
    <row r="265" spans="1:9" x14ac:dyDescent="0.25">
      <c r="A265" s="104">
        <v>251</v>
      </c>
      <c r="B265" s="104">
        <v>111</v>
      </c>
      <c r="C265" s="104">
        <v>116</v>
      </c>
      <c r="D265" s="45" t="s">
        <v>103</v>
      </c>
      <c r="E265" s="61" t="s">
        <v>211</v>
      </c>
      <c r="F265" s="101">
        <v>0</v>
      </c>
      <c r="G265" s="101">
        <v>0</v>
      </c>
      <c r="H265" s="61" t="s">
        <v>80</v>
      </c>
      <c r="I265" s="61" t="s">
        <v>133</v>
      </c>
    </row>
    <row r="266" spans="1:9" x14ac:dyDescent="0.25">
      <c r="A266" s="104">
        <v>252</v>
      </c>
      <c r="B266" s="104">
        <v>112</v>
      </c>
      <c r="C266" s="104">
        <v>117</v>
      </c>
      <c r="D266" s="45" t="s">
        <v>103</v>
      </c>
      <c r="E266" s="61" t="s">
        <v>211</v>
      </c>
      <c r="F266" s="101">
        <v>0</v>
      </c>
      <c r="G266" s="101">
        <v>0</v>
      </c>
      <c r="H266" s="61" t="s">
        <v>80</v>
      </c>
      <c r="I266" s="61" t="s">
        <v>133</v>
      </c>
    </row>
    <row r="267" spans="1:9" x14ac:dyDescent="0.25">
      <c r="A267" s="104">
        <v>253</v>
      </c>
      <c r="B267" s="104">
        <v>113</v>
      </c>
      <c r="C267" s="104">
        <v>118</v>
      </c>
      <c r="D267" s="45" t="s">
        <v>103</v>
      </c>
      <c r="E267" s="61" t="s">
        <v>211</v>
      </c>
      <c r="F267" s="101">
        <v>0</v>
      </c>
      <c r="G267" s="101">
        <v>0</v>
      </c>
      <c r="H267" s="61" t="s">
        <v>80</v>
      </c>
      <c r="I267" s="61" t="s">
        <v>133</v>
      </c>
    </row>
    <row r="268" spans="1:9" x14ac:dyDescent="0.25">
      <c r="A268" s="104">
        <v>254</v>
      </c>
      <c r="B268" s="104">
        <v>114</v>
      </c>
      <c r="C268" s="104">
        <v>119</v>
      </c>
      <c r="D268" s="45" t="s">
        <v>103</v>
      </c>
      <c r="E268" s="61" t="s">
        <v>211</v>
      </c>
      <c r="F268" s="101">
        <v>0</v>
      </c>
      <c r="G268" s="101">
        <v>0</v>
      </c>
      <c r="H268" s="61" t="s">
        <v>80</v>
      </c>
      <c r="I268" s="61" t="s">
        <v>133</v>
      </c>
    </row>
    <row r="269" spans="1:9" x14ac:dyDescent="0.25">
      <c r="A269" s="104">
        <v>255</v>
      </c>
      <c r="B269" s="104">
        <v>115</v>
      </c>
      <c r="C269" s="104">
        <v>120</v>
      </c>
      <c r="D269" s="45" t="s">
        <v>103</v>
      </c>
      <c r="E269" s="61" t="s">
        <v>211</v>
      </c>
      <c r="F269" s="101">
        <v>0</v>
      </c>
      <c r="G269" s="101">
        <v>0</v>
      </c>
      <c r="H269" s="61" t="s">
        <v>80</v>
      </c>
      <c r="I269" s="61" t="s">
        <v>133</v>
      </c>
    </row>
    <row r="270" spans="1:9" x14ac:dyDescent="0.25">
      <c r="A270" s="104">
        <v>256</v>
      </c>
      <c r="B270" s="104">
        <v>116</v>
      </c>
      <c r="C270" s="104">
        <v>121</v>
      </c>
      <c r="D270" s="45" t="s">
        <v>103</v>
      </c>
      <c r="E270" s="61" t="s">
        <v>211</v>
      </c>
      <c r="F270" s="101">
        <v>0</v>
      </c>
      <c r="G270" s="101">
        <v>0</v>
      </c>
      <c r="H270" s="61" t="s">
        <v>80</v>
      </c>
      <c r="I270" s="61" t="s">
        <v>133</v>
      </c>
    </row>
    <row r="271" spans="1:9" x14ac:dyDescent="0.25">
      <c r="A271" s="104">
        <v>257</v>
      </c>
      <c r="B271" s="104">
        <v>117</v>
      </c>
      <c r="C271" s="104">
        <v>122</v>
      </c>
      <c r="D271" s="45" t="s">
        <v>103</v>
      </c>
      <c r="E271" s="61" t="s">
        <v>211</v>
      </c>
      <c r="F271" s="101">
        <v>0</v>
      </c>
      <c r="G271" s="101">
        <v>0</v>
      </c>
      <c r="H271" s="61" t="s">
        <v>80</v>
      </c>
      <c r="I271" s="61" t="s">
        <v>133</v>
      </c>
    </row>
    <row r="272" spans="1:9" x14ac:dyDescent="0.25">
      <c r="A272" s="104">
        <v>258</v>
      </c>
      <c r="B272" s="104">
        <v>118</v>
      </c>
      <c r="C272" s="104">
        <v>123</v>
      </c>
      <c r="D272" s="45" t="s">
        <v>103</v>
      </c>
      <c r="E272" s="61" t="s">
        <v>211</v>
      </c>
      <c r="F272" s="101">
        <v>0</v>
      </c>
      <c r="G272" s="101">
        <v>0</v>
      </c>
      <c r="H272" s="61" t="s">
        <v>80</v>
      </c>
      <c r="I272" s="61" t="s">
        <v>133</v>
      </c>
    </row>
    <row r="273" spans="1:9" x14ac:dyDescent="0.25">
      <c r="A273" s="104">
        <v>259</v>
      </c>
      <c r="B273" s="104">
        <v>119</v>
      </c>
      <c r="C273" s="104">
        <v>124</v>
      </c>
      <c r="D273" s="45" t="s">
        <v>103</v>
      </c>
      <c r="E273" s="61" t="s">
        <v>211</v>
      </c>
      <c r="F273" s="101">
        <v>0</v>
      </c>
      <c r="G273" s="101">
        <v>0</v>
      </c>
      <c r="H273" s="61" t="s">
        <v>80</v>
      </c>
      <c r="I273" s="61" t="s">
        <v>133</v>
      </c>
    </row>
    <row r="274" spans="1:9" x14ac:dyDescent="0.25">
      <c r="A274" s="104">
        <v>260</v>
      </c>
      <c r="B274" s="104">
        <v>120</v>
      </c>
      <c r="C274" s="104">
        <v>125</v>
      </c>
      <c r="D274" s="45" t="s">
        <v>103</v>
      </c>
      <c r="E274" s="61" t="s">
        <v>211</v>
      </c>
      <c r="F274" s="101">
        <v>0</v>
      </c>
      <c r="G274" s="101">
        <v>0</v>
      </c>
      <c r="H274" s="61" t="s">
        <v>80</v>
      </c>
      <c r="I274" s="61" t="s">
        <v>133</v>
      </c>
    </row>
  </sheetData>
  <phoneticPr fontId="12" type="noConversion"/>
  <conditionalFormatting sqref="F15:F1048576">
    <cfRule type="expression" dxfId="1" priority="2">
      <formula>OR(E15="Auto from Connectivity")</formula>
    </cfRule>
  </conditionalFormatting>
  <conditionalFormatting sqref="G15:G1048576">
    <cfRule type="expression" dxfId="0" priority="1">
      <formula>OR(E15="Auto from Connectivity")</formula>
    </cfRule>
  </conditionalFormatting>
  <dataValidations count="7">
    <dataValidation type="list" allowBlank="1" showInputMessage="1" showErrorMessage="1" errorTitle="Invalid Input" error="Choose from the list" sqref="E15:E1048576" xr:uid="{292F2153-E1A4-4116-8FC6-530459C71CFD}">
      <formula1>"Auto from Connectivity, User specified"</formula1>
    </dataValidation>
    <dataValidation type="decimal" allowBlank="1" showInputMessage="1" showErrorMessage="1" errorTitle="Invalid Input" error="Please enter a float value only." sqref="F15:G1048576" xr:uid="{04C9CBC8-894C-4389-ABC1-FC3DDBC12E33}">
      <formula1>0</formula1>
      <formula2>1000000000000</formula2>
    </dataValidation>
    <dataValidation type="list" allowBlank="1" showInputMessage="1" showErrorMessage="1" sqref="B15:C1048576" xr:uid="{23A4FE82-C565-41AF-A5F1-1B2903F2D25E}">
      <formula1>Point_ID</formula1>
    </dataValidation>
    <dataValidation type="textLength" allowBlank="1" showInputMessage="1" showErrorMessage="1" errorTitle="Invalid Input" error="Please enter maximum 15 characters only." sqref="A15:A1048576" xr:uid="{5C403C17-AAB3-46FC-8FB3-F24BBD3E45E0}">
      <formula1>1</formula1>
      <formula2>12</formula2>
    </dataValidation>
    <dataValidation type="list" showInputMessage="1" showErrorMessage="1" errorTitle="Invalid Input" error="Choose from the list" sqref="H15:H1048576" xr:uid="{A1BC0883-745F-4F4B-B08F-81B6466820E2}">
      <formula1>Sec_Name</formula1>
    </dataValidation>
    <dataValidation type="list" showInputMessage="1" showErrorMessage="1" errorTitle="Invalid Input" error="Choose from the list" sqref="I15:I1048576" xr:uid="{CAEC77BB-5E83-41A9-92D4-7F6A5C80709A}">
      <formula1>"Yes, No"</formula1>
    </dataValidation>
    <dataValidation type="list" showInputMessage="1" showErrorMessage="1" errorTitle="Invalid Input" error="Choose from the list" sqref="D15:D1048576" xr:uid="{8FFF8FA0-B13C-1843-8905-149E9ADC17D0}">
      <formula1>Ele_Type</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B14" sqref="B14"/>
    </sheetView>
  </sheetViews>
  <sheetFormatPr defaultColWidth="10.85546875" defaultRowHeight="15.75" x14ac:dyDescent="0.25"/>
  <cols>
    <col min="1" max="1" width="15.7109375" style="104" customWidth="1"/>
    <col min="2" max="5" width="10.7109375" style="104" customWidth="1"/>
    <col min="6" max="6" width="20.7109375" style="104" customWidth="1"/>
    <col min="7" max="10" width="10.7109375" style="61" customWidth="1"/>
    <col min="11" max="16384" width="10.85546875" style="91"/>
  </cols>
  <sheetData>
    <row r="1" spans="1:10" x14ac:dyDescent="0.25">
      <c r="A1" s="105" t="s">
        <v>183</v>
      </c>
      <c r="B1" s="88"/>
      <c r="C1" s="88"/>
      <c r="D1" s="88"/>
      <c r="E1" s="88"/>
      <c r="F1" s="88"/>
      <c r="G1" s="89"/>
      <c r="H1" s="89"/>
      <c r="I1" s="89"/>
      <c r="J1" s="90"/>
    </row>
    <row r="2" spans="1:10" x14ac:dyDescent="0.25">
      <c r="A2" s="95" t="s">
        <v>293</v>
      </c>
      <c r="B2" s="92"/>
      <c r="C2" s="92"/>
      <c r="D2" s="92"/>
      <c r="E2" s="92"/>
      <c r="F2" s="92"/>
      <c r="G2" s="93"/>
      <c r="H2" s="93"/>
      <c r="I2" s="93"/>
      <c r="J2" s="94"/>
    </row>
    <row r="3" spans="1:10" x14ac:dyDescent="0.25">
      <c r="A3" s="106" t="s">
        <v>202</v>
      </c>
      <c r="B3" s="92"/>
      <c r="C3" s="92"/>
      <c r="D3" s="92"/>
      <c r="E3" s="92"/>
      <c r="F3" s="92"/>
      <c r="G3" s="93"/>
      <c r="H3" s="93"/>
      <c r="I3" s="93"/>
      <c r="J3" s="94"/>
    </row>
    <row r="4" spans="1:10" x14ac:dyDescent="0.25">
      <c r="A4" s="76" t="s">
        <v>203</v>
      </c>
      <c r="B4" s="92"/>
      <c r="C4" s="92"/>
      <c r="D4" s="92"/>
      <c r="E4" s="92"/>
      <c r="F4" s="92"/>
      <c r="G4" s="93"/>
      <c r="H4" s="93"/>
      <c r="I4" s="93"/>
      <c r="J4" s="94"/>
    </row>
    <row r="5" spans="1:10" x14ac:dyDescent="0.25">
      <c r="A5" s="76" t="s">
        <v>204</v>
      </c>
      <c r="B5" s="92"/>
      <c r="C5" s="92"/>
      <c r="D5" s="92"/>
      <c r="E5" s="92"/>
      <c r="F5" s="92"/>
      <c r="G5" s="93"/>
      <c r="H5" s="93"/>
      <c r="I5" s="93"/>
      <c r="J5" s="94"/>
    </row>
    <row r="6" spans="1:10" x14ac:dyDescent="0.25">
      <c r="A6" s="191" t="s">
        <v>205</v>
      </c>
      <c r="B6" s="92"/>
      <c r="C6" s="92"/>
      <c r="D6" s="92"/>
      <c r="E6" s="92"/>
      <c r="F6" s="92"/>
      <c r="G6" s="93"/>
      <c r="H6" s="93"/>
      <c r="I6" s="93"/>
      <c r="J6" s="94"/>
    </row>
    <row r="7" spans="1:10" x14ac:dyDescent="0.25">
      <c r="A7" s="191" t="s">
        <v>272</v>
      </c>
      <c r="B7" s="92"/>
      <c r="C7" s="92"/>
      <c r="D7" s="92"/>
      <c r="E7" s="92"/>
      <c r="F7" s="92"/>
      <c r="G7" s="93"/>
      <c r="H7" s="93"/>
      <c r="I7" s="93"/>
      <c r="J7" s="94"/>
    </row>
    <row r="8" spans="1:10" x14ac:dyDescent="0.25">
      <c r="A8" s="188" t="s">
        <v>301</v>
      </c>
      <c r="B8" s="98"/>
      <c r="C8" s="98"/>
      <c r="D8" s="98"/>
      <c r="E8" s="98"/>
      <c r="F8" s="98"/>
      <c r="G8" s="107"/>
      <c r="H8" s="107"/>
      <c r="I8" s="107"/>
      <c r="J8" s="108"/>
    </row>
    <row r="9" spans="1:10" x14ac:dyDescent="0.25">
      <c r="A9" s="102"/>
      <c r="B9" s="61"/>
      <c r="C9" s="61"/>
      <c r="D9" s="61"/>
      <c r="E9" s="61"/>
      <c r="F9" s="61"/>
      <c r="G9" s="91"/>
      <c r="H9" s="91"/>
      <c r="I9" s="91"/>
      <c r="J9" s="91"/>
    </row>
    <row r="10" spans="1:10" s="13" customFormat="1" x14ac:dyDescent="0.25">
      <c r="A10" s="85" t="s">
        <v>290</v>
      </c>
      <c r="B10" s="17" t="s">
        <v>178</v>
      </c>
      <c r="C10" s="17" t="s">
        <v>179</v>
      </c>
      <c r="D10" s="17" t="s">
        <v>180</v>
      </c>
      <c r="E10" s="17" t="s">
        <v>181</v>
      </c>
      <c r="F10" s="85" t="s">
        <v>101</v>
      </c>
      <c r="G10" s="85" t="s">
        <v>295</v>
      </c>
      <c r="H10" s="61"/>
      <c r="I10" s="61"/>
      <c r="J10" s="61"/>
    </row>
    <row r="11" spans="1:10" x14ac:dyDescent="0.25">
      <c r="A11" s="104">
        <v>1</v>
      </c>
      <c r="B11" s="104">
        <v>101</v>
      </c>
      <c r="C11" s="104">
        <v>182</v>
      </c>
      <c r="D11" s="104">
        <v>105</v>
      </c>
      <c r="E11" s="104">
        <v>181</v>
      </c>
      <c r="F11" s="104" t="s">
        <v>323</v>
      </c>
      <c r="G11" s="61" t="s">
        <v>97</v>
      </c>
    </row>
    <row r="12" spans="1:10" x14ac:dyDescent="0.25">
      <c r="A12" s="104">
        <v>2</v>
      </c>
      <c r="B12" s="104">
        <v>102</v>
      </c>
      <c r="C12" s="104">
        <v>183</v>
      </c>
      <c r="D12" s="104">
        <v>106</v>
      </c>
      <c r="E12" s="104">
        <v>182</v>
      </c>
      <c r="F12" s="104" t="s">
        <v>323</v>
      </c>
      <c r="G12" s="61" t="s">
        <v>97</v>
      </c>
    </row>
    <row r="13" spans="1:10" x14ac:dyDescent="0.25">
      <c r="A13" s="104">
        <v>3</v>
      </c>
      <c r="B13" s="104">
        <v>103</v>
      </c>
      <c r="C13" s="104">
        <v>184</v>
      </c>
      <c r="D13" s="104">
        <v>107</v>
      </c>
      <c r="E13" s="104">
        <v>183</v>
      </c>
      <c r="F13" s="104" t="s">
        <v>323</v>
      </c>
      <c r="G13" s="61" t="s">
        <v>97</v>
      </c>
    </row>
    <row r="14" spans="1:10" x14ac:dyDescent="0.25">
      <c r="A14" s="104">
        <v>4</v>
      </c>
      <c r="B14" s="104">
        <v>104</v>
      </c>
      <c r="C14" s="104">
        <v>185</v>
      </c>
      <c r="D14" s="104">
        <v>108</v>
      </c>
      <c r="E14" s="104">
        <v>184</v>
      </c>
      <c r="F14" s="104" t="s">
        <v>323</v>
      </c>
      <c r="G14" s="61" t="s">
        <v>97</v>
      </c>
    </row>
    <row r="15" spans="1:10" x14ac:dyDescent="0.25">
      <c r="A15" s="104">
        <v>5</v>
      </c>
      <c r="B15" s="104">
        <v>105</v>
      </c>
      <c r="C15" s="104">
        <v>187</v>
      </c>
      <c r="D15" s="104">
        <v>109</v>
      </c>
      <c r="E15" s="104">
        <v>186</v>
      </c>
      <c r="F15" s="104" t="s">
        <v>323</v>
      </c>
      <c r="G15" s="61" t="s">
        <v>97</v>
      </c>
    </row>
    <row r="16" spans="1:10" x14ac:dyDescent="0.25">
      <c r="A16" s="104">
        <v>6</v>
      </c>
      <c r="B16" s="104">
        <v>106</v>
      </c>
      <c r="C16" s="104">
        <v>188</v>
      </c>
      <c r="D16" s="104">
        <v>110</v>
      </c>
      <c r="E16" s="104">
        <v>187</v>
      </c>
      <c r="F16" s="104" t="s">
        <v>323</v>
      </c>
      <c r="G16" s="61" t="s">
        <v>97</v>
      </c>
    </row>
    <row r="17" spans="1:7" x14ac:dyDescent="0.25">
      <c r="A17" s="104">
        <v>7</v>
      </c>
      <c r="B17" s="104">
        <v>107</v>
      </c>
      <c r="C17" s="104">
        <v>189</v>
      </c>
      <c r="D17" s="104">
        <v>111</v>
      </c>
      <c r="E17" s="104">
        <v>188</v>
      </c>
      <c r="F17" s="104" t="s">
        <v>323</v>
      </c>
      <c r="G17" s="61" t="s">
        <v>97</v>
      </c>
    </row>
    <row r="18" spans="1:7" x14ac:dyDescent="0.25">
      <c r="A18" s="104">
        <v>8</v>
      </c>
      <c r="B18" s="104">
        <v>108</v>
      </c>
      <c r="C18" s="104">
        <v>190</v>
      </c>
      <c r="D18" s="104">
        <v>112</v>
      </c>
      <c r="E18" s="104">
        <v>189</v>
      </c>
      <c r="F18" s="104" t="s">
        <v>323</v>
      </c>
      <c r="G18" s="61" t="s">
        <v>97</v>
      </c>
    </row>
    <row r="19" spans="1:7" x14ac:dyDescent="0.25">
      <c r="A19" s="104">
        <v>9</v>
      </c>
      <c r="B19" s="104">
        <v>109</v>
      </c>
      <c r="C19" s="104">
        <v>192</v>
      </c>
      <c r="D19" s="104">
        <v>113</v>
      </c>
      <c r="E19" s="104">
        <v>191</v>
      </c>
      <c r="F19" s="104" t="s">
        <v>323</v>
      </c>
      <c r="G19" s="61" t="s">
        <v>97</v>
      </c>
    </row>
    <row r="20" spans="1:7" x14ac:dyDescent="0.25">
      <c r="A20" s="104">
        <v>10</v>
      </c>
      <c r="B20" s="104">
        <v>110</v>
      </c>
      <c r="C20" s="104">
        <v>193</v>
      </c>
      <c r="D20" s="104">
        <v>114</v>
      </c>
      <c r="E20" s="104">
        <v>192</v>
      </c>
      <c r="F20" s="104" t="s">
        <v>323</v>
      </c>
      <c r="G20" s="61" t="s">
        <v>97</v>
      </c>
    </row>
    <row r="21" spans="1:7" x14ac:dyDescent="0.25">
      <c r="A21" s="104">
        <v>11</v>
      </c>
      <c r="B21" s="104">
        <v>111</v>
      </c>
      <c r="C21" s="104">
        <v>194</v>
      </c>
      <c r="D21" s="104">
        <v>115</v>
      </c>
      <c r="E21" s="104">
        <v>193</v>
      </c>
      <c r="F21" s="104" t="s">
        <v>323</v>
      </c>
      <c r="G21" s="61" t="s">
        <v>97</v>
      </c>
    </row>
    <row r="22" spans="1:7" x14ac:dyDescent="0.25">
      <c r="A22" s="104">
        <v>12</v>
      </c>
      <c r="B22" s="104">
        <v>112</v>
      </c>
      <c r="C22" s="104">
        <v>195</v>
      </c>
      <c r="D22" s="104">
        <v>116</v>
      </c>
      <c r="E22" s="104">
        <v>194</v>
      </c>
      <c r="F22" s="104" t="s">
        <v>323</v>
      </c>
      <c r="G22" s="61" t="s">
        <v>97</v>
      </c>
    </row>
    <row r="23" spans="1:7" x14ac:dyDescent="0.25">
      <c r="A23" s="104">
        <v>13</v>
      </c>
      <c r="B23" s="104">
        <v>113</v>
      </c>
      <c r="C23" s="104">
        <v>197</v>
      </c>
      <c r="D23" s="104">
        <v>117</v>
      </c>
      <c r="E23" s="104">
        <v>196</v>
      </c>
      <c r="F23" s="104" t="s">
        <v>323</v>
      </c>
      <c r="G23" s="61" t="s">
        <v>97</v>
      </c>
    </row>
    <row r="24" spans="1:7" x14ac:dyDescent="0.25">
      <c r="A24" s="104">
        <v>14</v>
      </c>
      <c r="B24" s="104">
        <v>114</v>
      </c>
      <c r="C24" s="104">
        <v>198</v>
      </c>
      <c r="D24" s="104">
        <v>118</v>
      </c>
      <c r="E24" s="104">
        <v>197</v>
      </c>
      <c r="F24" s="104" t="s">
        <v>323</v>
      </c>
      <c r="G24" s="61" t="s">
        <v>97</v>
      </c>
    </row>
    <row r="25" spans="1:7" x14ac:dyDescent="0.25">
      <c r="A25" s="104">
        <v>15</v>
      </c>
      <c r="B25" s="104">
        <v>115</v>
      </c>
      <c r="C25" s="104">
        <v>199</v>
      </c>
      <c r="D25" s="104">
        <v>119</v>
      </c>
      <c r="E25" s="104">
        <v>198</v>
      </c>
      <c r="F25" s="104" t="s">
        <v>323</v>
      </c>
      <c r="G25" s="61" t="s">
        <v>97</v>
      </c>
    </row>
    <row r="26" spans="1:7" x14ac:dyDescent="0.25">
      <c r="A26" s="104">
        <v>16</v>
      </c>
      <c r="B26" s="104">
        <v>116</v>
      </c>
      <c r="C26" s="104">
        <v>200</v>
      </c>
      <c r="D26" s="104">
        <v>120</v>
      </c>
      <c r="E26" s="104">
        <v>199</v>
      </c>
      <c r="F26" s="104" t="s">
        <v>323</v>
      </c>
      <c r="G26" s="61" t="s">
        <v>97</v>
      </c>
    </row>
    <row r="27" spans="1:7" x14ac:dyDescent="0.25">
      <c r="A27" s="104">
        <v>17</v>
      </c>
      <c r="B27" s="104">
        <v>121</v>
      </c>
      <c r="C27" s="104">
        <v>202</v>
      </c>
      <c r="D27" s="104">
        <v>125</v>
      </c>
      <c r="E27" s="104">
        <v>201</v>
      </c>
      <c r="F27" s="104" t="s">
        <v>323</v>
      </c>
      <c r="G27" s="61" t="s">
        <v>97</v>
      </c>
    </row>
    <row r="28" spans="1:7" x14ac:dyDescent="0.25">
      <c r="A28" s="104">
        <v>18</v>
      </c>
      <c r="B28" s="104">
        <v>122</v>
      </c>
      <c r="C28" s="104">
        <v>203</v>
      </c>
      <c r="D28" s="104">
        <v>126</v>
      </c>
      <c r="E28" s="104">
        <v>202</v>
      </c>
      <c r="F28" s="104" t="s">
        <v>323</v>
      </c>
      <c r="G28" s="61" t="s">
        <v>97</v>
      </c>
    </row>
    <row r="29" spans="1:7" x14ac:dyDescent="0.25">
      <c r="A29" s="104">
        <v>19</v>
      </c>
      <c r="B29" s="104">
        <v>123</v>
      </c>
      <c r="C29" s="104">
        <v>204</v>
      </c>
      <c r="D29" s="104">
        <v>127</v>
      </c>
      <c r="E29" s="104">
        <v>203</v>
      </c>
      <c r="F29" s="104" t="s">
        <v>323</v>
      </c>
      <c r="G29" s="61" t="s">
        <v>97</v>
      </c>
    </row>
    <row r="30" spans="1:7" x14ac:dyDescent="0.25">
      <c r="A30" s="104">
        <v>20</v>
      </c>
      <c r="B30" s="104">
        <v>124</v>
      </c>
      <c r="C30" s="104">
        <v>205</v>
      </c>
      <c r="D30" s="104">
        <v>128</v>
      </c>
      <c r="E30" s="104">
        <v>204</v>
      </c>
      <c r="F30" s="104" t="s">
        <v>323</v>
      </c>
      <c r="G30" s="61" t="s">
        <v>97</v>
      </c>
    </row>
    <row r="31" spans="1:7" x14ac:dyDescent="0.25">
      <c r="A31" s="104">
        <v>21</v>
      </c>
      <c r="B31" s="104">
        <v>125</v>
      </c>
      <c r="C31" s="104">
        <v>207</v>
      </c>
      <c r="D31" s="104">
        <v>129</v>
      </c>
      <c r="E31" s="104">
        <v>206</v>
      </c>
      <c r="F31" s="104" t="s">
        <v>323</v>
      </c>
      <c r="G31" s="61" t="s">
        <v>97</v>
      </c>
    </row>
    <row r="32" spans="1:7" x14ac:dyDescent="0.25">
      <c r="A32" s="104">
        <v>22</v>
      </c>
      <c r="B32" s="104">
        <v>126</v>
      </c>
      <c r="C32" s="104">
        <v>208</v>
      </c>
      <c r="D32" s="104">
        <v>130</v>
      </c>
      <c r="E32" s="104">
        <v>207</v>
      </c>
      <c r="F32" s="104" t="s">
        <v>323</v>
      </c>
      <c r="G32" s="61" t="s">
        <v>97</v>
      </c>
    </row>
    <row r="33" spans="1:7" x14ac:dyDescent="0.25">
      <c r="A33" s="104">
        <v>23</v>
      </c>
      <c r="B33" s="104">
        <v>127</v>
      </c>
      <c r="C33" s="104">
        <v>209</v>
      </c>
      <c r="D33" s="104">
        <v>131</v>
      </c>
      <c r="E33" s="104">
        <v>208</v>
      </c>
      <c r="F33" s="104" t="s">
        <v>323</v>
      </c>
      <c r="G33" s="61" t="s">
        <v>97</v>
      </c>
    </row>
    <row r="34" spans="1:7" x14ac:dyDescent="0.25">
      <c r="A34" s="104">
        <v>24</v>
      </c>
      <c r="B34" s="104">
        <v>128</v>
      </c>
      <c r="C34" s="104">
        <v>210</v>
      </c>
      <c r="D34" s="104">
        <v>132</v>
      </c>
      <c r="E34" s="104">
        <v>209</v>
      </c>
      <c r="F34" s="104" t="s">
        <v>323</v>
      </c>
      <c r="G34" s="61" t="s">
        <v>97</v>
      </c>
    </row>
    <row r="35" spans="1:7" x14ac:dyDescent="0.25">
      <c r="A35" s="104">
        <v>25</v>
      </c>
      <c r="B35" s="104">
        <v>129</v>
      </c>
      <c r="C35" s="104">
        <v>212</v>
      </c>
      <c r="D35" s="104">
        <v>133</v>
      </c>
      <c r="E35" s="104">
        <v>211</v>
      </c>
      <c r="F35" s="104" t="s">
        <v>323</v>
      </c>
      <c r="G35" s="61" t="s">
        <v>97</v>
      </c>
    </row>
    <row r="36" spans="1:7" x14ac:dyDescent="0.25">
      <c r="A36" s="104">
        <v>26</v>
      </c>
      <c r="B36" s="104">
        <v>130</v>
      </c>
      <c r="C36" s="104">
        <v>213</v>
      </c>
      <c r="D36" s="104">
        <v>134</v>
      </c>
      <c r="E36" s="104">
        <v>212</v>
      </c>
      <c r="F36" s="104" t="s">
        <v>323</v>
      </c>
      <c r="G36" s="61" t="s">
        <v>97</v>
      </c>
    </row>
    <row r="37" spans="1:7" x14ac:dyDescent="0.25">
      <c r="A37" s="104">
        <v>27</v>
      </c>
      <c r="B37" s="104">
        <v>131</v>
      </c>
      <c r="C37" s="104">
        <v>214</v>
      </c>
      <c r="D37" s="104">
        <v>135</v>
      </c>
      <c r="E37" s="104">
        <v>213</v>
      </c>
      <c r="F37" s="104" t="s">
        <v>323</v>
      </c>
      <c r="G37" s="61" t="s">
        <v>97</v>
      </c>
    </row>
    <row r="38" spans="1:7" x14ac:dyDescent="0.25">
      <c r="A38" s="104">
        <v>28</v>
      </c>
      <c r="B38" s="104">
        <v>132</v>
      </c>
      <c r="C38" s="104">
        <v>215</v>
      </c>
      <c r="D38" s="104">
        <v>136</v>
      </c>
      <c r="E38" s="104">
        <v>214</v>
      </c>
      <c r="F38" s="104" t="s">
        <v>323</v>
      </c>
      <c r="G38" s="61" t="s">
        <v>97</v>
      </c>
    </row>
    <row r="39" spans="1:7" x14ac:dyDescent="0.25">
      <c r="A39" s="104">
        <v>29</v>
      </c>
      <c r="B39" s="104">
        <v>133</v>
      </c>
      <c r="C39" s="104">
        <v>217</v>
      </c>
      <c r="D39" s="104">
        <v>137</v>
      </c>
      <c r="E39" s="104">
        <v>216</v>
      </c>
      <c r="F39" s="104" t="s">
        <v>323</v>
      </c>
      <c r="G39" s="61" t="s">
        <v>97</v>
      </c>
    </row>
    <row r="40" spans="1:7" x14ac:dyDescent="0.25">
      <c r="A40" s="104">
        <v>30</v>
      </c>
      <c r="B40" s="104">
        <v>134</v>
      </c>
      <c r="C40" s="104">
        <v>218</v>
      </c>
      <c r="D40" s="104">
        <v>138</v>
      </c>
      <c r="E40" s="104">
        <v>217</v>
      </c>
      <c r="F40" s="104" t="s">
        <v>323</v>
      </c>
      <c r="G40" s="61" t="s">
        <v>97</v>
      </c>
    </row>
    <row r="41" spans="1:7" x14ac:dyDescent="0.25">
      <c r="A41" s="104">
        <v>31</v>
      </c>
      <c r="B41" s="104">
        <v>135</v>
      </c>
      <c r="C41" s="104">
        <v>219</v>
      </c>
      <c r="D41" s="104">
        <v>139</v>
      </c>
      <c r="E41" s="104">
        <v>218</v>
      </c>
      <c r="F41" s="104" t="s">
        <v>323</v>
      </c>
      <c r="G41" s="61" t="s">
        <v>97</v>
      </c>
    </row>
    <row r="42" spans="1:7" x14ac:dyDescent="0.25">
      <c r="A42" s="104">
        <v>32</v>
      </c>
      <c r="B42" s="104">
        <v>136</v>
      </c>
      <c r="C42" s="104">
        <v>220</v>
      </c>
      <c r="D42" s="104">
        <v>140</v>
      </c>
      <c r="E42" s="104">
        <v>219</v>
      </c>
      <c r="F42" s="104" t="s">
        <v>323</v>
      </c>
      <c r="G42" s="61" t="s">
        <v>97</v>
      </c>
    </row>
    <row r="43" spans="1:7" x14ac:dyDescent="0.25">
      <c r="A43" s="104">
        <v>33</v>
      </c>
      <c r="B43" s="104">
        <v>141</v>
      </c>
      <c r="C43" s="104">
        <v>222</v>
      </c>
      <c r="D43" s="104">
        <v>145</v>
      </c>
      <c r="E43" s="104">
        <v>221</v>
      </c>
      <c r="F43" s="104" t="s">
        <v>323</v>
      </c>
      <c r="G43" s="61" t="s">
        <v>97</v>
      </c>
    </row>
    <row r="44" spans="1:7" x14ac:dyDescent="0.25">
      <c r="A44" s="104">
        <v>34</v>
      </c>
      <c r="B44" s="104">
        <v>142</v>
      </c>
      <c r="C44" s="104">
        <v>223</v>
      </c>
      <c r="D44" s="104">
        <v>146</v>
      </c>
      <c r="E44" s="104">
        <v>222</v>
      </c>
      <c r="F44" s="104" t="s">
        <v>323</v>
      </c>
      <c r="G44" s="61" t="s">
        <v>97</v>
      </c>
    </row>
    <row r="45" spans="1:7" x14ac:dyDescent="0.25">
      <c r="A45" s="104">
        <v>35</v>
      </c>
      <c r="B45" s="104">
        <v>143</v>
      </c>
      <c r="C45" s="104">
        <v>224</v>
      </c>
      <c r="D45" s="104">
        <v>147</v>
      </c>
      <c r="E45" s="104">
        <v>223</v>
      </c>
      <c r="F45" s="104" t="s">
        <v>323</v>
      </c>
      <c r="G45" s="61" t="s">
        <v>97</v>
      </c>
    </row>
    <row r="46" spans="1:7" x14ac:dyDescent="0.25">
      <c r="A46" s="104">
        <v>36</v>
      </c>
      <c r="B46" s="104">
        <v>144</v>
      </c>
      <c r="C46" s="104">
        <v>225</v>
      </c>
      <c r="D46" s="104">
        <v>148</v>
      </c>
      <c r="E46" s="104">
        <v>224</v>
      </c>
      <c r="F46" s="104" t="s">
        <v>323</v>
      </c>
      <c r="G46" s="61" t="s">
        <v>97</v>
      </c>
    </row>
    <row r="47" spans="1:7" x14ac:dyDescent="0.25">
      <c r="A47" s="104">
        <v>37</v>
      </c>
      <c r="B47" s="104">
        <v>145</v>
      </c>
      <c r="C47" s="104">
        <v>227</v>
      </c>
      <c r="D47" s="104">
        <v>149</v>
      </c>
      <c r="E47" s="104">
        <v>226</v>
      </c>
      <c r="F47" s="104" t="s">
        <v>323</v>
      </c>
      <c r="G47" s="61" t="s">
        <v>97</v>
      </c>
    </row>
    <row r="48" spans="1:7" x14ac:dyDescent="0.25">
      <c r="A48" s="104">
        <v>38</v>
      </c>
      <c r="B48" s="104">
        <v>146</v>
      </c>
      <c r="C48" s="104">
        <v>228</v>
      </c>
      <c r="D48" s="104">
        <v>150</v>
      </c>
      <c r="E48" s="104">
        <v>227</v>
      </c>
      <c r="F48" s="104" t="s">
        <v>323</v>
      </c>
      <c r="G48" s="61" t="s">
        <v>97</v>
      </c>
    </row>
    <row r="49" spans="1:7" x14ac:dyDescent="0.25">
      <c r="A49" s="104">
        <v>39</v>
      </c>
      <c r="B49" s="104">
        <v>147</v>
      </c>
      <c r="C49" s="104">
        <v>229</v>
      </c>
      <c r="D49" s="104">
        <v>151</v>
      </c>
      <c r="E49" s="104">
        <v>228</v>
      </c>
      <c r="F49" s="104" t="s">
        <v>323</v>
      </c>
      <c r="G49" s="61" t="s">
        <v>97</v>
      </c>
    </row>
    <row r="50" spans="1:7" x14ac:dyDescent="0.25">
      <c r="A50" s="104">
        <v>40</v>
      </c>
      <c r="B50" s="104">
        <v>148</v>
      </c>
      <c r="C50" s="104">
        <v>230</v>
      </c>
      <c r="D50" s="104">
        <v>152</v>
      </c>
      <c r="E50" s="104">
        <v>229</v>
      </c>
      <c r="F50" s="104" t="s">
        <v>323</v>
      </c>
      <c r="G50" s="61" t="s">
        <v>97</v>
      </c>
    </row>
    <row r="51" spans="1:7" x14ac:dyDescent="0.25">
      <c r="A51" s="104">
        <v>41</v>
      </c>
      <c r="B51" s="104">
        <v>149</v>
      </c>
      <c r="C51" s="104">
        <v>232</v>
      </c>
      <c r="D51" s="104">
        <v>153</v>
      </c>
      <c r="E51" s="104">
        <v>231</v>
      </c>
      <c r="F51" s="104" t="s">
        <v>323</v>
      </c>
      <c r="G51" s="61" t="s">
        <v>97</v>
      </c>
    </row>
    <row r="52" spans="1:7" x14ac:dyDescent="0.25">
      <c r="A52" s="104">
        <v>42</v>
      </c>
      <c r="B52" s="104">
        <v>150</v>
      </c>
      <c r="C52" s="104">
        <v>233</v>
      </c>
      <c r="D52" s="104">
        <v>154</v>
      </c>
      <c r="E52" s="104">
        <v>232</v>
      </c>
      <c r="F52" s="104" t="s">
        <v>323</v>
      </c>
      <c r="G52" s="61" t="s">
        <v>97</v>
      </c>
    </row>
    <row r="53" spans="1:7" x14ac:dyDescent="0.25">
      <c r="A53" s="104">
        <v>43</v>
      </c>
      <c r="B53" s="104">
        <v>151</v>
      </c>
      <c r="C53" s="104">
        <v>234</v>
      </c>
      <c r="D53" s="104">
        <v>155</v>
      </c>
      <c r="E53" s="104">
        <v>233</v>
      </c>
      <c r="F53" s="104" t="s">
        <v>323</v>
      </c>
      <c r="G53" s="61" t="s">
        <v>97</v>
      </c>
    </row>
    <row r="54" spans="1:7" x14ac:dyDescent="0.25">
      <c r="A54" s="104">
        <v>44</v>
      </c>
      <c r="B54" s="104">
        <v>152</v>
      </c>
      <c r="C54" s="104">
        <v>235</v>
      </c>
      <c r="D54" s="104">
        <v>156</v>
      </c>
      <c r="E54" s="104">
        <v>234</v>
      </c>
      <c r="F54" s="104" t="s">
        <v>323</v>
      </c>
      <c r="G54" s="61" t="s">
        <v>97</v>
      </c>
    </row>
    <row r="55" spans="1:7" x14ac:dyDescent="0.25">
      <c r="A55" s="104">
        <v>45</v>
      </c>
      <c r="B55" s="104">
        <v>153</v>
      </c>
      <c r="C55" s="104">
        <v>237</v>
      </c>
      <c r="D55" s="104">
        <v>157</v>
      </c>
      <c r="E55" s="104">
        <v>236</v>
      </c>
      <c r="F55" s="104" t="s">
        <v>323</v>
      </c>
      <c r="G55" s="61" t="s">
        <v>97</v>
      </c>
    </row>
    <row r="56" spans="1:7" x14ac:dyDescent="0.25">
      <c r="A56" s="104">
        <v>46</v>
      </c>
      <c r="B56" s="104">
        <v>154</v>
      </c>
      <c r="C56" s="104">
        <v>238</v>
      </c>
      <c r="D56" s="104">
        <v>158</v>
      </c>
      <c r="E56" s="104">
        <v>237</v>
      </c>
      <c r="F56" s="104" t="s">
        <v>323</v>
      </c>
      <c r="G56" s="61" t="s">
        <v>97</v>
      </c>
    </row>
    <row r="57" spans="1:7" x14ac:dyDescent="0.25">
      <c r="A57" s="104">
        <v>47</v>
      </c>
      <c r="B57" s="104">
        <v>155</v>
      </c>
      <c r="C57" s="104">
        <v>239</v>
      </c>
      <c r="D57" s="104">
        <v>159</v>
      </c>
      <c r="E57" s="104">
        <v>238</v>
      </c>
      <c r="F57" s="104" t="s">
        <v>323</v>
      </c>
      <c r="G57" s="61" t="s">
        <v>97</v>
      </c>
    </row>
    <row r="58" spans="1:7" x14ac:dyDescent="0.25">
      <c r="A58" s="104">
        <v>48</v>
      </c>
      <c r="B58" s="104">
        <v>156</v>
      </c>
      <c r="C58" s="104">
        <v>240</v>
      </c>
      <c r="D58" s="104">
        <v>160</v>
      </c>
      <c r="E58" s="104">
        <v>239</v>
      </c>
      <c r="F58" s="104" t="s">
        <v>323</v>
      </c>
      <c r="G58" s="61" t="s">
        <v>97</v>
      </c>
    </row>
    <row r="59" spans="1:7" x14ac:dyDescent="0.25">
      <c r="A59" s="104">
        <v>49</v>
      </c>
      <c r="B59" s="104">
        <v>161</v>
      </c>
      <c r="C59" s="104">
        <v>242</v>
      </c>
      <c r="D59" s="104">
        <v>165</v>
      </c>
      <c r="E59" s="104">
        <v>241</v>
      </c>
      <c r="F59" s="104" t="s">
        <v>323</v>
      </c>
      <c r="G59" s="61" t="s">
        <v>97</v>
      </c>
    </row>
    <row r="60" spans="1:7" x14ac:dyDescent="0.25">
      <c r="A60" s="104">
        <v>50</v>
      </c>
      <c r="B60" s="104">
        <v>162</v>
      </c>
      <c r="C60" s="104">
        <v>243</v>
      </c>
      <c r="D60" s="104">
        <v>166</v>
      </c>
      <c r="E60" s="104">
        <v>242</v>
      </c>
      <c r="F60" s="104" t="s">
        <v>323</v>
      </c>
      <c r="G60" s="61" t="s">
        <v>97</v>
      </c>
    </row>
    <row r="61" spans="1:7" x14ac:dyDescent="0.25">
      <c r="A61" s="104">
        <v>51</v>
      </c>
      <c r="B61" s="104">
        <v>163</v>
      </c>
      <c r="C61" s="104">
        <v>244</v>
      </c>
      <c r="D61" s="104">
        <v>167</v>
      </c>
      <c r="E61" s="104">
        <v>243</v>
      </c>
      <c r="F61" s="104" t="s">
        <v>323</v>
      </c>
      <c r="G61" s="61" t="s">
        <v>97</v>
      </c>
    </row>
    <row r="62" spans="1:7" x14ac:dyDescent="0.25">
      <c r="A62" s="104">
        <v>52</v>
      </c>
      <c r="B62" s="104">
        <v>164</v>
      </c>
      <c r="C62" s="104">
        <v>245</v>
      </c>
      <c r="D62" s="104">
        <v>168</v>
      </c>
      <c r="E62" s="104">
        <v>244</v>
      </c>
      <c r="F62" s="104" t="s">
        <v>323</v>
      </c>
      <c r="G62" s="61" t="s">
        <v>97</v>
      </c>
    </row>
    <row r="63" spans="1:7" x14ac:dyDescent="0.25">
      <c r="A63" s="104">
        <v>53</v>
      </c>
      <c r="B63" s="104">
        <v>165</v>
      </c>
      <c r="C63" s="104">
        <v>247</v>
      </c>
      <c r="D63" s="104">
        <v>169</v>
      </c>
      <c r="E63" s="104">
        <v>246</v>
      </c>
      <c r="F63" s="104" t="s">
        <v>323</v>
      </c>
      <c r="G63" s="61" t="s">
        <v>97</v>
      </c>
    </row>
    <row r="64" spans="1:7" x14ac:dyDescent="0.25">
      <c r="A64" s="104">
        <v>54</v>
      </c>
      <c r="B64" s="104">
        <v>166</v>
      </c>
      <c r="C64" s="104">
        <v>248</v>
      </c>
      <c r="D64" s="104">
        <v>170</v>
      </c>
      <c r="E64" s="104">
        <v>247</v>
      </c>
      <c r="F64" s="104" t="s">
        <v>323</v>
      </c>
      <c r="G64" s="61" t="s">
        <v>97</v>
      </c>
    </row>
    <row r="65" spans="1:7" x14ac:dyDescent="0.25">
      <c r="A65" s="104">
        <v>55</v>
      </c>
      <c r="B65" s="104">
        <v>167</v>
      </c>
      <c r="C65" s="104">
        <v>249</v>
      </c>
      <c r="D65" s="104">
        <v>171</v>
      </c>
      <c r="E65" s="104">
        <v>248</v>
      </c>
      <c r="F65" s="104" t="s">
        <v>323</v>
      </c>
      <c r="G65" s="61" t="s">
        <v>97</v>
      </c>
    </row>
    <row r="66" spans="1:7" x14ac:dyDescent="0.25">
      <c r="A66" s="104">
        <v>56</v>
      </c>
      <c r="B66" s="104">
        <v>168</v>
      </c>
      <c r="C66" s="104">
        <v>250</v>
      </c>
      <c r="D66" s="104">
        <v>172</v>
      </c>
      <c r="E66" s="104">
        <v>249</v>
      </c>
      <c r="F66" s="104" t="s">
        <v>323</v>
      </c>
      <c r="G66" s="61" t="s">
        <v>97</v>
      </c>
    </row>
    <row r="67" spans="1:7" x14ac:dyDescent="0.25">
      <c r="A67" s="104">
        <v>57</v>
      </c>
      <c r="B67" s="104">
        <v>169</v>
      </c>
      <c r="C67" s="104">
        <v>252</v>
      </c>
      <c r="D67" s="104">
        <v>173</v>
      </c>
      <c r="E67" s="104">
        <v>251</v>
      </c>
      <c r="F67" s="104" t="s">
        <v>323</v>
      </c>
      <c r="G67" s="61" t="s">
        <v>97</v>
      </c>
    </row>
    <row r="68" spans="1:7" x14ac:dyDescent="0.25">
      <c r="A68" s="104">
        <v>58</v>
      </c>
      <c r="B68" s="104">
        <v>170</v>
      </c>
      <c r="C68" s="104">
        <v>253</v>
      </c>
      <c r="D68" s="104">
        <v>174</v>
      </c>
      <c r="E68" s="104">
        <v>252</v>
      </c>
      <c r="F68" s="104" t="s">
        <v>323</v>
      </c>
      <c r="G68" s="61" t="s">
        <v>97</v>
      </c>
    </row>
    <row r="69" spans="1:7" x14ac:dyDescent="0.25">
      <c r="A69" s="104">
        <v>59</v>
      </c>
      <c r="B69" s="104">
        <v>171</v>
      </c>
      <c r="C69" s="104">
        <v>254</v>
      </c>
      <c r="D69" s="104">
        <v>175</v>
      </c>
      <c r="E69" s="104">
        <v>253</v>
      </c>
      <c r="F69" s="104" t="s">
        <v>323</v>
      </c>
      <c r="G69" s="61" t="s">
        <v>97</v>
      </c>
    </row>
    <row r="70" spans="1:7" x14ac:dyDescent="0.25">
      <c r="A70" s="104">
        <v>60</v>
      </c>
      <c r="B70" s="104">
        <v>172</v>
      </c>
      <c r="C70" s="104">
        <v>255</v>
      </c>
      <c r="D70" s="104">
        <v>176</v>
      </c>
      <c r="E70" s="104">
        <v>254</v>
      </c>
      <c r="F70" s="104" t="s">
        <v>323</v>
      </c>
      <c r="G70" s="61" t="s">
        <v>97</v>
      </c>
    </row>
    <row r="71" spans="1:7" x14ac:dyDescent="0.25">
      <c r="A71" s="104">
        <v>61</v>
      </c>
      <c r="B71" s="104">
        <v>173</v>
      </c>
      <c r="C71" s="104">
        <v>257</v>
      </c>
      <c r="D71" s="104">
        <v>177</v>
      </c>
      <c r="E71" s="104">
        <v>256</v>
      </c>
      <c r="F71" s="104" t="s">
        <v>323</v>
      </c>
      <c r="G71" s="61" t="s">
        <v>97</v>
      </c>
    </row>
    <row r="72" spans="1:7" x14ac:dyDescent="0.25">
      <c r="A72" s="104">
        <v>62</v>
      </c>
      <c r="B72" s="104">
        <v>174</v>
      </c>
      <c r="C72" s="104">
        <v>258</v>
      </c>
      <c r="D72" s="104">
        <v>178</v>
      </c>
      <c r="E72" s="104">
        <v>257</v>
      </c>
      <c r="F72" s="104" t="s">
        <v>323</v>
      </c>
      <c r="G72" s="61" t="s">
        <v>97</v>
      </c>
    </row>
    <row r="73" spans="1:7" x14ac:dyDescent="0.25">
      <c r="A73" s="104">
        <v>63</v>
      </c>
      <c r="B73" s="104">
        <v>175</v>
      </c>
      <c r="C73" s="104">
        <v>259</v>
      </c>
      <c r="D73" s="104">
        <v>179</v>
      </c>
      <c r="E73" s="104">
        <v>258</v>
      </c>
      <c r="F73" s="104" t="s">
        <v>323</v>
      </c>
      <c r="G73" s="61" t="s">
        <v>97</v>
      </c>
    </row>
    <row r="74" spans="1:7" x14ac:dyDescent="0.25">
      <c r="A74" s="104">
        <v>64</v>
      </c>
      <c r="B74" s="104">
        <v>176</v>
      </c>
      <c r="C74" s="104">
        <v>260</v>
      </c>
      <c r="D74" s="104">
        <v>180</v>
      </c>
      <c r="E74" s="104">
        <v>259</v>
      </c>
      <c r="F74" s="104" t="s">
        <v>323</v>
      </c>
      <c r="G74" s="61"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303</v>
      </c>
      <c r="B2" s="41"/>
      <c r="C2" s="41"/>
      <c r="D2" s="41"/>
      <c r="E2" s="41"/>
      <c r="F2" s="41"/>
      <c r="G2" s="41"/>
      <c r="H2" s="169"/>
      <c r="I2" s="42"/>
    </row>
    <row r="3" spans="1:9" x14ac:dyDescent="0.25">
      <c r="A3" s="195" t="s">
        <v>304</v>
      </c>
      <c r="B3" s="41"/>
      <c r="C3" s="41"/>
      <c r="D3" s="41"/>
      <c r="E3" s="41"/>
      <c r="F3" s="41"/>
      <c r="G3" s="41"/>
      <c r="H3" s="169"/>
      <c r="I3" s="42"/>
    </row>
    <row r="4" spans="1:9" x14ac:dyDescent="0.25">
      <c r="A4" s="195" t="s">
        <v>305</v>
      </c>
      <c r="B4" s="41"/>
      <c r="C4" s="41"/>
      <c r="D4" s="41"/>
      <c r="E4" s="41"/>
      <c r="F4" s="41"/>
      <c r="G4" s="41"/>
      <c r="H4" s="169"/>
      <c r="I4" s="42"/>
    </row>
    <row r="5" spans="1:9" x14ac:dyDescent="0.25">
      <c r="A5" s="195" t="s">
        <v>306</v>
      </c>
      <c r="B5" s="41"/>
      <c r="C5" s="41"/>
      <c r="D5" s="41"/>
      <c r="E5" s="41"/>
      <c r="F5" s="41"/>
      <c r="G5" s="41"/>
      <c r="H5" s="169"/>
      <c r="I5" s="42"/>
    </row>
    <row r="6" spans="1:9" x14ac:dyDescent="0.25">
      <c r="A6" s="195" t="s">
        <v>307</v>
      </c>
      <c r="B6" s="41"/>
      <c r="C6" s="41"/>
      <c r="D6" s="41"/>
      <c r="E6" s="41"/>
      <c r="F6" s="41"/>
      <c r="G6" s="41"/>
      <c r="H6" s="169"/>
      <c r="I6" s="42"/>
    </row>
    <row r="7" spans="1:9" x14ac:dyDescent="0.25">
      <c r="A7" s="195" t="s">
        <v>308</v>
      </c>
      <c r="B7" s="41"/>
      <c r="C7" s="41"/>
      <c r="D7" s="41"/>
      <c r="E7" s="41"/>
      <c r="F7" s="41"/>
      <c r="G7" s="41"/>
      <c r="H7" s="169"/>
      <c r="I7" s="42"/>
    </row>
    <row r="8" spans="1:9" x14ac:dyDescent="0.25">
      <c r="A8" s="196" t="s">
        <v>309</v>
      </c>
      <c r="B8" s="43"/>
      <c r="C8" s="43"/>
      <c r="D8" s="43"/>
      <c r="E8" s="43"/>
      <c r="F8" s="43"/>
      <c r="G8" s="43"/>
      <c r="H8" s="171"/>
      <c r="I8" s="44"/>
    </row>
    <row r="9" spans="1:9" x14ac:dyDescent="0.25">
      <c r="A9" s="34"/>
    </row>
    <row r="10" spans="1:9" s="7" customFormat="1" x14ac:dyDescent="0.25">
      <c r="A10" s="31" t="s">
        <v>302</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Sections'!A16=0,"",'Frame Sections'!A16)</f>
        <v>C1</v>
      </c>
      <c r="B2" s="9">
        <f t="shared" ref="B2:B65" si="0">IF(OR(A2=0,A2=""),"",VLOOKUP(A2,SecDB,5,FALSE))</f>
        <v>0.7</v>
      </c>
      <c r="C2" s="11">
        <v>0</v>
      </c>
      <c r="D2" s="11">
        <v>0.6</v>
      </c>
    </row>
    <row r="3" spans="1:4" x14ac:dyDescent="0.25">
      <c r="A3" s="9" t="str">
        <f>IF('Frame Sections'!A17=0,"",'Frame Sections'!A17)</f>
        <v>B1</v>
      </c>
      <c r="B3" s="9">
        <f t="shared" si="0"/>
        <v>0.6</v>
      </c>
      <c r="C3" s="11">
        <v>0</v>
      </c>
      <c r="D3" s="11">
        <v>0</v>
      </c>
    </row>
    <row r="4" spans="1:4" x14ac:dyDescent="0.25">
      <c r="A4" s="9" t="str">
        <f>IF('Frame Sections'!A18=0,"",'Frame Sections'!A18)</f>
        <v/>
      </c>
      <c r="B4" s="9" t="str">
        <f t="shared" si="0"/>
        <v/>
      </c>
    </row>
    <row r="5" spans="1:4" x14ac:dyDescent="0.25">
      <c r="A5" s="9" t="str">
        <f>IF('Frame Sections'!A19=0,"",'Frame Sections'!A19)</f>
        <v/>
      </c>
      <c r="B5" s="9" t="str">
        <f t="shared" si="0"/>
        <v/>
      </c>
    </row>
    <row r="6" spans="1:4" x14ac:dyDescent="0.25">
      <c r="A6" s="9" t="str">
        <f>IF('Frame Sections'!A20=0,"",'Frame Sections'!A20)</f>
        <v/>
      </c>
      <c r="B6" s="9" t="str">
        <f t="shared" si="0"/>
        <v/>
      </c>
    </row>
    <row r="7" spans="1:4" x14ac:dyDescent="0.25">
      <c r="A7" s="9" t="str">
        <f>IF('Frame Sections'!A21=0,"",'Frame Sections'!A21)</f>
        <v/>
      </c>
      <c r="B7" s="9" t="str">
        <f t="shared" si="0"/>
        <v/>
      </c>
    </row>
    <row r="8" spans="1:4" x14ac:dyDescent="0.25">
      <c r="A8" s="9" t="str">
        <f>IF('Frame Sections'!A22=0,"",'Frame Sections'!A22)</f>
        <v/>
      </c>
      <c r="B8" s="9" t="str">
        <f t="shared" si="0"/>
        <v/>
      </c>
    </row>
    <row r="9" spans="1:4" x14ac:dyDescent="0.25">
      <c r="A9" s="9" t="str">
        <f>IF('Frame Sections'!A23=0,"",'Frame Sections'!A23)</f>
        <v/>
      </c>
      <c r="B9" s="9" t="str">
        <f t="shared" si="0"/>
        <v/>
      </c>
    </row>
    <row r="10" spans="1:4" x14ac:dyDescent="0.25">
      <c r="A10" s="9" t="str">
        <f>IF('Frame Sections'!A24=0,"",'Frame Sections'!A24)</f>
        <v/>
      </c>
      <c r="B10" s="9" t="str">
        <f t="shared" si="0"/>
        <v/>
      </c>
    </row>
    <row r="11" spans="1:4" x14ac:dyDescent="0.25">
      <c r="A11" s="9" t="str">
        <f>IF('Frame Sections'!A25=0,"",'Frame Sections'!A25)</f>
        <v/>
      </c>
      <c r="B11" s="9" t="str">
        <f t="shared" si="0"/>
        <v/>
      </c>
    </row>
    <row r="12" spans="1:4" x14ac:dyDescent="0.25">
      <c r="A12" s="9" t="str">
        <f>IF('Frame Sections'!A26=0,"",'Frame Sections'!A26)</f>
        <v/>
      </c>
      <c r="B12" s="9" t="str">
        <f t="shared" si="0"/>
        <v/>
      </c>
    </row>
    <row r="13" spans="1:4" x14ac:dyDescent="0.25">
      <c r="A13" s="9" t="str">
        <f>IF('Frame Sections'!A27=0,"",'Frame Sections'!A27)</f>
        <v/>
      </c>
      <c r="B13" s="9" t="str">
        <f t="shared" si="0"/>
        <v/>
      </c>
    </row>
    <row r="14" spans="1:4" x14ac:dyDescent="0.25">
      <c r="A14" s="9" t="str">
        <f>IF('Frame Sections'!A28=0,"",'Frame Sections'!A28)</f>
        <v/>
      </c>
      <c r="B14" s="9" t="str">
        <f t="shared" si="0"/>
        <v/>
      </c>
    </row>
    <row r="15" spans="1:4" x14ac:dyDescent="0.25">
      <c r="A15" s="9" t="str">
        <f>IF('Frame Sections'!A29=0,"",'Frame Sections'!A29)</f>
        <v/>
      </c>
      <c r="B15" s="9" t="str">
        <f t="shared" si="0"/>
        <v/>
      </c>
    </row>
    <row r="16" spans="1:4" x14ac:dyDescent="0.25">
      <c r="A16" s="9" t="str">
        <f>IF('Frame Sections'!A30=0,"",'Frame Sections'!A30)</f>
        <v/>
      </c>
      <c r="B16" s="9" t="str">
        <f t="shared" si="0"/>
        <v/>
      </c>
    </row>
    <row r="17" spans="1:2" x14ac:dyDescent="0.25">
      <c r="A17" s="9" t="str">
        <f>IF('Frame Sections'!A31=0,"",'Frame Sections'!A31)</f>
        <v/>
      </c>
      <c r="B17" s="9" t="str">
        <f t="shared" si="0"/>
        <v/>
      </c>
    </row>
    <row r="18" spans="1:2" x14ac:dyDescent="0.25">
      <c r="A18" s="9" t="str">
        <f>IF('Frame Sections'!A32=0,"",'Frame Sections'!A32)</f>
        <v/>
      </c>
      <c r="B18" s="9" t="str">
        <f t="shared" si="0"/>
        <v/>
      </c>
    </row>
    <row r="19" spans="1:2" x14ac:dyDescent="0.25">
      <c r="A19" s="9" t="str">
        <f>IF('Frame Sections'!A33=0,"",'Frame Sections'!A33)</f>
        <v/>
      </c>
      <c r="B19" s="9" t="str">
        <f t="shared" si="0"/>
        <v/>
      </c>
    </row>
    <row r="20" spans="1:2" x14ac:dyDescent="0.25">
      <c r="A20" s="9" t="str">
        <f>IF('Frame Sections'!A34=0,"",'Frame Sections'!A34)</f>
        <v/>
      </c>
      <c r="B20" s="9" t="str">
        <f t="shared" si="0"/>
        <v/>
      </c>
    </row>
    <row r="21" spans="1:2" x14ac:dyDescent="0.25">
      <c r="A21" s="9" t="str">
        <f>IF('Frame Sections'!A35=0,"",'Frame Sections'!A35)</f>
        <v/>
      </c>
      <c r="B21" s="9" t="str">
        <f t="shared" si="0"/>
        <v/>
      </c>
    </row>
    <row r="22" spans="1:2" x14ac:dyDescent="0.25">
      <c r="A22" s="9" t="str">
        <f>IF('Frame Sections'!A36=0,"",'Frame Sections'!A36)</f>
        <v/>
      </c>
      <c r="B22" s="9" t="str">
        <f t="shared" si="0"/>
        <v/>
      </c>
    </row>
    <row r="23" spans="1:2" x14ac:dyDescent="0.25">
      <c r="A23" s="9" t="str">
        <f>IF('Frame Sections'!A37=0,"",'Frame Sections'!A37)</f>
        <v/>
      </c>
      <c r="B23" s="9" t="str">
        <f t="shared" si="0"/>
        <v/>
      </c>
    </row>
    <row r="24" spans="1:2" x14ac:dyDescent="0.25">
      <c r="A24" s="9" t="str">
        <f>IF('Frame Sections'!A38=0,"",'Frame Sections'!A38)</f>
        <v/>
      </c>
      <c r="B24" s="9" t="str">
        <f t="shared" si="0"/>
        <v/>
      </c>
    </row>
    <row r="25" spans="1:2" x14ac:dyDescent="0.25">
      <c r="A25" s="9" t="str">
        <f>IF('Frame Sections'!A39=0,"",'Frame Sections'!A39)</f>
        <v/>
      </c>
      <c r="B25" s="9" t="str">
        <f t="shared" si="0"/>
        <v/>
      </c>
    </row>
    <row r="26" spans="1:2" x14ac:dyDescent="0.25">
      <c r="A26" s="9" t="str">
        <f>IF('Frame Sections'!A40=0,"",'Frame Sections'!A40)</f>
        <v/>
      </c>
      <c r="B26" s="9" t="str">
        <f t="shared" si="0"/>
        <v/>
      </c>
    </row>
    <row r="27" spans="1:2" x14ac:dyDescent="0.25">
      <c r="A27" s="9" t="str">
        <f>IF('Frame Sections'!A41=0,"",'Frame Sections'!A41)</f>
        <v/>
      </c>
      <c r="B27" s="9" t="str">
        <f t="shared" si="0"/>
        <v/>
      </c>
    </row>
    <row r="28" spans="1:2" x14ac:dyDescent="0.25">
      <c r="A28" s="9" t="str">
        <f>IF('Frame Sections'!A42=0,"",'Frame Sections'!A42)</f>
        <v/>
      </c>
      <c r="B28" s="9" t="str">
        <f t="shared" si="0"/>
        <v/>
      </c>
    </row>
    <row r="29" spans="1:2" x14ac:dyDescent="0.25">
      <c r="A29" s="9" t="str">
        <f>IF('Frame Sections'!A43=0,"",'Frame Sections'!A43)</f>
        <v/>
      </c>
      <c r="B29" s="9" t="str">
        <f t="shared" si="0"/>
        <v/>
      </c>
    </row>
    <row r="30" spans="1:2" x14ac:dyDescent="0.25">
      <c r="A30" s="9" t="str">
        <f>IF('Frame Sections'!A44=0,"",'Frame Sections'!A44)</f>
        <v/>
      </c>
      <c r="B30" s="9" t="str">
        <f t="shared" si="0"/>
        <v/>
      </c>
    </row>
    <row r="31" spans="1:2" x14ac:dyDescent="0.25">
      <c r="A31" s="9" t="str">
        <f>IF('Frame Sections'!A45=0,"",'Frame Sections'!A45)</f>
        <v/>
      </c>
      <c r="B31" s="9" t="str">
        <f t="shared" si="0"/>
        <v/>
      </c>
    </row>
    <row r="32" spans="1:2" x14ac:dyDescent="0.25">
      <c r="A32" s="9" t="str">
        <f>IF('Frame Sections'!A46=0,"",'Frame Sections'!A46)</f>
        <v/>
      </c>
      <c r="B32" s="9" t="str">
        <f t="shared" si="0"/>
        <v/>
      </c>
    </row>
    <row r="33" spans="1:2" x14ac:dyDescent="0.25">
      <c r="A33" s="9" t="str">
        <f>IF('Frame Sections'!A47=0,"",'Frame Sections'!A47)</f>
        <v/>
      </c>
      <c r="B33" s="9" t="str">
        <f t="shared" si="0"/>
        <v/>
      </c>
    </row>
    <row r="34" spans="1:2" x14ac:dyDescent="0.25">
      <c r="A34" s="9" t="str">
        <f>IF('Frame Sections'!A48=0,"",'Frame Sections'!A48)</f>
        <v/>
      </c>
      <c r="B34" s="9" t="str">
        <f t="shared" si="0"/>
        <v/>
      </c>
    </row>
    <row r="35" spans="1:2" x14ac:dyDescent="0.25">
      <c r="A35" s="9" t="str">
        <f>IF('Frame Sections'!A49=0,"",'Frame Sections'!A49)</f>
        <v/>
      </c>
      <c r="B35" s="9" t="str">
        <f t="shared" si="0"/>
        <v/>
      </c>
    </row>
    <row r="36" spans="1:2" x14ac:dyDescent="0.25">
      <c r="A36" s="9" t="str">
        <f>IF('Frame Sections'!A50=0,"",'Frame Sections'!A50)</f>
        <v/>
      </c>
      <c r="B36" s="9" t="str">
        <f t="shared" si="0"/>
        <v/>
      </c>
    </row>
    <row r="37" spans="1:2" x14ac:dyDescent="0.25">
      <c r="A37" s="9" t="str">
        <f>IF('Frame Sections'!A51=0,"",'Frame Sections'!A51)</f>
        <v/>
      </c>
      <c r="B37" s="9" t="str">
        <f t="shared" si="0"/>
        <v/>
      </c>
    </row>
    <row r="38" spans="1:2" x14ac:dyDescent="0.25">
      <c r="A38" s="9" t="str">
        <f>IF('Frame Sections'!A52=0,"",'Frame Sections'!A52)</f>
        <v/>
      </c>
      <c r="B38" s="9" t="str">
        <f t="shared" si="0"/>
        <v/>
      </c>
    </row>
    <row r="39" spans="1:2" x14ac:dyDescent="0.25">
      <c r="A39" s="9" t="str">
        <f>IF('Frame Sections'!A53=0,"",'Frame Sections'!A53)</f>
        <v/>
      </c>
      <c r="B39" s="9" t="str">
        <f t="shared" si="0"/>
        <v/>
      </c>
    </row>
    <row r="40" spans="1:2" x14ac:dyDescent="0.25">
      <c r="A40" s="9" t="str">
        <f>IF('Frame Sections'!A54=0,"",'Frame Sections'!A54)</f>
        <v/>
      </c>
      <c r="B40" s="9" t="str">
        <f t="shared" si="0"/>
        <v/>
      </c>
    </row>
    <row r="41" spans="1:2" x14ac:dyDescent="0.25">
      <c r="A41" s="9" t="str">
        <f>IF('Frame Sections'!A55=0,"",'Frame Sections'!A55)</f>
        <v/>
      </c>
      <c r="B41" s="9" t="str">
        <f t="shared" si="0"/>
        <v/>
      </c>
    </row>
    <row r="42" spans="1:2" x14ac:dyDescent="0.25">
      <c r="A42" s="9" t="str">
        <f>IF('Frame Sections'!A56=0,"",'Frame Sections'!A56)</f>
        <v/>
      </c>
      <c r="B42" s="9" t="str">
        <f t="shared" si="0"/>
        <v/>
      </c>
    </row>
    <row r="43" spans="1:2" x14ac:dyDescent="0.25">
      <c r="A43" s="9" t="str">
        <f>IF('Frame Sections'!A57=0,"",'Frame Sections'!A57)</f>
        <v/>
      </c>
      <c r="B43" s="9" t="str">
        <f t="shared" si="0"/>
        <v/>
      </c>
    </row>
    <row r="44" spans="1:2" x14ac:dyDescent="0.25">
      <c r="A44" s="9" t="str">
        <f>IF('Frame Sections'!A58=0,"",'Frame Sections'!A58)</f>
        <v/>
      </c>
      <c r="B44" s="9" t="str">
        <f t="shared" si="0"/>
        <v/>
      </c>
    </row>
    <row r="45" spans="1:2" x14ac:dyDescent="0.25">
      <c r="A45" s="9" t="str">
        <f>IF('Frame Sections'!A59=0,"",'Frame Sections'!A59)</f>
        <v/>
      </c>
      <c r="B45" s="9" t="str">
        <f t="shared" si="0"/>
        <v/>
      </c>
    </row>
    <row r="46" spans="1:2" x14ac:dyDescent="0.25">
      <c r="A46" s="9" t="str">
        <f>IF('Frame Sections'!A60=0,"",'Frame Sections'!A60)</f>
        <v/>
      </c>
      <c r="B46" s="9" t="str">
        <f t="shared" si="0"/>
        <v/>
      </c>
    </row>
    <row r="47" spans="1:2" x14ac:dyDescent="0.25">
      <c r="A47" s="9" t="str">
        <f>IF('Frame Sections'!A61=0,"",'Frame Sections'!A61)</f>
        <v/>
      </c>
      <c r="B47" s="9" t="str">
        <f t="shared" si="0"/>
        <v/>
      </c>
    </row>
    <row r="48" spans="1:2" x14ac:dyDescent="0.25">
      <c r="A48" s="9" t="str">
        <f>IF('Frame Sections'!A62=0,"",'Frame Sections'!A62)</f>
        <v/>
      </c>
      <c r="B48" s="9" t="str">
        <f t="shared" si="0"/>
        <v/>
      </c>
    </row>
    <row r="49" spans="1:2" x14ac:dyDescent="0.25">
      <c r="A49" s="9" t="str">
        <f>IF('Frame Sections'!A63=0,"",'Frame Sections'!A63)</f>
        <v/>
      </c>
      <c r="B49" s="9" t="str">
        <f t="shared" si="0"/>
        <v/>
      </c>
    </row>
    <row r="50" spans="1:2" x14ac:dyDescent="0.25">
      <c r="A50" s="9" t="str">
        <f>IF('Frame Sections'!A64=0,"",'Frame Sections'!A64)</f>
        <v/>
      </c>
      <c r="B50" s="9" t="str">
        <f t="shared" si="0"/>
        <v/>
      </c>
    </row>
    <row r="51" spans="1:2" x14ac:dyDescent="0.25">
      <c r="A51" s="9" t="str">
        <f>IF('Frame Sections'!A65=0,"",'Frame Sections'!A65)</f>
        <v/>
      </c>
      <c r="B51" s="9" t="str">
        <f t="shared" si="0"/>
        <v/>
      </c>
    </row>
    <row r="52" spans="1:2" x14ac:dyDescent="0.25">
      <c r="A52" s="9" t="str">
        <f>IF('Frame Sections'!A66=0,"",'Frame Sections'!A66)</f>
        <v/>
      </c>
      <c r="B52" s="9" t="str">
        <f t="shared" si="0"/>
        <v/>
      </c>
    </row>
    <row r="53" spans="1:2" x14ac:dyDescent="0.25">
      <c r="A53" s="9" t="str">
        <f>IF('Frame Sections'!A67=0,"",'Frame Sections'!A67)</f>
        <v/>
      </c>
      <c r="B53" s="9" t="str">
        <f t="shared" si="0"/>
        <v/>
      </c>
    </row>
    <row r="54" spans="1:2" x14ac:dyDescent="0.25">
      <c r="A54" s="9" t="str">
        <f>IF('Frame Sections'!A68=0,"",'Frame Sections'!A68)</f>
        <v/>
      </c>
      <c r="B54" s="9" t="str">
        <f t="shared" si="0"/>
        <v/>
      </c>
    </row>
    <row r="55" spans="1:2" x14ac:dyDescent="0.25">
      <c r="A55" s="9" t="str">
        <f>IF('Frame Sections'!A69=0,"",'Frame Sections'!A69)</f>
        <v/>
      </c>
      <c r="B55" s="9" t="str">
        <f t="shared" si="0"/>
        <v/>
      </c>
    </row>
    <row r="56" spans="1:2" x14ac:dyDescent="0.25">
      <c r="A56" s="9" t="str">
        <f>IF('Frame Sections'!A70=0,"",'Frame Sections'!A70)</f>
        <v/>
      </c>
      <c r="B56" s="9" t="str">
        <f t="shared" si="0"/>
        <v/>
      </c>
    </row>
    <row r="57" spans="1:2" x14ac:dyDescent="0.25">
      <c r="A57" s="9" t="str">
        <f>IF('Frame Sections'!A71=0,"",'Frame Sections'!A71)</f>
        <v/>
      </c>
      <c r="B57" s="9" t="str">
        <f t="shared" si="0"/>
        <v/>
      </c>
    </row>
    <row r="58" spans="1:2" x14ac:dyDescent="0.25">
      <c r="A58" s="9" t="str">
        <f>IF('Frame Sections'!A72=0,"",'Frame Sections'!A72)</f>
        <v/>
      </c>
      <c r="B58" s="9" t="str">
        <f t="shared" si="0"/>
        <v/>
      </c>
    </row>
    <row r="59" spans="1:2" x14ac:dyDescent="0.25">
      <c r="A59" s="9" t="str">
        <f>IF('Frame Sections'!A73=0,"",'Frame Sections'!A73)</f>
        <v/>
      </c>
      <c r="B59" s="9" t="str">
        <f t="shared" si="0"/>
        <v/>
      </c>
    </row>
    <row r="60" spans="1:2" x14ac:dyDescent="0.25">
      <c r="A60" s="9" t="str">
        <f>IF('Frame Sections'!A74=0,"",'Frame Sections'!A74)</f>
        <v/>
      </c>
      <c r="B60" s="9" t="str">
        <f t="shared" si="0"/>
        <v/>
      </c>
    </row>
    <row r="61" spans="1:2" x14ac:dyDescent="0.25">
      <c r="A61" s="9" t="str">
        <f>IF('Frame Sections'!A75=0,"",'Frame Sections'!A75)</f>
        <v/>
      </c>
      <c r="B61" s="9" t="str">
        <f t="shared" si="0"/>
        <v/>
      </c>
    </row>
    <row r="62" spans="1:2" x14ac:dyDescent="0.25">
      <c r="A62" s="9" t="str">
        <f>IF('Frame Sections'!A76=0,"",'Frame Sections'!A76)</f>
        <v/>
      </c>
      <c r="B62" s="9" t="str">
        <f t="shared" si="0"/>
        <v/>
      </c>
    </row>
    <row r="63" spans="1:2" x14ac:dyDescent="0.25">
      <c r="A63" s="9" t="str">
        <f>IF('Frame Sections'!A77=0,"",'Frame Sections'!A77)</f>
        <v/>
      </c>
      <c r="B63" s="9" t="str">
        <f t="shared" si="0"/>
        <v/>
      </c>
    </row>
    <row r="64" spans="1:2" x14ac:dyDescent="0.25">
      <c r="A64" s="9" t="str">
        <f>IF('Frame Sections'!A78=0,"",'Frame Sections'!A78)</f>
        <v/>
      </c>
      <c r="B64" s="9" t="str">
        <f t="shared" si="0"/>
        <v/>
      </c>
    </row>
    <row r="65" spans="1:2" x14ac:dyDescent="0.25">
      <c r="A65" s="9" t="str">
        <f>IF('Frame Sections'!A79=0,"",'Frame Sections'!A79)</f>
        <v/>
      </c>
      <c r="B65" s="9" t="str">
        <f t="shared" si="0"/>
        <v/>
      </c>
    </row>
    <row r="66" spans="1:2" x14ac:dyDescent="0.25">
      <c r="A66" s="9" t="str">
        <f>IF('Frame Sections'!A80=0,"",'Frame Sections'!A80)</f>
        <v/>
      </c>
      <c r="B66" s="9" t="str">
        <f t="shared" ref="B66:B129" si="1">IF(OR(A66=0,A66=""),"",VLOOKUP(A66,SecDB,5,FALSE))</f>
        <v/>
      </c>
    </row>
    <row r="67" spans="1:2" x14ac:dyDescent="0.25">
      <c r="A67" s="9" t="str">
        <f>IF('Frame Sections'!A81=0,"",'Frame Sections'!A81)</f>
        <v/>
      </c>
      <c r="B67" s="9" t="str">
        <f t="shared" si="1"/>
        <v/>
      </c>
    </row>
    <row r="68" spans="1:2" x14ac:dyDescent="0.25">
      <c r="A68" s="9" t="str">
        <f>IF('Frame Sections'!A82=0,"",'Frame Sections'!A82)</f>
        <v/>
      </c>
      <c r="B68" s="9" t="str">
        <f t="shared" si="1"/>
        <v/>
      </c>
    </row>
    <row r="69" spans="1:2" x14ac:dyDescent="0.25">
      <c r="A69" s="9" t="str">
        <f>IF('Frame Sections'!A83=0,"",'Frame Sections'!A83)</f>
        <v/>
      </c>
      <c r="B69" s="9" t="str">
        <f t="shared" si="1"/>
        <v/>
      </c>
    </row>
    <row r="70" spans="1:2" x14ac:dyDescent="0.25">
      <c r="A70" s="9" t="str">
        <f>IF('Frame Sections'!A84=0,"",'Frame Sections'!A84)</f>
        <v/>
      </c>
      <c r="B70" s="9" t="str">
        <f t="shared" si="1"/>
        <v/>
      </c>
    </row>
    <row r="71" spans="1:2" x14ac:dyDescent="0.25">
      <c r="A71" s="9" t="str">
        <f>IF('Frame Sections'!A85=0,"",'Frame Sections'!A85)</f>
        <v/>
      </c>
      <c r="B71" s="9" t="str">
        <f t="shared" si="1"/>
        <v/>
      </c>
    </row>
    <row r="72" spans="1:2" x14ac:dyDescent="0.25">
      <c r="A72" s="9" t="str">
        <f>IF('Frame Sections'!A86=0,"",'Frame Sections'!A86)</f>
        <v/>
      </c>
      <c r="B72" s="9" t="str">
        <f t="shared" si="1"/>
        <v/>
      </c>
    </row>
    <row r="73" spans="1:2" x14ac:dyDescent="0.25">
      <c r="A73" s="9" t="str">
        <f>IF('Frame Sections'!A87=0,"",'Frame Sections'!A87)</f>
        <v/>
      </c>
      <c r="B73" s="9" t="str">
        <f t="shared" si="1"/>
        <v/>
      </c>
    </row>
    <row r="74" spans="1:2" x14ac:dyDescent="0.25">
      <c r="A74" s="9" t="str">
        <f>IF('Frame Sections'!A88=0,"",'Frame Sections'!A88)</f>
        <v/>
      </c>
      <c r="B74" s="9" t="str">
        <f t="shared" si="1"/>
        <v/>
      </c>
    </row>
    <row r="75" spans="1:2" x14ac:dyDescent="0.25">
      <c r="A75" s="9" t="str">
        <f>IF('Frame Sections'!A89=0,"",'Frame Sections'!A89)</f>
        <v/>
      </c>
      <c r="B75" s="9" t="str">
        <f t="shared" si="1"/>
        <v/>
      </c>
    </row>
    <row r="76" spans="1:2" x14ac:dyDescent="0.25">
      <c r="A76" s="9" t="str">
        <f>IF('Frame Sections'!A90=0,"",'Frame Sections'!A90)</f>
        <v/>
      </c>
      <c r="B76" s="9" t="str">
        <f t="shared" si="1"/>
        <v/>
      </c>
    </row>
    <row r="77" spans="1:2" x14ac:dyDescent="0.25">
      <c r="A77" s="9" t="str">
        <f>IF('Frame Sections'!A91=0,"",'Frame Sections'!A91)</f>
        <v/>
      </c>
      <c r="B77" s="9" t="str">
        <f t="shared" si="1"/>
        <v/>
      </c>
    </row>
    <row r="78" spans="1:2" x14ac:dyDescent="0.25">
      <c r="A78" s="9" t="str">
        <f>IF('Frame Sections'!A92=0,"",'Frame Sections'!A92)</f>
        <v/>
      </c>
      <c r="B78" s="9" t="str">
        <f t="shared" si="1"/>
        <v/>
      </c>
    </row>
    <row r="79" spans="1:2" x14ac:dyDescent="0.25">
      <c r="A79" s="9" t="str">
        <f>IF('Frame Sections'!A93=0,"",'Frame Sections'!A93)</f>
        <v/>
      </c>
      <c r="B79" s="9" t="str">
        <f t="shared" si="1"/>
        <v/>
      </c>
    </row>
    <row r="80" spans="1:2" x14ac:dyDescent="0.25">
      <c r="A80" s="9" t="str">
        <f>IF('Frame Sections'!A94=0,"",'Frame Sections'!A94)</f>
        <v/>
      </c>
      <c r="B80" s="9" t="str">
        <f t="shared" si="1"/>
        <v/>
      </c>
    </row>
    <row r="81" spans="1:2" x14ac:dyDescent="0.25">
      <c r="A81" s="9" t="str">
        <f>IF('Frame Sections'!A95=0,"",'Frame Sections'!A95)</f>
        <v/>
      </c>
      <c r="B81" s="9" t="str">
        <f t="shared" si="1"/>
        <v/>
      </c>
    </row>
    <row r="82" spans="1:2" x14ac:dyDescent="0.25">
      <c r="A82" s="9" t="str">
        <f>IF('Frame Sections'!A96=0,"",'Frame Sections'!A96)</f>
        <v/>
      </c>
      <c r="B82" s="9" t="str">
        <f t="shared" si="1"/>
        <v/>
      </c>
    </row>
    <row r="83" spans="1:2" x14ac:dyDescent="0.25">
      <c r="A83" s="9" t="str">
        <f>IF('Frame Sections'!A97=0,"",'Frame Sections'!A97)</f>
        <v/>
      </c>
      <c r="B83" s="9" t="str">
        <f t="shared" si="1"/>
        <v/>
      </c>
    </row>
    <row r="84" spans="1:2" x14ac:dyDescent="0.25">
      <c r="A84" s="9" t="str">
        <f>IF('Frame Sections'!A98=0,"",'Frame Sections'!A98)</f>
        <v/>
      </c>
      <c r="B84" s="9" t="str">
        <f t="shared" si="1"/>
        <v/>
      </c>
    </row>
    <row r="85" spans="1:2" x14ac:dyDescent="0.25">
      <c r="A85" s="9" t="str">
        <f>IF('Frame Sections'!A99=0,"",'Frame Sections'!A99)</f>
        <v/>
      </c>
      <c r="B85" s="9" t="str">
        <f t="shared" si="1"/>
        <v/>
      </c>
    </row>
    <row r="86" spans="1:2" x14ac:dyDescent="0.25">
      <c r="A86" s="9" t="str">
        <f>IF('Frame Sections'!A100=0,"",'Frame Sections'!A100)</f>
        <v/>
      </c>
      <c r="B86" s="9" t="str">
        <f t="shared" si="1"/>
        <v/>
      </c>
    </row>
    <row r="87" spans="1:2" x14ac:dyDescent="0.25">
      <c r="A87" s="9" t="str">
        <f>IF('Frame Sections'!A101=0,"",'Frame Sections'!A101)</f>
        <v/>
      </c>
      <c r="B87" s="9" t="str">
        <f t="shared" si="1"/>
        <v/>
      </c>
    </row>
    <row r="88" spans="1:2" x14ac:dyDescent="0.25">
      <c r="A88" s="9" t="str">
        <f>IF('Frame Sections'!A102=0,"",'Frame Sections'!A102)</f>
        <v/>
      </c>
      <c r="B88" s="9" t="str">
        <f t="shared" si="1"/>
        <v/>
      </c>
    </row>
    <row r="89" spans="1:2" x14ac:dyDescent="0.25">
      <c r="A89" s="9" t="str">
        <f>IF('Frame Sections'!A103=0,"",'Frame Sections'!A103)</f>
        <v/>
      </c>
      <c r="B89" s="9" t="str">
        <f t="shared" si="1"/>
        <v/>
      </c>
    </row>
    <row r="90" spans="1:2" x14ac:dyDescent="0.25">
      <c r="A90" s="9" t="str">
        <f>IF('Frame Sections'!A104=0,"",'Frame Sections'!A104)</f>
        <v/>
      </c>
      <c r="B90" s="9" t="str">
        <f t="shared" si="1"/>
        <v/>
      </c>
    </row>
    <row r="91" spans="1:2" x14ac:dyDescent="0.25">
      <c r="A91" s="9" t="str">
        <f>IF('Frame Sections'!A105=0,"",'Frame Sections'!A105)</f>
        <v/>
      </c>
      <c r="B91" s="9" t="str">
        <f t="shared" si="1"/>
        <v/>
      </c>
    </row>
    <row r="92" spans="1:2" x14ac:dyDescent="0.25">
      <c r="A92" s="9" t="str">
        <f>IF('Frame Sections'!A106=0,"",'Frame Sections'!A106)</f>
        <v/>
      </c>
      <c r="B92" s="9" t="str">
        <f t="shared" si="1"/>
        <v/>
      </c>
    </row>
    <row r="93" spans="1:2" x14ac:dyDescent="0.25">
      <c r="A93" s="9" t="str">
        <f>IF('Frame Sections'!A107=0,"",'Frame Sections'!A107)</f>
        <v/>
      </c>
      <c r="B93" s="9" t="str">
        <f t="shared" si="1"/>
        <v/>
      </c>
    </row>
    <row r="94" spans="1:2" x14ac:dyDescent="0.25">
      <c r="A94" s="9" t="str">
        <f>IF('Frame Sections'!A108=0,"",'Frame Sections'!A108)</f>
        <v/>
      </c>
      <c r="B94" s="9" t="str">
        <f t="shared" si="1"/>
        <v/>
      </c>
    </row>
    <row r="95" spans="1:2" x14ac:dyDescent="0.25">
      <c r="A95" s="9" t="str">
        <f>IF('Frame Sections'!A109=0,"",'Frame Sections'!A109)</f>
        <v/>
      </c>
      <c r="B95" s="9" t="str">
        <f t="shared" si="1"/>
        <v/>
      </c>
    </row>
    <row r="96" spans="1:2" x14ac:dyDescent="0.25">
      <c r="A96" s="9" t="str">
        <f>IF('Frame Sections'!A110=0,"",'Frame Sections'!A110)</f>
        <v/>
      </c>
      <c r="B96" s="9" t="str">
        <f t="shared" si="1"/>
        <v/>
      </c>
    </row>
    <row r="97" spans="1:2" x14ac:dyDescent="0.25">
      <c r="A97" s="9" t="str">
        <f>IF('Frame Sections'!A111=0,"",'Frame Sections'!A111)</f>
        <v/>
      </c>
      <c r="B97" s="9" t="str">
        <f t="shared" si="1"/>
        <v/>
      </c>
    </row>
    <row r="98" spans="1:2" x14ac:dyDescent="0.25">
      <c r="A98" s="9" t="str">
        <f>IF('Frame Sections'!A112=0,"",'Frame Sections'!A112)</f>
        <v/>
      </c>
      <c r="B98" s="9" t="str">
        <f t="shared" si="1"/>
        <v/>
      </c>
    </row>
    <row r="99" spans="1:2" x14ac:dyDescent="0.25">
      <c r="A99" s="9" t="str">
        <f>IF('Frame Sections'!A113=0,"",'Frame Sections'!A113)</f>
        <v/>
      </c>
      <c r="B99" s="9" t="str">
        <f t="shared" si="1"/>
        <v/>
      </c>
    </row>
    <row r="100" spans="1:2" x14ac:dyDescent="0.25">
      <c r="A100" s="9" t="str">
        <f>IF('Frame Sections'!A114=0,"",'Frame Sections'!A114)</f>
        <v/>
      </c>
      <c r="B100" s="9" t="str">
        <f t="shared" si="1"/>
        <v/>
      </c>
    </row>
    <row r="101" spans="1:2" x14ac:dyDescent="0.25">
      <c r="A101" s="9" t="str">
        <f>IF('Frame Sections'!A115=0,"",'Frame Sections'!A115)</f>
        <v/>
      </c>
      <c r="B101" s="9" t="str">
        <f t="shared" si="1"/>
        <v/>
      </c>
    </row>
    <row r="102" spans="1:2" x14ac:dyDescent="0.25">
      <c r="A102" s="9" t="str">
        <f>IF('Frame Sections'!A116=0,"",'Frame Sections'!A116)</f>
        <v/>
      </c>
      <c r="B102" s="9" t="str">
        <f t="shared" si="1"/>
        <v/>
      </c>
    </row>
    <row r="103" spans="1:2" x14ac:dyDescent="0.25">
      <c r="A103" s="9" t="str">
        <f>IF('Frame Sections'!A117=0,"",'Frame Sections'!A117)</f>
        <v/>
      </c>
      <c r="B103" s="9" t="str">
        <f t="shared" si="1"/>
        <v/>
      </c>
    </row>
    <row r="104" spans="1:2" x14ac:dyDescent="0.25">
      <c r="A104" s="9" t="str">
        <f>IF('Frame Sections'!A118=0,"",'Frame Sections'!A118)</f>
        <v/>
      </c>
      <c r="B104" s="9" t="str">
        <f t="shared" si="1"/>
        <v/>
      </c>
    </row>
    <row r="105" spans="1:2" x14ac:dyDescent="0.25">
      <c r="A105" s="9" t="str">
        <f>IF('Frame Sections'!A119=0,"",'Frame Sections'!A119)</f>
        <v/>
      </c>
      <c r="B105" s="9" t="str">
        <f t="shared" si="1"/>
        <v/>
      </c>
    </row>
    <row r="106" spans="1:2" x14ac:dyDescent="0.25">
      <c r="A106" s="9" t="str">
        <f>IF('Frame Sections'!A120=0,"",'Frame Sections'!A120)</f>
        <v/>
      </c>
      <c r="B106" s="9" t="str">
        <f t="shared" si="1"/>
        <v/>
      </c>
    </row>
    <row r="107" spans="1:2" x14ac:dyDescent="0.25">
      <c r="A107" s="9" t="str">
        <f>IF('Frame Sections'!A121=0,"",'Frame Sections'!A121)</f>
        <v/>
      </c>
      <c r="B107" s="9" t="str">
        <f t="shared" si="1"/>
        <v/>
      </c>
    </row>
    <row r="108" spans="1:2" x14ac:dyDescent="0.25">
      <c r="A108" s="9" t="str">
        <f>IF('Frame Sections'!A122=0,"",'Frame Sections'!A122)</f>
        <v/>
      </c>
      <c r="B108" s="9" t="str">
        <f t="shared" si="1"/>
        <v/>
      </c>
    </row>
    <row r="109" spans="1:2" x14ac:dyDescent="0.25">
      <c r="A109" s="9" t="str">
        <f>IF('Frame Sections'!A123=0,"",'Frame Sections'!A123)</f>
        <v/>
      </c>
      <c r="B109" s="9" t="str">
        <f t="shared" si="1"/>
        <v/>
      </c>
    </row>
    <row r="110" spans="1:2" x14ac:dyDescent="0.25">
      <c r="A110" s="9" t="str">
        <f>IF('Frame Sections'!A124=0,"",'Frame Sections'!A124)</f>
        <v/>
      </c>
      <c r="B110" s="9" t="str">
        <f t="shared" si="1"/>
        <v/>
      </c>
    </row>
    <row r="111" spans="1:2" x14ac:dyDescent="0.25">
      <c r="A111" s="9" t="str">
        <f>IF('Frame Sections'!A125=0,"",'Frame Sections'!A125)</f>
        <v/>
      </c>
      <c r="B111" s="9" t="str">
        <f t="shared" si="1"/>
        <v/>
      </c>
    </row>
    <row r="112" spans="1:2" x14ac:dyDescent="0.25">
      <c r="A112" s="9" t="str">
        <f>IF('Frame Sections'!A126=0,"",'Frame Sections'!A126)</f>
        <v/>
      </c>
      <c r="B112" s="9" t="str">
        <f t="shared" si="1"/>
        <v/>
      </c>
    </row>
    <row r="113" spans="1:2" x14ac:dyDescent="0.25">
      <c r="A113" s="9" t="str">
        <f>IF('Frame Sections'!A127=0,"",'Frame Sections'!A127)</f>
        <v/>
      </c>
      <c r="B113" s="9" t="str">
        <f t="shared" si="1"/>
        <v/>
      </c>
    </row>
    <row r="114" spans="1:2" x14ac:dyDescent="0.25">
      <c r="A114" s="9" t="str">
        <f>IF('Frame Sections'!A128=0,"",'Frame Sections'!A128)</f>
        <v/>
      </c>
      <c r="B114" s="9" t="str">
        <f t="shared" si="1"/>
        <v/>
      </c>
    </row>
    <row r="115" spans="1:2" x14ac:dyDescent="0.25">
      <c r="A115" s="9" t="str">
        <f>IF('Frame Sections'!A129=0,"",'Frame Sections'!A129)</f>
        <v/>
      </c>
      <c r="B115" s="9" t="str">
        <f t="shared" si="1"/>
        <v/>
      </c>
    </row>
    <row r="116" spans="1:2" x14ac:dyDescent="0.25">
      <c r="A116" s="9" t="str">
        <f>IF('Frame Sections'!A130=0,"",'Frame Sections'!A130)</f>
        <v/>
      </c>
      <c r="B116" s="9" t="str">
        <f t="shared" si="1"/>
        <v/>
      </c>
    </row>
    <row r="117" spans="1:2" x14ac:dyDescent="0.25">
      <c r="A117" s="9" t="str">
        <f>IF('Frame Sections'!A131=0,"",'Frame Sections'!A131)</f>
        <v/>
      </c>
      <c r="B117" s="9" t="str">
        <f t="shared" si="1"/>
        <v/>
      </c>
    </row>
    <row r="118" spans="1:2" x14ac:dyDescent="0.25">
      <c r="A118" s="9" t="str">
        <f>IF('Frame Sections'!A132=0,"",'Frame Sections'!A132)</f>
        <v/>
      </c>
      <c r="B118" s="9" t="str">
        <f t="shared" si="1"/>
        <v/>
      </c>
    </row>
    <row r="119" spans="1:2" x14ac:dyDescent="0.25">
      <c r="A119" s="9" t="str">
        <f>IF('Frame Sections'!A133=0,"",'Frame Sections'!A133)</f>
        <v/>
      </c>
      <c r="B119" s="9" t="str">
        <f t="shared" si="1"/>
        <v/>
      </c>
    </row>
    <row r="120" spans="1:2" x14ac:dyDescent="0.25">
      <c r="A120" s="9" t="str">
        <f>IF('Frame Sections'!A134=0,"",'Frame Sections'!A134)</f>
        <v/>
      </c>
      <c r="B120" s="9" t="str">
        <f t="shared" si="1"/>
        <v/>
      </c>
    </row>
    <row r="121" spans="1:2" x14ac:dyDescent="0.25">
      <c r="A121" s="9" t="str">
        <f>IF('Frame Sections'!A135=0,"",'Frame Sections'!A135)</f>
        <v/>
      </c>
      <c r="B121" s="9" t="str">
        <f t="shared" si="1"/>
        <v/>
      </c>
    </row>
    <row r="122" spans="1:2" x14ac:dyDescent="0.25">
      <c r="A122" s="9" t="str">
        <f>IF('Frame Sections'!A136=0,"",'Frame Sections'!A136)</f>
        <v/>
      </c>
      <c r="B122" s="9" t="str">
        <f t="shared" si="1"/>
        <v/>
      </c>
    </row>
    <row r="123" spans="1:2" x14ac:dyDescent="0.25">
      <c r="A123" s="9" t="str">
        <f>IF('Frame Sections'!A137=0,"",'Frame Sections'!A137)</f>
        <v/>
      </c>
      <c r="B123" s="9" t="str">
        <f t="shared" si="1"/>
        <v/>
      </c>
    </row>
    <row r="124" spans="1:2" x14ac:dyDescent="0.25">
      <c r="A124" s="9" t="str">
        <f>IF('Frame Sections'!A138=0,"",'Frame Sections'!A138)</f>
        <v/>
      </c>
      <c r="B124" s="9" t="str">
        <f t="shared" si="1"/>
        <v/>
      </c>
    </row>
    <row r="125" spans="1:2" x14ac:dyDescent="0.25">
      <c r="A125" s="9" t="str">
        <f>IF('Frame Sections'!A139=0,"",'Frame Sections'!A139)</f>
        <v/>
      </c>
      <c r="B125" s="9" t="str">
        <f t="shared" si="1"/>
        <v/>
      </c>
    </row>
    <row r="126" spans="1:2" x14ac:dyDescent="0.25">
      <c r="A126" s="9" t="str">
        <f>IF('Frame Sections'!A140=0,"",'Frame Sections'!A140)</f>
        <v/>
      </c>
      <c r="B126" s="9" t="str">
        <f t="shared" si="1"/>
        <v/>
      </c>
    </row>
    <row r="127" spans="1:2" x14ac:dyDescent="0.25">
      <c r="A127" s="9" t="str">
        <f>IF('Frame Sections'!A141=0,"",'Frame Sections'!A141)</f>
        <v/>
      </c>
      <c r="B127" s="9" t="str">
        <f t="shared" si="1"/>
        <v/>
      </c>
    </row>
    <row r="128" spans="1:2" x14ac:dyDescent="0.25">
      <c r="A128" s="9" t="str">
        <f>IF('Frame Sections'!A142=0,"",'Frame Sections'!A142)</f>
        <v/>
      </c>
      <c r="B128" s="9" t="str">
        <f t="shared" si="1"/>
        <v/>
      </c>
    </row>
    <row r="129" spans="1:2" x14ac:dyDescent="0.25">
      <c r="A129" s="9" t="str">
        <f>IF('Frame Sections'!A143=0,"",'Frame Sections'!A143)</f>
        <v/>
      </c>
      <c r="B129" s="9" t="str">
        <f t="shared" si="1"/>
        <v/>
      </c>
    </row>
    <row r="130" spans="1:2" x14ac:dyDescent="0.25">
      <c r="A130" s="9" t="str">
        <f>IF('Frame Sections'!A144=0,"",'Frame Sections'!A144)</f>
        <v/>
      </c>
      <c r="B130" s="9" t="str">
        <f t="shared" ref="B130:B193" si="2">IF(OR(A130=0,A130=""),"",VLOOKUP(A130,SecDB,5,FALSE))</f>
        <v/>
      </c>
    </row>
    <row r="131" spans="1:2" x14ac:dyDescent="0.25">
      <c r="A131" s="9" t="str">
        <f>IF('Frame Sections'!A145=0,"",'Frame Sections'!A145)</f>
        <v/>
      </c>
      <c r="B131" s="9" t="str">
        <f t="shared" si="2"/>
        <v/>
      </c>
    </row>
    <row r="132" spans="1:2" x14ac:dyDescent="0.25">
      <c r="A132" s="9" t="str">
        <f>IF('Frame Sections'!A146=0,"",'Frame Sections'!A146)</f>
        <v/>
      </c>
      <c r="B132" s="9" t="str">
        <f t="shared" si="2"/>
        <v/>
      </c>
    </row>
    <row r="133" spans="1:2" x14ac:dyDescent="0.25">
      <c r="A133" s="9" t="str">
        <f>IF('Frame Sections'!A147=0,"",'Frame Sections'!A147)</f>
        <v/>
      </c>
      <c r="B133" s="9" t="str">
        <f t="shared" si="2"/>
        <v/>
      </c>
    </row>
    <row r="134" spans="1:2" x14ac:dyDescent="0.25">
      <c r="A134" s="9" t="str">
        <f>IF('Frame Sections'!A148=0,"",'Frame Sections'!A148)</f>
        <v/>
      </c>
      <c r="B134" s="9" t="str">
        <f t="shared" si="2"/>
        <v/>
      </c>
    </row>
    <row r="135" spans="1:2" x14ac:dyDescent="0.25">
      <c r="A135" s="9" t="str">
        <f>IF('Frame Sections'!A149=0,"",'Frame Sections'!A149)</f>
        <v/>
      </c>
      <c r="B135" s="9" t="str">
        <f t="shared" si="2"/>
        <v/>
      </c>
    </row>
    <row r="136" spans="1:2" x14ac:dyDescent="0.25">
      <c r="A136" s="9" t="str">
        <f>IF('Frame Sections'!A150=0,"",'Frame Sections'!A150)</f>
        <v/>
      </c>
      <c r="B136" s="9" t="str">
        <f t="shared" si="2"/>
        <v/>
      </c>
    </row>
    <row r="137" spans="1:2" x14ac:dyDescent="0.25">
      <c r="A137" s="9" t="str">
        <f>IF('Frame Sections'!A151=0,"",'Frame Sections'!A151)</f>
        <v/>
      </c>
      <c r="B137" s="9" t="str">
        <f t="shared" si="2"/>
        <v/>
      </c>
    </row>
    <row r="138" spans="1:2" x14ac:dyDescent="0.25">
      <c r="A138" s="9" t="str">
        <f>IF('Frame Sections'!A152=0,"",'Frame Sections'!A152)</f>
        <v/>
      </c>
      <c r="B138" s="9" t="str">
        <f t="shared" si="2"/>
        <v/>
      </c>
    </row>
    <row r="139" spans="1:2" x14ac:dyDescent="0.25">
      <c r="A139" s="9" t="str">
        <f>IF('Frame Sections'!A153=0,"",'Frame Sections'!A153)</f>
        <v/>
      </c>
      <c r="B139" s="9" t="str">
        <f t="shared" si="2"/>
        <v/>
      </c>
    </row>
    <row r="140" spans="1:2" x14ac:dyDescent="0.25">
      <c r="A140" s="9" t="str">
        <f>IF('Frame Sections'!A154=0,"",'Frame Sections'!A154)</f>
        <v/>
      </c>
      <c r="B140" s="9" t="str">
        <f t="shared" si="2"/>
        <v/>
      </c>
    </row>
    <row r="141" spans="1:2" x14ac:dyDescent="0.25">
      <c r="A141" s="9" t="str">
        <f>IF('Frame Sections'!A155=0,"",'Frame Sections'!A155)</f>
        <v/>
      </c>
      <c r="B141" s="9" t="str">
        <f t="shared" si="2"/>
        <v/>
      </c>
    </row>
    <row r="142" spans="1:2" x14ac:dyDescent="0.25">
      <c r="A142" s="9" t="str">
        <f>IF('Frame Sections'!A156=0,"",'Frame Sections'!A156)</f>
        <v/>
      </c>
      <c r="B142" s="9" t="str">
        <f t="shared" si="2"/>
        <v/>
      </c>
    </row>
    <row r="143" spans="1:2" x14ac:dyDescent="0.25">
      <c r="A143" s="9" t="str">
        <f>IF('Frame Sections'!A157=0,"",'Frame Sections'!A157)</f>
        <v/>
      </c>
      <c r="B143" s="9" t="str">
        <f t="shared" si="2"/>
        <v/>
      </c>
    </row>
    <row r="144" spans="1:2" x14ac:dyDescent="0.25">
      <c r="A144" s="9" t="str">
        <f>IF('Frame Sections'!A158=0,"",'Frame Sections'!A158)</f>
        <v/>
      </c>
      <c r="B144" s="9" t="str">
        <f t="shared" si="2"/>
        <v/>
      </c>
    </row>
    <row r="145" spans="1:2" x14ac:dyDescent="0.25">
      <c r="A145" s="9" t="str">
        <f>IF('Frame Sections'!A159=0,"",'Frame Sections'!A159)</f>
        <v/>
      </c>
      <c r="B145" s="9" t="str">
        <f t="shared" si="2"/>
        <v/>
      </c>
    </row>
    <row r="146" spans="1:2" x14ac:dyDescent="0.25">
      <c r="A146" s="9" t="str">
        <f>IF('Frame Sections'!A160=0,"",'Frame Sections'!A160)</f>
        <v/>
      </c>
      <c r="B146" s="9" t="str">
        <f t="shared" si="2"/>
        <v/>
      </c>
    </row>
    <row r="147" spans="1:2" x14ac:dyDescent="0.25">
      <c r="A147" s="9" t="str">
        <f>IF('Frame Sections'!A161=0,"",'Frame Sections'!A161)</f>
        <v/>
      </c>
      <c r="B147" s="9" t="str">
        <f t="shared" si="2"/>
        <v/>
      </c>
    </row>
    <row r="148" spans="1:2" x14ac:dyDescent="0.25">
      <c r="A148" s="9" t="str">
        <f>IF('Frame Sections'!A162=0,"",'Frame Sections'!A162)</f>
        <v/>
      </c>
      <c r="B148" s="9" t="str">
        <f t="shared" si="2"/>
        <v/>
      </c>
    </row>
    <row r="149" spans="1:2" x14ac:dyDescent="0.25">
      <c r="A149" s="9" t="str">
        <f>IF('Frame Sections'!A163=0,"",'Frame Sections'!A163)</f>
        <v/>
      </c>
      <c r="B149" s="9" t="str">
        <f t="shared" si="2"/>
        <v/>
      </c>
    </row>
    <row r="150" spans="1:2" x14ac:dyDescent="0.25">
      <c r="A150" s="9" t="str">
        <f>IF('Frame Sections'!A164=0,"",'Frame Sections'!A164)</f>
        <v/>
      </c>
      <c r="B150" s="9" t="str">
        <f t="shared" si="2"/>
        <v/>
      </c>
    </row>
    <row r="151" spans="1:2" x14ac:dyDescent="0.25">
      <c r="A151" s="9" t="str">
        <f>IF('Frame Sections'!A165=0,"",'Frame Sections'!A165)</f>
        <v/>
      </c>
      <c r="B151" s="9" t="str">
        <f t="shared" si="2"/>
        <v/>
      </c>
    </row>
    <row r="152" spans="1:2" x14ac:dyDescent="0.25">
      <c r="A152" s="9" t="str">
        <f>IF('Frame Sections'!A166=0,"",'Frame Sections'!A166)</f>
        <v/>
      </c>
      <c r="B152" s="9" t="str">
        <f t="shared" si="2"/>
        <v/>
      </c>
    </row>
    <row r="153" spans="1:2" x14ac:dyDescent="0.25">
      <c r="A153" s="9" t="str">
        <f>IF('Frame Sections'!A167=0,"",'Frame Sections'!A167)</f>
        <v/>
      </c>
      <c r="B153" s="9" t="str">
        <f t="shared" si="2"/>
        <v/>
      </c>
    </row>
    <row r="154" spans="1:2" x14ac:dyDescent="0.25">
      <c r="A154" s="9" t="str">
        <f>IF('Frame Sections'!A168=0,"",'Frame Sections'!A168)</f>
        <v/>
      </c>
      <c r="B154" s="9" t="str">
        <f t="shared" si="2"/>
        <v/>
      </c>
    </row>
    <row r="155" spans="1:2" x14ac:dyDescent="0.25">
      <c r="A155" s="9" t="str">
        <f>IF('Frame Sections'!A169=0,"",'Frame Sections'!A169)</f>
        <v/>
      </c>
      <c r="B155" s="9" t="str">
        <f t="shared" si="2"/>
        <v/>
      </c>
    </row>
    <row r="156" spans="1:2" x14ac:dyDescent="0.25">
      <c r="A156" s="9" t="str">
        <f>IF('Frame Sections'!A170=0,"",'Frame Sections'!A170)</f>
        <v/>
      </c>
      <c r="B156" s="9" t="str">
        <f t="shared" si="2"/>
        <v/>
      </c>
    </row>
    <row r="157" spans="1:2" x14ac:dyDescent="0.25">
      <c r="A157" s="9" t="str">
        <f>IF('Frame Sections'!A171=0,"",'Frame Sections'!A171)</f>
        <v/>
      </c>
      <c r="B157" s="9" t="str">
        <f t="shared" si="2"/>
        <v/>
      </c>
    </row>
    <row r="158" spans="1:2" x14ac:dyDescent="0.25">
      <c r="A158" s="9" t="str">
        <f>IF('Frame Sections'!A172=0,"",'Frame Sections'!A172)</f>
        <v/>
      </c>
      <c r="B158" s="9" t="str">
        <f t="shared" si="2"/>
        <v/>
      </c>
    </row>
    <row r="159" spans="1:2" x14ac:dyDescent="0.25">
      <c r="A159" s="9" t="str">
        <f>IF('Frame Sections'!A173=0,"",'Frame Sections'!A173)</f>
        <v/>
      </c>
      <c r="B159" s="9" t="str">
        <f t="shared" si="2"/>
        <v/>
      </c>
    </row>
    <row r="160" spans="1:2" x14ac:dyDescent="0.25">
      <c r="A160" s="9" t="str">
        <f>IF('Frame Sections'!A174=0,"",'Frame Sections'!A174)</f>
        <v/>
      </c>
      <c r="B160" s="9" t="str">
        <f t="shared" si="2"/>
        <v/>
      </c>
    </row>
    <row r="161" spans="1:2" x14ac:dyDescent="0.25">
      <c r="A161" s="9" t="str">
        <f>IF('Frame Sections'!A175=0,"",'Frame Sections'!A175)</f>
        <v/>
      </c>
      <c r="B161" s="9" t="str">
        <f t="shared" si="2"/>
        <v/>
      </c>
    </row>
    <row r="162" spans="1:2" x14ac:dyDescent="0.25">
      <c r="A162" s="9" t="str">
        <f>IF('Frame Sections'!A176=0,"",'Frame Sections'!A176)</f>
        <v/>
      </c>
      <c r="B162" s="9" t="str">
        <f t="shared" si="2"/>
        <v/>
      </c>
    </row>
    <row r="163" spans="1:2" x14ac:dyDescent="0.25">
      <c r="A163" s="9" t="str">
        <f>IF('Frame Sections'!A177=0,"",'Frame Sections'!A177)</f>
        <v/>
      </c>
      <c r="B163" s="9" t="str">
        <f t="shared" si="2"/>
        <v/>
      </c>
    </row>
    <row r="164" spans="1:2" x14ac:dyDescent="0.25">
      <c r="A164" s="9" t="str">
        <f>IF('Frame Sections'!A178=0,"",'Frame Sections'!A178)</f>
        <v/>
      </c>
      <c r="B164" s="9" t="str">
        <f t="shared" si="2"/>
        <v/>
      </c>
    </row>
    <row r="165" spans="1:2" x14ac:dyDescent="0.25">
      <c r="A165" s="9" t="str">
        <f>IF('Frame Sections'!A179=0,"",'Frame Sections'!A179)</f>
        <v/>
      </c>
      <c r="B165" s="9" t="str">
        <f t="shared" si="2"/>
        <v/>
      </c>
    </row>
    <row r="166" spans="1:2" x14ac:dyDescent="0.25">
      <c r="A166" s="9" t="str">
        <f>IF('Frame Sections'!A180=0,"",'Frame Sections'!A180)</f>
        <v/>
      </c>
      <c r="B166" s="9" t="str">
        <f t="shared" si="2"/>
        <v/>
      </c>
    </row>
    <row r="167" spans="1:2" x14ac:dyDescent="0.25">
      <c r="A167" s="9" t="str">
        <f>IF('Frame Sections'!A181=0,"",'Frame Sections'!A181)</f>
        <v/>
      </c>
      <c r="B167" s="9" t="str">
        <f t="shared" si="2"/>
        <v/>
      </c>
    </row>
    <row r="168" spans="1:2" x14ac:dyDescent="0.25">
      <c r="A168" s="9" t="str">
        <f>IF('Frame Sections'!A182=0,"",'Frame Sections'!A182)</f>
        <v/>
      </c>
      <c r="B168" s="9" t="str">
        <f t="shared" si="2"/>
        <v/>
      </c>
    </row>
    <row r="169" spans="1:2" x14ac:dyDescent="0.25">
      <c r="A169" s="9" t="str">
        <f>IF('Frame Sections'!A183=0,"",'Frame Sections'!A183)</f>
        <v/>
      </c>
      <c r="B169" s="9" t="str">
        <f t="shared" si="2"/>
        <v/>
      </c>
    </row>
    <row r="170" spans="1:2" x14ac:dyDescent="0.25">
      <c r="A170" s="9" t="str">
        <f>IF('Frame Sections'!A184=0,"",'Frame Sections'!A184)</f>
        <v/>
      </c>
      <c r="B170" s="9" t="str">
        <f t="shared" si="2"/>
        <v/>
      </c>
    </row>
    <row r="171" spans="1:2" x14ac:dyDescent="0.25">
      <c r="A171" s="9" t="str">
        <f>IF('Frame Sections'!A185=0,"",'Frame Sections'!A185)</f>
        <v/>
      </c>
      <c r="B171" s="9" t="str">
        <f t="shared" si="2"/>
        <v/>
      </c>
    </row>
    <row r="172" spans="1:2" x14ac:dyDescent="0.25">
      <c r="A172" s="9" t="str">
        <f>IF('Frame Sections'!A186=0,"",'Frame Sections'!A186)</f>
        <v/>
      </c>
      <c r="B172" s="9" t="str">
        <f t="shared" si="2"/>
        <v/>
      </c>
    </row>
    <row r="173" spans="1:2" x14ac:dyDescent="0.25">
      <c r="A173" s="9" t="str">
        <f>IF('Frame Sections'!A187=0,"",'Frame Sections'!A187)</f>
        <v/>
      </c>
      <c r="B173" s="9" t="str">
        <f t="shared" si="2"/>
        <v/>
      </c>
    </row>
    <row r="174" spans="1:2" x14ac:dyDescent="0.25">
      <c r="A174" s="9" t="str">
        <f>IF('Frame Sections'!A188=0,"",'Frame Sections'!A188)</f>
        <v/>
      </c>
      <c r="B174" s="9" t="str">
        <f t="shared" si="2"/>
        <v/>
      </c>
    </row>
    <row r="175" spans="1:2" x14ac:dyDescent="0.25">
      <c r="A175" s="9" t="str">
        <f>IF('Frame Sections'!A189=0,"",'Frame Sections'!A189)</f>
        <v/>
      </c>
      <c r="B175" s="9" t="str">
        <f t="shared" si="2"/>
        <v/>
      </c>
    </row>
    <row r="176" spans="1:2" x14ac:dyDescent="0.25">
      <c r="A176" s="9" t="str">
        <f>IF('Frame Sections'!A190=0,"",'Frame Sections'!A190)</f>
        <v/>
      </c>
      <c r="B176" s="9" t="str">
        <f t="shared" si="2"/>
        <v/>
      </c>
    </row>
    <row r="177" spans="1:2" x14ac:dyDescent="0.25">
      <c r="A177" s="9" t="str">
        <f>IF('Frame Sections'!A191=0,"",'Frame Sections'!A191)</f>
        <v/>
      </c>
      <c r="B177" s="9" t="str">
        <f t="shared" si="2"/>
        <v/>
      </c>
    </row>
    <row r="178" spans="1:2" x14ac:dyDescent="0.25">
      <c r="A178" s="9" t="str">
        <f>IF('Frame Sections'!A192=0,"",'Frame Sections'!A192)</f>
        <v/>
      </c>
      <c r="B178" s="9" t="str">
        <f t="shared" si="2"/>
        <v/>
      </c>
    </row>
    <row r="179" spans="1:2" x14ac:dyDescent="0.25">
      <c r="A179" s="9" t="str">
        <f>IF('Frame Sections'!A193=0,"",'Frame Sections'!A193)</f>
        <v/>
      </c>
      <c r="B179" s="9" t="str">
        <f t="shared" si="2"/>
        <v/>
      </c>
    </row>
    <row r="180" spans="1:2" x14ac:dyDescent="0.25">
      <c r="A180" s="9" t="str">
        <f>IF('Frame Sections'!A194=0,"",'Frame Sections'!A194)</f>
        <v/>
      </c>
      <c r="B180" s="9" t="str">
        <f t="shared" si="2"/>
        <v/>
      </c>
    </row>
    <row r="181" spans="1:2" x14ac:dyDescent="0.25">
      <c r="A181" s="9" t="str">
        <f>IF('Frame Sections'!A195=0,"",'Frame Sections'!A195)</f>
        <v/>
      </c>
      <c r="B181" s="9" t="str">
        <f t="shared" si="2"/>
        <v/>
      </c>
    </row>
    <row r="182" spans="1:2" x14ac:dyDescent="0.25">
      <c r="A182" s="9" t="str">
        <f>IF('Frame Sections'!A196=0,"",'Frame Sections'!A196)</f>
        <v/>
      </c>
      <c r="B182" s="9" t="str">
        <f t="shared" si="2"/>
        <v/>
      </c>
    </row>
    <row r="183" spans="1:2" x14ac:dyDescent="0.25">
      <c r="A183" s="9" t="str">
        <f>IF('Frame Sections'!A197=0,"",'Frame Sections'!A197)</f>
        <v/>
      </c>
      <c r="B183" s="9" t="str">
        <f t="shared" si="2"/>
        <v/>
      </c>
    </row>
    <row r="184" spans="1:2" x14ac:dyDescent="0.25">
      <c r="A184" s="9" t="str">
        <f>IF('Frame Sections'!A198=0,"",'Frame Sections'!A198)</f>
        <v/>
      </c>
      <c r="B184" s="9" t="str">
        <f t="shared" si="2"/>
        <v/>
      </c>
    </row>
    <row r="185" spans="1:2" x14ac:dyDescent="0.25">
      <c r="A185" s="9" t="str">
        <f>IF('Frame Sections'!A199=0,"",'Frame Sections'!A199)</f>
        <v/>
      </c>
      <c r="B185" s="9" t="str">
        <f t="shared" si="2"/>
        <v/>
      </c>
    </row>
    <row r="186" spans="1:2" x14ac:dyDescent="0.25">
      <c r="A186" s="9" t="str">
        <f>IF('Frame Sections'!A200=0,"",'Frame Sections'!A200)</f>
        <v/>
      </c>
      <c r="B186" s="9" t="str">
        <f t="shared" si="2"/>
        <v/>
      </c>
    </row>
    <row r="187" spans="1:2" x14ac:dyDescent="0.25">
      <c r="A187" s="9" t="str">
        <f>IF('Frame Sections'!A201=0,"",'Frame Sections'!A201)</f>
        <v/>
      </c>
      <c r="B187" s="9" t="str">
        <f t="shared" si="2"/>
        <v/>
      </c>
    </row>
    <row r="188" spans="1:2" x14ac:dyDescent="0.25">
      <c r="A188" s="9" t="str">
        <f>IF('Frame Sections'!A202=0,"",'Frame Sections'!A202)</f>
        <v/>
      </c>
      <c r="B188" s="9" t="str">
        <f t="shared" si="2"/>
        <v/>
      </c>
    </row>
    <row r="189" spans="1:2" x14ac:dyDescent="0.25">
      <c r="A189" s="9" t="str">
        <f>IF('Frame Sections'!A203=0,"",'Frame Sections'!A203)</f>
        <v/>
      </c>
      <c r="B189" s="9" t="str">
        <f t="shared" si="2"/>
        <v/>
      </c>
    </row>
    <row r="190" spans="1:2" x14ac:dyDescent="0.25">
      <c r="A190" s="9" t="str">
        <f>IF('Frame Sections'!A204=0,"",'Frame Sections'!A204)</f>
        <v/>
      </c>
      <c r="B190" s="9" t="str">
        <f t="shared" si="2"/>
        <v/>
      </c>
    </row>
    <row r="191" spans="1:2" x14ac:dyDescent="0.25">
      <c r="A191" s="9" t="str">
        <f>IF('Frame Sections'!A205=0,"",'Frame Sections'!A205)</f>
        <v/>
      </c>
      <c r="B191" s="9" t="str">
        <f t="shared" si="2"/>
        <v/>
      </c>
    </row>
    <row r="192" spans="1:2" x14ac:dyDescent="0.25">
      <c r="A192" s="9" t="str">
        <f>IF('Frame Sections'!A206=0,"",'Frame Sections'!A206)</f>
        <v/>
      </c>
      <c r="B192" s="9" t="str">
        <f t="shared" si="2"/>
        <v/>
      </c>
    </row>
    <row r="193" spans="1:2" x14ac:dyDescent="0.25">
      <c r="A193" s="9" t="str">
        <f>IF('Frame Sections'!A207=0,"",'Frame Sections'!A207)</f>
        <v/>
      </c>
      <c r="B193" s="9" t="str">
        <f t="shared" si="2"/>
        <v/>
      </c>
    </row>
    <row r="194" spans="1:2" x14ac:dyDescent="0.25">
      <c r="A194" s="9" t="str">
        <f>IF('Frame Sections'!A208=0,"",'Frame Sections'!A208)</f>
        <v/>
      </c>
      <c r="B194" s="9" t="str">
        <f t="shared" ref="B194:B257" si="3">IF(OR(A194=0,A194=""),"",VLOOKUP(A194,SecDB,5,FALSE))</f>
        <v/>
      </c>
    </row>
    <row r="195" spans="1:2" x14ac:dyDescent="0.25">
      <c r="A195" s="9" t="str">
        <f>IF('Frame Sections'!A209=0,"",'Frame Sections'!A209)</f>
        <v/>
      </c>
      <c r="B195" s="9" t="str">
        <f t="shared" si="3"/>
        <v/>
      </c>
    </row>
    <row r="196" spans="1:2" x14ac:dyDescent="0.25">
      <c r="A196" s="9" t="str">
        <f>IF('Frame Sections'!A210=0,"",'Frame Sections'!A210)</f>
        <v/>
      </c>
      <c r="B196" s="9" t="str">
        <f t="shared" si="3"/>
        <v/>
      </c>
    </row>
    <row r="197" spans="1:2" x14ac:dyDescent="0.25">
      <c r="A197" s="9" t="str">
        <f>IF('Frame Sections'!A211=0,"",'Frame Sections'!A211)</f>
        <v/>
      </c>
      <c r="B197" s="9" t="str">
        <f t="shared" si="3"/>
        <v/>
      </c>
    </row>
    <row r="198" spans="1:2" x14ac:dyDescent="0.25">
      <c r="A198" s="9" t="str">
        <f>IF('Frame Sections'!A212=0,"",'Frame Sections'!A212)</f>
        <v/>
      </c>
      <c r="B198" s="9" t="str">
        <f t="shared" si="3"/>
        <v/>
      </c>
    </row>
    <row r="199" spans="1:2" x14ac:dyDescent="0.25">
      <c r="A199" s="9" t="str">
        <f>IF('Frame Sections'!A213=0,"",'Frame Sections'!A213)</f>
        <v/>
      </c>
      <c r="B199" s="9" t="str">
        <f t="shared" si="3"/>
        <v/>
      </c>
    </row>
    <row r="200" spans="1:2" x14ac:dyDescent="0.25">
      <c r="A200" s="9" t="str">
        <f>IF('Frame Sections'!A214=0,"",'Frame Sections'!A214)</f>
        <v/>
      </c>
      <c r="B200" s="9" t="str">
        <f t="shared" si="3"/>
        <v/>
      </c>
    </row>
    <row r="201" spans="1:2" x14ac:dyDescent="0.25">
      <c r="A201" s="9" t="str">
        <f>IF('Frame Sections'!A215=0,"",'Frame Sections'!A215)</f>
        <v/>
      </c>
      <c r="B201" s="9" t="str">
        <f t="shared" si="3"/>
        <v/>
      </c>
    </row>
    <row r="202" spans="1:2" x14ac:dyDescent="0.25">
      <c r="A202" s="9" t="str">
        <f>IF('Frame Sections'!A216=0,"",'Frame Sections'!A216)</f>
        <v/>
      </c>
      <c r="B202" s="9" t="str">
        <f t="shared" si="3"/>
        <v/>
      </c>
    </row>
    <row r="203" spans="1:2" x14ac:dyDescent="0.25">
      <c r="A203" s="9" t="str">
        <f>IF('Frame Sections'!A217=0,"",'Frame Sections'!A217)</f>
        <v/>
      </c>
      <c r="B203" s="9" t="str">
        <f t="shared" si="3"/>
        <v/>
      </c>
    </row>
    <row r="204" spans="1:2" x14ac:dyDescent="0.25">
      <c r="A204" s="9" t="str">
        <f>IF('Frame Sections'!A218=0,"",'Frame Sections'!A218)</f>
        <v/>
      </c>
      <c r="B204" s="9" t="str">
        <f t="shared" si="3"/>
        <v/>
      </c>
    </row>
    <row r="205" spans="1:2" x14ac:dyDescent="0.25">
      <c r="A205" s="9" t="str">
        <f>IF('Frame Sections'!A219=0,"",'Frame Sections'!A219)</f>
        <v/>
      </c>
      <c r="B205" s="9" t="str">
        <f t="shared" si="3"/>
        <v/>
      </c>
    </row>
    <row r="206" spans="1:2" x14ac:dyDescent="0.25">
      <c r="A206" s="9" t="str">
        <f>IF('Frame Sections'!A220=0,"",'Frame Sections'!A220)</f>
        <v/>
      </c>
      <c r="B206" s="9" t="str">
        <f t="shared" si="3"/>
        <v/>
      </c>
    </row>
    <row r="207" spans="1:2" x14ac:dyDescent="0.25">
      <c r="A207" s="9" t="str">
        <f>IF('Frame Sections'!A221=0,"",'Frame Sections'!A221)</f>
        <v/>
      </c>
      <c r="B207" s="9" t="str">
        <f t="shared" si="3"/>
        <v/>
      </c>
    </row>
    <row r="208" spans="1:2" x14ac:dyDescent="0.25">
      <c r="A208" s="9" t="str">
        <f>IF('Frame Sections'!A222=0,"",'Frame Sections'!A222)</f>
        <v/>
      </c>
      <c r="B208" s="9" t="str">
        <f t="shared" si="3"/>
        <v/>
      </c>
    </row>
    <row r="209" spans="1:2" x14ac:dyDescent="0.25">
      <c r="A209" s="9" t="str">
        <f>IF('Frame Sections'!A223=0,"",'Frame Sections'!A223)</f>
        <v/>
      </c>
      <c r="B209" s="9" t="str">
        <f t="shared" si="3"/>
        <v/>
      </c>
    </row>
    <row r="210" spans="1:2" x14ac:dyDescent="0.25">
      <c r="A210" s="9" t="str">
        <f>IF('Frame Sections'!A224=0,"",'Frame Sections'!A224)</f>
        <v/>
      </c>
      <c r="B210" s="9" t="str">
        <f t="shared" si="3"/>
        <v/>
      </c>
    </row>
    <row r="211" spans="1:2" x14ac:dyDescent="0.25">
      <c r="A211" s="9" t="str">
        <f>IF('Frame Sections'!A225=0,"",'Frame Sections'!A225)</f>
        <v/>
      </c>
      <c r="B211" s="9" t="str">
        <f t="shared" si="3"/>
        <v/>
      </c>
    </row>
    <row r="212" spans="1:2" x14ac:dyDescent="0.25">
      <c r="A212" s="9" t="str">
        <f>IF('Frame Sections'!A226=0,"",'Frame Sections'!A226)</f>
        <v/>
      </c>
      <c r="B212" s="9" t="str">
        <f t="shared" si="3"/>
        <v/>
      </c>
    </row>
    <row r="213" spans="1:2" x14ac:dyDescent="0.25">
      <c r="A213" s="9" t="str">
        <f>IF('Frame Sections'!A227=0,"",'Frame Sections'!A227)</f>
        <v/>
      </c>
      <c r="B213" s="9" t="str">
        <f t="shared" si="3"/>
        <v/>
      </c>
    </row>
    <row r="214" spans="1:2" x14ac:dyDescent="0.25">
      <c r="A214" s="9" t="str">
        <f>IF('Frame Sections'!A228=0,"",'Frame Sections'!A228)</f>
        <v/>
      </c>
      <c r="B214" s="9" t="str">
        <f t="shared" si="3"/>
        <v/>
      </c>
    </row>
    <row r="215" spans="1:2" x14ac:dyDescent="0.25">
      <c r="A215" s="9" t="str">
        <f>IF('Frame Sections'!A229=0,"",'Frame Sections'!A229)</f>
        <v/>
      </c>
      <c r="B215" s="9" t="str">
        <f t="shared" si="3"/>
        <v/>
      </c>
    </row>
    <row r="216" spans="1:2" x14ac:dyDescent="0.25">
      <c r="A216" s="9" t="str">
        <f>IF('Frame Sections'!A230=0,"",'Frame Sections'!A230)</f>
        <v/>
      </c>
      <c r="B216" s="9" t="str">
        <f t="shared" si="3"/>
        <v/>
      </c>
    </row>
    <row r="217" spans="1:2" x14ac:dyDescent="0.25">
      <c r="A217" s="9" t="str">
        <f>IF('Frame Sections'!A231=0,"",'Frame Sections'!A231)</f>
        <v/>
      </c>
      <c r="B217" s="9" t="str">
        <f t="shared" si="3"/>
        <v/>
      </c>
    </row>
    <row r="218" spans="1:2" x14ac:dyDescent="0.25">
      <c r="A218" s="9" t="str">
        <f>IF('Frame Sections'!A232=0,"",'Frame Sections'!A232)</f>
        <v/>
      </c>
      <c r="B218" s="9" t="str">
        <f t="shared" si="3"/>
        <v/>
      </c>
    </row>
    <row r="219" spans="1:2" x14ac:dyDescent="0.25">
      <c r="A219" s="9" t="str">
        <f>IF('Frame Sections'!A233=0,"",'Frame Sections'!A233)</f>
        <v/>
      </c>
      <c r="B219" s="9" t="str">
        <f t="shared" si="3"/>
        <v/>
      </c>
    </row>
    <row r="220" spans="1:2" x14ac:dyDescent="0.25">
      <c r="A220" s="9" t="str">
        <f>IF('Frame Sections'!A234=0,"",'Frame Sections'!A234)</f>
        <v/>
      </c>
      <c r="B220" s="9" t="str">
        <f t="shared" si="3"/>
        <v/>
      </c>
    </row>
    <row r="221" spans="1:2" x14ac:dyDescent="0.25">
      <c r="A221" s="9" t="str">
        <f>IF('Frame Sections'!A235=0,"",'Frame Sections'!A235)</f>
        <v/>
      </c>
      <c r="B221" s="9" t="str">
        <f t="shared" si="3"/>
        <v/>
      </c>
    </row>
    <row r="222" spans="1:2" x14ac:dyDescent="0.25">
      <c r="A222" s="9" t="str">
        <f>IF('Frame Sections'!A236=0,"",'Frame Sections'!A236)</f>
        <v/>
      </c>
      <c r="B222" s="9" t="str">
        <f t="shared" si="3"/>
        <v/>
      </c>
    </row>
    <row r="223" spans="1:2" x14ac:dyDescent="0.25">
      <c r="A223" s="9" t="str">
        <f>IF('Frame Sections'!A237=0,"",'Frame Sections'!A237)</f>
        <v/>
      </c>
      <c r="B223" s="9" t="str">
        <f t="shared" si="3"/>
        <v/>
      </c>
    </row>
    <row r="224" spans="1:2" x14ac:dyDescent="0.25">
      <c r="A224" s="9" t="str">
        <f>IF('Frame Sections'!A238=0,"",'Frame Sections'!A238)</f>
        <v/>
      </c>
      <c r="B224" s="9" t="str">
        <f t="shared" si="3"/>
        <v/>
      </c>
    </row>
    <row r="225" spans="1:2" x14ac:dyDescent="0.25">
      <c r="A225" s="9" t="str">
        <f>IF('Frame Sections'!A239=0,"",'Frame Sections'!A239)</f>
        <v/>
      </c>
      <c r="B225" s="9" t="str">
        <f t="shared" si="3"/>
        <v/>
      </c>
    </row>
    <row r="226" spans="1:2" x14ac:dyDescent="0.25">
      <c r="A226" s="9" t="str">
        <f>IF('Frame Sections'!A240=0,"",'Frame Sections'!A240)</f>
        <v/>
      </c>
      <c r="B226" s="9" t="str">
        <f t="shared" si="3"/>
        <v/>
      </c>
    </row>
    <row r="227" spans="1:2" x14ac:dyDescent="0.25">
      <c r="A227" s="9" t="str">
        <f>IF('Frame Sections'!A241=0,"",'Frame Sections'!A241)</f>
        <v/>
      </c>
      <c r="B227" s="9" t="str">
        <f t="shared" si="3"/>
        <v/>
      </c>
    </row>
    <row r="228" spans="1:2" x14ac:dyDescent="0.25">
      <c r="A228" s="9" t="str">
        <f>IF('Frame Sections'!A242=0,"",'Frame Sections'!A242)</f>
        <v/>
      </c>
      <c r="B228" s="9" t="str">
        <f t="shared" si="3"/>
        <v/>
      </c>
    </row>
    <row r="229" spans="1:2" x14ac:dyDescent="0.25">
      <c r="A229" s="9" t="str">
        <f>IF('Frame Sections'!A243=0,"",'Frame Sections'!A243)</f>
        <v/>
      </c>
      <c r="B229" s="9" t="str">
        <f t="shared" si="3"/>
        <v/>
      </c>
    </row>
    <row r="230" spans="1:2" x14ac:dyDescent="0.25">
      <c r="A230" s="9" t="str">
        <f>IF('Frame Sections'!A244=0,"",'Frame Sections'!A244)</f>
        <v/>
      </c>
      <c r="B230" s="9" t="str">
        <f t="shared" si="3"/>
        <v/>
      </c>
    </row>
    <row r="231" spans="1:2" x14ac:dyDescent="0.25">
      <c r="A231" s="9" t="str">
        <f>IF('Frame Sections'!A245=0,"",'Frame Sections'!A245)</f>
        <v/>
      </c>
      <c r="B231" s="9" t="str">
        <f t="shared" si="3"/>
        <v/>
      </c>
    </row>
    <row r="232" spans="1:2" x14ac:dyDescent="0.25">
      <c r="A232" s="9" t="str">
        <f>IF('Frame Sections'!A246=0,"",'Frame Sections'!A246)</f>
        <v/>
      </c>
      <c r="B232" s="9" t="str">
        <f t="shared" si="3"/>
        <v/>
      </c>
    </row>
    <row r="233" spans="1:2" x14ac:dyDescent="0.25">
      <c r="A233" s="9" t="str">
        <f>IF('Frame Sections'!A247=0,"",'Frame Sections'!A247)</f>
        <v/>
      </c>
      <c r="B233" s="9" t="str">
        <f t="shared" si="3"/>
        <v/>
      </c>
    </row>
    <row r="234" spans="1:2" x14ac:dyDescent="0.25">
      <c r="A234" s="9" t="str">
        <f>IF('Frame Sections'!A248=0,"",'Frame Sections'!A248)</f>
        <v/>
      </c>
      <c r="B234" s="9" t="str">
        <f t="shared" si="3"/>
        <v/>
      </c>
    </row>
    <row r="235" spans="1:2" x14ac:dyDescent="0.25">
      <c r="A235" s="9" t="str">
        <f>IF('Frame Sections'!A249=0,"",'Frame Sections'!A249)</f>
        <v/>
      </c>
      <c r="B235" s="9" t="str">
        <f t="shared" si="3"/>
        <v/>
      </c>
    </row>
    <row r="236" spans="1:2" x14ac:dyDescent="0.25">
      <c r="A236" s="9" t="str">
        <f>IF('Frame Sections'!A250=0,"",'Frame Sections'!A250)</f>
        <v/>
      </c>
      <c r="B236" s="9" t="str">
        <f t="shared" si="3"/>
        <v/>
      </c>
    </row>
    <row r="237" spans="1:2" x14ac:dyDescent="0.25">
      <c r="A237" s="9" t="str">
        <f>IF('Frame Sections'!A251=0,"",'Frame Sections'!A251)</f>
        <v/>
      </c>
      <c r="B237" s="9" t="str">
        <f t="shared" si="3"/>
        <v/>
      </c>
    </row>
    <row r="238" spans="1:2" x14ac:dyDescent="0.25">
      <c r="A238" s="9" t="str">
        <f>IF('Frame Sections'!A252=0,"",'Frame Sections'!A252)</f>
        <v/>
      </c>
      <c r="B238" s="9" t="str">
        <f t="shared" si="3"/>
        <v/>
      </c>
    </row>
    <row r="239" spans="1:2" x14ac:dyDescent="0.25">
      <c r="A239" s="9" t="str">
        <f>IF('Frame Sections'!A253=0,"",'Frame Sections'!A253)</f>
        <v/>
      </c>
      <c r="B239" s="9" t="str">
        <f t="shared" si="3"/>
        <v/>
      </c>
    </row>
    <row r="240" spans="1:2" x14ac:dyDescent="0.25">
      <c r="A240" s="9" t="str">
        <f>IF('Frame Sections'!A254=0,"",'Frame Sections'!A254)</f>
        <v/>
      </c>
      <c r="B240" s="9" t="str">
        <f t="shared" si="3"/>
        <v/>
      </c>
    </row>
    <row r="241" spans="1:2" x14ac:dyDescent="0.25">
      <c r="A241" s="9" t="str">
        <f>IF('Frame Sections'!A255=0,"",'Frame Sections'!A255)</f>
        <v/>
      </c>
      <c r="B241" s="9" t="str">
        <f t="shared" si="3"/>
        <v/>
      </c>
    </row>
    <row r="242" spans="1:2" x14ac:dyDescent="0.25">
      <c r="A242" s="9" t="str">
        <f>IF('Frame Sections'!A256=0,"",'Frame Sections'!A256)</f>
        <v/>
      </c>
      <c r="B242" s="9" t="str">
        <f t="shared" si="3"/>
        <v/>
      </c>
    </row>
    <row r="243" spans="1:2" x14ac:dyDescent="0.25">
      <c r="A243" s="9" t="str">
        <f>IF('Frame Sections'!A257=0,"",'Frame Sections'!A257)</f>
        <v/>
      </c>
      <c r="B243" s="9" t="str">
        <f t="shared" si="3"/>
        <v/>
      </c>
    </row>
    <row r="244" spans="1:2" x14ac:dyDescent="0.25">
      <c r="A244" s="9" t="str">
        <f>IF('Frame Sections'!A258=0,"",'Frame Sections'!A258)</f>
        <v/>
      </c>
      <c r="B244" s="9" t="str">
        <f t="shared" si="3"/>
        <v/>
      </c>
    </row>
    <row r="245" spans="1:2" x14ac:dyDescent="0.25">
      <c r="A245" s="9" t="str">
        <f>IF('Frame Sections'!A259=0,"",'Frame Sections'!A259)</f>
        <v/>
      </c>
      <c r="B245" s="9" t="str">
        <f t="shared" si="3"/>
        <v/>
      </c>
    </row>
    <row r="246" spans="1:2" x14ac:dyDescent="0.25">
      <c r="A246" s="9" t="str">
        <f>IF('Frame Sections'!A260=0,"",'Frame Sections'!A260)</f>
        <v/>
      </c>
      <c r="B246" s="9" t="str">
        <f t="shared" si="3"/>
        <v/>
      </c>
    </row>
    <row r="247" spans="1:2" x14ac:dyDescent="0.25">
      <c r="A247" s="9" t="str">
        <f>IF('Frame Sections'!A261=0,"",'Frame Sections'!A261)</f>
        <v/>
      </c>
      <c r="B247" s="9" t="str">
        <f t="shared" si="3"/>
        <v/>
      </c>
    </row>
    <row r="248" spans="1:2" x14ac:dyDescent="0.25">
      <c r="A248" s="9" t="str">
        <f>IF('Frame Sections'!A262=0,"",'Frame Sections'!A262)</f>
        <v/>
      </c>
      <c r="B248" s="9" t="str">
        <f t="shared" si="3"/>
        <v/>
      </c>
    </row>
    <row r="249" spans="1:2" x14ac:dyDescent="0.25">
      <c r="A249" s="9" t="str">
        <f>IF('Frame Sections'!A263=0,"",'Frame Sections'!A263)</f>
        <v/>
      </c>
      <c r="B249" s="9" t="str">
        <f t="shared" si="3"/>
        <v/>
      </c>
    </row>
    <row r="250" spans="1:2" x14ac:dyDescent="0.25">
      <c r="A250" s="9" t="str">
        <f>IF('Frame Sections'!A264=0,"",'Frame Sections'!A264)</f>
        <v/>
      </c>
      <c r="B250" s="9" t="str">
        <f t="shared" si="3"/>
        <v/>
      </c>
    </row>
    <row r="251" spans="1:2" x14ac:dyDescent="0.25">
      <c r="A251" s="9" t="str">
        <f>IF('Frame Sections'!A265=0,"",'Frame Sections'!A265)</f>
        <v/>
      </c>
      <c r="B251" s="9" t="str">
        <f t="shared" si="3"/>
        <v/>
      </c>
    </row>
    <row r="252" spans="1:2" x14ac:dyDescent="0.25">
      <c r="A252" s="9" t="str">
        <f>IF('Frame Sections'!A266=0,"",'Frame Sections'!A266)</f>
        <v/>
      </c>
      <c r="B252" s="9" t="str">
        <f t="shared" si="3"/>
        <v/>
      </c>
    </row>
    <row r="253" spans="1:2" x14ac:dyDescent="0.25">
      <c r="A253" s="9" t="str">
        <f>IF('Frame Sections'!A267=0,"",'Frame Sections'!A267)</f>
        <v/>
      </c>
      <c r="B253" s="9" t="str">
        <f t="shared" si="3"/>
        <v/>
      </c>
    </row>
    <row r="254" spans="1:2" x14ac:dyDescent="0.25">
      <c r="A254" s="9" t="str">
        <f>IF('Frame Sections'!A268=0,"",'Frame Sections'!A268)</f>
        <v/>
      </c>
      <c r="B254" s="9" t="str">
        <f t="shared" si="3"/>
        <v/>
      </c>
    </row>
    <row r="255" spans="1:2" x14ac:dyDescent="0.25">
      <c r="A255" s="9" t="str">
        <f>IF('Frame Sections'!A269=0,"",'Frame Sections'!A269)</f>
        <v/>
      </c>
      <c r="B255" s="9" t="str">
        <f t="shared" si="3"/>
        <v/>
      </c>
    </row>
    <row r="256" spans="1:2" x14ac:dyDescent="0.25">
      <c r="A256" s="9" t="str">
        <f>IF('Frame Sections'!A270=0,"",'Frame Sections'!A270)</f>
        <v/>
      </c>
      <c r="B256" s="9" t="str">
        <f t="shared" si="3"/>
        <v/>
      </c>
    </row>
    <row r="257" spans="1:2" x14ac:dyDescent="0.25">
      <c r="A257" s="9" t="str">
        <f>IF('Frame Sections'!A271=0,"",'Frame Sections'!A271)</f>
        <v/>
      </c>
      <c r="B257" s="9" t="str">
        <f t="shared" si="3"/>
        <v/>
      </c>
    </row>
    <row r="258" spans="1:2" x14ac:dyDescent="0.25">
      <c r="A258" s="9" t="str">
        <f>IF('Frame Sections'!A272=0,"",'Frame Sections'!A272)</f>
        <v/>
      </c>
      <c r="B258" s="9" t="str">
        <f t="shared" ref="B258:B321" si="4">IF(OR(A258=0,A258=""),"",VLOOKUP(A258,SecDB,5,FALSE))</f>
        <v/>
      </c>
    </row>
    <row r="259" spans="1:2" x14ac:dyDescent="0.25">
      <c r="A259" s="9" t="str">
        <f>IF('Frame Sections'!A273=0,"",'Frame Sections'!A273)</f>
        <v/>
      </c>
      <c r="B259" s="9" t="str">
        <f t="shared" si="4"/>
        <v/>
      </c>
    </row>
    <row r="260" spans="1:2" x14ac:dyDescent="0.25">
      <c r="A260" s="9" t="str">
        <f>IF('Frame Sections'!A274=0,"",'Frame Sections'!A274)</f>
        <v/>
      </c>
      <c r="B260" s="9" t="str">
        <f t="shared" si="4"/>
        <v/>
      </c>
    </row>
    <row r="261" spans="1:2" x14ac:dyDescent="0.25">
      <c r="A261" s="9" t="str">
        <f>IF('Frame Sections'!A275=0,"",'Frame Sections'!A275)</f>
        <v/>
      </c>
      <c r="B261" s="9" t="str">
        <f t="shared" si="4"/>
        <v/>
      </c>
    </row>
    <row r="262" spans="1:2" x14ac:dyDescent="0.25">
      <c r="A262" s="9" t="str">
        <f>IF('Frame Sections'!A276=0,"",'Frame Sections'!A276)</f>
        <v/>
      </c>
      <c r="B262" s="9" t="str">
        <f t="shared" si="4"/>
        <v/>
      </c>
    </row>
    <row r="263" spans="1:2" x14ac:dyDescent="0.25">
      <c r="A263" s="9" t="str">
        <f>IF('Frame Sections'!A277=0,"",'Frame Sections'!A277)</f>
        <v/>
      </c>
      <c r="B263" s="9" t="str">
        <f t="shared" si="4"/>
        <v/>
      </c>
    </row>
    <row r="264" spans="1:2" x14ac:dyDescent="0.25">
      <c r="A264" s="9" t="str">
        <f>IF('Frame Sections'!A278=0,"",'Frame Sections'!A278)</f>
        <v/>
      </c>
      <c r="B264" s="9" t="str">
        <f t="shared" si="4"/>
        <v/>
      </c>
    </row>
    <row r="265" spans="1:2" x14ac:dyDescent="0.25">
      <c r="A265" s="9" t="str">
        <f>IF('Frame Sections'!A279=0,"",'Frame Sections'!A279)</f>
        <v/>
      </c>
      <c r="B265" s="9" t="str">
        <f t="shared" si="4"/>
        <v/>
      </c>
    </row>
    <row r="266" spans="1:2" x14ac:dyDescent="0.25">
      <c r="A266" s="9" t="str">
        <f>IF('Frame Sections'!A280=0,"",'Frame Sections'!A280)</f>
        <v/>
      </c>
      <c r="B266" s="9" t="str">
        <f t="shared" si="4"/>
        <v/>
      </c>
    </row>
    <row r="267" spans="1:2" x14ac:dyDescent="0.25">
      <c r="A267" s="9" t="str">
        <f>IF('Frame Sections'!A281=0,"",'Frame Sections'!A281)</f>
        <v/>
      </c>
      <c r="B267" s="9" t="str">
        <f t="shared" si="4"/>
        <v/>
      </c>
    </row>
    <row r="268" spans="1:2" x14ac:dyDescent="0.25">
      <c r="A268" s="9" t="str">
        <f>IF('Frame Sections'!A282=0,"",'Frame Sections'!A282)</f>
        <v/>
      </c>
      <c r="B268" s="9" t="str">
        <f t="shared" si="4"/>
        <v/>
      </c>
    </row>
    <row r="269" spans="1:2" x14ac:dyDescent="0.25">
      <c r="A269" s="9" t="str">
        <f>IF('Frame Sections'!A283=0,"",'Frame Sections'!A283)</f>
        <v/>
      </c>
      <c r="B269" s="9" t="str">
        <f t="shared" si="4"/>
        <v/>
      </c>
    </row>
    <row r="270" spans="1:2" x14ac:dyDescent="0.25">
      <c r="A270" s="9" t="str">
        <f>IF('Frame Sections'!A284=0,"",'Frame Sections'!A284)</f>
        <v/>
      </c>
      <c r="B270" s="9" t="str">
        <f t="shared" si="4"/>
        <v/>
      </c>
    </row>
    <row r="271" spans="1:2" x14ac:dyDescent="0.25">
      <c r="A271" s="9" t="str">
        <f>IF('Frame Sections'!A285=0,"",'Frame Sections'!A285)</f>
        <v/>
      </c>
      <c r="B271" s="9" t="str">
        <f t="shared" si="4"/>
        <v/>
      </c>
    </row>
    <row r="272" spans="1:2" x14ac:dyDescent="0.25">
      <c r="A272" s="9" t="str">
        <f>IF('Frame Sections'!A286=0,"",'Frame Sections'!A286)</f>
        <v/>
      </c>
      <c r="B272" s="9" t="str">
        <f t="shared" si="4"/>
        <v/>
      </c>
    </row>
    <row r="273" spans="1:2" x14ac:dyDescent="0.25">
      <c r="A273" s="9" t="str">
        <f>IF('Frame Sections'!A287=0,"",'Frame Sections'!A287)</f>
        <v/>
      </c>
      <c r="B273" s="9" t="str">
        <f t="shared" si="4"/>
        <v/>
      </c>
    </row>
    <row r="274" spans="1:2" x14ac:dyDescent="0.25">
      <c r="A274" s="9" t="str">
        <f>IF('Frame Sections'!A288=0,"",'Frame Sections'!A288)</f>
        <v/>
      </c>
      <c r="B274" s="9" t="str">
        <f t="shared" si="4"/>
        <v/>
      </c>
    </row>
    <row r="275" spans="1:2" x14ac:dyDescent="0.25">
      <c r="A275" s="9" t="str">
        <f>IF('Frame Sections'!A289=0,"",'Frame Sections'!A289)</f>
        <v/>
      </c>
      <c r="B275" s="9" t="str">
        <f t="shared" si="4"/>
        <v/>
      </c>
    </row>
    <row r="276" spans="1:2" x14ac:dyDescent="0.25">
      <c r="A276" s="9" t="str">
        <f>IF('Frame Sections'!A290=0,"",'Frame Sections'!A290)</f>
        <v/>
      </c>
      <c r="B276" s="9" t="str">
        <f t="shared" si="4"/>
        <v/>
      </c>
    </row>
    <row r="277" spans="1:2" x14ac:dyDescent="0.25">
      <c r="A277" s="9" t="str">
        <f>IF('Frame Sections'!A291=0,"",'Frame Sections'!A291)</f>
        <v/>
      </c>
      <c r="B277" s="9" t="str">
        <f t="shared" si="4"/>
        <v/>
      </c>
    </row>
    <row r="278" spans="1:2" x14ac:dyDescent="0.25">
      <c r="A278" s="9" t="str">
        <f>IF('Frame Sections'!A292=0,"",'Frame Sections'!A292)</f>
        <v/>
      </c>
      <c r="B278" s="9" t="str">
        <f t="shared" si="4"/>
        <v/>
      </c>
    </row>
    <row r="279" spans="1:2" x14ac:dyDescent="0.25">
      <c r="A279" s="9" t="str">
        <f>IF('Frame Sections'!A293=0,"",'Frame Sections'!A293)</f>
        <v/>
      </c>
      <c r="B279" s="9" t="str">
        <f t="shared" si="4"/>
        <v/>
      </c>
    </row>
    <row r="280" spans="1:2" x14ac:dyDescent="0.25">
      <c r="A280" s="9" t="str">
        <f>IF('Frame Sections'!A294=0,"",'Frame Sections'!A294)</f>
        <v/>
      </c>
      <c r="B280" s="9" t="str">
        <f t="shared" si="4"/>
        <v/>
      </c>
    </row>
    <row r="281" spans="1:2" x14ac:dyDescent="0.25">
      <c r="A281" s="9" t="str">
        <f>IF('Frame Sections'!A295=0,"",'Frame Sections'!A295)</f>
        <v/>
      </c>
      <c r="B281" s="9" t="str">
        <f t="shared" si="4"/>
        <v/>
      </c>
    </row>
    <row r="282" spans="1:2" x14ac:dyDescent="0.25">
      <c r="A282" s="9" t="str">
        <f>IF('Frame Sections'!A296=0,"",'Frame Sections'!A296)</f>
        <v/>
      </c>
      <c r="B282" s="9" t="str">
        <f t="shared" si="4"/>
        <v/>
      </c>
    </row>
    <row r="283" spans="1:2" x14ac:dyDescent="0.25">
      <c r="A283" s="9" t="str">
        <f>IF('Frame Sections'!A297=0,"",'Frame Sections'!A297)</f>
        <v/>
      </c>
      <c r="B283" s="9" t="str">
        <f t="shared" si="4"/>
        <v/>
      </c>
    </row>
    <row r="284" spans="1:2" x14ac:dyDescent="0.25">
      <c r="A284" s="9" t="str">
        <f>IF('Frame Sections'!A298=0,"",'Frame Sections'!A298)</f>
        <v/>
      </c>
      <c r="B284" s="9" t="str">
        <f t="shared" si="4"/>
        <v/>
      </c>
    </row>
    <row r="285" spans="1:2" x14ac:dyDescent="0.25">
      <c r="A285" s="9" t="str">
        <f>IF('Frame Sections'!A299=0,"",'Frame Sections'!A299)</f>
        <v/>
      </c>
      <c r="B285" s="9" t="str">
        <f t="shared" si="4"/>
        <v/>
      </c>
    </row>
    <row r="286" spans="1:2" x14ac:dyDescent="0.25">
      <c r="A286" s="9" t="str">
        <f>IF('Frame Sections'!A300=0,"",'Frame Sections'!A300)</f>
        <v/>
      </c>
      <c r="B286" s="9" t="str">
        <f t="shared" si="4"/>
        <v/>
      </c>
    </row>
    <row r="287" spans="1:2" x14ac:dyDescent="0.25">
      <c r="A287" s="9" t="str">
        <f>IF('Frame Sections'!A301=0,"",'Frame Sections'!A301)</f>
        <v/>
      </c>
      <c r="B287" s="9" t="str">
        <f t="shared" si="4"/>
        <v/>
      </c>
    </row>
    <row r="288" spans="1:2" x14ac:dyDescent="0.25">
      <c r="A288" s="9" t="str">
        <f>IF('Frame Sections'!A302=0,"",'Frame Sections'!A302)</f>
        <v/>
      </c>
      <c r="B288" s="9" t="str">
        <f t="shared" si="4"/>
        <v/>
      </c>
    </row>
    <row r="289" spans="1:2" x14ac:dyDescent="0.25">
      <c r="A289" s="9" t="str">
        <f>IF('Frame Sections'!A303=0,"",'Frame Sections'!A303)</f>
        <v/>
      </c>
      <c r="B289" s="9" t="str">
        <f t="shared" si="4"/>
        <v/>
      </c>
    </row>
    <row r="290" spans="1:2" x14ac:dyDescent="0.25">
      <c r="A290" s="9" t="str">
        <f>IF('Frame Sections'!A304=0,"",'Frame Sections'!A304)</f>
        <v/>
      </c>
      <c r="B290" s="9" t="str">
        <f t="shared" si="4"/>
        <v/>
      </c>
    </row>
    <row r="291" spans="1:2" x14ac:dyDescent="0.25">
      <c r="A291" s="9" t="str">
        <f>IF('Frame Sections'!A305=0,"",'Frame Sections'!A305)</f>
        <v/>
      </c>
      <c r="B291" s="9" t="str">
        <f t="shared" si="4"/>
        <v/>
      </c>
    </row>
    <row r="292" spans="1:2" x14ac:dyDescent="0.25">
      <c r="A292" s="9" t="str">
        <f>IF('Frame Sections'!A306=0,"",'Frame Sections'!A306)</f>
        <v/>
      </c>
      <c r="B292" s="9" t="str">
        <f t="shared" si="4"/>
        <v/>
      </c>
    </row>
    <row r="293" spans="1:2" x14ac:dyDescent="0.25">
      <c r="A293" s="9" t="str">
        <f>IF('Frame Sections'!A307=0,"",'Frame Sections'!A307)</f>
        <v/>
      </c>
      <c r="B293" s="9" t="str">
        <f t="shared" si="4"/>
        <v/>
      </c>
    </row>
    <row r="294" spans="1:2" x14ac:dyDescent="0.25">
      <c r="A294" s="9" t="str">
        <f>IF('Frame Sections'!A308=0,"",'Frame Sections'!A308)</f>
        <v/>
      </c>
      <c r="B294" s="9" t="str">
        <f t="shared" si="4"/>
        <v/>
      </c>
    </row>
    <row r="295" spans="1:2" x14ac:dyDescent="0.25">
      <c r="A295" s="9" t="str">
        <f>IF('Frame Sections'!A309=0,"",'Frame Sections'!A309)</f>
        <v/>
      </c>
      <c r="B295" s="9" t="str">
        <f t="shared" si="4"/>
        <v/>
      </c>
    </row>
    <row r="296" spans="1:2" x14ac:dyDescent="0.25">
      <c r="A296" s="9" t="str">
        <f>IF('Frame Sections'!A310=0,"",'Frame Sections'!A310)</f>
        <v/>
      </c>
      <c r="B296" s="9" t="str">
        <f t="shared" si="4"/>
        <v/>
      </c>
    </row>
    <row r="297" spans="1:2" x14ac:dyDescent="0.25">
      <c r="A297" s="9" t="str">
        <f>IF('Frame Sections'!A311=0,"",'Frame Sections'!A311)</f>
        <v/>
      </c>
      <c r="B297" s="9" t="str">
        <f t="shared" si="4"/>
        <v/>
      </c>
    </row>
    <row r="298" spans="1:2" x14ac:dyDescent="0.25">
      <c r="A298" s="9" t="str">
        <f>IF('Frame Sections'!A312=0,"",'Frame Sections'!A312)</f>
        <v/>
      </c>
      <c r="B298" s="9" t="str">
        <f t="shared" si="4"/>
        <v/>
      </c>
    </row>
    <row r="299" spans="1:2" x14ac:dyDescent="0.25">
      <c r="A299" s="9" t="str">
        <f>IF('Frame Sections'!A313=0,"",'Frame Sections'!A313)</f>
        <v/>
      </c>
      <c r="B299" s="9" t="str">
        <f t="shared" si="4"/>
        <v/>
      </c>
    </row>
    <row r="300" spans="1:2" x14ac:dyDescent="0.25">
      <c r="A300" s="9" t="str">
        <f>IF('Frame Sections'!A314=0,"",'Frame Sections'!A314)</f>
        <v/>
      </c>
      <c r="B300" s="9" t="str">
        <f t="shared" si="4"/>
        <v/>
      </c>
    </row>
    <row r="301" spans="1:2" x14ac:dyDescent="0.25">
      <c r="A301" s="9" t="str">
        <f>IF('Frame Sections'!A315=0,"",'Frame Sections'!A315)</f>
        <v/>
      </c>
      <c r="B301" s="9" t="str">
        <f t="shared" si="4"/>
        <v/>
      </c>
    </row>
    <row r="302" spans="1:2" x14ac:dyDescent="0.25">
      <c r="A302" s="9" t="str">
        <f>IF('Frame Sections'!A316=0,"",'Frame Sections'!A316)</f>
        <v/>
      </c>
      <c r="B302" s="9" t="str">
        <f t="shared" si="4"/>
        <v/>
      </c>
    </row>
    <row r="303" spans="1:2" x14ac:dyDescent="0.25">
      <c r="A303" s="9" t="str">
        <f>IF('Frame Sections'!A317=0,"",'Frame Sections'!A317)</f>
        <v/>
      </c>
      <c r="B303" s="9" t="str">
        <f t="shared" si="4"/>
        <v/>
      </c>
    </row>
    <row r="304" spans="1:2" x14ac:dyDescent="0.25">
      <c r="A304" s="9" t="str">
        <f>IF('Frame Sections'!A318=0,"",'Frame Sections'!A318)</f>
        <v/>
      </c>
      <c r="B304" s="9" t="str">
        <f t="shared" si="4"/>
        <v/>
      </c>
    </row>
    <row r="305" spans="1:2" x14ac:dyDescent="0.25">
      <c r="A305" s="9" t="str">
        <f>IF('Frame Sections'!A319=0,"",'Frame Sections'!A319)</f>
        <v/>
      </c>
      <c r="B305" s="9" t="str">
        <f t="shared" si="4"/>
        <v/>
      </c>
    </row>
    <row r="306" spans="1:2" x14ac:dyDescent="0.25">
      <c r="A306" s="9" t="str">
        <f>IF('Frame Sections'!A320=0,"",'Frame Sections'!A320)</f>
        <v/>
      </c>
      <c r="B306" s="9" t="str">
        <f t="shared" si="4"/>
        <v/>
      </c>
    </row>
    <row r="307" spans="1:2" x14ac:dyDescent="0.25">
      <c r="A307" s="9" t="str">
        <f>IF('Frame Sections'!A321=0,"",'Frame Sections'!A321)</f>
        <v/>
      </c>
      <c r="B307" s="9" t="str">
        <f t="shared" si="4"/>
        <v/>
      </c>
    </row>
    <row r="308" spans="1:2" x14ac:dyDescent="0.25">
      <c r="A308" s="9" t="str">
        <f>IF('Frame Sections'!A322=0,"",'Frame Sections'!A322)</f>
        <v/>
      </c>
      <c r="B308" s="9" t="str">
        <f t="shared" si="4"/>
        <v/>
      </c>
    </row>
    <row r="309" spans="1:2" x14ac:dyDescent="0.25">
      <c r="A309" s="9" t="str">
        <f>IF('Frame Sections'!A323=0,"",'Frame Sections'!A323)</f>
        <v/>
      </c>
      <c r="B309" s="9" t="str">
        <f t="shared" si="4"/>
        <v/>
      </c>
    </row>
    <row r="310" spans="1:2" x14ac:dyDescent="0.25">
      <c r="A310" s="9" t="str">
        <f>IF('Frame Sections'!A324=0,"",'Frame Sections'!A324)</f>
        <v/>
      </c>
      <c r="B310" s="9" t="str">
        <f t="shared" si="4"/>
        <v/>
      </c>
    </row>
    <row r="311" spans="1:2" x14ac:dyDescent="0.25">
      <c r="A311" s="9" t="str">
        <f>IF('Frame Sections'!A325=0,"",'Frame Sections'!A325)</f>
        <v/>
      </c>
      <c r="B311" s="9" t="str">
        <f t="shared" si="4"/>
        <v/>
      </c>
    </row>
    <row r="312" spans="1:2" x14ac:dyDescent="0.25">
      <c r="A312" s="9" t="str">
        <f>IF('Frame Sections'!A326=0,"",'Frame Sections'!A326)</f>
        <v/>
      </c>
      <c r="B312" s="9" t="str">
        <f t="shared" si="4"/>
        <v/>
      </c>
    </row>
    <row r="313" spans="1:2" x14ac:dyDescent="0.25">
      <c r="A313" s="9" t="str">
        <f>IF('Frame Sections'!A327=0,"",'Frame Sections'!A327)</f>
        <v/>
      </c>
      <c r="B313" s="9" t="str">
        <f t="shared" si="4"/>
        <v/>
      </c>
    </row>
    <row r="314" spans="1:2" x14ac:dyDescent="0.25">
      <c r="A314" s="9" t="str">
        <f>IF('Frame Sections'!A328=0,"",'Frame Sections'!A328)</f>
        <v/>
      </c>
      <c r="B314" s="9" t="str">
        <f t="shared" si="4"/>
        <v/>
      </c>
    </row>
    <row r="315" spans="1:2" x14ac:dyDescent="0.25">
      <c r="A315" s="9" t="str">
        <f>IF('Frame Sections'!A329=0,"",'Frame Sections'!A329)</f>
        <v/>
      </c>
      <c r="B315" s="9" t="str">
        <f t="shared" si="4"/>
        <v/>
      </c>
    </row>
    <row r="316" spans="1:2" x14ac:dyDescent="0.25">
      <c r="A316" s="9" t="str">
        <f>IF('Frame Sections'!A330=0,"",'Frame Sections'!A330)</f>
        <v/>
      </c>
      <c r="B316" s="9" t="str">
        <f t="shared" si="4"/>
        <v/>
      </c>
    </row>
    <row r="317" spans="1:2" x14ac:dyDescent="0.25">
      <c r="A317" s="9" t="str">
        <f>IF('Frame Sections'!A331=0,"",'Frame Sections'!A331)</f>
        <v/>
      </c>
      <c r="B317" s="9" t="str">
        <f t="shared" si="4"/>
        <v/>
      </c>
    </row>
    <row r="318" spans="1:2" x14ac:dyDescent="0.25">
      <c r="A318" s="9" t="str">
        <f>IF('Frame Sections'!A332=0,"",'Frame Sections'!A332)</f>
        <v/>
      </c>
      <c r="B318" s="9" t="str">
        <f t="shared" si="4"/>
        <v/>
      </c>
    </row>
    <row r="319" spans="1:2" x14ac:dyDescent="0.25">
      <c r="A319" s="9" t="str">
        <f>IF('Frame Sections'!A333=0,"",'Frame Sections'!A333)</f>
        <v/>
      </c>
      <c r="B319" s="9" t="str">
        <f t="shared" si="4"/>
        <v/>
      </c>
    </row>
    <row r="320" spans="1:2" x14ac:dyDescent="0.25">
      <c r="A320" s="9" t="str">
        <f>IF('Frame Sections'!A334=0,"",'Frame Sections'!A334)</f>
        <v/>
      </c>
      <c r="B320" s="9" t="str">
        <f t="shared" si="4"/>
        <v/>
      </c>
    </row>
    <row r="321" spans="1:2" x14ac:dyDescent="0.25">
      <c r="A321" s="9" t="str">
        <f>IF('Frame Sections'!A335=0,"",'Frame Sections'!A335)</f>
        <v/>
      </c>
      <c r="B321" s="9" t="str">
        <f t="shared" si="4"/>
        <v/>
      </c>
    </row>
    <row r="322" spans="1:2" x14ac:dyDescent="0.25">
      <c r="A322" s="9" t="str">
        <f>IF('Frame Sections'!A336=0,"",'Frame Sections'!A336)</f>
        <v/>
      </c>
      <c r="B322" s="9" t="str">
        <f t="shared" ref="B322:B385" si="5">IF(OR(A322=0,A322=""),"",VLOOKUP(A322,SecDB,5,FALSE))</f>
        <v/>
      </c>
    </row>
    <row r="323" spans="1:2" x14ac:dyDescent="0.25">
      <c r="A323" s="9" t="str">
        <f>IF('Frame Sections'!A337=0,"",'Frame Sections'!A337)</f>
        <v/>
      </c>
      <c r="B323" s="9" t="str">
        <f t="shared" si="5"/>
        <v/>
      </c>
    </row>
    <row r="324" spans="1:2" x14ac:dyDescent="0.25">
      <c r="A324" s="9" t="str">
        <f>IF('Frame Sections'!A338=0,"",'Frame Sections'!A338)</f>
        <v/>
      </c>
      <c r="B324" s="9" t="str">
        <f t="shared" si="5"/>
        <v/>
      </c>
    </row>
    <row r="325" spans="1:2" x14ac:dyDescent="0.25">
      <c r="A325" s="9" t="str">
        <f>IF('Frame Sections'!A339=0,"",'Frame Sections'!A339)</f>
        <v/>
      </c>
      <c r="B325" s="9" t="str">
        <f t="shared" si="5"/>
        <v/>
      </c>
    </row>
    <row r="326" spans="1:2" x14ac:dyDescent="0.25">
      <c r="A326" s="9" t="str">
        <f>IF('Frame Sections'!A340=0,"",'Frame Sections'!A340)</f>
        <v/>
      </c>
      <c r="B326" s="9" t="str">
        <f t="shared" si="5"/>
        <v/>
      </c>
    </row>
    <row r="327" spans="1:2" x14ac:dyDescent="0.25">
      <c r="A327" s="9" t="str">
        <f>IF('Frame Sections'!A341=0,"",'Frame Sections'!A341)</f>
        <v/>
      </c>
      <c r="B327" s="9" t="str">
        <f t="shared" si="5"/>
        <v/>
      </c>
    </row>
    <row r="328" spans="1:2" x14ac:dyDescent="0.25">
      <c r="A328" s="9" t="str">
        <f>IF('Frame Sections'!A342=0,"",'Frame Sections'!A342)</f>
        <v/>
      </c>
      <c r="B328" s="9" t="str">
        <f t="shared" si="5"/>
        <v/>
      </c>
    </row>
    <row r="329" spans="1:2" x14ac:dyDescent="0.25">
      <c r="A329" s="9" t="str">
        <f>IF('Frame Sections'!A343=0,"",'Frame Sections'!A343)</f>
        <v/>
      </c>
      <c r="B329" s="9" t="str">
        <f t="shared" si="5"/>
        <v/>
      </c>
    </row>
    <row r="330" spans="1:2" x14ac:dyDescent="0.25">
      <c r="A330" s="9" t="str">
        <f>IF('Frame Sections'!A344=0,"",'Frame Sections'!A344)</f>
        <v/>
      </c>
      <c r="B330" s="9" t="str">
        <f t="shared" si="5"/>
        <v/>
      </c>
    </row>
    <row r="331" spans="1:2" x14ac:dyDescent="0.25">
      <c r="A331" s="9" t="str">
        <f>IF('Frame Sections'!A345=0,"",'Frame Sections'!A345)</f>
        <v/>
      </c>
      <c r="B331" s="9" t="str">
        <f t="shared" si="5"/>
        <v/>
      </c>
    </row>
    <row r="332" spans="1:2" x14ac:dyDescent="0.25">
      <c r="A332" s="9" t="str">
        <f>IF('Frame Sections'!A346=0,"",'Frame Sections'!A346)</f>
        <v/>
      </c>
      <c r="B332" s="9" t="str">
        <f t="shared" si="5"/>
        <v/>
      </c>
    </row>
    <row r="333" spans="1:2" x14ac:dyDescent="0.25">
      <c r="A333" s="9" t="str">
        <f>IF('Frame Sections'!A347=0,"",'Frame Sections'!A347)</f>
        <v/>
      </c>
      <c r="B333" s="9" t="str">
        <f t="shared" si="5"/>
        <v/>
      </c>
    </row>
    <row r="334" spans="1:2" x14ac:dyDescent="0.25">
      <c r="A334" s="9" t="str">
        <f>IF('Frame Sections'!A348=0,"",'Frame Sections'!A348)</f>
        <v/>
      </c>
      <c r="B334" s="9" t="str">
        <f t="shared" si="5"/>
        <v/>
      </c>
    </row>
    <row r="335" spans="1:2" x14ac:dyDescent="0.25">
      <c r="A335" s="9" t="str">
        <f>IF('Frame Sections'!A349=0,"",'Frame Sections'!A349)</f>
        <v/>
      </c>
      <c r="B335" s="9" t="str">
        <f t="shared" si="5"/>
        <v/>
      </c>
    </row>
    <row r="336" spans="1:2" x14ac:dyDescent="0.25">
      <c r="A336" s="9" t="str">
        <f>IF('Frame Sections'!A350=0,"",'Frame Sections'!A350)</f>
        <v/>
      </c>
      <c r="B336" s="9" t="str">
        <f t="shared" si="5"/>
        <v/>
      </c>
    </row>
    <row r="337" spans="1:2" x14ac:dyDescent="0.25">
      <c r="A337" s="9" t="str">
        <f>IF('Frame Sections'!A351=0,"",'Frame Sections'!A351)</f>
        <v/>
      </c>
      <c r="B337" s="9" t="str">
        <f t="shared" si="5"/>
        <v/>
      </c>
    </row>
    <row r="338" spans="1:2" x14ac:dyDescent="0.25">
      <c r="A338" s="9" t="str">
        <f>IF('Frame Sections'!A352=0,"",'Frame Sections'!A352)</f>
        <v/>
      </c>
      <c r="B338" s="9" t="str">
        <f t="shared" si="5"/>
        <v/>
      </c>
    </row>
    <row r="339" spans="1:2" x14ac:dyDescent="0.25">
      <c r="A339" s="9" t="str">
        <f>IF('Frame Sections'!A353=0,"",'Frame Sections'!A353)</f>
        <v/>
      </c>
      <c r="B339" s="9" t="str">
        <f t="shared" si="5"/>
        <v/>
      </c>
    </row>
    <row r="340" spans="1:2" x14ac:dyDescent="0.25">
      <c r="A340" s="9" t="str">
        <f>IF('Frame Sections'!A354=0,"",'Frame Sections'!A354)</f>
        <v/>
      </c>
      <c r="B340" s="9" t="str">
        <f t="shared" si="5"/>
        <v/>
      </c>
    </row>
    <row r="341" spans="1:2" x14ac:dyDescent="0.25">
      <c r="A341" s="9" t="str">
        <f>IF('Frame Sections'!A355=0,"",'Frame Sections'!A355)</f>
        <v/>
      </c>
      <c r="B341" s="9" t="str">
        <f t="shared" si="5"/>
        <v/>
      </c>
    </row>
    <row r="342" spans="1:2" x14ac:dyDescent="0.25">
      <c r="A342" s="9" t="str">
        <f>IF('Frame Sections'!A356=0,"",'Frame Sections'!A356)</f>
        <v/>
      </c>
      <c r="B342" s="9" t="str">
        <f t="shared" si="5"/>
        <v/>
      </c>
    </row>
    <row r="343" spans="1:2" x14ac:dyDescent="0.25">
      <c r="A343" s="9" t="str">
        <f>IF('Frame Sections'!A357=0,"",'Frame Sections'!A357)</f>
        <v/>
      </c>
      <c r="B343" s="9" t="str">
        <f t="shared" si="5"/>
        <v/>
      </c>
    </row>
    <row r="344" spans="1:2" x14ac:dyDescent="0.25">
      <c r="A344" s="9" t="str">
        <f>IF('Frame Sections'!A358=0,"",'Frame Sections'!A358)</f>
        <v/>
      </c>
      <c r="B344" s="9" t="str">
        <f t="shared" si="5"/>
        <v/>
      </c>
    </row>
    <row r="345" spans="1:2" x14ac:dyDescent="0.25">
      <c r="A345" s="9" t="str">
        <f>IF('Frame Sections'!A359=0,"",'Frame Sections'!A359)</f>
        <v/>
      </c>
      <c r="B345" s="9" t="str">
        <f t="shared" si="5"/>
        <v/>
      </c>
    </row>
    <row r="346" spans="1:2" x14ac:dyDescent="0.25">
      <c r="A346" s="9" t="str">
        <f>IF('Frame Sections'!A360=0,"",'Frame Sections'!A360)</f>
        <v/>
      </c>
      <c r="B346" s="9" t="str">
        <f t="shared" si="5"/>
        <v/>
      </c>
    </row>
    <row r="347" spans="1:2" x14ac:dyDescent="0.25">
      <c r="A347" s="9" t="str">
        <f>IF('Frame Sections'!A361=0,"",'Frame Sections'!A361)</f>
        <v/>
      </c>
      <c r="B347" s="9" t="str">
        <f t="shared" si="5"/>
        <v/>
      </c>
    </row>
    <row r="348" spans="1:2" x14ac:dyDescent="0.25">
      <c r="A348" s="9" t="str">
        <f>IF('Frame Sections'!A362=0,"",'Frame Sections'!A362)</f>
        <v/>
      </c>
      <c r="B348" s="9" t="str">
        <f t="shared" si="5"/>
        <v/>
      </c>
    </row>
    <row r="349" spans="1:2" x14ac:dyDescent="0.25">
      <c r="A349" s="9" t="str">
        <f>IF('Frame Sections'!A363=0,"",'Frame Sections'!A363)</f>
        <v/>
      </c>
      <c r="B349" s="9" t="str">
        <f t="shared" si="5"/>
        <v/>
      </c>
    </row>
    <row r="350" spans="1:2" x14ac:dyDescent="0.25">
      <c r="A350" s="9" t="str">
        <f>IF('Frame Sections'!A364=0,"",'Frame Sections'!A364)</f>
        <v/>
      </c>
      <c r="B350" s="9" t="str">
        <f t="shared" si="5"/>
        <v/>
      </c>
    </row>
    <row r="351" spans="1:2" x14ac:dyDescent="0.25">
      <c r="A351" s="9" t="str">
        <f>IF('Frame Sections'!A365=0,"",'Frame Sections'!A365)</f>
        <v/>
      </c>
      <c r="B351" s="9" t="str">
        <f t="shared" si="5"/>
        <v/>
      </c>
    </row>
    <row r="352" spans="1:2" x14ac:dyDescent="0.25">
      <c r="A352" s="9" t="str">
        <f>IF('Frame Sections'!A366=0,"",'Frame Sections'!A366)</f>
        <v/>
      </c>
      <c r="B352" s="9" t="str">
        <f t="shared" si="5"/>
        <v/>
      </c>
    </row>
    <row r="353" spans="1:2" x14ac:dyDescent="0.25">
      <c r="A353" s="9" t="str">
        <f>IF('Frame Sections'!A367=0,"",'Frame Sections'!A367)</f>
        <v/>
      </c>
      <c r="B353" s="9" t="str">
        <f t="shared" si="5"/>
        <v/>
      </c>
    </row>
    <row r="354" spans="1:2" x14ac:dyDescent="0.25">
      <c r="A354" s="9" t="str">
        <f>IF('Frame Sections'!A368=0,"",'Frame Sections'!A368)</f>
        <v/>
      </c>
      <c r="B354" s="9" t="str">
        <f t="shared" si="5"/>
        <v/>
      </c>
    </row>
    <row r="355" spans="1:2" x14ac:dyDescent="0.25">
      <c r="A355" s="9" t="str">
        <f>IF('Frame Sections'!A369=0,"",'Frame Sections'!A369)</f>
        <v/>
      </c>
      <c r="B355" s="9" t="str">
        <f t="shared" si="5"/>
        <v/>
      </c>
    </row>
    <row r="356" spans="1:2" x14ac:dyDescent="0.25">
      <c r="A356" s="9" t="str">
        <f>IF('Frame Sections'!A370=0,"",'Frame Sections'!A370)</f>
        <v/>
      </c>
      <c r="B356" s="9" t="str">
        <f t="shared" si="5"/>
        <v/>
      </c>
    </row>
    <row r="357" spans="1:2" x14ac:dyDescent="0.25">
      <c r="A357" s="9" t="str">
        <f>IF('Frame Sections'!A371=0,"",'Frame Sections'!A371)</f>
        <v/>
      </c>
      <c r="B357" s="9" t="str">
        <f t="shared" si="5"/>
        <v/>
      </c>
    </row>
    <row r="358" spans="1:2" x14ac:dyDescent="0.25">
      <c r="A358" s="9" t="str">
        <f>IF('Frame Sections'!A372=0,"",'Frame Sections'!A372)</f>
        <v/>
      </c>
      <c r="B358" s="9" t="str">
        <f t="shared" si="5"/>
        <v/>
      </c>
    </row>
    <row r="359" spans="1:2" x14ac:dyDescent="0.25">
      <c r="A359" s="9" t="str">
        <f>IF('Frame Sections'!A373=0,"",'Frame Sections'!A373)</f>
        <v/>
      </c>
      <c r="B359" s="9" t="str">
        <f t="shared" si="5"/>
        <v/>
      </c>
    </row>
    <row r="360" spans="1:2" x14ac:dyDescent="0.25">
      <c r="A360" s="9" t="str">
        <f>IF('Frame Sections'!A374=0,"",'Frame Sections'!A374)</f>
        <v/>
      </c>
      <c r="B360" s="9" t="str">
        <f t="shared" si="5"/>
        <v/>
      </c>
    </row>
    <row r="361" spans="1:2" x14ac:dyDescent="0.25">
      <c r="A361" s="9" t="str">
        <f>IF('Frame Sections'!A375=0,"",'Frame Sections'!A375)</f>
        <v/>
      </c>
      <c r="B361" s="9" t="str">
        <f t="shared" si="5"/>
        <v/>
      </c>
    </row>
    <row r="362" spans="1:2" x14ac:dyDescent="0.25">
      <c r="A362" s="9" t="str">
        <f>IF('Frame Sections'!A376=0,"",'Frame Sections'!A376)</f>
        <v/>
      </c>
      <c r="B362" s="9" t="str">
        <f t="shared" si="5"/>
        <v/>
      </c>
    </row>
    <row r="363" spans="1:2" x14ac:dyDescent="0.25">
      <c r="A363" s="9" t="str">
        <f>IF('Frame Sections'!A377=0,"",'Frame Sections'!A377)</f>
        <v/>
      </c>
      <c r="B363" s="9" t="str">
        <f t="shared" si="5"/>
        <v/>
      </c>
    </row>
    <row r="364" spans="1:2" x14ac:dyDescent="0.25">
      <c r="A364" s="9" t="str">
        <f>IF('Frame Sections'!A378=0,"",'Frame Sections'!A378)</f>
        <v/>
      </c>
      <c r="B364" s="9" t="str">
        <f t="shared" si="5"/>
        <v/>
      </c>
    </row>
    <row r="365" spans="1:2" x14ac:dyDescent="0.25">
      <c r="A365" s="9" t="str">
        <f>IF('Frame Sections'!A379=0,"",'Frame Sections'!A379)</f>
        <v/>
      </c>
      <c r="B365" s="9" t="str">
        <f t="shared" si="5"/>
        <v/>
      </c>
    </row>
    <row r="366" spans="1:2" x14ac:dyDescent="0.25">
      <c r="A366" s="9" t="str">
        <f>IF('Frame Sections'!A380=0,"",'Frame Sections'!A380)</f>
        <v/>
      </c>
      <c r="B366" s="9" t="str">
        <f t="shared" si="5"/>
        <v/>
      </c>
    </row>
    <row r="367" spans="1:2" x14ac:dyDescent="0.25">
      <c r="A367" s="9" t="str">
        <f>IF('Frame Sections'!A381=0,"",'Frame Sections'!A381)</f>
        <v/>
      </c>
      <c r="B367" s="9" t="str">
        <f t="shared" si="5"/>
        <v/>
      </c>
    </row>
    <row r="368" spans="1:2" x14ac:dyDescent="0.25">
      <c r="A368" s="9" t="str">
        <f>IF('Frame Sections'!A382=0,"",'Frame Sections'!A382)</f>
        <v/>
      </c>
      <c r="B368" s="9" t="str">
        <f t="shared" si="5"/>
        <v/>
      </c>
    </row>
    <row r="369" spans="1:2" x14ac:dyDescent="0.25">
      <c r="A369" s="9" t="str">
        <f>IF('Frame Sections'!A383=0,"",'Frame Sections'!A383)</f>
        <v/>
      </c>
      <c r="B369" s="9" t="str">
        <f t="shared" si="5"/>
        <v/>
      </c>
    </row>
    <row r="370" spans="1:2" x14ac:dyDescent="0.25">
      <c r="A370" s="9" t="str">
        <f>IF('Frame Sections'!A384=0,"",'Frame Sections'!A384)</f>
        <v/>
      </c>
      <c r="B370" s="9" t="str">
        <f t="shared" si="5"/>
        <v/>
      </c>
    </row>
    <row r="371" spans="1:2" x14ac:dyDescent="0.25">
      <c r="A371" s="9" t="str">
        <f>IF('Frame Sections'!A385=0,"",'Frame Sections'!A385)</f>
        <v/>
      </c>
      <c r="B371" s="9" t="str">
        <f t="shared" si="5"/>
        <v/>
      </c>
    </row>
    <row r="372" spans="1:2" x14ac:dyDescent="0.25">
      <c r="A372" s="9" t="str">
        <f>IF('Frame Sections'!A386=0,"",'Frame Sections'!A386)</f>
        <v/>
      </c>
      <c r="B372" s="9" t="str">
        <f t="shared" si="5"/>
        <v/>
      </c>
    </row>
    <row r="373" spans="1:2" x14ac:dyDescent="0.25">
      <c r="A373" s="9" t="str">
        <f>IF('Frame Sections'!A387=0,"",'Frame Sections'!A387)</f>
        <v/>
      </c>
      <c r="B373" s="9" t="str">
        <f t="shared" si="5"/>
        <v/>
      </c>
    </row>
    <row r="374" spans="1:2" x14ac:dyDescent="0.25">
      <c r="A374" s="9" t="str">
        <f>IF('Frame Sections'!A388=0,"",'Frame Sections'!A388)</f>
        <v/>
      </c>
      <c r="B374" s="9" t="str">
        <f t="shared" si="5"/>
        <v/>
      </c>
    </row>
    <row r="375" spans="1:2" x14ac:dyDescent="0.25">
      <c r="A375" s="9" t="str">
        <f>IF('Frame Sections'!A389=0,"",'Frame Sections'!A389)</f>
        <v/>
      </c>
      <c r="B375" s="9" t="str">
        <f t="shared" si="5"/>
        <v/>
      </c>
    </row>
    <row r="376" spans="1:2" x14ac:dyDescent="0.25">
      <c r="A376" s="9" t="str">
        <f>IF('Frame Sections'!A390=0,"",'Frame Sections'!A390)</f>
        <v/>
      </c>
      <c r="B376" s="9" t="str">
        <f t="shared" si="5"/>
        <v/>
      </c>
    </row>
    <row r="377" spans="1:2" x14ac:dyDescent="0.25">
      <c r="A377" s="9" t="str">
        <f>IF('Frame Sections'!A391=0,"",'Frame Sections'!A391)</f>
        <v/>
      </c>
      <c r="B377" s="9" t="str">
        <f t="shared" si="5"/>
        <v/>
      </c>
    </row>
    <row r="378" spans="1:2" x14ac:dyDescent="0.25">
      <c r="A378" s="9" t="str">
        <f>IF('Frame Sections'!A392=0,"",'Frame Sections'!A392)</f>
        <v/>
      </c>
      <c r="B378" s="9" t="str">
        <f t="shared" si="5"/>
        <v/>
      </c>
    </row>
    <row r="379" spans="1:2" x14ac:dyDescent="0.25">
      <c r="A379" s="9" t="str">
        <f>IF('Frame Sections'!A393=0,"",'Frame Sections'!A393)</f>
        <v/>
      </c>
      <c r="B379" s="9" t="str">
        <f t="shared" si="5"/>
        <v/>
      </c>
    </row>
    <row r="380" spans="1:2" x14ac:dyDescent="0.25">
      <c r="A380" s="9" t="str">
        <f>IF('Frame Sections'!A394=0,"",'Frame Sections'!A394)</f>
        <v/>
      </c>
      <c r="B380" s="9" t="str">
        <f t="shared" si="5"/>
        <v/>
      </c>
    </row>
    <row r="381" spans="1:2" x14ac:dyDescent="0.25">
      <c r="A381" s="9" t="str">
        <f>IF('Frame Sections'!A395=0,"",'Frame Sections'!A395)</f>
        <v/>
      </c>
      <c r="B381" s="9" t="str">
        <f t="shared" si="5"/>
        <v/>
      </c>
    </row>
    <row r="382" spans="1:2" x14ac:dyDescent="0.25">
      <c r="A382" s="9" t="str">
        <f>IF('Frame Sections'!A396=0,"",'Frame Sections'!A396)</f>
        <v/>
      </c>
      <c r="B382" s="9" t="str">
        <f t="shared" si="5"/>
        <v/>
      </c>
    </row>
    <row r="383" spans="1:2" x14ac:dyDescent="0.25">
      <c r="A383" s="9" t="str">
        <f>IF('Frame Sections'!A397=0,"",'Frame Sections'!A397)</f>
        <v/>
      </c>
      <c r="B383" s="9" t="str">
        <f t="shared" si="5"/>
        <v/>
      </c>
    </row>
    <row r="384" spans="1:2" x14ac:dyDescent="0.25">
      <c r="A384" s="9" t="str">
        <f>IF('Frame Sections'!A398=0,"",'Frame Sections'!A398)</f>
        <v/>
      </c>
      <c r="B384" s="9" t="str">
        <f t="shared" si="5"/>
        <v/>
      </c>
    </row>
    <row r="385" spans="1:2" x14ac:dyDescent="0.25">
      <c r="A385" s="9" t="str">
        <f>IF('Frame Sections'!A399=0,"",'Frame Sections'!A399)</f>
        <v/>
      </c>
      <c r="B385" s="9" t="str">
        <f t="shared" si="5"/>
        <v/>
      </c>
    </row>
    <row r="386" spans="1:2" x14ac:dyDescent="0.25">
      <c r="A386" s="9" t="str">
        <f>IF('Frame Sections'!A400=0,"",'Frame Sections'!A400)</f>
        <v/>
      </c>
      <c r="B386" s="9" t="str">
        <f t="shared" ref="B386:B449" si="6">IF(OR(A386=0,A386=""),"",VLOOKUP(A386,SecDB,5,FALSE))</f>
        <v/>
      </c>
    </row>
    <row r="387" spans="1:2" x14ac:dyDescent="0.25">
      <c r="A387" s="9" t="str">
        <f>IF('Frame Sections'!A401=0,"",'Frame Sections'!A401)</f>
        <v/>
      </c>
      <c r="B387" s="9" t="str">
        <f t="shared" si="6"/>
        <v/>
      </c>
    </row>
    <row r="388" spans="1:2" x14ac:dyDescent="0.25">
      <c r="A388" s="9" t="str">
        <f>IF('Frame Sections'!A402=0,"",'Frame Sections'!A402)</f>
        <v/>
      </c>
      <c r="B388" s="9" t="str">
        <f t="shared" si="6"/>
        <v/>
      </c>
    </row>
    <row r="389" spans="1:2" x14ac:dyDescent="0.25">
      <c r="A389" s="9" t="str">
        <f>IF('Frame Sections'!A403=0,"",'Frame Sections'!A403)</f>
        <v/>
      </c>
      <c r="B389" s="9" t="str">
        <f t="shared" si="6"/>
        <v/>
      </c>
    </row>
    <row r="390" spans="1:2" x14ac:dyDescent="0.25">
      <c r="A390" s="9" t="str">
        <f>IF('Frame Sections'!A404=0,"",'Frame Sections'!A404)</f>
        <v/>
      </c>
      <c r="B390" s="9" t="str">
        <f t="shared" si="6"/>
        <v/>
      </c>
    </row>
    <row r="391" spans="1:2" x14ac:dyDescent="0.25">
      <c r="A391" s="9" t="str">
        <f>IF('Frame Sections'!A405=0,"",'Frame Sections'!A405)</f>
        <v/>
      </c>
      <c r="B391" s="9" t="str">
        <f t="shared" si="6"/>
        <v/>
      </c>
    </row>
    <row r="392" spans="1:2" x14ac:dyDescent="0.25">
      <c r="A392" s="9" t="str">
        <f>IF('Frame Sections'!A406=0,"",'Frame Sections'!A406)</f>
        <v/>
      </c>
      <c r="B392" s="9" t="str">
        <f t="shared" si="6"/>
        <v/>
      </c>
    </row>
    <row r="393" spans="1:2" x14ac:dyDescent="0.25">
      <c r="A393" s="9" t="str">
        <f>IF('Frame Sections'!A407=0,"",'Frame Sections'!A407)</f>
        <v/>
      </c>
      <c r="B393" s="9" t="str">
        <f t="shared" si="6"/>
        <v/>
      </c>
    </row>
    <row r="394" spans="1:2" x14ac:dyDescent="0.25">
      <c r="A394" s="9" t="str">
        <f>IF('Frame Sections'!A408=0,"",'Frame Sections'!A408)</f>
        <v/>
      </c>
      <c r="B394" s="9" t="str">
        <f t="shared" si="6"/>
        <v/>
      </c>
    </row>
    <row r="395" spans="1:2" x14ac:dyDescent="0.25">
      <c r="A395" s="9" t="str">
        <f>IF('Frame Sections'!A409=0,"",'Frame Sections'!A409)</f>
        <v/>
      </c>
      <c r="B395" s="9" t="str">
        <f t="shared" si="6"/>
        <v/>
      </c>
    </row>
    <row r="396" spans="1:2" x14ac:dyDescent="0.25">
      <c r="A396" s="9" t="str">
        <f>IF('Frame Sections'!A410=0,"",'Frame Sections'!A410)</f>
        <v/>
      </c>
      <c r="B396" s="9" t="str">
        <f t="shared" si="6"/>
        <v/>
      </c>
    </row>
    <row r="397" spans="1:2" x14ac:dyDescent="0.25">
      <c r="A397" s="9" t="str">
        <f>IF('Frame Sections'!A411=0,"",'Frame Sections'!A411)</f>
        <v/>
      </c>
      <c r="B397" s="9" t="str">
        <f t="shared" si="6"/>
        <v/>
      </c>
    </row>
    <row r="398" spans="1:2" x14ac:dyDescent="0.25">
      <c r="A398" s="9" t="str">
        <f>IF('Frame Sections'!A412=0,"",'Frame Sections'!A412)</f>
        <v/>
      </c>
      <c r="B398" s="9" t="str">
        <f t="shared" si="6"/>
        <v/>
      </c>
    </row>
    <row r="399" spans="1:2" x14ac:dyDescent="0.25">
      <c r="A399" s="9" t="str">
        <f>IF('Frame Sections'!A413=0,"",'Frame Sections'!A413)</f>
        <v/>
      </c>
      <c r="B399" s="9" t="str">
        <f t="shared" si="6"/>
        <v/>
      </c>
    </row>
    <row r="400" spans="1:2" x14ac:dyDescent="0.25">
      <c r="A400" s="9" t="str">
        <f>IF('Frame Sections'!A414=0,"",'Frame Sections'!A414)</f>
        <v/>
      </c>
      <c r="B400" s="9" t="str">
        <f t="shared" si="6"/>
        <v/>
      </c>
    </row>
    <row r="401" spans="1:2" x14ac:dyDescent="0.25">
      <c r="A401" s="9" t="str">
        <f>IF('Frame Sections'!A415=0,"",'Frame Sections'!A415)</f>
        <v/>
      </c>
      <c r="B401" s="9" t="str">
        <f t="shared" si="6"/>
        <v/>
      </c>
    </row>
    <row r="402" spans="1:2" x14ac:dyDescent="0.25">
      <c r="A402" s="9" t="str">
        <f>IF('Frame Sections'!A416=0,"",'Frame Sections'!A416)</f>
        <v/>
      </c>
      <c r="B402" s="9" t="str">
        <f t="shared" si="6"/>
        <v/>
      </c>
    </row>
    <row r="403" spans="1:2" x14ac:dyDescent="0.25">
      <c r="A403" s="9" t="str">
        <f>IF('Frame Sections'!A417=0,"",'Frame Sections'!A417)</f>
        <v/>
      </c>
      <c r="B403" s="9" t="str">
        <f t="shared" si="6"/>
        <v/>
      </c>
    </row>
    <row r="404" spans="1:2" x14ac:dyDescent="0.25">
      <c r="A404" s="9" t="str">
        <f>IF('Frame Sections'!A418=0,"",'Frame Sections'!A418)</f>
        <v/>
      </c>
      <c r="B404" s="9" t="str">
        <f t="shared" si="6"/>
        <v/>
      </c>
    </row>
    <row r="405" spans="1:2" x14ac:dyDescent="0.25">
      <c r="A405" s="9" t="str">
        <f>IF('Frame Sections'!A419=0,"",'Frame Sections'!A419)</f>
        <v/>
      </c>
      <c r="B405" s="9" t="str">
        <f t="shared" si="6"/>
        <v/>
      </c>
    </row>
    <row r="406" spans="1:2" x14ac:dyDescent="0.25">
      <c r="A406" s="9" t="str">
        <f>IF('Frame Sections'!A420=0,"",'Frame Sections'!A420)</f>
        <v/>
      </c>
      <c r="B406" s="9" t="str">
        <f t="shared" si="6"/>
        <v/>
      </c>
    </row>
    <row r="407" spans="1:2" x14ac:dyDescent="0.25">
      <c r="A407" s="9" t="str">
        <f>IF('Frame Sections'!A421=0,"",'Frame Sections'!A421)</f>
        <v/>
      </c>
      <c r="B407" s="9" t="str">
        <f t="shared" si="6"/>
        <v/>
      </c>
    </row>
    <row r="408" spans="1:2" x14ac:dyDescent="0.25">
      <c r="A408" s="9" t="str">
        <f>IF('Frame Sections'!A422=0,"",'Frame Sections'!A422)</f>
        <v/>
      </c>
      <c r="B408" s="9" t="str">
        <f t="shared" si="6"/>
        <v/>
      </c>
    </row>
    <row r="409" spans="1:2" x14ac:dyDescent="0.25">
      <c r="A409" s="9" t="str">
        <f>IF('Frame Sections'!A423=0,"",'Frame Sections'!A423)</f>
        <v/>
      </c>
      <c r="B409" s="9" t="str">
        <f t="shared" si="6"/>
        <v/>
      </c>
    </row>
    <row r="410" spans="1:2" x14ac:dyDescent="0.25">
      <c r="A410" s="9" t="str">
        <f>IF('Frame Sections'!A424=0,"",'Frame Sections'!A424)</f>
        <v/>
      </c>
      <c r="B410" s="9" t="str">
        <f t="shared" si="6"/>
        <v/>
      </c>
    </row>
    <row r="411" spans="1:2" x14ac:dyDescent="0.25">
      <c r="A411" s="9" t="str">
        <f>IF('Frame Sections'!A425=0,"",'Frame Sections'!A425)</f>
        <v/>
      </c>
      <c r="B411" s="9" t="str">
        <f t="shared" si="6"/>
        <v/>
      </c>
    </row>
    <row r="412" spans="1:2" x14ac:dyDescent="0.25">
      <c r="A412" s="9" t="str">
        <f>IF('Frame Sections'!A426=0,"",'Frame Sections'!A426)</f>
        <v/>
      </c>
      <c r="B412" s="9" t="str">
        <f t="shared" si="6"/>
        <v/>
      </c>
    </row>
    <row r="413" spans="1:2" x14ac:dyDescent="0.25">
      <c r="A413" s="9" t="str">
        <f>IF('Frame Sections'!A427=0,"",'Frame Sections'!A427)</f>
        <v/>
      </c>
      <c r="B413" s="9" t="str">
        <f t="shared" si="6"/>
        <v/>
      </c>
    </row>
    <row r="414" spans="1:2" x14ac:dyDescent="0.25">
      <c r="A414" s="9" t="str">
        <f>IF('Frame Sections'!A428=0,"",'Frame Sections'!A428)</f>
        <v/>
      </c>
      <c r="B414" s="9" t="str">
        <f t="shared" si="6"/>
        <v/>
      </c>
    </row>
    <row r="415" spans="1:2" x14ac:dyDescent="0.25">
      <c r="A415" s="9" t="str">
        <f>IF('Frame Sections'!A429=0,"",'Frame Sections'!A429)</f>
        <v/>
      </c>
      <c r="B415" s="9" t="str">
        <f t="shared" si="6"/>
        <v/>
      </c>
    </row>
    <row r="416" spans="1:2" x14ac:dyDescent="0.25">
      <c r="A416" s="9" t="str">
        <f>IF('Frame Sections'!A430=0,"",'Frame Sections'!A430)</f>
        <v/>
      </c>
      <c r="B416" s="9" t="str">
        <f t="shared" si="6"/>
        <v/>
      </c>
    </row>
    <row r="417" spans="1:2" x14ac:dyDescent="0.25">
      <c r="A417" s="9" t="str">
        <f>IF('Frame Sections'!A431=0,"",'Frame Sections'!A431)</f>
        <v/>
      </c>
      <c r="B417" s="9" t="str">
        <f t="shared" si="6"/>
        <v/>
      </c>
    </row>
    <row r="418" spans="1:2" x14ac:dyDescent="0.25">
      <c r="A418" s="9" t="str">
        <f>IF('Frame Sections'!A432=0,"",'Frame Sections'!A432)</f>
        <v/>
      </c>
      <c r="B418" s="9" t="str">
        <f t="shared" si="6"/>
        <v/>
      </c>
    </row>
    <row r="419" spans="1:2" x14ac:dyDescent="0.25">
      <c r="A419" s="9" t="str">
        <f>IF('Frame Sections'!A433=0,"",'Frame Sections'!A433)</f>
        <v/>
      </c>
      <c r="B419" s="9" t="str">
        <f t="shared" si="6"/>
        <v/>
      </c>
    </row>
    <row r="420" spans="1:2" x14ac:dyDescent="0.25">
      <c r="A420" s="9" t="str">
        <f>IF('Frame Sections'!A434=0,"",'Frame Sections'!A434)</f>
        <v/>
      </c>
      <c r="B420" s="9" t="str">
        <f t="shared" si="6"/>
        <v/>
      </c>
    </row>
    <row r="421" spans="1:2" x14ac:dyDescent="0.25">
      <c r="A421" s="9" t="str">
        <f>IF('Frame Sections'!A435=0,"",'Frame Sections'!A435)</f>
        <v/>
      </c>
      <c r="B421" s="9" t="str">
        <f t="shared" si="6"/>
        <v/>
      </c>
    </row>
    <row r="422" spans="1:2" x14ac:dyDescent="0.25">
      <c r="A422" s="9" t="str">
        <f>IF('Frame Sections'!A436=0,"",'Frame Sections'!A436)</f>
        <v/>
      </c>
      <c r="B422" s="9" t="str">
        <f t="shared" si="6"/>
        <v/>
      </c>
    </row>
    <row r="423" spans="1:2" x14ac:dyDescent="0.25">
      <c r="A423" s="9" t="str">
        <f>IF('Frame Sections'!A437=0,"",'Frame Sections'!A437)</f>
        <v/>
      </c>
      <c r="B423" s="9" t="str">
        <f t="shared" si="6"/>
        <v/>
      </c>
    </row>
    <row r="424" spans="1:2" x14ac:dyDescent="0.25">
      <c r="A424" s="9" t="str">
        <f>IF('Frame Sections'!A438=0,"",'Frame Sections'!A438)</f>
        <v/>
      </c>
      <c r="B424" s="9" t="str">
        <f t="shared" si="6"/>
        <v/>
      </c>
    </row>
    <row r="425" spans="1:2" x14ac:dyDescent="0.25">
      <c r="A425" s="9" t="str">
        <f>IF('Frame Sections'!A439=0,"",'Frame Sections'!A439)</f>
        <v/>
      </c>
      <c r="B425" s="9" t="str">
        <f t="shared" si="6"/>
        <v/>
      </c>
    </row>
    <row r="426" spans="1:2" x14ac:dyDescent="0.25">
      <c r="A426" s="9" t="str">
        <f>IF('Frame Sections'!A440=0,"",'Frame Sections'!A440)</f>
        <v/>
      </c>
      <c r="B426" s="9" t="str">
        <f t="shared" si="6"/>
        <v/>
      </c>
    </row>
    <row r="427" spans="1:2" x14ac:dyDescent="0.25">
      <c r="A427" s="9" t="str">
        <f>IF('Frame Sections'!A441=0,"",'Frame Sections'!A441)</f>
        <v/>
      </c>
      <c r="B427" s="9" t="str">
        <f t="shared" si="6"/>
        <v/>
      </c>
    </row>
    <row r="428" spans="1:2" x14ac:dyDescent="0.25">
      <c r="A428" s="9" t="str">
        <f>IF('Frame Sections'!A442=0,"",'Frame Sections'!A442)</f>
        <v/>
      </c>
      <c r="B428" s="9" t="str">
        <f t="shared" si="6"/>
        <v/>
      </c>
    </row>
    <row r="429" spans="1:2" x14ac:dyDescent="0.25">
      <c r="A429" s="9" t="str">
        <f>IF('Frame Sections'!A443=0,"",'Frame Sections'!A443)</f>
        <v/>
      </c>
      <c r="B429" s="9" t="str">
        <f t="shared" si="6"/>
        <v/>
      </c>
    </row>
    <row r="430" spans="1:2" x14ac:dyDescent="0.25">
      <c r="A430" s="9" t="str">
        <f>IF('Frame Sections'!A444=0,"",'Frame Sections'!A444)</f>
        <v/>
      </c>
      <c r="B430" s="9" t="str">
        <f t="shared" si="6"/>
        <v/>
      </c>
    </row>
    <row r="431" spans="1:2" x14ac:dyDescent="0.25">
      <c r="A431" s="9" t="str">
        <f>IF('Frame Sections'!A445=0,"",'Frame Sections'!A445)</f>
        <v/>
      </c>
      <c r="B431" s="9" t="str">
        <f t="shared" si="6"/>
        <v/>
      </c>
    </row>
    <row r="432" spans="1:2" x14ac:dyDescent="0.25">
      <c r="A432" s="9" t="str">
        <f>IF('Frame Sections'!A446=0,"",'Frame Sections'!A446)</f>
        <v/>
      </c>
      <c r="B432" s="9" t="str">
        <f t="shared" si="6"/>
        <v/>
      </c>
    </row>
    <row r="433" spans="1:2" x14ac:dyDescent="0.25">
      <c r="A433" s="9" t="str">
        <f>IF('Frame Sections'!A447=0,"",'Frame Sections'!A447)</f>
        <v/>
      </c>
      <c r="B433" s="9" t="str">
        <f t="shared" si="6"/>
        <v/>
      </c>
    </row>
    <row r="434" spans="1:2" x14ac:dyDescent="0.25">
      <c r="A434" s="9" t="str">
        <f>IF('Frame Sections'!A448=0,"",'Frame Sections'!A448)</f>
        <v/>
      </c>
      <c r="B434" s="9" t="str">
        <f t="shared" si="6"/>
        <v/>
      </c>
    </row>
    <row r="435" spans="1:2" x14ac:dyDescent="0.25">
      <c r="A435" s="9" t="str">
        <f>IF('Frame Sections'!A449=0,"",'Frame Sections'!A449)</f>
        <v/>
      </c>
      <c r="B435" s="9" t="str">
        <f t="shared" si="6"/>
        <v/>
      </c>
    </row>
    <row r="436" spans="1:2" x14ac:dyDescent="0.25">
      <c r="A436" s="9" t="str">
        <f>IF('Frame Sections'!A450=0,"",'Frame Sections'!A450)</f>
        <v/>
      </c>
      <c r="B436" s="9" t="str">
        <f t="shared" si="6"/>
        <v/>
      </c>
    </row>
    <row r="437" spans="1:2" x14ac:dyDescent="0.25">
      <c r="A437" s="9" t="str">
        <f>IF('Frame Sections'!A451=0,"",'Frame Sections'!A451)</f>
        <v/>
      </c>
      <c r="B437" s="9" t="str">
        <f t="shared" si="6"/>
        <v/>
      </c>
    </row>
    <row r="438" spans="1:2" x14ac:dyDescent="0.25">
      <c r="A438" s="9" t="str">
        <f>IF('Frame Sections'!A452=0,"",'Frame Sections'!A452)</f>
        <v/>
      </c>
      <c r="B438" s="9" t="str">
        <f t="shared" si="6"/>
        <v/>
      </c>
    </row>
    <row r="439" spans="1:2" x14ac:dyDescent="0.25">
      <c r="A439" s="9" t="str">
        <f>IF('Frame Sections'!A453=0,"",'Frame Sections'!A453)</f>
        <v/>
      </c>
      <c r="B439" s="9" t="str">
        <f t="shared" si="6"/>
        <v/>
      </c>
    </row>
    <row r="440" spans="1:2" x14ac:dyDescent="0.25">
      <c r="A440" s="9" t="str">
        <f>IF('Frame Sections'!A454=0,"",'Frame Sections'!A454)</f>
        <v/>
      </c>
      <c r="B440" s="9" t="str">
        <f t="shared" si="6"/>
        <v/>
      </c>
    </row>
    <row r="441" spans="1:2" x14ac:dyDescent="0.25">
      <c r="A441" s="9" t="str">
        <f>IF('Frame Sections'!A455=0,"",'Frame Sections'!A455)</f>
        <v/>
      </c>
      <c r="B441" s="9" t="str">
        <f t="shared" si="6"/>
        <v/>
      </c>
    </row>
    <row r="442" spans="1:2" x14ac:dyDescent="0.25">
      <c r="A442" s="9" t="str">
        <f>IF('Frame Sections'!A456=0,"",'Frame Sections'!A456)</f>
        <v/>
      </c>
      <c r="B442" s="9" t="str">
        <f t="shared" si="6"/>
        <v/>
      </c>
    </row>
    <row r="443" spans="1:2" x14ac:dyDescent="0.25">
      <c r="A443" s="9" t="str">
        <f>IF('Frame Sections'!A457=0,"",'Frame Sections'!A457)</f>
        <v/>
      </c>
      <c r="B443" s="9" t="str">
        <f t="shared" si="6"/>
        <v/>
      </c>
    </row>
    <row r="444" spans="1:2" x14ac:dyDescent="0.25">
      <c r="A444" s="9" t="str">
        <f>IF('Frame Sections'!A458=0,"",'Frame Sections'!A458)</f>
        <v/>
      </c>
      <c r="B444" s="9" t="str">
        <f t="shared" si="6"/>
        <v/>
      </c>
    </row>
    <row r="445" spans="1:2" x14ac:dyDescent="0.25">
      <c r="A445" s="9" t="str">
        <f>IF('Frame Sections'!A459=0,"",'Frame Sections'!A459)</f>
        <v/>
      </c>
      <c r="B445" s="9" t="str">
        <f t="shared" si="6"/>
        <v/>
      </c>
    </row>
    <row r="446" spans="1:2" x14ac:dyDescent="0.25">
      <c r="A446" s="9" t="str">
        <f>IF('Frame Sections'!A460=0,"",'Frame Sections'!A460)</f>
        <v/>
      </c>
      <c r="B446" s="9" t="str">
        <f t="shared" si="6"/>
        <v/>
      </c>
    </row>
    <row r="447" spans="1:2" x14ac:dyDescent="0.25">
      <c r="A447" s="9" t="str">
        <f>IF('Frame Sections'!A461=0,"",'Frame Sections'!A461)</f>
        <v/>
      </c>
      <c r="B447" s="9" t="str">
        <f t="shared" si="6"/>
        <v/>
      </c>
    </row>
    <row r="448" spans="1:2" x14ac:dyDescent="0.25">
      <c r="A448" s="9" t="str">
        <f>IF('Frame Sections'!A462=0,"",'Frame Sections'!A462)</f>
        <v/>
      </c>
      <c r="B448" s="9" t="str">
        <f t="shared" si="6"/>
        <v/>
      </c>
    </row>
    <row r="449" spans="1:2" x14ac:dyDescent="0.25">
      <c r="A449" s="9" t="str">
        <f>IF('Frame Sections'!A463=0,"",'Frame Sections'!A463)</f>
        <v/>
      </c>
      <c r="B449" s="9" t="str">
        <f t="shared" si="6"/>
        <v/>
      </c>
    </row>
    <row r="450" spans="1:2" x14ac:dyDescent="0.25">
      <c r="A450" s="9" t="str">
        <f>IF('Frame Sections'!A464=0,"",'Frame Sections'!A464)</f>
        <v/>
      </c>
      <c r="B450" s="9" t="str">
        <f t="shared" ref="B450:B513" si="7">IF(OR(A450=0,A450=""),"",VLOOKUP(A450,SecDB,5,FALSE))</f>
        <v/>
      </c>
    </row>
    <row r="451" spans="1:2" x14ac:dyDescent="0.25">
      <c r="A451" s="9" t="str">
        <f>IF('Frame Sections'!A465=0,"",'Frame Sections'!A465)</f>
        <v/>
      </c>
      <c r="B451" s="9" t="str">
        <f t="shared" si="7"/>
        <v/>
      </c>
    </row>
    <row r="452" spans="1:2" x14ac:dyDescent="0.25">
      <c r="A452" s="9" t="str">
        <f>IF('Frame Sections'!A466=0,"",'Frame Sections'!A466)</f>
        <v/>
      </c>
      <c r="B452" s="9" t="str">
        <f t="shared" si="7"/>
        <v/>
      </c>
    </row>
    <row r="453" spans="1:2" x14ac:dyDescent="0.25">
      <c r="A453" s="9" t="str">
        <f>IF('Frame Sections'!A467=0,"",'Frame Sections'!A467)</f>
        <v/>
      </c>
      <c r="B453" s="9" t="str">
        <f t="shared" si="7"/>
        <v/>
      </c>
    </row>
    <row r="454" spans="1:2" x14ac:dyDescent="0.25">
      <c r="A454" s="9" t="str">
        <f>IF('Frame Sections'!A468=0,"",'Frame Sections'!A468)</f>
        <v/>
      </c>
      <c r="B454" s="9" t="str">
        <f t="shared" si="7"/>
        <v/>
      </c>
    </row>
    <row r="455" spans="1:2" x14ac:dyDescent="0.25">
      <c r="A455" s="9" t="str">
        <f>IF('Frame Sections'!A469=0,"",'Frame Sections'!A469)</f>
        <v/>
      </c>
      <c r="B455" s="9" t="str">
        <f t="shared" si="7"/>
        <v/>
      </c>
    </row>
    <row r="456" spans="1:2" x14ac:dyDescent="0.25">
      <c r="A456" s="9" t="str">
        <f>IF('Frame Sections'!A470=0,"",'Frame Sections'!A470)</f>
        <v/>
      </c>
      <c r="B456" s="9" t="str">
        <f t="shared" si="7"/>
        <v/>
      </c>
    </row>
    <row r="457" spans="1:2" x14ac:dyDescent="0.25">
      <c r="A457" s="9" t="str">
        <f>IF('Frame Sections'!A471=0,"",'Frame Sections'!A471)</f>
        <v/>
      </c>
      <c r="B457" s="9" t="str">
        <f t="shared" si="7"/>
        <v/>
      </c>
    </row>
    <row r="458" spans="1:2" x14ac:dyDescent="0.25">
      <c r="A458" s="9" t="str">
        <f>IF('Frame Sections'!A472=0,"",'Frame Sections'!A472)</f>
        <v/>
      </c>
      <c r="B458" s="9" t="str">
        <f t="shared" si="7"/>
        <v/>
      </c>
    </row>
    <row r="459" spans="1:2" x14ac:dyDescent="0.25">
      <c r="A459" s="9" t="str">
        <f>IF('Frame Sections'!A473=0,"",'Frame Sections'!A473)</f>
        <v/>
      </c>
      <c r="B459" s="9" t="str">
        <f t="shared" si="7"/>
        <v/>
      </c>
    </row>
    <row r="460" spans="1:2" x14ac:dyDescent="0.25">
      <c r="A460" s="9" t="str">
        <f>IF('Frame Sections'!A474=0,"",'Frame Sections'!A474)</f>
        <v/>
      </c>
      <c r="B460" s="9" t="str">
        <f t="shared" si="7"/>
        <v/>
      </c>
    </row>
    <row r="461" spans="1:2" x14ac:dyDescent="0.25">
      <c r="A461" s="9" t="str">
        <f>IF('Frame Sections'!A475=0,"",'Frame Sections'!A475)</f>
        <v/>
      </c>
      <c r="B461" s="9" t="str">
        <f t="shared" si="7"/>
        <v/>
      </c>
    </row>
    <row r="462" spans="1:2" x14ac:dyDescent="0.25">
      <c r="A462" s="9" t="str">
        <f>IF('Frame Sections'!A476=0,"",'Frame Sections'!A476)</f>
        <v/>
      </c>
      <c r="B462" s="9" t="str">
        <f t="shared" si="7"/>
        <v/>
      </c>
    </row>
    <row r="463" spans="1:2" x14ac:dyDescent="0.25">
      <c r="A463" s="9" t="str">
        <f>IF('Frame Sections'!A477=0,"",'Frame Sections'!A477)</f>
        <v/>
      </c>
      <c r="B463" s="9" t="str">
        <f t="shared" si="7"/>
        <v/>
      </c>
    </row>
    <row r="464" spans="1:2" x14ac:dyDescent="0.25">
      <c r="A464" s="9" t="str">
        <f>IF('Frame Sections'!A478=0,"",'Frame Sections'!A478)</f>
        <v/>
      </c>
      <c r="B464" s="9" t="str">
        <f t="shared" si="7"/>
        <v/>
      </c>
    </row>
    <row r="465" spans="1:2" x14ac:dyDescent="0.25">
      <c r="A465" s="9" t="str">
        <f>IF('Frame Sections'!A479=0,"",'Frame Sections'!A479)</f>
        <v/>
      </c>
      <c r="B465" s="9" t="str">
        <f t="shared" si="7"/>
        <v/>
      </c>
    </row>
    <row r="466" spans="1:2" x14ac:dyDescent="0.25">
      <c r="A466" s="9" t="str">
        <f>IF('Frame Sections'!A480=0,"",'Frame Sections'!A480)</f>
        <v/>
      </c>
      <c r="B466" s="9" t="str">
        <f t="shared" si="7"/>
        <v/>
      </c>
    </row>
    <row r="467" spans="1:2" x14ac:dyDescent="0.25">
      <c r="A467" s="9" t="str">
        <f>IF('Frame Sections'!A481=0,"",'Frame Sections'!A481)</f>
        <v/>
      </c>
      <c r="B467" s="9" t="str">
        <f t="shared" si="7"/>
        <v/>
      </c>
    </row>
    <row r="468" spans="1:2" x14ac:dyDescent="0.25">
      <c r="A468" s="9" t="str">
        <f>IF('Frame Sections'!A482=0,"",'Frame Sections'!A482)</f>
        <v/>
      </c>
      <c r="B468" s="9" t="str">
        <f t="shared" si="7"/>
        <v/>
      </c>
    </row>
    <row r="469" spans="1:2" x14ac:dyDescent="0.25">
      <c r="A469" s="9" t="str">
        <f>IF('Frame Sections'!A483=0,"",'Frame Sections'!A483)</f>
        <v/>
      </c>
      <c r="B469" s="9" t="str">
        <f t="shared" si="7"/>
        <v/>
      </c>
    </row>
    <row r="470" spans="1:2" x14ac:dyDescent="0.25">
      <c r="A470" s="9" t="str">
        <f>IF('Frame Sections'!A484=0,"",'Frame Sections'!A484)</f>
        <v/>
      </c>
      <c r="B470" s="9" t="str">
        <f t="shared" si="7"/>
        <v/>
      </c>
    </row>
    <row r="471" spans="1:2" x14ac:dyDescent="0.25">
      <c r="A471" s="9" t="str">
        <f>IF('Frame Sections'!A485=0,"",'Frame Sections'!A485)</f>
        <v/>
      </c>
      <c r="B471" s="9" t="str">
        <f t="shared" si="7"/>
        <v/>
      </c>
    </row>
    <row r="472" spans="1:2" x14ac:dyDescent="0.25">
      <c r="A472" s="9" t="str">
        <f>IF('Frame Sections'!A486=0,"",'Frame Sections'!A486)</f>
        <v/>
      </c>
      <c r="B472" s="9" t="str">
        <f t="shared" si="7"/>
        <v/>
      </c>
    </row>
    <row r="473" spans="1:2" x14ac:dyDescent="0.25">
      <c r="A473" s="9" t="str">
        <f>IF('Frame Sections'!A487=0,"",'Frame Sections'!A487)</f>
        <v/>
      </c>
      <c r="B473" s="9" t="str">
        <f t="shared" si="7"/>
        <v/>
      </c>
    </row>
    <row r="474" spans="1:2" x14ac:dyDescent="0.25">
      <c r="A474" s="9" t="str">
        <f>IF('Frame Sections'!A488=0,"",'Frame Sections'!A488)</f>
        <v/>
      </c>
      <c r="B474" s="9" t="str">
        <f t="shared" si="7"/>
        <v/>
      </c>
    </row>
    <row r="475" spans="1:2" x14ac:dyDescent="0.25">
      <c r="A475" s="9" t="str">
        <f>IF('Frame Sections'!A489=0,"",'Frame Sections'!A489)</f>
        <v/>
      </c>
      <c r="B475" s="9" t="str">
        <f t="shared" si="7"/>
        <v/>
      </c>
    </row>
    <row r="476" spans="1:2" x14ac:dyDescent="0.25">
      <c r="A476" s="9" t="str">
        <f>IF('Frame Sections'!A490=0,"",'Frame Sections'!A490)</f>
        <v/>
      </c>
      <c r="B476" s="9" t="str">
        <f t="shared" si="7"/>
        <v/>
      </c>
    </row>
    <row r="477" spans="1:2" x14ac:dyDescent="0.25">
      <c r="A477" s="9" t="str">
        <f>IF('Frame Sections'!A491=0,"",'Frame Sections'!A491)</f>
        <v/>
      </c>
      <c r="B477" s="9" t="str">
        <f t="shared" si="7"/>
        <v/>
      </c>
    </row>
    <row r="478" spans="1:2" x14ac:dyDescent="0.25">
      <c r="A478" s="9" t="str">
        <f>IF('Frame Sections'!A492=0,"",'Frame Sections'!A492)</f>
        <v/>
      </c>
      <c r="B478" s="9" t="str">
        <f t="shared" si="7"/>
        <v/>
      </c>
    </row>
    <row r="479" spans="1:2" x14ac:dyDescent="0.25">
      <c r="A479" s="9" t="str">
        <f>IF('Frame Sections'!A493=0,"",'Frame Sections'!A493)</f>
        <v/>
      </c>
      <c r="B479" s="9" t="str">
        <f t="shared" si="7"/>
        <v/>
      </c>
    </row>
    <row r="480" spans="1:2" x14ac:dyDescent="0.25">
      <c r="A480" s="9" t="str">
        <f>IF('Frame Sections'!A494=0,"",'Frame Sections'!A494)</f>
        <v/>
      </c>
      <c r="B480" s="9" t="str">
        <f t="shared" si="7"/>
        <v/>
      </c>
    </row>
    <row r="481" spans="1:2" x14ac:dyDescent="0.25">
      <c r="A481" s="9" t="str">
        <f>IF('Frame Sections'!A495=0,"",'Frame Sections'!A495)</f>
        <v/>
      </c>
      <c r="B481" s="9" t="str">
        <f t="shared" si="7"/>
        <v/>
      </c>
    </row>
    <row r="482" spans="1:2" x14ac:dyDescent="0.25">
      <c r="A482" s="9" t="str">
        <f>IF('Frame Sections'!A496=0,"",'Frame Sections'!A496)</f>
        <v/>
      </c>
      <c r="B482" s="9" t="str">
        <f t="shared" si="7"/>
        <v/>
      </c>
    </row>
    <row r="483" spans="1:2" x14ac:dyDescent="0.25">
      <c r="A483" s="9" t="str">
        <f>IF('Frame Sections'!A497=0,"",'Frame Sections'!A497)</f>
        <v/>
      </c>
      <c r="B483" s="9" t="str">
        <f t="shared" si="7"/>
        <v/>
      </c>
    </row>
    <row r="484" spans="1:2" x14ac:dyDescent="0.25">
      <c r="A484" s="9" t="str">
        <f>IF('Frame Sections'!A498=0,"",'Frame Sections'!A498)</f>
        <v/>
      </c>
      <c r="B484" s="9" t="str">
        <f t="shared" si="7"/>
        <v/>
      </c>
    </row>
    <row r="485" spans="1:2" x14ac:dyDescent="0.25">
      <c r="A485" s="9" t="str">
        <f>IF('Frame Sections'!A499=0,"",'Frame Sections'!A499)</f>
        <v/>
      </c>
      <c r="B485" s="9" t="str">
        <f t="shared" si="7"/>
        <v/>
      </c>
    </row>
    <row r="486" spans="1:2" x14ac:dyDescent="0.25">
      <c r="A486" s="9" t="str">
        <f>IF('Frame Sections'!A500=0,"",'Frame Sections'!A500)</f>
        <v/>
      </c>
      <c r="B486" s="9" t="str">
        <f t="shared" si="7"/>
        <v/>
      </c>
    </row>
    <row r="487" spans="1:2" x14ac:dyDescent="0.25">
      <c r="A487" s="9" t="str">
        <f>IF('Frame Sections'!A501=0,"",'Frame Sections'!A501)</f>
        <v/>
      </c>
      <c r="B487" s="9" t="str">
        <f t="shared" si="7"/>
        <v/>
      </c>
    </row>
    <row r="488" spans="1:2" x14ac:dyDescent="0.25">
      <c r="A488" s="9" t="str">
        <f>IF('Frame Sections'!A502=0,"",'Frame Sections'!A502)</f>
        <v/>
      </c>
      <c r="B488" s="9" t="str">
        <f t="shared" si="7"/>
        <v/>
      </c>
    </row>
    <row r="489" spans="1:2" x14ac:dyDescent="0.25">
      <c r="A489" s="9" t="str">
        <f>IF('Frame Sections'!A503=0,"",'Frame Sections'!A503)</f>
        <v/>
      </c>
      <c r="B489" s="9" t="str">
        <f t="shared" si="7"/>
        <v/>
      </c>
    </row>
    <row r="490" spans="1:2" x14ac:dyDescent="0.25">
      <c r="A490" s="9" t="str">
        <f>IF('Frame Sections'!A504=0,"",'Frame Sections'!A504)</f>
        <v/>
      </c>
      <c r="B490" s="9" t="str">
        <f t="shared" si="7"/>
        <v/>
      </c>
    </row>
    <row r="491" spans="1:2" x14ac:dyDescent="0.25">
      <c r="A491" s="9" t="str">
        <f>IF('Frame Sections'!A505=0,"",'Frame Sections'!A505)</f>
        <v/>
      </c>
      <c r="B491" s="9" t="str">
        <f t="shared" si="7"/>
        <v/>
      </c>
    </row>
    <row r="492" spans="1:2" x14ac:dyDescent="0.25">
      <c r="A492" s="9" t="str">
        <f>IF('Frame Sections'!A506=0,"",'Frame Sections'!A506)</f>
        <v/>
      </c>
      <c r="B492" s="9" t="str">
        <f t="shared" si="7"/>
        <v/>
      </c>
    </row>
    <row r="493" spans="1:2" x14ac:dyDescent="0.25">
      <c r="A493" s="9" t="str">
        <f>IF('Frame Sections'!A507=0,"",'Frame Sections'!A507)</f>
        <v/>
      </c>
      <c r="B493" s="9" t="str">
        <f t="shared" si="7"/>
        <v/>
      </c>
    </row>
    <row r="494" spans="1:2" x14ac:dyDescent="0.25">
      <c r="A494" s="9" t="str">
        <f>IF('Frame Sections'!A508=0,"",'Frame Sections'!A508)</f>
        <v/>
      </c>
      <c r="B494" s="9" t="str">
        <f t="shared" si="7"/>
        <v/>
      </c>
    </row>
    <row r="495" spans="1:2" x14ac:dyDescent="0.25">
      <c r="A495" s="9" t="str">
        <f>IF('Frame Sections'!A509=0,"",'Frame Sections'!A509)</f>
        <v/>
      </c>
      <c r="B495" s="9" t="str">
        <f t="shared" si="7"/>
        <v/>
      </c>
    </row>
    <row r="496" spans="1:2" x14ac:dyDescent="0.25">
      <c r="A496" s="9" t="str">
        <f>IF('Frame Sections'!A510=0,"",'Frame Sections'!A510)</f>
        <v/>
      </c>
      <c r="B496" s="9" t="str">
        <f t="shared" si="7"/>
        <v/>
      </c>
    </row>
    <row r="497" spans="1:2" x14ac:dyDescent="0.25">
      <c r="A497" s="9" t="str">
        <f>IF('Frame Sections'!A511=0,"",'Frame Sections'!A511)</f>
        <v/>
      </c>
      <c r="B497" s="9" t="str">
        <f t="shared" si="7"/>
        <v/>
      </c>
    </row>
    <row r="498" spans="1:2" x14ac:dyDescent="0.25">
      <c r="A498" s="9" t="str">
        <f>IF('Frame Sections'!A512=0,"",'Frame Sections'!A512)</f>
        <v/>
      </c>
      <c r="B498" s="9" t="str">
        <f t="shared" si="7"/>
        <v/>
      </c>
    </row>
    <row r="499" spans="1:2" x14ac:dyDescent="0.25">
      <c r="A499" s="9" t="str">
        <f>IF('Frame Sections'!A513=0,"",'Frame Sections'!A513)</f>
        <v/>
      </c>
      <c r="B499" s="9" t="str">
        <f t="shared" si="7"/>
        <v/>
      </c>
    </row>
    <row r="500" spans="1:2" x14ac:dyDescent="0.25">
      <c r="A500" s="9" t="str">
        <f>IF('Frame Sections'!A514=0,"",'Frame Sections'!A514)</f>
        <v/>
      </c>
      <c r="B500" s="9" t="str">
        <f t="shared" si="7"/>
        <v/>
      </c>
    </row>
    <row r="501" spans="1:2" x14ac:dyDescent="0.25">
      <c r="A501" s="9" t="str">
        <f>IF('Frame Sections'!A515=0,"",'Frame Sections'!A515)</f>
        <v/>
      </c>
      <c r="B501" s="9" t="str">
        <f t="shared" si="7"/>
        <v/>
      </c>
    </row>
    <row r="502" spans="1:2" x14ac:dyDescent="0.25">
      <c r="A502" s="9" t="str">
        <f>IF('Frame Sections'!A516=0,"",'Frame Sections'!A516)</f>
        <v/>
      </c>
      <c r="B502" s="9" t="str">
        <f t="shared" si="7"/>
        <v/>
      </c>
    </row>
    <row r="503" spans="1:2" x14ac:dyDescent="0.25">
      <c r="A503" s="9" t="str">
        <f>IF('Frame Sections'!A517=0,"",'Frame Sections'!A517)</f>
        <v/>
      </c>
      <c r="B503" s="9" t="str">
        <f t="shared" si="7"/>
        <v/>
      </c>
    </row>
    <row r="504" spans="1:2" x14ac:dyDescent="0.25">
      <c r="A504" s="9" t="str">
        <f>IF('Frame Sections'!A518=0,"",'Frame Sections'!A518)</f>
        <v/>
      </c>
      <c r="B504" s="9" t="str">
        <f t="shared" si="7"/>
        <v/>
      </c>
    </row>
    <row r="505" spans="1:2" x14ac:dyDescent="0.25">
      <c r="A505" s="9" t="str">
        <f>IF('Frame Sections'!A519=0,"",'Frame Sections'!A519)</f>
        <v/>
      </c>
      <c r="B505" s="9" t="str">
        <f t="shared" si="7"/>
        <v/>
      </c>
    </row>
    <row r="506" spans="1:2" x14ac:dyDescent="0.25">
      <c r="A506" s="9" t="str">
        <f>IF('Frame Sections'!A520=0,"",'Frame Sections'!A520)</f>
        <v/>
      </c>
      <c r="B506" s="9" t="str">
        <f t="shared" si="7"/>
        <v/>
      </c>
    </row>
    <row r="507" spans="1:2" x14ac:dyDescent="0.25">
      <c r="A507" s="9" t="str">
        <f>IF('Frame Sections'!A521=0,"",'Frame Sections'!A521)</f>
        <v/>
      </c>
      <c r="B507" s="9" t="str">
        <f t="shared" si="7"/>
        <v/>
      </c>
    </row>
    <row r="508" spans="1:2" x14ac:dyDescent="0.25">
      <c r="A508" s="9" t="str">
        <f>IF('Frame Sections'!A522=0,"",'Frame Sections'!A522)</f>
        <v/>
      </c>
      <c r="B508" s="9" t="str">
        <f t="shared" si="7"/>
        <v/>
      </c>
    </row>
    <row r="509" spans="1:2" x14ac:dyDescent="0.25">
      <c r="A509" s="9" t="str">
        <f>IF('Frame Sections'!A523=0,"",'Frame Sections'!A523)</f>
        <v/>
      </c>
      <c r="B509" s="9" t="str">
        <f t="shared" si="7"/>
        <v/>
      </c>
    </row>
    <row r="510" spans="1:2" x14ac:dyDescent="0.25">
      <c r="A510" s="9" t="str">
        <f>IF('Frame Sections'!A524=0,"",'Frame Sections'!A524)</f>
        <v/>
      </c>
      <c r="B510" s="9" t="str">
        <f t="shared" si="7"/>
        <v/>
      </c>
    </row>
    <row r="511" spans="1:2" x14ac:dyDescent="0.25">
      <c r="A511" s="9" t="str">
        <f>IF('Frame Sections'!A525=0,"",'Frame Sections'!A525)</f>
        <v/>
      </c>
      <c r="B511" s="9" t="str">
        <f t="shared" si="7"/>
        <v/>
      </c>
    </row>
    <row r="512" spans="1:2" x14ac:dyDescent="0.25">
      <c r="A512" s="9" t="str">
        <f>IF('Frame Sections'!A526=0,"",'Frame Sections'!A526)</f>
        <v/>
      </c>
      <c r="B512" s="9" t="str">
        <f t="shared" si="7"/>
        <v/>
      </c>
    </row>
    <row r="513" spans="1:2" x14ac:dyDescent="0.25">
      <c r="A513" s="9" t="str">
        <f>IF('Frame Sections'!A527=0,"",'Frame Sections'!A527)</f>
        <v/>
      </c>
      <c r="B513" s="9" t="str">
        <f t="shared" si="7"/>
        <v/>
      </c>
    </row>
    <row r="514" spans="1:2" x14ac:dyDescent="0.25">
      <c r="A514" s="9" t="str">
        <f>IF('Frame Sections'!A528=0,"",'Frame Sections'!A528)</f>
        <v/>
      </c>
      <c r="B514" s="9" t="str">
        <f t="shared" ref="B514:B577" si="8">IF(OR(A514=0,A514=""),"",VLOOKUP(A514,SecDB,5,FALSE))</f>
        <v/>
      </c>
    </row>
    <row r="515" spans="1:2" x14ac:dyDescent="0.25">
      <c r="A515" s="9" t="str">
        <f>IF('Frame Sections'!A529=0,"",'Frame Sections'!A529)</f>
        <v/>
      </c>
      <c r="B515" s="9" t="str">
        <f t="shared" si="8"/>
        <v/>
      </c>
    </row>
    <row r="516" spans="1:2" x14ac:dyDescent="0.25">
      <c r="A516" s="9" t="str">
        <f>IF('Frame Sections'!A530=0,"",'Frame Sections'!A530)</f>
        <v/>
      </c>
      <c r="B516" s="9" t="str">
        <f t="shared" si="8"/>
        <v/>
      </c>
    </row>
    <row r="517" spans="1:2" x14ac:dyDescent="0.25">
      <c r="A517" s="9" t="str">
        <f>IF('Frame Sections'!A531=0,"",'Frame Sections'!A531)</f>
        <v/>
      </c>
      <c r="B517" s="9" t="str">
        <f t="shared" si="8"/>
        <v/>
      </c>
    </row>
    <row r="518" spans="1:2" x14ac:dyDescent="0.25">
      <c r="A518" s="9" t="str">
        <f>IF('Frame Sections'!A532=0,"",'Frame Sections'!A532)</f>
        <v/>
      </c>
      <c r="B518" s="9" t="str">
        <f t="shared" si="8"/>
        <v/>
      </c>
    </row>
    <row r="519" spans="1:2" x14ac:dyDescent="0.25">
      <c r="A519" s="9" t="str">
        <f>IF('Frame Sections'!A533=0,"",'Frame Sections'!A533)</f>
        <v/>
      </c>
      <c r="B519" s="9" t="str">
        <f t="shared" si="8"/>
        <v/>
      </c>
    </row>
    <row r="520" spans="1:2" x14ac:dyDescent="0.25">
      <c r="A520" s="9" t="str">
        <f>IF('Frame Sections'!A534=0,"",'Frame Sections'!A534)</f>
        <v/>
      </c>
      <c r="B520" s="9" t="str">
        <f t="shared" si="8"/>
        <v/>
      </c>
    </row>
    <row r="521" spans="1:2" x14ac:dyDescent="0.25">
      <c r="A521" s="9" t="str">
        <f>IF('Frame Sections'!A535=0,"",'Frame Sections'!A535)</f>
        <v/>
      </c>
      <c r="B521" s="9" t="str">
        <f t="shared" si="8"/>
        <v/>
      </c>
    </row>
    <row r="522" spans="1:2" x14ac:dyDescent="0.25">
      <c r="A522" s="9" t="str">
        <f>IF('Frame Sections'!A536=0,"",'Frame Sections'!A536)</f>
        <v/>
      </c>
      <c r="B522" s="9" t="str">
        <f t="shared" si="8"/>
        <v/>
      </c>
    </row>
    <row r="523" spans="1:2" x14ac:dyDescent="0.25">
      <c r="A523" s="9" t="str">
        <f>IF('Frame Sections'!A537=0,"",'Frame Sections'!A537)</f>
        <v/>
      </c>
      <c r="B523" s="9" t="str">
        <f t="shared" si="8"/>
        <v/>
      </c>
    </row>
    <row r="524" spans="1:2" x14ac:dyDescent="0.25">
      <c r="A524" s="9" t="str">
        <f>IF('Frame Sections'!A538=0,"",'Frame Sections'!A538)</f>
        <v/>
      </c>
      <c r="B524" s="9" t="str">
        <f t="shared" si="8"/>
        <v/>
      </c>
    </row>
    <row r="525" spans="1:2" x14ac:dyDescent="0.25">
      <c r="A525" s="9" t="str">
        <f>IF('Frame Sections'!A539=0,"",'Frame Sections'!A539)</f>
        <v/>
      </c>
      <c r="B525" s="9" t="str">
        <f t="shared" si="8"/>
        <v/>
      </c>
    </row>
    <row r="526" spans="1:2" x14ac:dyDescent="0.25">
      <c r="A526" s="9" t="str">
        <f>IF('Frame Sections'!A540=0,"",'Frame Sections'!A540)</f>
        <v/>
      </c>
      <c r="B526" s="9" t="str">
        <f t="shared" si="8"/>
        <v/>
      </c>
    </row>
    <row r="527" spans="1:2" x14ac:dyDescent="0.25">
      <c r="A527" s="9" t="str">
        <f>IF('Frame Sections'!A541=0,"",'Frame Sections'!A541)</f>
        <v/>
      </c>
      <c r="B527" s="9" t="str">
        <f t="shared" si="8"/>
        <v/>
      </c>
    </row>
    <row r="528" spans="1:2" x14ac:dyDescent="0.25">
      <c r="A528" s="9" t="str">
        <f>IF('Frame Sections'!A542=0,"",'Frame Sections'!A542)</f>
        <v/>
      </c>
      <c r="B528" s="9" t="str">
        <f t="shared" si="8"/>
        <v/>
      </c>
    </row>
    <row r="529" spans="1:2" x14ac:dyDescent="0.25">
      <c r="A529" s="9" t="str">
        <f>IF('Frame Sections'!A543=0,"",'Frame Sections'!A543)</f>
        <v/>
      </c>
      <c r="B529" s="9" t="str">
        <f t="shared" si="8"/>
        <v/>
      </c>
    </row>
    <row r="530" spans="1:2" x14ac:dyDescent="0.25">
      <c r="A530" s="9" t="str">
        <f>IF('Frame Sections'!A544=0,"",'Frame Sections'!A544)</f>
        <v/>
      </c>
      <c r="B530" s="9" t="str">
        <f t="shared" si="8"/>
        <v/>
      </c>
    </row>
    <row r="531" spans="1:2" x14ac:dyDescent="0.25">
      <c r="A531" s="9" t="str">
        <f>IF('Frame Sections'!A545=0,"",'Frame Sections'!A545)</f>
        <v/>
      </c>
      <c r="B531" s="9" t="str">
        <f t="shared" si="8"/>
        <v/>
      </c>
    </row>
    <row r="532" spans="1:2" x14ac:dyDescent="0.25">
      <c r="A532" s="9" t="str">
        <f>IF('Frame Sections'!A546=0,"",'Frame Sections'!A546)</f>
        <v/>
      </c>
      <c r="B532" s="9" t="str">
        <f t="shared" si="8"/>
        <v/>
      </c>
    </row>
    <row r="533" spans="1:2" x14ac:dyDescent="0.25">
      <c r="A533" s="9" t="str">
        <f>IF('Frame Sections'!A547=0,"",'Frame Sections'!A547)</f>
        <v/>
      </c>
      <c r="B533" s="9" t="str">
        <f t="shared" si="8"/>
        <v/>
      </c>
    </row>
    <row r="534" spans="1:2" x14ac:dyDescent="0.25">
      <c r="A534" s="9" t="str">
        <f>IF('Frame Sections'!A548=0,"",'Frame Sections'!A548)</f>
        <v/>
      </c>
      <c r="B534" s="9" t="str">
        <f t="shared" si="8"/>
        <v/>
      </c>
    </row>
    <row r="535" spans="1:2" x14ac:dyDescent="0.25">
      <c r="A535" s="9" t="str">
        <f>IF('Frame Sections'!A549=0,"",'Frame Sections'!A549)</f>
        <v/>
      </c>
      <c r="B535" s="9" t="str">
        <f t="shared" si="8"/>
        <v/>
      </c>
    </row>
    <row r="536" spans="1:2" x14ac:dyDescent="0.25">
      <c r="A536" s="9" t="str">
        <f>IF('Frame Sections'!A550=0,"",'Frame Sections'!A550)</f>
        <v/>
      </c>
      <c r="B536" s="9" t="str">
        <f t="shared" si="8"/>
        <v/>
      </c>
    </row>
    <row r="537" spans="1:2" x14ac:dyDescent="0.25">
      <c r="A537" s="9" t="str">
        <f>IF('Frame Sections'!A551=0,"",'Frame Sections'!A551)</f>
        <v/>
      </c>
      <c r="B537" s="9" t="str">
        <f t="shared" si="8"/>
        <v/>
      </c>
    </row>
    <row r="538" spans="1:2" x14ac:dyDescent="0.25">
      <c r="A538" s="9" t="str">
        <f>IF('Frame Sections'!A552=0,"",'Frame Sections'!A552)</f>
        <v/>
      </c>
      <c r="B538" s="9" t="str">
        <f t="shared" si="8"/>
        <v/>
      </c>
    </row>
    <row r="539" spans="1:2" x14ac:dyDescent="0.25">
      <c r="A539" s="9" t="str">
        <f>IF('Frame Sections'!A553=0,"",'Frame Sections'!A553)</f>
        <v/>
      </c>
      <c r="B539" s="9" t="str">
        <f t="shared" si="8"/>
        <v/>
      </c>
    </row>
    <row r="540" spans="1:2" x14ac:dyDescent="0.25">
      <c r="A540" s="9" t="str">
        <f>IF('Frame Sections'!A554=0,"",'Frame Sections'!A554)</f>
        <v/>
      </c>
      <c r="B540" s="9" t="str">
        <f t="shared" si="8"/>
        <v/>
      </c>
    </row>
    <row r="541" spans="1:2" x14ac:dyDescent="0.25">
      <c r="A541" s="9" t="str">
        <f>IF('Frame Sections'!A555=0,"",'Frame Sections'!A555)</f>
        <v/>
      </c>
      <c r="B541" s="9" t="str">
        <f t="shared" si="8"/>
        <v/>
      </c>
    </row>
    <row r="542" spans="1:2" x14ac:dyDescent="0.25">
      <c r="A542" s="9" t="str">
        <f>IF('Frame Sections'!A556=0,"",'Frame Sections'!A556)</f>
        <v/>
      </c>
      <c r="B542" s="9" t="str">
        <f t="shared" si="8"/>
        <v/>
      </c>
    </row>
    <row r="543" spans="1:2" x14ac:dyDescent="0.25">
      <c r="A543" s="9" t="str">
        <f>IF('Frame Sections'!A557=0,"",'Frame Sections'!A557)</f>
        <v/>
      </c>
      <c r="B543" s="9" t="str">
        <f t="shared" si="8"/>
        <v/>
      </c>
    </row>
    <row r="544" spans="1:2" x14ac:dyDescent="0.25">
      <c r="A544" s="9" t="str">
        <f>IF('Frame Sections'!A558=0,"",'Frame Sections'!A558)</f>
        <v/>
      </c>
      <c r="B544" s="9" t="str">
        <f t="shared" si="8"/>
        <v/>
      </c>
    </row>
    <row r="545" spans="1:2" x14ac:dyDescent="0.25">
      <c r="A545" s="9" t="str">
        <f>IF('Frame Sections'!A559=0,"",'Frame Sections'!A559)</f>
        <v/>
      </c>
      <c r="B545" s="9" t="str">
        <f t="shared" si="8"/>
        <v/>
      </c>
    </row>
    <row r="546" spans="1:2" x14ac:dyDescent="0.25">
      <c r="A546" s="9" t="str">
        <f>IF('Frame Sections'!A560=0,"",'Frame Sections'!A560)</f>
        <v/>
      </c>
      <c r="B546" s="9" t="str">
        <f t="shared" si="8"/>
        <v/>
      </c>
    </row>
    <row r="547" spans="1:2" x14ac:dyDescent="0.25">
      <c r="A547" s="9" t="str">
        <f>IF('Frame Sections'!A561=0,"",'Frame Sections'!A561)</f>
        <v/>
      </c>
      <c r="B547" s="9" t="str">
        <f t="shared" si="8"/>
        <v/>
      </c>
    </row>
    <row r="548" spans="1:2" x14ac:dyDescent="0.25">
      <c r="A548" s="9" t="str">
        <f>IF('Frame Sections'!A562=0,"",'Frame Sections'!A562)</f>
        <v/>
      </c>
      <c r="B548" s="9" t="str">
        <f t="shared" si="8"/>
        <v/>
      </c>
    </row>
    <row r="549" spans="1:2" x14ac:dyDescent="0.25">
      <c r="A549" s="9" t="str">
        <f>IF('Frame Sections'!A563=0,"",'Frame Sections'!A563)</f>
        <v/>
      </c>
      <c r="B549" s="9" t="str">
        <f t="shared" si="8"/>
        <v/>
      </c>
    </row>
    <row r="550" spans="1:2" x14ac:dyDescent="0.25">
      <c r="A550" s="9" t="str">
        <f>IF('Frame Sections'!A564=0,"",'Frame Sections'!A564)</f>
        <v/>
      </c>
      <c r="B550" s="9" t="str">
        <f t="shared" si="8"/>
        <v/>
      </c>
    </row>
    <row r="551" spans="1:2" x14ac:dyDescent="0.25">
      <c r="A551" s="9" t="str">
        <f>IF('Frame Sections'!A565=0,"",'Frame Sections'!A565)</f>
        <v/>
      </c>
      <c r="B551" s="9" t="str">
        <f t="shared" si="8"/>
        <v/>
      </c>
    </row>
    <row r="552" spans="1:2" x14ac:dyDescent="0.25">
      <c r="A552" s="9" t="str">
        <f>IF('Frame Sections'!A566=0,"",'Frame Sections'!A566)</f>
        <v/>
      </c>
      <c r="B552" s="9" t="str">
        <f t="shared" si="8"/>
        <v/>
      </c>
    </row>
    <row r="553" spans="1:2" x14ac:dyDescent="0.25">
      <c r="A553" s="9" t="str">
        <f>IF('Frame Sections'!A567=0,"",'Frame Sections'!A567)</f>
        <v/>
      </c>
      <c r="B553" s="9" t="str">
        <f t="shared" si="8"/>
        <v/>
      </c>
    </row>
    <row r="554" spans="1:2" x14ac:dyDescent="0.25">
      <c r="A554" s="9" t="str">
        <f>IF('Frame Sections'!A568=0,"",'Frame Sections'!A568)</f>
        <v/>
      </c>
      <c r="B554" s="9" t="str">
        <f t="shared" si="8"/>
        <v/>
      </c>
    </row>
    <row r="555" spans="1:2" x14ac:dyDescent="0.25">
      <c r="A555" s="9" t="str">
        <f>IF('Frame Sections'!A569=0,"",'Frame Sections'!A569)</f>
        <v/>
      </c>
      <c r="B555" s="9" t="str">
        <f t="shared" si="8"/>
        <v/>
      </c>
    </row>
    <row r="556" spans="1:2" x14ac:dyDescent="0.25">
      <c r="A556" s="9" t="str">
        <f>IF('Frame Sections'!A570=0,"",'Frame Sections'!A570)</f>
        <v/>
      </c>
      <c r="B556" s="9" t="str">
        <f t="shared" si="8"/>
        <v/>
      </c>
    </row>
    <row r="557" spans="1:2" x14ac:dyDescent="0.25">
      <c r="A557" s="9" t="str">
        <f>IF('Frame Sections'!A571=0,"",'Frame Sections'!A571)</f>
        <v/>
      </c>
      <c r="B557" s="9" t="str">
        <f t="shared" si="8"/>
        <v/>
      </c>
    </row>
    <row r="558" spans="1:2" x14ac:dyDescent="0.25">
      <c r="A558" s="9" t="str">
        <f>IF('Frame Sections'!A572=0,"",'Frame Sections'!A572)</f>
        <v/>
      </c>
      <c r="B558" s="9" t="str">
        <f t="shared" si="8"/>
        <v/>
      </c>
    </row>
    <row r="559" spans="1:2" x14ac:dyDescent="0.25">
      <c r="A559" s="9" t="str">
        <f>IF('Frame Sections'!A573=0,"",'Frame Sections'!A573)</f>
        <v/>
      </c>
      <c r="B559" s="9" t="str">
        <f t="shared" si="8"/>
        <v/>
      </c>
    </row>
    <row r="560" spans="1:2" x14ac:dyDescent="0.25">
      <c r="A560" s="9" t="str">
        <f>IF('Frame Sections'!A574=0,"",'Frame Sections'!A574)</f>
        <v/>
      </c>
      <c r="B560" s="9" t="str">
        <f t="shared" si="8"/>
        <v/>
      </c>
    </row>
    <row r="561" spans="1:2" x14ac:dyDescent="0.25">
      <c r="A561" s="9" t="str">
        <f>IF('Frame Sections'!A575=0,"",'Frame Sections'!A575)</f>
        <v/>
      </c>
      <c r="B561" s="9" t="str">
        <f t="shared" si="8"/>
        <v/>
      </c>
    </row>
    <row r="562" spans="1:2" x14ac:dyDescent="0.25">
      <c r="A562" s="9" t="str">
        <f>IF('Frame Sections'!A576=0,"",'Frame Sections'!A576)</f>
        <v/>
      </c>
      <c r="B562" s="9" t="str">
        <f t="shared" si="8"/>
        <v/>
      </c>
    </row>
    <row r="563" spans="1:2" x14ac:dyDescent="0.25">
      <c r="A563" s="9" t="str">
        <f>IF('Frame Sections'!A577=0,"",'Frame Sections'!A577)</f>
        <v/>
      </c>
      <c r="B563" s="9" t="str">
        <f t="shared" si="8"/>
        <v/>
      </c>
    </row>
    <row r="564" spans="1:2" x14ac:dyDescent="0.25">
      <c r="A564" s="9" t="str">
        <f>IF('Frame Sections'!A578=0,"",'Frame Sections'!A578)</f>
        <v/>
      </c>
      <c r="B564" s="9" t="str">
        <f t="shared" si="8"/>
        <v/>
      </c>
    </row>
    <row r="565" spans="1:2" x14ac:dyDescent="0.25">
      <c r="A565" s="9" t="str">
        <f>IF('Frame Sections'!A579=0,"",'Frame Sections'!A579)</f>
        <v/>
      </c>
      <c r="B565" s="9" t="str">
        <f t="shared" si="8"/>
        <v/>
      </c>
    </row>
    <row r="566" spans="1:2" x14ac:dyDescent="0.25">
      <c r="A566" s="9" t="str">
        <f>IF('Frame Sections'!A580=0,"",'Frame Sections'!A580)</f>
        <v/>
      </c>
      <c r="B566" s="9" t="str">
        <f t="shared" si="8"/>
        <v/>
      </c>
    </row>
    <row r="567" spans="1:2" x14ac:dyDescent="0.25">
      <c r="A567" s="9" t="str">
        <f>IF('Frame Sections'!A581=0,"",'Frame Sections'!A581)</f>
        <v/>
      </c>
      <c r="B567" s="9" t="str">
        <f t="shared" si="8"/>
        <v/>
      </c>
    </row>
    <row r="568" spans="1:2" x14ac:dyDescent="0.25">
      <c r="A568" s="9" t="str">
        <f>IF('Frame Sections'!A582=0,"",'Frame Sections'!A582)</f>
        <v/>
      </c>
      <c r="B568" s="9" t="str">
        <f t="shared" si="8"/>
        <v/>
      </c>
    </row>
    <row r="569" spans="1:2" x14ac:dyDescent="0.25">
      <c r="A569" s="9" t="str">
        <f>IF('Frame Sections'!A583=0,"",'Frame Sections'!A583)</f>
        <v/>
      </c>
      <c r="B569" s="9" t="str">
        <f t="shared" si="8"/>
        <v/>
      </c>
    </row>
    <row r="570" spans="1:2" x14ac:dyDescent="0.25">
      <c r="A570" s="9" t="str">
        <f>IF('Frame Sections'!A584=0,"",'Frame Sections'!A584)</f>
        <v/>
      </c>
      <c r="B570" s="9" t="str">
        <f t="shared" si="8"/>
        <v/>
      </c>
    </row>
    <row r="571" spans="1:2" x14ac:dyDescent="0.25">
      <c r="A571" s="9" t="str">
        <f>IF('Frame Sections'!A585=0,"",'Frame Sections'!A585)</f>
        <v/>
      </c>
      <c r="B571" s="9" t="str">
        <f t="shared" si="8"/>
        <v/>
      </c>
    </row>
    <row r="572" spans="1:2" x14ac:dyDescent="0.25">
      <c r="A572" s="9" t="str">
        <f>IF('Frame Sections'!A586=0,"",'Frame Sections'!A586)</f>
        <v/>
      </c>
      <c r="B572" s="9" t="str">
        <f t="shared" si="8"/>
        <v/>
      </c>
    </row>
    <row r="573" spans="1:2" x14ac:dyDescent="0.25">
      <c r="A573" s="9" t="str">
        <f>IF('Frame Sections'!A587=0,"",'Frame Sections'!A587)</f>
        <v/>
      </c>
      <c r="B573" s="9" t="str">
        <f t="shared" si="8"/>
        <v/>
      </c>
    </row>
    <row r="574" spans="1:2" x14ac:dyDescent="0.25">
      <c r="A574" s="9" t="str">
        <f>IF('Frame Sections'!A588=0,"",'Frame Sections'!A588)</f>
        <v/>
      </c>
      <c r="B574" s="9" t="str">
        <f t="shared" si="8"/>
        <v/>
      </c>
    </row>
    <row r="575" spans="1:2" x14ac:dyDescent="0.25">
      <c r="A575" s="9" t="str">
        <f>IF('Frame Sections'!A589=0,"",'Frame Sections'!A589)</f>
        <v/>
      </c>
      <c r="B575" s="9" t="str">
        <f t="shared" si="8"/>
        <v/>
      </c>
    </row>
    <row r="576" spans="1:2" x14ac:dyDescent="0.25">
      <c r="A576" s="9" t="str">
        <f>IF('Frame Sections'!A590=0,"",'Frame Sections'!A590)</f>
        <v/>
      </c>
      <c r="B576" s="9" t="str">
        <f t="shared" si="8"/>
        <v/>
      </c>
    </row>
    <row r="577" spans="1:2" x14ac:dyDescent="0.25">
      <c r="A577" s="9" t="str">
        <f>IF('Frame Sections'!A591=0,"",'Frame Sections'!A591)</f>
        <v/>
      </c>
      <c r="B577" s="9" t="str">
        <f t="shared" si="8"/>
        <v/>
      </c>
    </row>
    <row r="578" spans="1:2" x14ac:dyDescent="0.25">
      <c r="A578" s="9" t="str">
        <f>IF('Frame Sections'!A592=0,"",'Frame Sections'!A592)</f>
        <v/>
      </c>
      <c r="B578" s="9" t="str">
        <f t="shared" ref="B578:B641" si="9">IF(OR(A578=0,A578=""),"",VLOOKUP(A578,SecDB,5,FALSE))</f>
        <v/>
      </c>
    </row>
    <row r="579" spans="1:2" x14ac:dyDescent="0.25">
      <c r="A579" s="9" t="str">
        <f>IF('Frame Sections'!A593=0,"",'Frame Sections'!A593)</f>
        <v/>
      </c>
      <c r="B579" s="9" t="str">
        <f t="shared" si="9"/>
        <v/>
      </c>
    </row>
    <row r="580" spans="1:2" x14ac:dyDescent="0.25">
      <c r="A580" s="9" t="str">
        <f>IF('Frame Sections'!A594=0,"",'Frame Sections'!A594)</f>
        <v/>
      </c>
      <c r="B580" s="9" t="str">
        <f t="shared" si="9"/>
        <v/>
      </c>
    </row>
    <row r="581" spans="1:2" x14ac:dyDescent="0.25">
      <c r="A581" s="9" t="str">
        <f>IF('Frame Sections'!A595=0,"",'Frame Sections'!A595)</f>
        <v/>
      </c>
      <c r="B581" s="9" t="str">
        <f t="shared" si="9"/>
        <v/>
      </c>
    </row>
    <row r="582" spans="1:2" x14ac:dyDescent="0.25">
      <c r="A582" s="9" t="str">
        <f>IF('Frame Sections'!A596=0,"",'Frame Sections'!A596)</f>
        <v/>
      </c>
      <c r="B582" s="9" t="str">
        <f t="shared" si="9"/>
        <v/>
      </c>
    </row>
    <row r="583" spans="1:2" x14ac:dyDescent="0.25">
      <c r="A583" s="9" t="str">
        <f>IF('Frame Sections'!A597=0,"",'Frame Sections'!A597)</f>
        <v/>
      </c>
      <c r="B583" s="9" t="str">
        <f t="shared" si="9"/>
        <v/>
      </c>
    </row>
    <row r="584" spans="1:2" x14ac:dyDescent="0.25">
      <c r="A584" s="9" t="str">
        <f>IF('Frame Sections'!A598=0,"",'Frame Sections'!A598)</f>
        <v/>
      </c>
      <c r="B584" s="9" t="str">
        <f t="shared" si="9"/>
        <v/>
      </c>
    </row>
    <row r="585" spans="1:2" x14ac:dyDescent="0.25">
      <c r="A585" s="9" t="str">
        <f>IF('Frame Sections'!A599=0,"",'Frame Sections'!A599)</f>
        <v/>
      </c>
      <c r="B585" s="9" t="str">
        <f t="shared" si="9"/>
        <v/>
      </c>
    </row>
    <row r="586" spans="1:2" x14ac:dyDescent="0.25">
      <c r="A586" s="9" t="str">
        <f>IF('Frame Sections'!A600=0,"",'Frame Sections'!A600)</f>
        <v/>
      </c>
      <c r="B586" s="9" t="str">
        <f t="shared" si="9"/>
        <v/>
      </c>
    </row>
    <row r="587" spans="1:2" x14ac:dyDescent="0.25">
      <c r="A587" s="9" t="str">
        <f>IF('Frame Sections'!A601=0,"",'Frame Sections'!A601)</f>
        <v/>
      </c>
      <c r="B587" s="9" t="str">
        <f t="shared" si="9"/>
        <v/>
      </c>
    </row>
    <row r="588" spans="1:2" x14ac:dyDescent="0.25">
      <c r="A588" s="9" t="str">
        <f>IF('Frame Sections'!A602=0,"",'Frame Sections'!A602)</f>
        <v/>
      </c>
      <c r="B588" s="9" t="str">
        <f t="shared" si="9"/>
        <v/>
      </c>
    </row>
    <row r="589" spans="1:2" x14ac:dyDescent="0.25">
      <c r="A589" s="9" t="str">
        <f>IF('Frame Sections'!A603=0,"",'Frame Sections'!A603)</f>
        <v/>
      </c>
      <c r="B589" s="9" t="str">
        <f t="shared" si="9"/>
        <v/>
      </c>
    </row>
    <row r="590" spans="1:2" x14ac:dyDescent="0.25">
      <c r="A590" s="9" t="str">
        <f>IF('Frame Sections'!A604=0,"",'Frame Sections'!A604)</f>
        <v/>
      </c>
      <c r="B590" s="9" t="str">
        <f t="shared" si="9"/>
        <v/>
      </c>
    </row>
    <row r="591" spans="1:2" x14ac:dyDescent="0.25">
      <c r="A591" s="9" t="str">
        <f>IF('Frame Sections'!A605=0,"",'Frame Sections'!A605)</f>
        <v/>
      </c>
      <c r="B591" s="9" t="str">
        <f t="shared" si="9"/>
        <v/>
      </c>
    </row>
    <row r="592" spans="1:2" x14ac:dyDescent="0.25">
      <c r="A592" s="9" t="str">
        <f>IF('Frame Sections'!A606=0,"",'Frame Sections'!A606)</f>
        <v/>
      </c>
      <c r="B592" s="9" t="str">
        <f t="shared" si="9"/>
        <v/>
      </c>
    </row>
    <row r="593" spans="1:2" x14ac:dyDescent="0.25">
      <c r="A593" s="9" t="str">
        <f>IF('Frame Sections'!A607=0,"",'Frame Sections'!A607)</f>
        <v/>
      </c>
      <c r="B593" s="9" t="str">
        <f t="shared" si="9"/>
        <v/>
      </c>
    </row>
    <row r="594" spans="1:2" x14ac:dyDescent="0.25">
      <c r="A594" s="9" t="str">
        <f>IF('Frame Sections'!A608=0,"",'Frame Sections'!A608)</f>
        <v/>
      </c>
      <c r="B594" s="9" t="str">
        <f t="shared" si="9"/>
        <v/>
      </c>
    </row>
    <row r="595" spans="1:2" x14ac:dyDescent="0.25">
      <c r="A595" s="9" t="str">
        <f>IF('Frame Sections'!A609=0,"",'Frame Sections'!A609)</f>
        <v/>
      </c>
      <c r="B595" s="9" t="str">
        <f t="shared" si="9"/>
        <v/>
      </c>
    </row>
    <row r="596" spans="1:2" x14ac:dyDescent="0.25">
      <c r="A596" s="9" t="str">
        <f>IF('Frame Sections'!A610=0,"",'Frame Sections'!A610)</f>
        <v/>
      </c>
      <c r="B596" s="9" t="str">
        <f t="shared" si="9"/>
        <v/>
      </c>
    </row>
    <row r="597" spans="1:2" x14ac:dyDescent="0.25">
      <c r="A597" s="9" t="str">
        <f>IF('Frame Sections'!A611=0,"",'Frame Sections'!A611)</f>
        <v/>
      </c>
      <c r="B597" s="9" t="str">
        <f t="shared" si="9"/>
        <v/>
      </c>
    </row>
    <row r="598" spans="1:2" x14ac:dyDescent="0.25">
      <c r="A598" s="9" t="str">
        <f>IF('Frame Sections'!A612=0,"",'Frame Sections'!A612)</f>
        <v/>
      </c>
      <c r="B598" s="9" t="str">
        <f t="shared" si="9"/>
        <v/>
      </c>
    </row>
    <row r="599" spans="1:2" x14ac:dyDescent="0.25">
      <c r="A599" s="9" t="str">
        <f>IF('Frame Sections'!A613=0,"",'Frame Sections'!A613)</f>
        <v/>
      </c>
      <c r="B599" s="9" t="str">
        <f t="shared" si="9"/>
        <v/>
      </c>
    </row>
    <row r="600" spans="1:2" x14ac:dyDescent="0.25">
      <c r="A600" s="9" t="str">
        <f>IF('Frame Sections'!A614=0,"",'Frame Sections'!A614)</f>
        <v/>
      </c>
      <c r="B600" s="9" t="str">
        <f t="shared" si="9"/>
        <v/>
      </c>
    </row>
    <row r="601" spans="1:2" x14ac:dyDescent="0.25">
      <c r="A601" s="9" t="str">
        <f>IF('Frame Sections'!A615=0,"",'Frame Sections'!A615)</f>
        <v/>
      </c>
      <c r="B601" s="9" t="str">
        <f t="shared" si="9"/>
        <v/>
      </c>
    </row>
    <row r="602" spans="1:2" x14ac:dyDescent="0.25">
      <c r="A602" s="9" t="str">
        <f>IF('Frame Sections'!A616=0,"",'Frame Sections'!A616)</f>
        <v/>
      </c>
      <c r="B602" s="9" t="str">
        <f t="shared" si="9"/>
        <v/>
      </c>
    </row>
    <row r="603" spans="1:2" x14ac:dyDescent="0.25">
      <c r="A603" s="9" t="str">
        <f>IF('Frame Sections'!A617=0,"",'Frame Sections'!A617)</f>
        <v/>
      </c>
      <c r="B603" s="9" t="str">
        <f t="shared" si="9"/>
        <v/>
      </c>
    </row>
    <row r="604" spans="1:2" x14ac:dyDescent="0.25">
      <c r="A604" s="9" t="str">
        <f>IF('Frame Sections'!A618=0,"",'Frame Sections'!A618)</f>
        <v/>
      </c>
      <c r="B604" s="9" t="str">
        <f t="shared" si="9"/>
        <v/>
      </c>
    </row>
    <row r="605" spans="1:2" x14ac:dyDescent="0.25">
      <c r="A605" s="9" t="str">
        <f>IF('Frame Sections'!A619=0,"",'Frame Sections'!A619)</f>
        <v/>
      </c>
      <c r="B605" s="9" t="str">
        <f t="shared" si="9"/>
        <v/>
      </c>
    </row>
    <row r="606" spans="1:2" x14ac:dyDescent="0.25">
      <c r="A606" s="9" t="str">
        <f>IF('Frame Sections'!A620=0,"",'Frame Sections'!A620)</f>
        <v/>
      </c>
      <c r="B606" s="9" t="str">
        <f t="shared" si="9"/>
        <v/>
      </c>
    </row>
    <row r="607" spans="1:2" x14ac:dyDescent="0.25">
      <c r="A607" s="9" t="str">
        <f>IF('Frame Sections'!A621=0,"",'Frame Sections'!A621)</f>
        <v/>
      </c>
      <c r="B607" s="9" t="str">
        <f t="shared" si="9"/>
        <v/>
      </c>
    </row>
    <row r="608" spans="1:2" x14ac:dyDescent="0.25">
      <c r="A608" s="9" t="str">
        <f>IF('Frame Sections'!A622=0,"",'Frame Sections'!A622)</f>
        <v/>
      </c>
      <c r="B608" s="9" t="str">
        <f t="shared" si="9"/>
        <v/>
      </c>
    </row>
    <row r="609" spans="1:2" x14ac:dyDescent="0.25">
      <c r="A609" s="9" t="str">
        <f>IF('Frame Sections'!A623=0,"",'Frame Sections'!A623)</f>
        <v/>
      </c>
      <c r="B609" s="9" t="str">
        <f t="shared" si="9"/>
        <v/>
      </c>
    </row>
    <row r="610" spans="1:2" x14ac:dyDescent="0.25">
      <c r="A610" s="9" t="str">
        <f>IF('Frame Sections'!A624=0,"",'Frame Sections'!A624)</f>
        <v/>
      </c>
      <c r="B610" s="9" t="str">
        <f t="shared" si="9"/>
        <v/>
      </c>
    </row>
    <row r="611" spans="1:2" x14ac:dyDescent="0.25">
      <c r="A611" s="9" t="str">
        <f>IF('Frame Sections'!A625=0,"",'Frame Sections'!A625)</f>
        <v/>
      </c>
      <c r="B611" s="9" t="str">
        <f t="shared" si="9"/>
        <v/>
      </c>
    </row>
    <row r="612" spans="1:2" x14ac:dyDescent="0.25">
      <c r="A612" s="9" t="str">
        <f>IF('Frame Sections'!A626=0,"",'Frame Sections'!A626)</f>
        <v/>
      </c>
      <c r="B612" s="9" t="str">
        <f t="shared" si="9"/>
        <v/>
      </c>
    </row>
    <row r="613" spans="1:2" x14ac:dyDescent="0.25">
      <c r="A613" s="9" t="str">
        <f>IF('Frame Sections'!A627=0,"",'Frame Sections'!A627)</f>
        <v/>
      </c>
      <c r="B613" s="9" t="str">
        <f t="shared" si="9"/>
        <v/>
      </c>
    </row>
    <row r="614" spans="1:2" x14ac:dyDescent="0.25">
      <c r="A614" s="9" t="str">
        <f>IF('Frame Sections'!A628=0,"",'Frame Sections'!A628)</f>
        <v/>
      </c>
      <c r="B614" s="9" t="str">
        <f t="shared" si="9"/>
        <v/>
      </c>
    </row>
    <row r="615" spans="1:2" x14ac:dyDescent="0.25">
      <c r="A615" s="9" t="str">
        <f>IF('Frame Sections'!A629=0,"",'Frame Sections'!A629)</f>
        <v/>
      </c>
      <c r="B615" s="9" t="str">
        <f t="shared" si="9"/>
        <v/>
      </c>
    </row>
    <row r="616" spans="1:2" x14ac:dyDescent="0.25">
      <c r="A616" s="9" t="str">
        <f>IF('Frame Sections'!A630=0,"",'Frame Sections'!A630)</f>
        <v/>
      </c>
      <c r="B616" s="9" t="str">
        <f t="shared" si="9"/>
        <v/>
      </c>
    </row>
    <row r="617" spans="1:2" x14ac:dyDescent="0.25">
      <c r="A617" s="9" t="str">
        <f>IF('Frame Sections'!A631=0,"",'Frame Sections'!A631)</f>
        <v/>
      </c>
      <c r="B617" s="9" t="str">
        <f t="shared" si="9"/>
        <v/>
      </c>
    </row>
    <row r="618" spans="1:2" x14ac:dyDescent="0.25">
      <c r="A618" s="9" t="str">
        <f>IF('Frame Sections'!A632=0,"",'Frame Sections'!A632)</f>
        <v/>
      </c>
      <c r="B618" s="9" t="str">
        <f t="shared" si="9"/>
        <v/>
      </c>
    </row>
    <row r="619" spans="1:2" x14ac:dyDescent="0.25">
      <c r="A619" s="9" t="str">
        <f>IF('Frame Sections'!A633=0,"",'Frame Sections'!A633)</f>
        <v/>
      </c>
      <c r="B619" s="9" t="str">
        <f t="shared" si="9"/>
        <v/>
      </c>
    </row>
    <row r="620" spans="1:2" x14ac:dyDescent="0.25">
      <c r="A620" s="9" t="str">
        <f>IF('Frame Sections'!A634=0,"",'Frame Sections'!A634)</f>
        <v/>
      </c>
      <c r="B620" s="9" t="str">
        <f t="shared" si="9"/>
        <v/>
      </c>
    </row>
    <row r="621" spans="1:2" x14ac:dyDescent="0.25">
      <c r="A621" s="9" t="str">
        <f>IF('Frame Sections'!A635=0,"",'Frame Sections'!A635)</f>
        <v/>
      </c>
      <c r="B621" s="9" t="str">
        <f t="shared" si="9"/>
        <v/>
      </c>
    </row>
    <row r="622" spans="1:2" x14ac:dyDescent="0.25">
      <c r="A622" s="9" t="str">
        <f>IF('Frame Sections'!A636=0,"",'Frame Sections'!A636)</f>
        <v/>
      </c>
      <c r="B622" s="9" t="str">
        <f t="shared" si="9"/>
        <v/>
      </c>
    </row>
    <row r="623" spans="1:2" x14ac:dyDescent="0.25">
      <c r="A623" s="9" t="str">
        <f>IF('Frame Sections'!A637=0,"",'Frame Sections'!A637)</f>
        <v/>
      </c>
      <c r="B623" s="9" t="str">
        <f t="shared" si="9"/>
        <v/>
      </c>
    </row>
    <row r="624" spans="1:2" x14ac:dyDescent="0.25">
      <c r="A624" s="9" t="str">
        <f>IF('Frame Sections'!A638=0,"",'Frame Sections'!A638)</f>
        <v/>
      </c>
      <c r="B624" s="9" t="str">
        <f t="shared" si="9"/>
        <v/>
      </c>
    </row>
    <row r="625" spans="1:2" x14ac:dyDescent="0.25">
      <c r="A625" s="9" t="str">
        <f>IF('Frame Sections'!A639=0,"",'Frame Sections'!A639)</f>
        <v/>
      </c>
      <c r="B625" s="9" t="str">
        <f t="shared" si="9"/>
        <v/>
      </c>
    </row>
    <row r="626" spans="1:2" x14ac:dyDescent="0.25">
      <c r="A626" s="9" t="str">
        <f>IF('Frame Sections'!A640=0,"",'Frame Sections'!A640)</f>
        <v/>
      </c>
      <c r="B626" s="9" t="str">
        <f t="shared" si="9"/>
        <v/>
      </c>
    </row>
    <row r="627" spans="1:2" x14ac:dyDescent="0.25">
      <c r="A627" s="9" t="str">
        <f>IF('Frame Sections'!A641=0,"",'Frame Sections'!A641)</f>
        <v/>
      </c>
      <c r="B627" s="9" t="str">
        <f t="shared" si="9"/>
        <v/>
      </c>
    </row>
    <row r="628" spans="1:2" x14ac:dyDescent="0.25">
      <c r="A628" s="9" t="str">
        <f>IF('Frame Sections'!A642=0,"",'Frame Sections'!A642)</f>
        <v/>
      </c>
      <c r="B628" s="9" t="str">
        <f t="shared" si="9"/>
        <v/>
      </c>
    </row>
    <row r="629" spans="1:2" x14ac:dyDescent="0.25">
      <c r="A629" s="9" t="str">
        <f>IF('Frame Sections'!A643=0,"",'Frame Sections'!A643)</f>
        <v/>
      </c>
      <c r="B629" s="9" t="str">
        <f t="shared" si="9"/>
        <v/>
      </c>
    </row>
    <row r="630" spans="1:2" x14ac:dyDescent="0.25">
      <c r="A630" s="9" t="str">
        <f>IF('Frame Sections'!A644=0,"",'Frame Sections'!A644)</f>
        <v/>
      </c>
      <c r="B630" s="9" t="str">
        <f t="shared" si="9"/>
        <v/>
      </c>
    </row>
    <row r="631" spans="1:2" x14ac:dyDescent="0.25">
      <c r="A631" s="9" t="str">
        <f>IF('Frame Sections'!A645=0,"",'Frame Sections'!A645)</f>
        <v/>
      </c>
      <c r="B631" s="9" t="str">
        <f t="shared" si="9"/>
        <v/>
      </c>
    </row>
    <row r="632" spans="1:2" x14ac:dyDescent="0.25">
      <c r="A632" s="9" t="str">
        <f>IF('Frame Sections'!A646=0,"",'Frame Sections'!A646)</f>
        <v/>
      </c>
      <c r="B632" s="9" t="str">
        <f t="shared" si="9"/>
        <v/>
      </c>
    </row>
    <row r="633" spans="1:2" x14ac:dyDescent="0.25">
      <c r="A633" s="9" t="str">
        <f>IF('Frame Sections'!A647=0,"",'Frame Sections'!A647)</f>
        <v/>
      </c>
      <c r="B633" s="9" t="str">
        <f t="shared" si="9"/>
        <v/>
      </c>
    </row>
    <row r="634" spans="1:2" x14ac:dyDescent="0.25">
      <c r="A634" s="9" t="str">
        <f>IF('Frame Sections'!A648=0,"",'Frame Sections'!A648)</f>
        <v/>
      </c>
      <c r="B634" s="9" t="str">
        <f t="shared" si="9"/>
        <v/>
      </c>
    </row>
    <row r="635" spans="1:2" x14ac:dyDescent="0.25">
      <c r="A635" s="9" t="str">
        <f>IF('Frame Sections'!A649=0,"",'Frame Sections'!A649)</f>
        <v/>
      </c>
      <c r="B635" s="9" t="str">
        <f t="shared" si="9"/>
        <v/>
      </c>
    </row>
    <row r="636" spans="1:2" x14ac:dyDescent="0.25">
      <c r="A636" s="9" t="str">
        <f>IF('Frame Sections'!A650=0,"",'Frame Sections'!A650)</f>
        <v/>
      </c>
      <c r="B636" s="9" t="str">
        <f t="shared" si="9"/>
        <v/>
      </c>
    </row>
    <row r="637" spans="1:2" x14ac:dyDescent="0.25">
      <c r="A637" s="9" t="str">
        <f>IF('Frame Sections'!A651=0,"",'Frame Sections'!A651)</f>
        <v/>
      </c>
      <c r="B637" s="9" t="str">
        <f t="shared" si="9"/>
        <v/>
      </c>
    </row>
    <row r="638" spans="1:2" x14ac:dyDescent="0.25">
      <c r="A638" s="9" t="str">
        <f>IF('Frame Sections'!A652=0,"",'Frame Sections'!A652)</f>
        <v/>
      </c>
      <c r="B638" s="9" t="str">
        <f t="shared" si="9"/>
        <v/>
      </c>
    </row>
    <row r="639" spans="1:2" x14ac:dyDescent="0.25">
      <c r="A639" s="9" t="str">
        <f>IF('Frame Sections'!A653=0,"",'Frame Sections'!A653)</f>
        <v/>
      </c>
      <c r="B639" s="9" t="str">
        <f t="shared" si="9"/>
        <v/>
      </c>
    </row>
    <row r="640" spans="1:2" x14ac:dyDescent="0.25">
      <c r="A640" s="9" t="str">
        <f>IF('Frame Sections'!A654=0,"",'Frame Sections'!A654)</f>
        <v/>
      </c>
      <c r="B640" s="9" t="str">
        <f t="shared" si="9"/>
        <v/>
      </c>
    </row>
    <row r="641" spans="1:2" x14ac:dyDescent="0.25">
      <c r="A641" s="9" t="str">
        <f>IF('Frame Sections'!A655=0,"",'Frame Sections'!A655)</f>
        <v/>
      </c>
      <c r="B641" s="9" t="str">
        <f t="shared" si="9"/>
        <v/>
      </c>
    </row>
    <row r="642" spans="1:2" x14ac:dyDescent="0.25">
      <c r="A642" s="9" t="str">
        <f>IF('Frame Sections'!A656=0,"",'Frame Sections'!A656)</f>
        <v/>
      </c>
      <c r="B642" s="9" t="str">
        <f t="shared" ref="B642:B705" si="10">IF(OR(A642=0,A642=""),"",VLOOKUP(A642,SecDB,5,FALSE))</f>
        <v/>
      </c>
    </row>
    <row r="643" spans="1:2" x14ac:dyDescent="0.25">
      <c r="A643" s="9" t="str">
        <f>IF('Frame Sections'!A657=0,"",'Frame Sections'!A657)</f>
        <v/>
      </c>
      <c r="B643" s="9" t="str">
        <f t="shared" si="10"/>
        <v/>
      </c>
    </row>
    <row r="644" spans="1:2" x14ac:dyDescent="0.25">
      <c r="A644" s="9" t="str">
        <f>IF('Frame Sections'!A658=0,"",'Frame Sections'!A658)</f>
        <v/>
      </c>
      <c r="B644" s="9" t="str">
        <f t="shared" si="10"/>
        <v/>
      </c>
    </row>
    <row r="645" spans="1:2" x14ac:dyDescent="0.25">
      <c r="A645" s="9" t="str">
        <f>IF('Frame Sections'!A659=0,"",'Frame Sections'!A659)</f>
        <v/>
      </c>
      <c r="B645" s="9" t="str">
        <f t="shared" si="10"/>
        <v/>
      </c>
    </row>
    <row r="646" spans="1:2" x14ac:dyDescent="0.25">
      <c r="A646" s="9" t="str">
        <f>IF('Frame Sections'!A660=0,"",'Frame Sections'!A660)</f>
        <v/>
      </c>
      <c r="B646" s="9" t="str">
        <f t="shared" si="10"/>
        <v/>
      </c>
    </row>
    <row r="647" spans="1:2" x14ac:dyDescent="0.25">
      <c r="A647" s="9" t="str">
        <f>IF('Frame Sections'!A661=0,"",'Frame Sections'!A661)</f>
        <v/>
      </c>
      <c r="B647" s="9" t="str">
        <f t="shared" si="10"/>
        <v/>
      </c>
    </row>
    <row r="648" spans="1:2" x14ac:dyDescent="0.25">
      <c r="A648" s="9" t="str">
        <f>IF('Frame Sections'!A662=0,"",'Frame Sections'!A662)</f>
        <v/>
      </c>
      <c r="B648" s="9" t="str">
        <f t="shared" si="10"/>
        <v/>
      </c>
    </row>
    <row r="649" spans="1:2" x14ac:dyDescent="0.25">
      <c r="A649" s="9" t="str">
        <f>IF('Frame Sections'!A663=0,"",'Frame Sections'!A663)</f>
        <v/>
      </c>
      <c r="B649" s="9" t="str">
        <f t="shared" si="10"/>
        <v/>
      </c>
    </row>
    <row r="650" spans="1:2" x14ac:dyDescent="0.25">
      <c r="A650" s="9" t="str">
        <f>IF('Frame Sections'!A664=0,"",'Frame Sections'!A664)</f>
        <v/>
      </c>
      <c r="B650" s="9" t="str">
        <f t="shared" si="10"/>
        <v/>
      </c>
    </row>
    <row r="651" spans="1:2" x14ac:dyDescent="0.25">
      <c r="A651" s="9" t="str">
        <f>IF('Frame Sections'!A665=0,"",'Frame Sections'!A665)</f>
        <v/>
      </c>
      <c r="B651" s="9" t="str">
        <f t="shared" si="10"/>
        <v/>
      </c>
    </row>
    <row r="652" spans="1:2" x14ac:dyDescent="0.25">
      <c r="A652" s="9" t="str">
        <f>IF('Frame Sections'!A666=0,"",'Frame Sections'!A666)</f>
        <v/>
      </c>
      <c r="B652" s="9" t="str">
        <f t="shared" si="10"/>
        <v/>
      </c>
    </row>
    <row r="653" spans="1:2" x14ac:dyDescent="0.25">
      <c r="A653" s="9" t="str">
        <f>IF('Frame Sections'!A667=0,"",'Frame Sections'!A667)</f>
        <v/>
      </c>
      <c r="B653" s="9" t="str">
        <f t="shared" si="10"/>
        <v/>
      </c>
    </row>
    <row r="654" spans="1:2" x14ac:dyDescent="0.25">
      <c r="A654" s="9" t="str">
        <f>IF('Frame Sections'!A668=0,"",'Frame Sections'!A668)</f>
        <v/>
      </c>
      <c r="B654" s="9" t="str">
        <f t="shared" si="10"/>
        <v/>
      </c>
    </row>
    <row r="655" spans="1:2" x14ac:dyDescent="0.25">
      <c r="A655" s="9" t="str">
        <f>IF('Frame Sections'!A669=0,"",'Frame Sections'!A669)</f>
        <v/>
      </c>
      <c r="B655" s="9" t="str">
        <f t="shared" si="10"/>
        <v/>
      </c>
    </row>
    <row r="656" spans="1:2" x14ac:dyDescent="0.25">
      <c r="A656" s="9" t="str">
        <f>IF('Frame Sections'!A670=0,"",'Frame Sections'!A670)</f>
        <v/>
      </c>
      <c r="B656" s="9" t="str">
        <f t="shared" si="10"/>
        <v/>
      </c>
    </row>
    <row r="657" spans="1:2" x14ac:dyDescent="0.25">
      <c r="A657" s="9" t="str">
        <f>IF('Frame Sections'!A671=0,"",'Frame Sections'!A671)</f>
        <v/>
      </c>
      <c r="B657" s="9" t="str">
        <f t="shared" si="10"/>
        <v/>
      </c>
    </row>
    <row r="658" spans="1:2" x14ac:dyDescent="0.25">
      <c r="A658" s="9" t="str">
        <f>IF('Frame Sections'!A672=0,"",'Frame Sections'!A672)</f>
        <v/>
      </c>
      <c r="B658" s="9" t="str">
        <f t="shared" si="10"/>
        <v/>
      </c>
    </row>
    <row r="659" spans="1:2" x14ac:dyDescent="0.25">
      <c r="A659" s="9" t="str">
        <f>IF('Frame Sections'!A673=0,"",'Frame Sections'!A673)</f>
        <v/>
      </c>
      <c r="B659" s="9" t="str">
        <f t="shared" si="10"/>
        <v/>
      </c>
    </row>
    <row r="660" spans="1:2" x14ac:dyDescent="0.25">
      <c r="A660" s="9" t="str">
        <f>IF('Frame Sections'!A674=0,"",'Frame Sections'!A674)</f>
        <v/>
      </c>
      <c r="B660" s="9" t="str">
        <f t="shared" si="10"/>
        <v/>
      </c>
    </row>
    <row r="661" spans="1:2" x14ac:dyDescent="0.25">
      <c r="A661" s="9" t="str">
        <f>IF('Frame Sections'!A675=0,"",'Frame Sections'!A675)</f>
        <v/>
      </c>
      <c r="B661" s="9" t="str">
        <f t="shared" si="10"/>
        <v/>
      </c>
    </row>
    <row r="662" spans="1:2" x14ac:dyDescent="0.25">
      <c r="A662" s="9" t="str">
        <f>IF('Frame Sections'!A676=0,"",'Frame Sections'!A676)</f>
        <v/>
      </c>
      <c r="B662" s="9" t="str">
        <f t="shared" si="10"/>
        <v/>
      </c>
    </row>
    <row r="663" spans="1:2" x14ac:dyDescent="0.25">
      <c r="A663" s="9" t="str">
        <f>IF('Frame Sections'!A677=0,"",'Frame Sections'!A677)</f>
        <v/>
      </c>
      <c r="B663" s="9" t="str">
        <f t="shared" si="10"/>
        <v/>
      </c>
    </row>
    <row r="664" spans="1:2" x14ac:dyDescent="0.25">
      <c r="A664" s="9" t="str">
        <f>IF('Frame Sections'!A678=0,"",'Frame Sections'!A678)</f>
        <v/>
      </c>
      <c r="B664" s="9" t="str">
        <f t="shared" si="10"/>
        <v/>
      </c>
    </row>
    <row r="665" spans="1:2" x14ac:dyDescent="0.25">
      <c r="A665" s="9" t="str">
        <f>IF('Frame Sections'!A679=0,"",'Frame Sections'!A679)</f>
        <v/>
      </c>
      <c r="B665" s="9" t="str">
        <f t="shared" si="10"/>
        <v/>
      </c>
    </row>
    <row r="666" spans="1:2" x14ac:dyDescent="0.25">
      <c r="A666" s="9" t="str">
        <f>IF('Frame Sections'!A680=0,"",'Frame Sections'!A680)</f>
        <v/>
      </c>
      <c r="B666" s="9" t="str">
        <f t="shared" si="10"/>
        <v/>
      </c>
    </row>
    <row r="667" spans="1:2" x14ac:dyDescent="0.25">
      <c r="A667" s="9" t="str">
        <f>IF('Frame Sections'!A681=0,"",'Frame Sections'!A681)</f>
        <v/>
      </c>
      <c r="B667" s="9" t="str">
        <f t="shared" si="10"/>
        <v/>
      </c>
    </row>
    <row r="668" spans="1:2" x14ac:dyDescent="0.25">
      <c r="A668" s="9" t="str">
        <f>IF('Frame Sections'!A682=0,"",'Frame Sections'!A682)</f>
        <v/>
      </c>
      <c r="B668" s="9" t="str">
        <f t="shared" si="10"/>
        <v/>
      </c>
    </row>
    <row r="669" spans="1:2" x14ac:dyDescent="0.25">
      <c r="A669" s="9" t="str">
        <f>IF('Frame Sections'!A683=0,"",'Frame Sections'!A683)</f>
        <v/>
      </c>
      <c r="B669" s="9" t="str">
        <f t="shared" si="10"/>
        <v/>
      </c>
    </row>
    <row r="670" spans="1:2" x14ac:dyDescent="0.25">
      <c r="A670" s="9" t="str">
        <f>IF('Frame Sections'!A684=0,"",'Frame Sections'!A684)</f>
        <v/>
      </c>
      <c r="B670" s="9" t="str">
        <f t="shared" si="10"/>
        <v/>
      </c>
    </row>
    <row r="671" spans="1:2" x14ac:dyDescent="0.25">
      <c r="A671" s="9" t="str">
        <f>IF('Frame Sections'!A685=0,"",'Frame Sections'!A685)</f>
        <v/>
      </c>
      <c r="B671" s="9" t="str">
        <f t="shared" si="10"/>
        <v/>
      </c>
    </row>
    <row r="672" spans="1:2" x14ac:dyDescent="0.25">
      <c r="A672" s="9" t="str">
        <f>IF('Frame Sections'!A686=0,"",'Frame Sections'!A686)</f>
        <v/>
      </c>
      <c r="B672" s="9" t="str">
        <f t="shared" si="10"/>
        <v/>
      </c>
    </row>
    <row r="673" spans="1:2" x14ac:dyDescent="0.25">
      <c r="A673" s="9" t="str">
        <f>IF('Frame Sections'!A687=0,"",'Frame Sections'!A687)</f>
        <v/>
      </c>
      <c r="B673" s="9" t="str">
        <f t="shared" si="10"/>
        <v/>
      </c>
    </row>
    <row r="674" spans="1:2" x14ac:dyDescent="0.25">
      <c r="A674" s="9" t="str">
        <f>IF('Frame Sections'!A688=0,"",'Frame Sections'!A688)</f>
        <v/>
      </c>
      <c r="B674" s="9" t="str">
        <f t="shared" si="10"/>
        <v/>
      </c>
    </row>
    <row r="675" spans="1:2" x14ac:dyDescent="0.25">
      <c r="A675" s="9" t="str">
        <f>IF('Frame Sections'!A689=0,"",'Frame Sections'!A689)</f>
        <v/>
      </c>
      <c r="B675" s="9" t="str">
        <f t="shared" si="10"/>
        <v/>
      </c>
    </row>
    <row r="676" spans="1:2" x14ac:dyDescent="0.25">
      <c r="A676" s="9" t="str">
        <f>IF('Frame Sections'!A690=0,"",'Frame Sections'!A690)</f>
        <v/>
      </c>
      <c r="B676" s="9" t="str">
        <f t="shared" si="10"/>
        <v/>
      </c>
    </row>
    <row r="677" spans="1:2" x14ac:dyDescent="0.25">
      <c r="A677" s="9" t="str">
        <f>IF('Frame Sections'!A691=0,"",'Frame Sections'!A691)</f>
        <v/>
      </c>
      <c r="B677" s="9" t="str">
        <f t="shared" si="10"/>
        <v/>
      </c>
    </row>
    <row r="678" spans="1:2" x14ac:dyDescent="0.25">
      <c r="A678" s="9" t="str">
        <f>IF('Frame Sections'!A692=0,"",'Frame Sections'!A692)</f>
        <v/>
      </c>
      <c r="B678" s="9" t="str">
        <f t="shared" si="10"/>
        <v/>
      </c>
    </row>
    <row r="679" spans="1:2" x14ac:dyDescent="0.25">
      <c r="A679" s="9" t="str">
        <f>IF('Frame Sections'!A693=0,"",'Frame Sections'!A693)</f>
        <v/>
      </c>
      <c r="B679" s="9" t="str">
        <f t="shared" si="10"/>
        <v/>
      </c>
    </row>
    <row r="680" spans="1:2" x14ac:dyDescent="0.25">
      <c r="A680" s="9" t="str">
        <f>IF('Frame Sections'!A694=0,"",'Frame Sections'!A694)</f>
        <v/>
      </c>
      <c r="B680" s="9" t="str">
        <f t="shared" si="10"/>
        <v/>
      </c>
    </row>
    <row r="681" spans="1:2" x14ac:dyDescent="0.25">
      <c r="A681" s="9" t="str">
        <f>IF('Frame Sections'!A695=0,"",'Frame Sections'!A695)</f>
        <v/>
      </c>
      <c r="B681" s="9" t="str">
        <f t="shared" si="10"/>
        <v/>
      </c>
    </row>
    <row r="682" spans="1:2" x14ac:dyDescent="0.25">
      <c r="A682" s="9" t="str">
        <f>IF('Frame Sections'!A696=0,"",'Frame Sections'!A696)</f>
        <v/>
      </c>
      <c r="B682" s="9" t="str">
        <f t="shared" si="10"/>
        <v/>
      </c>
    </row>
    <row r="683" spans="1:2" x14ac:dyDescent="0.25">
      <c r="A683" s="9" t="str">
        <f>IF('Frame Sections'!A697=0,"",'Frame Sections'!A697)</f>
        <v/>
      </c>
      <c r="B683" s="9" t="str">
        <f t="shared" si="10"/>
        <v/>
      </c>
    </row>
    <row r="684" spans="1:2" x14ac:dyDescent="0.25">
      <c r="A684" s="9" t="str">
        <f>IF('Frame Sections'!A698=0,"",'Frame Sections'!A698)</f>
        <v/>
      </c>
      <c r="B684" s="9" t="str">
        <f t="shared" si="10"/>
        <v/>
      </c>
    </row>
    <row r="685" spans="1:2" x14ac:dyDescent="0.25">
      <c r="A685" s="9" t="str">
        <f>IF('Frame Sections'!A699=0,"",'Frame Sections'!A699)</f>
        <v/>
      </c>
      <c r="B685" s="9" t="str">
        <f t="shared" si="10"/>
        <v/>
      </c>
    </row>
    <row r="686" spans="1:2" x14ac:dyDescent="0.25">
      <c r="A686" s="9" t="str">
        <f>IF('Frame Sections'!A700=0,"",'Frame Sections'!A700)</f>
        <v/>
      </c>
      <c r="B686" s="9" t="str">
        <f t="shared" si="10"/>
        <v/>
      </c>
    </row>
    <row r="687" spans="1:2" x14ac:dyDescent="0.25">
      <c r="A687" s="9" t="str">
        <f>IF('Frame Sections'!A701=0,"",'Frame Sections'!A701)</f>
        <v/>
      </c>
      <c r="B687" s="9" t="str">
        <f t="shared" si="10"/>
        <v/>
      </c>
    </row>
    <row r="688" spans="1:2" x14ac:dyDescent="0.25">
      <c r="A688" s="9" t="str">
        <f>IF('Frame Sections'!A702=0,"",'Frame Sections'!A702)</f>
        <v/>
      </c>
      <c r="B688" s="9" t="str">
        <f t="shared" si="10"/>
        <v/>
      </c>
    </row>
    <row r="689" spans="1:2" x14ac:dyDescent="0.25">
      <c r="A689" s="9" t="str">
        <f>IF('Frame Sections'!A703=0,"",'Frame Sections'!A703)</f>
        <v/>
      </c>
      <c r="B689" s="9" t="str">
        <f t="shared" si="10"/>
        <v/>
      </c>
    </row>
    <row r="690" spans="1:2" x14ac:dyDescent="0.25">
      <c r="A690" s="9" t="str">
        <f>IF('Frame Sections'!A704=0,"",'Frame Sections'!A704)</f>
        <v/>
      </c>
      <c r="B690" s="9" t="str">
        <f t="shared" si="10"/>
        <v/>
      </c>
    </row>
    <row r="691" spans="1:2" x14ac:dyDescent="0.25">
      <c r="A691" s="9" t="str">
        <f>IF('Frame Sections'!A705=0,"",'Frame Sections'!A705)</f>
        <v/>
      </c>
      <c r="B691" s="9" t="str">
        <f t="shared" si="10"/>
        <v/>
      </c>
    </row>
    <row r="692" spans="1:2" x14ac:dyDescent="0.25">
      <c r="A692" s="9" t="str">
        <f>IF('Frame Sections'!A706=0,"",'Frame Sections'!A706)</f>
        <v/>
      </c>
      <c r="B692" s="9" t="str">
        <f t="shared" si="10"/>
        <v/>
      </c>
    </row>
    <row r="693" spans="1:2" x14ac:dyDescent="0.25">
      <c r="A693" s="9" t="str">
        <f>IF('Frame Sections'!A707=0,"",'Frame Sections'!A707)</f>
        <v/>
      </c>
      <c r="B693" s="9" t="str">
        <f t="shared" si="10"/>
        <v/>
      </c>
    </row>
    <row r="694" spans="1:2" x14ac:dyDescent="0.25">
      <c r="A694" s="9" t="str">
        <f>IF('Frame Sections'!A708=0,"",'Frame Sections'!A708)</f>
        <v/>
      </c>
      <c r="B694" s="9" t="str">
        <f t="shared" si="10"/>
        <v/>
      </c>
    </row>
    <row r="695" spans="1:2" x14ac:dyDescent="0.25">
      <c r="A695" s="9" t="str">
        <f>IF('Frame Sections'!A709=0,"",'Frame Sections'!A709)</f>
        <v/>
      </c>
      <c r="B695" s="9" t="str">
        <f t="shared" si="10"/>
        <v/>
      </c>
    </row>
    <row r="696" spans="1:2" x14ac:dyDescent="0.25">
      <c r="A696" s="9" t="str">
        <f>IF('Frame Sections'!A710=0,"",'Frame Sections'!A710)</f>
        <v/>
      </c>
      <c r="B696" s="9" t="str">
        <f t="shared" si="10"/>
        <v/>
      </c>
    </row>
    <row r="697" spans="1:2" x14ac:dyDescent="0.25">
      <c r="A697" s="9" t="str">
        <f>IF('Frame Sections'!A711=0,"",'Frame Sections'!A711)</f>
        <v/>
      </c>
      <c r="B697" s="9" t="str">
        <f t="shared" si="10"/>
        <v/>
      </c>
    </row>
    <row r="698" spans="1:2" x14ac:dyDescent="0.25">
      <c r="A698" s="9" t="str">
        <f>IF('Frame Sections'!A712=0,"",'Frame Sections'!A712)</f>
        <v/>
      </c>
      <c r="B698" s="9" t="str">
        <f t="shared" si="10"/>
        <v/>
      </c>
    </row>
    <row r="699" spans="1:2" x14ac:dyDescent="0.25">
      <c r="A699" s="9" t="str">
        <f>IF('Frame Sections'!A713=0,"",'Frame Sections'!A713)</f>
        <v/>
      </c>
      <c r="B699" s="9" t="str">
        <f t="shared" si="10"/>
        <v/>
      </c>
    </row>
    <row r="700" spans="1:2" x14ac:dyDescent="0.25">
      <c r="A700" s="9" t="str">
        <f>IF('Frame Sections'!A714=0,"",'Frame Sections'!A714)</f>
        <v/>
      </c>
      <c r="B700" s="9" t="str">
        <f t="shared" si="10"/>
        <v/>
      </c>
    </row>
    <row r="701" spans="1:2" x14ac:dyDescent="0.25">
      <c r="A701" s="9" t="str">
        <f>IF('Frame Sections'!A715=0,"",'Frame Sections'!A715)</f>
        <v/>
      </c>
      <c r="B701" s="9" t="str">
        <f t="shared" si="10"/>
        <v/>
      </c>
    </row>
    <row r="702" spans="1:2" x14ac:dyDescent="0.25">
      <c r="A702" s="9" t="str">
        <f>IF('Frame Sections'!A716=0,"",'Frame Sections'!A716)</f>
        <v/>
      </c>
      <c r="B702" s="9" t="str">
        <f t="shared" si="10"/>
        <v/>
      </c>
    </row>
    <row r="703" spans="1:2" x14ac:dyDescent="0.25">
      <c r="A703" s="9" t="str">
        <f>IF('Frame Sections'!A717=0,"",'Frame Sections'!A717)</f>
        <v/>
      </c>
      <c r="B703" s="9" t="str">
        <f t="shared" si="10"/>
        <v/>
      </c>
    </row>
    <row r="704" spans="1:2" x14ac:dyDescent="0.25">
      <c r="A704" s="9" t="str">
        <f>IF('Frame Sections'!A718=0,"",'Frame Sections'!A718)</f>
        <v/>
      </c>
      <c r="B704" s="9" t="str">
        <f t="shared" si="10"/>
        <v/>
      </c>
    </row>
    <row r="705" spans="1:2" x14ac:dyDescent="0.25">
      <c r="A705" s="9" t="str">
        <f>IF('Frame Sections'!A719=0,"",'Frame Sections'!A719)</f>
        <v/>
      </c>
      <c r="B705" s="9" t="str">
        <f t="shared" si="10"/>
        <v/>
      </c>
    </row>
    <row r="706" spans="1:2" x14ac:dyDescent="0.25">
      <c r="A706" s="9" t="str">
        <f>IF('Frame Sections'!A720=0,"",'Frame Sections'!A720)</f>
        <v/>
      </c>
      <c r="B706" s="9" t="str">
        <f t="shared" ref="B706:B769" si="11">IF(OR(A706=0,A706=""),"",VLOOKUP(A706,SecDB,5,FALSE))</f>
        <v/>
      </c>
    </row>
    <row r="707" spans="1:2" x14ac:dyDescent="0.25">
      <c r="A707" s="9" t="str">
        <f>IF('Frame Sections'!A721=0,"",'Frame Sections'!A721)</f>
        <v/>
      </c>
      <c r="B707" s="9" t="str">
        <f t="shared" si="11"/>
        <v/>
      </c>
    </row>
    <row r="708" spans="1:2" x14ac:dyDescent="0.25">
      <c r="A708" s="9" t="str">
        <f>IF('Frame Sections'!A722=0,"",'Frame Sections'!A722)</f>
        <v/>
      </c>
      <c r="B708" s="9" t="str">
        <f t="shared" si="11"/>
        <v/>
      </c>
    </row>
    <row r="709" spans="1:2" x14ac:dyDescent="0.25">
      <c r="A709" s="9" t="str">
        <f>IF('Frame Sections'!A723=0,"",'Frame Sections'!A723)</f>
        <v/>
      </c>
      <c r="B709" s="9" t="str">
        <f t="shared" si="11"/>
        <v/>
      </c>
    </row>
    <row r="710" spans="1:2" x14ac:dyDescent="0.25">
      <c r="A710" s="9" t="str">
        <f>IF('Frame Sections'!A724=0,"",'Frame Sections'!A724)</f>
        <v/>
      </c>
      <c r="B710" s="9" t="str">
        <f t="shared" si="11"/>
        <v/>
      </c>
    </row>
    <row r="711" spans="1:2" x14ac:dyDescent="0.25">
      <c r="A711" s="9" t="str">
        <f>IF('Frame Sections'!A725=0,"",'Frame Sections'!A725)</f>
        <v/>
      </c>
      <c r="B711" s="9" t="str">
        <f t="shared" si="11"/>
        <v/>
      </c>
    </row>
    <row r="712" spans="1:2" x14ac:dyDescent="0.25">
      <c r="A712" s="9" t="str">
        <f>IF('Frame Sections'!A726=0,"",'Frame Sections'!A726)</f>
        <v/>
      </c>
      <c r="B712" s="9" t="str">
        <f t="shared" si="11"/>
        <v/>
      </c>
    </row>
    <row r="713" spans="1:2" x14ac:dyDescent="0.25">
      <c r="A713" s="9" t="str">
        <f>IF('Frame Sections'!A727=0,"",'Frame Sections'!A727)</f>
        <v/>
      </c>
      <c r="B713" s="9" t="str">
        <f t="shared" si="11"/>
        <v/>
      </c>
    </row>
    <row r="714" spans="1:2" x14ac:dyDescent="0.25">
      <c r="A714" s="9" t="str">
        <f>IF('Frame Sections'!A728=0,"",'Frame Sections'!A728)</f>
        <v/>
      </c>
      <c r="B714" s="9" t="str">
        <f t="shared" si="11"/>
        <v/>
      </c>
    </row>
    <row r="715" spans="1:2" x14ac:dyDescent="0.25">
      <c r="A715" s="9" t="str">
        <f>IF('Frame Sections'!A729=0,"",'Frame Sections'!A729)</f>
        <v/>
      </c>
      <c r="B715" s="9" t="str">
        <f t="shared" si="11"/>
        <v/>
      </c>
    </row>
    <row r="716" spans="1:2" x14ac:dyDescent="0.25">
      <c r="A716" s="9" t="str">
        <f>IF('Frame Sections'!A730=0,"",'Frame Sections'!A730)</f>
        <v/>
      </c>
      <c r="B716" s="9" t="str">
        <f t="shared" si="11"/>
        <v/>
      </c>
    </row>
    <row r="717" spans="1:2" x14ac:dyDescent="0.25">
      <c r="A717" s="9" t="str">
        <f>IF('Frame Sections'!A731=0,"",'Frame Sections'!A731)</f>
        <v/>
      </c>
      <c r="B717" s="9" t="str">
        <f t="shared" si="11"/>
        <v/>
      </c>
    </row>
    <row r="718" spans="1:2" x14ac:dyDescent="0.25">
      <c r="A718" s="9" t="str">
        <f>IF('Frame Sections'!A732=0,"",'Frame Sections'!A732)</f>
        <v/>
      </c>
      <c r="B718" s="9" t="str">
        <f t="shared" si="11"/>
        <v/>
      </c>
    </row>
    <row r="719" spans="1:2" x14ac:dyDescent="0.25">
      <c r="A719" s="9" t="str">
        <f>IF('Frame Sections'!A733=0,"",'Frame Sections'!A733)</f>
        <v/>
      </c>
      <c r="B719" s="9" t="str">
        <f t="shared" si="11"/>
        <v/>
      </c>
    </row>
    <row r="720" spans="1:2" x14ac:dyDescent="0.25">
      <c r="A720" s="9" t="str">
        <f>IF('Frame Sections'!A734=0,"",'Frame Sections'!A734)</f>
        <v/>
      </c>
      <c r="B720" s="9" t="str">
        <f t="shared" si="11"/>
        <v/>
      </c>
    </row>
    <row r="721" spans="1:2" x14ac:dyDescent="0.25">
      <c r="A721" s="9" t="str">
        <f>IF('Frame Sections'!A735=0,"",'Frame Sections'!A735)</f>
        <v/>
      </c>
      <c r="B721" s="9" t="str">
        <f t="shared" si="11"/>
        <v/>
      </c>
    </row>
    <row r="722" spans="1:2" x14ac:dyDescent="0.25">
      <c r="A722" s="9" t="str">
        <f>IF('Frame Sections'!A736=0,"",'Frame Sections'!A736)</f>
        <v/>
      </c>
      <c r="B722" s="9" t="str">
        <f t="shared" si="11"/>
        <v/>
      </c>
    </row>
    <row r="723" spans="1:2" x14ac:dyDescent="0.25">
      <c r="A723" s="9" t="str">
        <f>IF('Frame Sections'!A737=0,"",'Frame Sections'!A737)</f>
        <v/>
      </c>
      <c r="B723" s="9" t="str">
        <f t="shared" si="11"/>
        <v/>
      </c>
    </row>
    <row r="724" spans="1:2" x14ac:dyDescent="0.25">
      <c r="A724" s="9" t="str">
        <f>IF('Frame Sections'!A738=0,"",'Frame Sections'!A738)</f>
        <v/>
      </c>
      <c r="B724" s="9" t="str">
        <f t="shared" si="11"/>
        <v/>
      </c>
    </row>
    <row r="725" spans="1:2" x14ac:dyDescent="0.25">
      <c r="A725" s="9" t="str">
        <f>IF('Frame Sections'!A739=0,"",'Frame Sections'!A739)</f>
        <v/>
      </c>
      <c r="B725" s="9" t="str">
        <f t="shared" si="11"/>
        <v/>
      </c>
    </row>
    <row r="726" spans="1:2" x14ac:dyDescent="0.25">
      <c r="A726" s="9" t="str">
        <f>IF('Frame Sections'!A740=0,"",'Frame Sections'!A740)</f>
        <v/>
      </c>
      <c r="B726" s="9" t="str">
        <f t="shared" si="11"/>
        <v/>
      </c>
    </row>
    <row r="727" spans="1:2" x14ac:dyDescent="0.25">
      <c r="A727" s="9" t="str">
        <f>IF('Frame Sections'!A741=0,"",'Frame Sections'!A741)</f>
        <v/>
      </c>
      <c r="B727" s="9" t="str">
        <f t="shared" si="11"/>
        <v/>
      </c>
    </row>
    <row r="728" spans="1:2" x14ac:dyDescent="0.25">
      <c r="A728" s="9" t="str">
        <f>IF('Frame Sections'!A742=0,"",'Frame Sections'!A742)</f>
        <v/>
      </c>
      <c r="B728" s="9" t="str">
        <f t="shared" si="11"/>
        <v/>
      </c>
    </row>
    <row r="729" spans="1:2" x14ac:dyDescent="0.25">
      <c r="A729" s="9" t="str">
        <f>IF('Frame Sections'!A743=0,"",'Frame Sections'!A743)</f>
        <v/>
      </c>
      <c r="B729" s="9" t="str">
        <f t="shared" si="11"/>
        <v/>
      </c>
    </row>
    <row r="730" spans="1:2" x14ac:dyDescent="0.25">
      <c r="A730" s="9" t="str">
        <f>IF('Frame Sections'!A744=0,"",'Frame Sections'!A744)</f>
        <v/>
      </c>
      <c r="B730" s="9" t="str">
        <f t="shared" si="11"/>
        <v/>
      </c>
    </row>
    <row r="731" spans="1:2" x14ac:dyDescent="0.25">
      <c r="A731" s="9" t="str">
        <f>IF('Frame Sections'!A745=0,"",'Frame Sections'!A745)</f>
        <v/>
      </c>
      <c r="B731" s="9" t="str">
        <f t="shared" si="11"/>
        <v/>
      </c>
    </row>
    <row r="732" spans="1:2" x14ac:dyDescent="0.25">
      <c r="A732" s="9" t="str">
        <f>IF('Frame Sections'!A746=0,"",'Frame Sections'!A746)</f>
        <v/>
      </c>
      <c r="B732" s="9" t="str">
        <f t="shared" si="11"/>
        <v/>
      </c>
    </row>
    <row r="733" spans="1:2" x14ac:dyDescent="0.25">
      <c r="A733" s="9" t="str">
        <f>IF('Frame Sections'!A747=0,"",'Frame Sections'!A747)</f>
        <v/>
      </c>
      <c r="B733" s="9" t="str">
        <f t="shared" si="11"/>
        <v/>
      </c>
    </row>
    <row r="734" spans="1:2" x14ac:dyDescent="0.25">
      <c r="A734" s="9" t="str">
        <f>IF('Frame Sections'!A748=0,"",'Frame Sections'!A748)</f>
        <v/>
      </c>
      <c r="B734" s="9" t="str">
        <f t="shared" si="11"/>
        <v/>
      </c>
    </row>
    <row r="735" spans="1:2" x14ac:dyDescent="0.25">
      <c r="A735" s="9" t="str">
        <f>IF('Frame Sections'!A749=0,"",'Frame Sections'!A749)</f>
        <v/>
      </c>
      <c r="B735" s="9" t="str">
        <f t="shared" si="11"/>
        <v/>
      </c>
    </row>
    <row r="736" spans="1:2" x14ac:dyDescent="0.25">
      <c r="A736" s="9" t="str">
        <f>IF('Frame Sections'!A750=0,"",'Frame Sections'!A750)</f>
        <v/>
      </c>
      <c r="B736" s="9" t="str">
        <f t="shared" si="11"/>
        <v/>
      </c>
    </row>
    <row r="737" spans="1:2" x14ac:dyDescent="0.25">
      <c r="A737" s="9" t="str">
        <f>IF('Frame Sections'!A751=0,"",'Frame Sections'!A751)</f>
        <v/>
      </c>
      <c r="B737" s="9" t="str">
        <f t="shared" si="11"/>
        <v/>
      </c>
    </row>
    <row r="738" spans="1:2" x14ac:dyDescent="0.25">
      <c r="A738" s="9" t="str">
        <f>IF('Frame Sections'!A752=0,"",'Frame Sections'!A752)</f>
        <v/>
      </c>
      <c r="B738" s="9" t="str">
        <f t="shared" si="11"/>
        <v/>
      </c>
    </row>
    <row r="739" spans="1:2" x14ac:dyDescent="0.25">
      <c r="A739" s="9" t="str">
        <f>IF('Frame Sections'!A753=0,"",'Frame Sections'!A753)</f>
        <v/>
      </c>
      <c r="B739" s="9" t="str">
        <f t="shared" si="11"/>
        <v/>
      </c>
    </row>
    <row r="740" spans="1:2" x14ac:dyDescent="0.25">
      <c r="A740" s="9" t="str">
        <f>IF('Frame Sections'!A754=0,"",'Frame Sections'!A754)</f>
        <v/>
      </c>
      <c r="B740" s="9" t="str">
        <f t="shared" si="11"/>
        <v/>
      </c>
    </row>
    <row r="741" spans="1:2" x14ac:dyDescent="0.25">
      <c r="A741" s="9" t="str">
        <f>IF('Frame Sections'!A755=0,"",'Frame Sections'!A755)</f>
        <v/>
      </c>
      <c r="B741" s="9" t="str">
        <f t="shared" si="11"/>
        <v/>
      </c>
    </row>
    <row r="742" spans="1:2" x14ac:dyDescent="0.25">
      <c r="A742" s="9" t="str">
        <f>IF('Frame Sections'!A756=0,"",'Frame Sections'!A756)</f>
        <v/>
      </c>
      <c r="B742" s="9" t="str">
        <f t="shared" si="11"/>
        <v/>
      </c>
    </row>
    <row r="743" spans="1:2" x14ac:dyDescent="0.25">
      <c r="A743" s="9" t="str">
        <f>IF('Frame Sections'!A757=0,"",'Frame Sections'!A757)</f>
        <v/>
      </c>
      <c r="B743" s="9" t="str">
        <f t="shared" si="11"/>
        <v/>
      </c>
    </row>
    <row r="744" spans="1:2" x14ac:dyDescent="0.25">
      <c r="A744" s="9" t="str">
        <f>IF('Frame Sections'!A758=0,"",'Frame Sections'!A758)</f>
        <v/>
      </c>
      <c r="B744" s="9" t="str">
        <f t="shared" si="11"/>
        <v/>
      </c>
    </row>
    <row r="745" spans="1:2" x14ac:dyDescent="0.25">
      <c r="A745" s="9" t="str">
        <f>IF('Frame Sections'!A759=0,"",'Frame Sections'!A759)</f>
        <v/>
      </c>
      <c r="B745" s="9" t="str">
        <f t="shared" si="11"/>
        <v/>
      </c>
    </row>
    <row r="746" spans="1:2" x14ac:dyDescent="0.25">
      <c r="A746" s="9" t="str">
        <f>IF('Frame Sections'!A760=0,"",'Frame Sections'!A760)</f>
        <v/>
      </c>
      <c r="B746" s="9" t="str">
        <f t="shared" si="11"/>
        <v/>
      </c>
    </row>
    <row r="747" spans="1:2" x14ac:dyDescent="0.25">
      <c r="A747" s="9" t="str">
        <f>IF('Frame Sections'!A761=0,"",'Frame Sections'!A761)</f>
        <v/>
      </c>
      <c r="B747" s="9" t="str">
        <f t="shared" si="11"/>
        <v/>
      </c>
    </row>
    <row r="748" spans="1:2" x14ac:dyDescent="0.25">
      <c r="A748" s="9" t="str">
        <f>IF('Frame Sections'!A762=0,"",'Frame Sections'!A762)</f>
        <v/>
      </c>
      <c r="B748" s="9" t="str">
        <f t="shared" si="11"/>
        <v/>
      </c>
    </row>
    <row r="749" spans="1:2" x14ac:dyDescent="0.25">
      <c r="A749" s="9" t="str">
        <f>IF('Frame Sections'!A763=0,"",'Frame Sections'!A763)</f>
        <v/>
      </c>
      <c r="B749" s="9" t="str">
        <f t="shared" si="11"/>
        <v/>
      </c>
    </row>
    <row r="750" spans="1:2" x14ac:dyDescent="0.25">
      <c r="A750" s="9" t="str">
        <f>IF('Frame Sections'!A764=0,"",'Frame Sections'!A764)</f>
        <v/>
      </c>
      <c r="B750" s="9" t="str">
        <f t="shared" si="11"/>
        <v/>
      </c>
    </row>
    <row r="751" spans="1:2" x14ac:dyDescent="0.25">
      <c r="A751" s="9" t="str">
        <f>IF('Frame Sections'!A765=0,"",'Frame Sections'!A765)</f>
        <v/>
      </c>
      <c r="B751" s="9" t="str">
        <f t="shared" si="11"/>
        <v/>
      </c>
    </row>
    <row r="752" spans="1:2" x14ac:dyDescent="0.25">
      <c r="A752" s="9" t="str">
        <f>IF('Frame Sections'!A766=0,"",'Frame Sections'!A766)</f>
        <v/>
      </c>
      <c r="B752" s="9" t="str">
        <f t="shared" si="11"/>
        <v/>
      </c>
    </row>
    <row r="753" spans="1:2" x14ac:dyDescent="0.25">
      <c r="A753" s="9" t="str">
        <f>IF('Frame Sections'!A767=0,"",'Frame Sections'!A767)</f>
        <v/>
      </c>
      <c r="B753" s="9" t="str">
        <f t="shared" si="11"/>
        <v/>
      </c>
    </row>
    <row r="754" spans="1:2" x14ac:dyDescent="0.25">
      <c r="A754" s="9" t="str">
        <f>IF('Frame Sections'!A768=0,"",'Frame Sections'!A768)</f>
        <v/>
      </c>
      <c r="B754" s="9" t="str">
        <f t="shared" si="11"/>
        <v/>
      </c>
    </row>
    <row r="755" spans="1:2" x14ac:dyDescent="0.25">
      <c r="A755" s="9" t="str">
        <f>IF('Frame Sections'!A769=0,"",'Frame Sections'!A769)</f>
        <v/>
      </c>
      <c r="B755" s="9" t="str">
        <f t="shared" si="11"/>
        <v/>
      </c>
    </row>
    <row r="756" spans="1:2" x14ac:dyDescent="0.25">
      <c r="A756" s="9" t="str">
        <f>IF('Frame Sections'!A770=0,"",'Frame Sections'!A770)</f>
        <v/>
      </c>
      <c r="B756" s="9" t="str">
        <f t="shared" si="11"/>
        <v/>
      </c>
    </row>
    <row r="757" spans="1:2" x14ac:dyDescent="0.25">
      <c r="A757" s="9" t="str">
        <f>IF('Frame Sections'!A771=0,"",'Frame Sections'!A771)</f>
        <v/>
      </c>
      <c r="B757" s="9" t="str">
        <f t="shared" si="11"/>
        <v/>
      </c>
    </row>
    <row r="758" spans="1:2" x14ac:dyDescent="0.25">
      <c r="A758" s="9" t="str">
        <f>IF('Frame Sections'!A772=0,"",'Frame Sections'!A772)</f>
        <v/>
      </c>
      <c r="B758" s="9" t="str">
        <f t="shared" si="11"/>
        <v/>
      </c>
    </row>
    <row r="759" spans="1:2" x14ac:dyDescent="0.25">
      <c r="A759" s="9" t="str">
        <f>IF('Frame Sections'!A773=0,"",'Frame Sections'!A773)</f>
        <v/>
      </c>
      <c r="B759" s="9" t="str">
        <f t="shared" si="11"/>
        <v/>
      </c>
    </row>
    <row r="760" spans="1:2" x14ac:dyDescent="0.25">
      <c r="A760" s="9" t="str">
        <f>IF('Frame Sections'!A774=0,"",'Frame Sections'!A774)</f>
        <v/>
      </c>
      <c r="B760" s="9" t="str">
        <f t="shared" si="11"/>
        <v/>
      </c>
    </row>
    <row r="761" spans="1:2" x14ac:dyDescent="0.25">
      <c r="A761" s="9" t="str">
        <f>IF('Frame Sections'!A775=0,"",'Frame Sections'!A775)</f>
        <v/>
      </c>
      <c r="B761" s="9" t="str">
        <f t="shared" si="11"/>
        <v/>
      </c>
    </row>
    <row r="762" spans="1:2" x14ac:dyDescent="0.25">
      <c r="A762" s="9" t="str">
        <f>IF('Frame Sections'!A776=0,"",'Frame Sections'!A776)</f>
        <v/>
      </c>
      <c r="B762" s="9" t="str">
        <f t="shared" si="11"/>
        <v/>
      </c>
    </row>
    <row r="763" spans="1:2" x14ac:dyDescent="0.25">
      <c r="A763" s="9" t="str">
        <f>IF('Frame Sections'!A777=0,"",'Frame Sections'!A777)</f>
        <v/>
      </c>
      <c r="B763" s="9" t="str">
        <f t="shared" si="11"/>
        <v/>
      </c>
    </row>
    <row r="764" spans="1:2" x14ac:dyDescent="0.25">
      <c r="A764" s="9" t="str">
        <f>IF('Frame Sections'!A778=0,"",'Frame Sections'!A778)</f>
        <v/>
      </c>
      <c r="B764" s="9" t="str">
        <f t="shared" si="11"/>
        <v/>
      </c>
    </row>
    <row r="765" spans="1:2" x14ac:dyDescent="0.25">
      <c r="A765" s="9" t="str">
        <f>IF('Frame Sections'!A779=0,"",'Frame Sections'!A779)</f>
        <v/>
      </c>
      <c r="B765" s="9" t="str">
        <f t="shared" si="11"/>
        <v/>
      </c>
    </row>
    <row r="766" spans="1:2" x14ac:dyDescent="0.25">
      <c r="A766" s="9" t="str">
        <f>IF('Frame Sections'!A780=0,"",'Frame Sections'!A780)</f>
        <v/>
      </c>
      <c r="B766" s="9" t="str">
        <f t="shared" si="11"/>
        <v/>
      </c>
    </row>
    <row r="767" spans="1:2" x14ac:dyDescent="0.25">
      <c r="A767" s="9" t="str">
        <f>IF('Frame Sections'!A781=0,"",'Frame Sections'!A781)</f>
        <v/>
      </c>
      <c r="B767" s="9" t="str">
        <f t="shared" si="11"/>
        <v/>
      </c>
    </row>
    <row r="768" spans="1:2" x14ac:dyDescent="0.25">
      <c r="A768" s="9" t="str">
        <f>IF('Frame Sections'!A782=0,"",'Frame Sections'!A782)</f>
        <v/>
      </c>
      <c r="B768" s="9" t="str">
        <f t="shared" si="11"/>
        <v/>
      </c>
    </row>
    <row r="769" spans="1:2" x14ac:dyDescent="0.25">
      <c r="A769" s="9" t="str">
        <f>IF('Frame Sections'!A783=0,"",'Frame Sections'!A783)</f>
        <v/>
      </c>
      <c r="B769" s="9" t="str">
        <f t="shared" si="11"/>
        <v/>
      </c>
    </row>
    <row r="770" spans="1:2" x14ac:dyDescent="0.25">
      <c r="A770" s="9" t="str">
        <f>IF('Frame Sections'!A784=0,"",'Frame Sections'!A784)</f>
        <v/>
      </c>
      <c r="B770" s="9" t="str">
        <f t="shared" ref="B770:B833" si="12">IF(OR(A770=0,A770=""),"",VLOOKUP(A770,SecDB,5,FALSE))</f>
        <v/>
      </c>
    </row>
    <row r="771" spans="1:2" x14ac:dyDescent="0.25">
      <c r="A771" s="9" t="str">
        <f>IF('Frame Sections'!A785=0,"",'Frame Sections'!A785)</f>
        <v/>
      </c>
      <c r="B771" s="9" t="str">
        <f t="shared" si="12"/>
        <v/>
      </c>
    </row>
    <row r="772" spans="1:2" x14ac:dyDescent="0.25">
      <c r="A772" s="9" t="str">
        <f>IF('Frame Sections'!A786=0,"",'Frame Sections'!A786)</f>
        <v/>
      </c>
      <c r="B772" s="9" t="str">
        <f t="shared" si="12"/>
        <v/>
      </c>
    </row>
    <row r="773" spans="1:2" x14ac:dyDescent="0.25">
      <c r="A773" s="9" t="str">
        <f>IF('Frame Sections'!A787=0,"",'Frame Sections'!A787)</f>
        <v/>
      </c>
      <c r="B773" s="9" t="str">
        <f t="shared" si="12"/>
        <v/>
      </c>
    </row>
    <row r="774" spans="1:2" x14ac:dyDescent="0.25">
      <c r="A774" s="9" t="str">
        <f>IF('Frame Sections'!A788=0,"",'Frame Sections'!A788)</f>
        <v/>
      </c>
      <c r="B774" s="9" t="str">
        <f t="shared" si="12"/>
        <v/>
      </c>
    </row>
    <row r="775" spans="1:2" x14ac:dyDescent="0.25">
      <c r="A775" s="9" t="str">
        <f>IF('Frame Sections'!A789=0,"",'Frame Sections'!A789)</f>
        <v/>
      </c>
      <c r="B775" s="9" t="str">
        <f t="shared" si="12"/>
        <v/>
      </c>
    </row>
    <row r="776" spans="1:2" x14ac:dyDescent="0.25">
      <c r="A776" s="9" t="str">
        <f>IF('Frame Sections'!A790=0,"",'Frame Sections'!A790)</f>
        <v/>
      </c>
      <c r="B776" s="9" t="str">
        <f t="shared" si="12"/>
        <v/>
      </c>
    </row>
    <row r="777" spans="1:2" x14ac:dyDescent="0.25">
      <c r="A777" s="9" t="str">
        <f>IF('Frame Sections'!A791=0,"",'Frame Sections'!A791)</f>
        <v/>
      </c>
      <c r="B777" s="9" t="str">
        <f t="shared" si="12"/>
        <v/>
      </c>
    </row>
    <row r="778" spans="1:2" x14ac:dyDescent="0.25">
      <c r="A778" s="9" t="str">
        <f>IF('Frame Sections'!A792=0,"",'Frame Sections'!A792)</f>
        <v/>
      </c>
      <c r="B778" s="9" t="str">
        <f t="shared" si="12"/>
        <v/>
      </c>
    </row>
    <row r="779" spans="1:2" x14ac:dyDescent="0.25">
      <c r="A779" s="9" t="str">
        <f>IF('Frame Sections'!A793=0,"",'Frame Sections'!A793)</f>
        <v/>
      </c>
      <c r="B779" s="9" t="str">
        <f t="shared" si="12"/>
        <v/>
      </c>
    </row>
    <row r="780" spans="1:2" x14ac:dyDescent="0.25">
      <c r="A780" s="9" t="str">
        <f>IF('Frame Sections'!A794=0,"",'Frame Sections'!A794)</f>
        <v/>
      </c>
      <c r="B780" s="9" t="str">
        <f t="shared" si="12"/>
        <v/>
      </c>
    </row>
    <row r="781" spans="1:2" x14ac:dyDescent="0.25">
      <c r="A781" s="9" t="str">
        <f>IF('Frame Sections'!A795=0,"",'Frame Sections'!A795)</f>
        <v/>
      </c>
      <c r="B781" s="9" t="str">
        <f t="shared" si="12"/>
        <v/>
      </c>
    </row>
    <row r="782" spans="1:2" x14ac:dyDescent="0.25">
      <c r="A782" s="9" t="str">
        <f>IF('Frame Sections'!A796=0,"",'Frame Sections'!A796)</f>
        <v/>
      </c>
      <c r="B782" s="9" t="str">
        <f t="shared" si="12"/>
        <v/>
      </c>
    </row>
    <row r="783" spans="1:2" x14ac:dyDescent="0.25">
      <c r="A783" s="9" t="str">
        <f>IF('Frame Sections'!A797=0,"",'Frame Sections'!A797)</f>
        <v/>
      </c>
      <c r="B783" s="9" t="str">
        <f t="shared" si="12"/>
        <v/>
      </c>
    </row>
    <row r="784" spans="1:2" x14ac:dyDescent="0.25">
      <c r="A784" s="9" t="str">
        <f>IF('Frame Sections'!A798=0,"",'Frame Sections'!A798)</f>
        <v/>
      </c>
      <c r="B784" s="9" t="str">
        <f t="shared" si="12"/>
        <v/>
      </c>
    </row>
    <row r="785" spans="1:2" x14ac:dyDescent="0.25">
      <c r="A785" s="9" t="str">
        <f>IF('Frame Sections'!A799=0,"",'Frame Sections'!A799)</f>
        <v/>
      </c>
      <c r="B785" s="9" t="str">
        <f t="shared" si="12"/>
        <v/>
      </c>
    </row>
    <row r="786" spans="1:2" x14ac:dyDescent="0.25">
      <c r="A786" s="9" t="str">
        <f>IF('Frame Sections'!A800=0,"",'Frame Sections'!A800)</f>
        <v/>
      </c>
      <c r="B786" s="9" t="str">
        <f t="shared" si="12"/>
        <v/>
      </c>
    </row>
    <row r="787" spans="1:2" x14ac:dyDescent="0.25">
      <c r="A787" s="9" t="str">
        <f>IF('Frame Sections'!A801=0,"",'Frame Sections'!A801)</f>
        <v/>
      </c>
      <c r="B787" s="9" t="str">
        <f t="shared" si="12"/>
        <v/>
      </c>
    </row>
    <row r="788" spans="1:2" x14ac:dyDescent="0.25">
      <c r="A788" s="9" t="str">
        <f>IF('Frame Sections'!A802=0,"",'Frame Sections'!A802)</f>
        <v/>
      </c>
      <c r="B788" s="9" t="str">
        <f t="shared" si="12"/>
        <v/>
      </c>
    </row>
    <row r="789" spans="1:2" x14ac:dyDescent="0.25">
      <c r="A789" s="9" t="str">
        <f>IF('Frame Sections'!A803=0,"",'Frame Sections'!A803)</f>
        <v/>
      </c>
      <c r="B789" s="9" t="str">
        <f t="shared" si="12"/>
        <v/>
      </c>
    </row>
    <row r="790" spans="1:2" x14ac:dyDescent="0.25">
      <c r="A790" s="9" t="str">
        <f>IF('Frame Sections'!A804=0,"",'Frame Sections'!A804)</f>
        <v/>
      </c>
      <c r="B790" s="9" t="str">
        <f t="shared" si="12"/>
        <v/>
      </c>
    </row>
    <row r="791" spans="1:2" x14ac:dyDescent="0.25">
      <c r="A791" s="9" t="str">
        <f>IF('Frame Sections'!A805=0,"",'Frame Sections'!A805)</f>
        <v/>
      </c>
      <c r="B791" s="9" t="str">
        <f t="shared" si="12"/>
        <v/>
      </c>
    </row>
    <row r="792" spans="1:2" x14ac:dyDescent="0.25">
      <c r="A792" s="9" t="str">
        <f>IF('Frame Sections'!A806=0,"",'Frame Sections'!A806)</f>
        <v/>
      </c>
      <c r="B792" s="9" t="str">
        <f t="shared" si="12"/>
        <v/>
      </c>
    </row>
    <row r="793" spans="1:2" x14ac:dyDescent="0.25">
      <c r="A793" s="9" t="str">
        <f>IF('Frame Sections'!A807=0,"",'Frame Sections'!A807)</f>
        <v/>
      </c>
      <c r="B793" s="9" t="str">
        <f t="shared" si="12"/>
        <v/>
      </c>
    </row>
    <row r="794" spans="1:2" x14ac:dyDescent="0.25">
      <c r="A794" s="9" t="str">
        <f>IF('Frame Sections'!A808=0,"",'Frame Sections'!A808)</f>
        <v/>
      </c>
      <c r="B794" s="9" t="str">
        <f t="shared" si="12"/>
        <v/>
      </c>
    </row>
    <row r="795" spans="1:2" x14ac:dyDescent="0.25">
      <c r="A795" s="9" t="str">
        <f>IF('Frame Sections'!A809=0,"",'Frame Sections'!A809)</f>
        <v/>
      </c>
      <c r="B795" s="9" t="str">
        <f t="shared" si="12"/>
        <v/>
      </c>
    </row>
    <row r="796" spans="1:2" x14ac:dyDescent="0.25">
      <c r="A796" s="9" t="str">
        <f>IF('Frame Sections'!A810=0,"",'Frame Sections'!A810)</f>
        <v/>
      </c>
      <c r="B796" s="9" t="str">
        <f t="shared" si="12"/>
        <v/>
      </c>
    </row>
    <row r="797" spans="1:2" x14ac:dyDescent="0.25">
      <c r="A797" s="9" t="str">
        <f>IF('Frame Sections'!A811=0,"",'Frame Sections'!A811)</f>
        <v/>
      </c>
      <c r="B797" s="9" t="str">
        <f t="shared" si="12"/>
        <v/>
      </c>
    </row>
    <row r="798" spans="1:2" x14ac:dyDescent="0.25">
      <c r="A798" s="9" t="str">
        <f>IF('Frame Sections'!A812=0,"",'Frame Sections'!A812)</f>
        <v/>
      </c>
      <c r="B798" s="9" t="str">
        <f t="shared" si="12"/>
        <v/>
      </c>
    </row>
    <row r="799" spans="1:2" x14ac:dyDescent="0.25">
      <c r="A799" s="9" t="str">
        <f>IF('Frame Sections'!A813=0,"",'Frame Sections'!A813)</f>
        <v/>
      </c>
      <c r="B799" s="9" t="str">
        <f t="shared" si="12"/>
        <v/>
      </c>
    </row>
    <row r="800" spans="1:2" x14ac:dyDescent="0.25">
      <c r="A800" s="9" t="str">
        <f>IF('Frame Sections'!A814=0,"",'Frame Sections'!A814)</f>
        <v/>
      </c>
      <c r="B800" s="9" t="str">
        <f t="shared" si="12"/>
        <v/>
      </c>
    </row>
    <row r="801" spans="1:2" x14ac:dyDescent="0.25">
      <c r="A801" s="9" t="str">
        <f>IF('Frame Sections'!A815=0,"",'Frame Sections'!A815)</f>
        <v/>
      </c>
      <c r="B801" s="9" t="str">
        <f t="shared" si="12"/>
        <v/>
      </c>
    </row>
    <row r="802" spans="1:2" x14ac:dyDescent="0.25">
      <c r="A802" s="9" t="str">
        <f>IF('Frame Sections'!A816=0,"",'Frame Sections'!A816)</f>
        <v/>
      </c>
      <c r="B802" s="9" t="str">
        <f t="shared" si="12"/>
        <v/>
      </c>
    </row>
    <row r="803" spans="1:2" x14ac:dyDescent="0.25">
      <c r="A803" s="9" t="str">
        <f>IF('Frame Sections'!A817=0,"",'Frame Sections'!A817)</f>
        <v/>
      </c>
      <c r="B803" s="9" t="str">
        <f t="shared" si="12"/>
        <v/>
      </c>
    </row>
    <row r="804" spans="1:2" x14ac:dyDescent="0.25">
      <c r="A804" s="9" t="str">
        <f>IF('Frame Sections'!A818=0,"",'Frame Sections'!A818)</f>
        <v/>
      </c>
      <c r="B804" s="9" t="str">
        <f t="shared" si="12"/>
        <v/>
      </c>
    </row>
    <row r="805" spans="1:2" x14ac:dyDescent="0.25">
      <c r="A805" s="9" t="str">
        <f>IF('Frame Sections'!A819=0,"",'Frame Sections'!A819)</f>
        <v/>
      </c>
      <c r="B805" s="9" t="str">
        <f t="shared" si="12"/>
        <v/>
      </c>
    </row>
    <row r="806" spans="1:2" x14ac:dyDescent="0.25">
      <c r="A806" s="9" t="str">
        <f>IF('Frame Sections'!A820=0,"",'Frame Sections'!A820)</f>
        <v/>
      </c>
      <c r="B806" s="9" t="str">
        <f t="shared" si="12"/>
        <v/>
      </c>
    </row>
    <row r="807" spans="1:2" x14ac:dyDescent="0.25">
      <c r="A807" s="9" t="str">
        <f>IF('Frame Sections'!A821=0,"",'Frame Sections'!A821)</f>
        <v/>
      </c>
      <c r="B807" s="9" t="str">
        <f t="shared" si="12"/>
        <v/>
      </c>
    </row>
    <row r="808" spans="1:2" x14ac:dyDescent="0.25">
      <c r="A808" s="9" t="str">
        <f>IF('Frame Sections'!A822=0,"",'Frame Sections'!A822)</f>
        <v/>
      </c>
      <c r="B808" s="9" t="str">
        <f t="shared" si="12"/>
        <v/>
      </c>
    </row>
    <row r="809" spans="1:2" x14ac:dyDescent="0.25">
      <c r="A809" s="9" t="str">
        <f>IF('Frame Sections'!A823=0,"",'Frame Sections'!A823)</f>
        <v/>
      </c>
      <c r="B809" s="9" t="str">
        <f t="shared" si="12"/>
        <v/>
      </c>
    </row>
    <row r="810" spans="1:2" x14ac:dyDescent="0.25">
      <c r="A810" s="9" t="str">
        <f>IF('Frame Sections'!A824=0,"",'Frame Sections'!A824)</f>
        <v/>
      </c>
      <c r="B810" s="9" t="str">
        <f t="shared" si="12"/>
        <v/>
      </c>
    </row>
    <row r="811" spans="1:2" x14ac:dyDescent="0.25">
      <c r="A811" s="9" t="str">
        <f>IF('Frame Sections'!A825=0,"",'Frame Sections'!A825)</f>
        <v/>
      </c>
      <c r="B811" s="9" t="str">
        <f t="shared" si="12"/>
        <v/>
      </c>
    </row>
    <row r="812" spans="1:2" x14ac:dyDescent="0.25">
      <c r="A812" s="9" t="str">
        <f>IF('Frame Sections'!A826=0,"",'Frame Sections'!A826)</f>
        <v/>
      </c>
      <c r="B812" s="9" t="str">
        <f t="shared" si="12"/>
        <v/>
      </c>
    </row>
    <row r="813" spans="1:2" x14ac:dyDescent="0.25">
      <c r="A813" s="9" t="str">
        <f>IF('Frame Sections'!A827=0,"",'Frame Sections'!A827)</f>
        <v/>
      </c>
      <c r="B813" s="9" t="str">
        <f t="shared" si="12"/>
        <v/>
      </c>
    </row>
    <row r="814" spans="1:2" x14ac:dyDescent="0.25">
      <c r="A814" s="9" t="str">
        <f>IF('Frame Sections'!A828=0,"",'Frame Sections'!A828)</f>
        <v/>
      </c>
      <c r="B814" s="9" t="str">
        <f t="shared" si="12"/>
        <v/>
      </c>
    </row>
    <row r="815" spans="1:2" x14ac:dyDescent="0.25">
      <c r="A815" s="9" t="str">
        <f>IF('Frame Sections'!A829=0,"",'Frame Sections'!A829)</f>
        <v/>
      </c>
      <c r="B815" s="9" t="str">
        <f t="shared" si="12"/>
        <v/>
      </c>
    </row>
    <row r="816" spans="1:2" x14ac:dyDescent="0.25">
      <c r="A816" s="9" t="str">
        <f>IF('Frame Sections'!A830=0,"",'Frame Sections'!A830)</f>
        <v/>
      </c>
      <c r="B816" s="9" t="str">
        <f t="shared" si="12"/>
        <v/>
      </c>
    </row>
    <row r="817" spans="1:2" x14ac:dyDescent="0.25">
      <c r="A817" s="9" t="str">
        <f>IF('Frame Sections'!A831=0,"",'Frame Sections'!A831)</f>
        <v/>
      </c>
      <c r="B817" s="9" t="str">
        <f t="shared" si="12"/>
        <v/>
      </c>
    </row>
    <row r="818" spans="1:2" x14ac:dyDescent="0.25">
      <c r="A818" s="9" t="str">
        <f>IF('Frame Sections'!A832=0,"",'Frame Sections'!A832)</f>
        <v/>
      </c>
      <c r="B818" s="9" t="str">
        <f t="shared" si="12"/>
        <v/>
      </c>
    </row>
    <row r="819" spans="1:2" x14ac:dyDescent="0.25">
      <c r="A819" s="9" t="str">
        <f>IF('Frame Sections'!A833=0,"",'Frame Sections'!A833)</f>
        <v/>
      </c>
      <c r="B819" s="9" t="str">
        <f t="shared" si="12"/>
        <v/>
      </c>
    </row>
    <row r="820" spans="1:2" x14ac:dyDescent="0.25">
      <c r="A820" s="9" t="str">
        <f>IF('Frame Sections'!A834=0,"",'Frame Sections'!A834)</f>
        <v/>
      </c>
      <c r="B820" s="9" t="str">
        <f t="shared" si="12"/>
        <v/>
      </c>
    </row>
    <row r="821" spans="1:2" x14ac:dyDescent="0.25">
      <c r="A821" s="9" t="str">
        <f>IF('Frame Sections'!A835=0,"",'Frame Sections'!A835)</f>
        <v/>
      </c>
      <c r="B821" s="9" t="str">
        <f t="shared" si="12"/>
        <v/>
      </c>
    </row>
    <row r="822" spans="1:2" x14ac:dyDescent="0.25">
      <c r="A822" s="9" t="str">
        <f>IF('Frame Sections'!A836=0,"",'Frame Sections'!A836)</f>
        <v/>
      </c>
      <c r="B822" s="9" t="str">
        <f t="shared" si="12"/>
        <v/>
      </c>
    </row>
    <row r="823" spans="1:2" x14ac:dyDescent="0.25">
      <c r="A823" s="9" t="str">
        <f>IF('Frame Sections'!A837=0,"",'Frame Sections'!A837)</f>
        <v/>
      </c>
      <c r="B823" s="9" t="str">
        <f t="shared" si="12"/>
        <v/>
      </c>
    </row>
    <row r="824" spans="1:2" x14ac:dyDescent="0.25">
      <c r="A824" s="9" t="str">
        <f>IF('Frame Sections'!A838=0,"",'Frame Sections'!A838)</f>
        <v/>
      </c>
      <c r="B824" s="9" t="str">
        <f t="shared" si="12"/>
        <v/>
      </c>
    </row>
    <row r="825" spans="1:2" x14ac:dyDescent="0.25">
      <c r="A825" s="9" t="str">
        <f>IF('Frame Sections'!A839=0,"",'Frame Sections'!A839)</f>
        <v/>
      </c>
      <c r="B825" s="9" t="str">
        <f t="shared" si="12"/>
        <v/>
      </c>
    </row>
    <row r="826" spans="1:2" x14ac:dyDescent="0.25">
      <c r="A826" s="9" t="str">
        <f>IF('Frame Sections'!A840=0,"",'Frame Sections'!A840)</f>
        <v/>
      </c>
      <c r="B826" s="9" t="str">
        <f t="shared" si="12"/>
        <v/>
      </c>
    </row>
    <row r="827" spans="1:2" x14ac:dyDescent="0.25">
      <c r="A827" s="9" t="str">
        <f>IF('Frame Sections'!A841=0,"",'Frame Sections'!A841)</f>
        <v/>
      </c>
      <c r="B827" s="9" t="str">
        <f t="shared" si="12"/>
        <v/>
      </c>
    </row>
    <row r="828" spans="1:2" x14ac:dyDescent="0.25">
      <c r="A828" s="9" t="str">
        <f>IF('Frame Sections'!A842=0,"",'Frame Sections'!A842)</f>
        <v/>
      </c>
      <c r="B828" s="9" t="str">
        <f t="shared" si="12"/>
        <v/>
      </c>
    </row>
    <row r="829" spans="1:2" x14ac:dyDescent="0.25">
      <c r="A829" s="9" t="str">
        <f>IF('Frame Sections'!A843=0,"",'Frame Sections'!A843)</f>
        <v/>
      </c>
      <c r="B829" s="9" t="str">
        <f t="shared" si="12"/>
        <v/>
      </c>
    </row>
    <row r="830" spans="1:2" x14ac:dyDescent="0.25">
      <c r="A830" s="9" t="str">
        <f>IF('Frame Sections'!A844=0,"",'Frame Sections'!A844)</f>
        <v/>
      </c>
      <c r="B830" s="9" t="str">
        <f t="shared" si="12"/>
        <v/>
      </c>
    </row>
    <row r="831" spans="1:2" x14ac:dyDescent="0.25">
      <c r="A831" s="9" t="str">
        <f>IF('Frame Sections'!A845=0,"",'Frame Sections'!A845)</f>
        <v/>
      </c>
      <c r="B831" s="9" t="str">
        <f t="shared" si="12"/>
        <v/>
      </c>
    </row>
    <row r="832" spans="1:2" x14ac:dyDescent="0.25">
      <c r="A832" s="9" t="str">
        <f>IF('Frame Sections'!A846=0,"",'Frame Sections'!A846)</f>
        <v/>
      </c>
      <c r="B832" s="9" t="str">
        <f t="shared" si="12"/>
        <v/>
      </c>
    </row>
    <row r="833" spans="1:2" x14ac:dyDescent="0.25">
      <c r="A833" s="9" t="str">
        <f>IF('Frame Sections'!A847=0,"",'Frame Sections'!A847)</f>
        <v/>
      </c>
      <c r="B833" s="9" t="str">
        <f t="shared" si="12"/>
        <v/>
      </c>
    </row>
    <row r="834" spans="1:2" x14ac:dyDescent="0.25">
      <c r="A834" s="9" t="str">
        <f>IF('Frame Sections'!A848=0,"",'Frame Sections'!A848)</f>
        <v/>
      </c>
      <c r="B834" s="9" t="str">
        <f t="shared" ref="B834:B897" si="13">IF(OR(A834=0,A834=""),"",VLOOKUP(A834,SecDB,5,FALSE))</f>
        <v/>
      </c>
    </row>
    <row r="835" spans="1:2" x14ac:dyDescent="0.25">
      <c r="A835" s="9" t="str">
        <f>IF('Frame Sections'!A849=0,"",'Frame Sections'!A849)</f>
        <v/>
      </c>
      <c r="B835" s="9" t="str">
        <f t="shared" si="13"/>
        <v/>
      </c>
    </row>
    <row r="836" spans="1:2" x14ac:dyDescent="0.25">
      <c r="A836" s="9" t="str">
        <f>IF('Frame Sections'!A850=0,"",'Frame Sections'!A850)</f>
        <v/>
      </c>
      <c r="B836" s="9" t="str">
        <f t="shared" si="13"/>
        <v/>
      </c>
    </row>
    <row r="837" spans="1:2" x14ac:dyDescent="0.25">
      <c r="A837" s="9" t="str">
        <f>IF('Frame Sections'!A851=0,"",'Frame Sections'!A851)</f>
        <v/>
      </c>
      <c r="B837" s="9" t="str">
        <f t="shared" si="13"/>
        <v/>
      </c>
    </row>
    <row r="838" spans="1:2" x14ac:dyDescent="0.25">
      <c r="A838" s="9" t="str">
        <f>IF('Frame Sections'!A852=0,"",'Frame Sections'!A852)</f>
        <v/>
      </c>
      <c r="B838" s="9" t="str">
        <f t="shared" si="13"/>
        <v/>
      </c>
    </row>
    <row r="839" spans="1:2" x14ac:dyDescent="0.25">
      <c r="A839" s="9" t="str">
        <f>IF('Frame Sections'!A853=0,"",'Frame Sections'!A853)</f>
        <v/>
      </c>
      <c r="B839" s="9" t="str">
        <f t="shared" si="13"/>
        <v/>
      </c>
    </row>
    <row r="840" spans="1:2" x14ac:dyDescent="0.25">
      <c r="A840" s="9" t="str">
        <f>IF('Frame Sections'!A854=0,"",'Frame Sections'!A854)</f>
        <v/>
      </c>
      <c r="B840" s="9" t="str">
        <f t="shared" si="13"/>
        <v/>
      </c>
    </row>
    <row r="841" spans="1:2" x14ac:dyDescent="0.25">
      <c r="A841" s="9" t="str">
        <f>IF('Frame Sections'!A855=0,"",'Frame Sections'!A855)</f>
        <v/>
      </c>
      <c r="B841" s="9" t="str">
        <f t="shared" si="13"/>
        <v/>
      </c>
    </row>
    <row r="842" spans="1:2" x14ac:dyDescent="0.25">
      <c r="A842" s="9" t="str">
        <f>IF('Frame Sections'!A856=0,"",'Frame Sections'!A856)</f>
        <v/>
      </c>
      <c r="B842" s="9" t="str">
        <f t="shared" si="13"/>
        <v/>
      </c>
    </row>
    <row r="843" spans="1:2" x14ac:dyDescent="0.25">
      <c r="A843" s="9" t="str">
        <f>IF('Frame Sections'!A857=0,"",'Frame Sections'!A857)</f>
        <v/>
      </c>
      <c r="B843" s="9" t="str">
        <f t="shared" si="13"/>
        <v/>
      </c>
    </row>
    <row r="844" spans="1:2" x14ac:dyDescent="0.25">
      <c r="A844" s="9" t="str">
        <f>IF('Frame Sections'!A858=0,"",'Frame Sections'!A858)</f>
        <v/>
      </c>
      <c r="B844" s="9" t="str">
        <f t="shared" si="13"/>
        <v/>
      </c>
    </row>
    <row r="845" spans="1:2" x14ac:dyDescent="0.25">
      <c r="A845" s="9" t="str">
        <f>IF('Frame Sections'!A859=0,"",'Frame Sections'!A859)</f>
        <v/>
      </c>
      <c r="B845" s="9" t="str">
        <f t="shared" si="13"/>
        <v/>
      </c>
    </row>
    <row r="846" spans="1:2" x14ac:dyDescent="0.25">
      <c r="A846" s="9" t="str">
        <f>IF('Frame Sections'!A860=0,"",'Frame Sections'!A860)</f>
        <v/>
      </c>
      <c r="B846" s="9" t="str">
        <f t="shared" si="13"/>
        <v/>
      </c>
    </row>
    <row r="847" spans="1:2" x14ac:dyDescent="0.25">
      <c r="A847" s="9" t="str">
        <f>IF('Frame Sections'!A861=0,"",'Frame Sections'!A861)</f>
        <v/>
      </c>
      <c r="B847" s="9" t="str">
        <f t="shared" si="13"/>
        <v/>
      </c>
    </row>
    <row r="848" spans="1:2" x14ac:dyDescent="0.25">
      <c r="A848" s="9" t="str">
        <f>IF('Frame Sections'!A862=0,"",'Frame Sections'!A862)</f>
        <v/>
      </c>
      <c r="B848" s="9" t="str">
        <f t="shared" si="13"/>
        <v/>
      </c>
    </row>
    <row r="849" spans="1:2" x14ac:dyDescent="0.25">
      <c r="A849" s="9" t="str">
        <f>IF('Frame Sections'!A863=0,"",'Frame Sections'!A863)</f>
        <v/>
      </c>
      <c r="B849" s="9" t="str">
        <f t="shared" si="13"/>
        <v/>
      </c>
    </row>
    <row r="850" spans="1:2" x14ac:dyDescent="0.25">
      <c r="A850" s="9" t="str">
        <f>IF('Frame Sections'!A864=0,"",'Frame Sections'!A864)</f>
        <v/>
      </c>
      <c r="B850" s="9" t="str">
        <f t="shared" si="13"/>
        <v/>
      </c>
    </row>
    <row r="851" spans="1:2" x14ac:dyDescent="0.25">
      <c r="A851" s="9" t="str">
        <f>IF('Frame Sections'!A865=0,"",'Frame Sections'!A865)</f>
        <v/>
      </c>
      <c r="B851" s="9" t="str">
        <f t="shared" si="13"/>
        <v/>
      </c>
    </row>
    <row r="852" spans="1:2" x14ac:dyDescent="0.25">
      <c r="A852" s="9" t="str">
        <f>IF('Frame Sections'!A866=0,"",'Frame Sections'!A866)</f>
        <v/>
      </c>
      <c r="B852" s="9" t="str">
        <f t="shared" si="13"/>
        <v/>
      </c>
    </row>
    <row r="853" spans="1:2" x14ac:dyDescent="0.25">
      <c r="A853" s="9" t="str">
        <f>IF('Frame Sections'!A867=0,"",'Frame Sections'!A867)</f>
        <v/>
      </c>
      <c r="B853" s="9" t="str">
        <f t="shared" si="13"/>
        <v/>
      </c>
    </row>
    <row r="854" spans="1:2" x14ac:dyDescent="0.25">
      <c r="A854" s="9" t="str">
        <f>IF('Frame Sections'!A868=0,"",'Frame Sections'!A868)</f>
        <v/>
      </c>
      <c r="B854" s="9" t="str">
        <f t="shared" si="13"/>
        <v/>
      </c>
    </row>
    <row r="855" spans="1:2" x14ac:dyDescent="0.25">
      <c r="A855" s="9" t="str">
        <f>IF('Frame Sections'!A869=0,"",'Frame Sections'!A869)</f>
        <v/>
      </c>
      <c r="B855" s="9" t="str">
        <f t="shared" si="13"/>
        <v/>
      </c>
    </row>
    <row r="856" spans="1:2" x14ac:dyDescent="0.25">
      <c r="A856" s="9" t="str">
        <f>IF('Frame Sections'!A870=0,"",'Frame Sections'!A870)</f>
        <v/>
      </c>
      <c r="B856" s="9" t="str">
        <f t="shared" si="13"/>
        <v/>
      </c>
    </row>
    <row r="857" spans="1:2" x14ac:dyDescent="0.25">
      <c r="A857" s="9" t="str">
        <f>IF('Frame Sections'!A871=0,"",'Frame Sections'!A871)</f>
        <v/>
      </c>
      <c r="B857" s="9" t="str">
        <f t="shared" si="13"/>
        <v/>
      </c>
    </row>
    <row r="858" spans="1:2" x14ac:dyDescent="0.25">
      <c r="A858" s="9" t="str">
        <f>IF('Frame Sections'!A872=0,"",'Frame Sections'!A872)</f>
        <v/>
      </c>
      <c r="B858" s="9" t="str">
        <f t="shared" si="13"/>
        <v/>
      </c>
    </row>
    <row r="859" spans="1:2" x14ac:dyDescent="0.25">
      <c r="A859" s="9" t="str">
        <f>IF('Frame Sections'!A873=0,"",'Frame Sections'!A873)</f>
        <v/>
      </c>
      <c r="B859" s="9" t="str">
        <f t="shared" si="13"/>
        <v/>
      </c>
    </row>
    <row r="860" spans="1:2" x14ac:dyDescent="0.25">
      <c r="A860" s="9" t="str">
        <f>IF('Frame Sections'!A874=0,"",'Frame Sections'!A874)</f>
        <v/>
      </c>
      <c r="B860" s="9" t="str">
        <f t="shared" si="13"/>
        <v/>
      </c>
    </row>
    <row r="861" spans="1:2" x14ac:dyDescent="0.25">
      <c r="A861" s="9" t="str">
        <f>IF('Frame Sections'!A875=0,"",'Frame Sections'!A875)</f>
        <v/>
      </c>
      <c r="B861" s="9" t="str">
        <f t="shared" si="13"/>
        <v/>
      </c>
    </row>
    <row r="862" spans="1:2" x14ac:dyDescent="0.25">
      <c r="A862" s="9" t="str">
        <f>IF('Frame Sections'!A876=0,"",'Frame Sections'!A876)</f>
        <v/>
      </c>
      <c r="B862" s="9" t="str">
        <f t="shared" si="13"/>
        <v/>
      </c>
    </row>
    <row r="863" spans="1:2" x14ac:dyDescent="0.25">
      <c r="A863" s="9" t="str">
        <f>IF('Frame Sections'!A877=0,"",'Frame Sections'!A877)</f>
        <v/>
      </c>
      <c r="B863" s="9" t="str">
        <f t="shared" si="13"/>
        <v/>
      </c>
    </row>
    <row r="864" spans="1:2" x14ac:dyDescent="0.25">
      <c r="A864" s="9" t="str">
        <f>IF('Frame Sections'!A878=0,"",'Frame Sections'!A878)</f>
        <v/>
      </c>
      <c r="B864" s="9" t="str">
        <f t="shared" si="13"/>
        <v/>
      </c>
    </row>
    <row r="865" spans="1:2" x14ac:dyDescent="0.25">
      <c r="A865" s="9" t="str">
        <f>IF('Frame Sections'!A879=0,"",'Frame Sections'!A879)</f>
        <v/>
      </c>
      <c r="B865" s="9" t="str">
        <f t="shared" si="13"/>
        <v/>
      </c>
    </row>
    <row r="866" spans="1:2" x14ac:dyDescent="0.25">
      <c r="A866" s="9" t="str">
        <f>IF('Frame Sections'!A880=0,"",'Frame Sections'!A880)</f>
        <v/>
      </c>
      <c r="B866" s="9" t="str">
        <f t="shared" si="13"/>
        <v/>
      </c>
    </row>
    <row r="867" spans="1:2" x14ac:dyDescent="0.25">
      <c r="A867" s="9" t="str">
        <f>IF('Frame Sections'!A881=0,"",'Frame Sections'!A881)</f>
        <v/>
      </c>
      <c r="B867" s="9" t="str">
        <f t="shared" si="13"/>
        <v/>
      </c>
    </row>
    <row r="868" spans="1:2" x14ac:dyDescent="0.25">
      <c r="A868" s="9" t="str">
        <f>IF('Frame Sections'!A882=0,"",'Frame Sections'!A882)</f>
        <v/>
      </c>
      <c r="B868" s="9" t="str">
        <f t="shared" si="13"/>
        <v/>
      </c>
    </row>
    <row r="869" spans="1:2" x14ac:dyDescent="0.25">
      <c r="A869" s="9" t="str">
        <f>IF('Frame Sections'!A883=0,"",'Frame Sections'!A883)</f>
        <v/>
      </c>
      <c r="B869" s="9" t="str">
        <f t="shared" si="13"/>
        <v/>
      </c>
    </row>
    <row r="870" spans="1:2" x14ac:dyDescent="0.25">
      <c r="A870" s="9" t="str">
        <f>IF('Frame Sections'!A884=0,"",'Frame Sections'!A884)</f>
        <v/>
      </c>
      <c r="B870" s="9" t="str">
        <f t="shared" si="13"/>
        <v/>
      </c>
    </row>
    <row r="871" spans="1:2" x14ac:dyDescent="0.25">
      <c r="A871" s="9" t="str">
        <f>IF('Frame Sections'!A885=0,"",'Frame Sections'!A885)</f>
        <v/>
      </c>
      <c r="B871" s="9" t="str">
        <f t="shared" si="13"/>
        <v/>
      </c>
    </row>
    <row r="872" spans="1:2" x14ac:dyDescent="0.25">
      <c r="A872" s="9" t="str">
        <f>IF('Frame Sections'!A886=0,"",'Frame Sections'!A886)</f>
        <v/>
      </c>
      <c r="B872" s="9" t="str">
        <f t="shared" si="13"/>
        <v/>
      </c>
    </row>
    <row r="873" spans="1:2" x14ac:dyDescent="0.25">
      <c r="A873" s="9" t="str">
        <f>IF('Frame Sections'!A887=0,"",'Frame Sections'!A887)</f>
        <v/>
      </c>
      <c r="B873" s="9" t="str">
        <f t="shared" si="13"/>
        <v/>
      </c>
    </row>
    <row r="874" spans="1:2" x14ac:dyDescent="0.25">
      <c r="A874" s="9" t="str">
        <f>IF('Frame Sections'!A888=0,"",'Frame Sections'!A888)</f>
        <v/>
      </c>
      <c r="B874" s="9" t="str">
        <f t="shared" si="13"/>
        <v/>
      </c>
    </row>
    <row r="875" spans="1:2" x14ac:dyDescent="0.25">
      <c r="A875" s="9" t="str">
        <f>IF('Frame Sections'!A889=0,"",'Frame Sections'!A889)</f>
        <v/>
      </c>
      <c r="B875" s="9" t="str">
        <f t="shared" si="13"/>
        <v/>
      </c>
    </row>
    <row r="876" spans="1:2" x14ac:dyDescent="0.25">
      <c r="A876" s="9" t="str">
        <f>IF('Frame Sections'!A890=0,"",'Frame Sections'!A890)</f>
        <v/>
      </c>
      <c r="B876" s="9" t="str">
        <f t="shared" si="13"/>
        <v/>
      </c>
    </row>
    <row r="877" spans="1:2" x14ac:dyDescent="0.25">
      <c r="A877" s="9" t="str">
        <f>IF('Frame Sections'!A891=0,"",'Frame Sections'!A891)</f>
        <v/>
      </c>
      <c r="B877" s="9" t="str">
        <f t="shared" si="13"/>
        <v/>
      </c>
    </row>
    <row r="878" spans="1:2" x14ac:dyDescent="0.25">
      <c r="A878" s="9" t="str">
        <f>IF('Frame Sections'!A892=0,"",'Frame Sections'!A892)</f>
        <v/>
      </c>
      <c r="B878" s="9" t="str">
        <f t="shared" si="13"/>
        <v/>
      </c>
    </row>
    <row r="879" spans="1:2" x14ac:dyDescent="0.25">
      <c r="A879" s="9" t="str">
        <f>IF('Frame Sections'!A893=0,"",'Frame Sections'!A893)</f>
        <v/>
      </c>
      <c r="B879" s="9" t="str">
        <f t="shared" si="13"/>
        <v/>
      </c>
    </row>
    <row r="880" spans="1:2" x14ac:dyDescent="0.25">
      <c r="A880" s="9" t="str">
        <f>IF('Frame Sections'!A894=0,"",'Frame Sections'!A894)</f>
        <v/>
      </c>
      <c r="B880" s="9" t="str">
        <f t="shared" si="13"/>
        <v/>
      </c>
    </row>
    <row r="881" spans="1:2" x14ac:dyDescent="0.25">
      <c r="A881" s="9" t="str">
        <f>IF('Frame Sections'!A895=0,"",'Frame Sections'!A895)</f>
        <v/>
      </c>
      <c r="B881" s="9" t="str">
        <f t="shared" si="13"/>
        <v/>
      </c>
    </row>
    <row r="882" spans="1:2" x14ac:dyDescent="0.25">
      <c r="A882" s="9" t="str">
        <f>IF('Frame Sections'!A896=0,"",'Frame Sections'!A896)</f>
        <v/>
      </c>
      <c r="B882" s="9" t="str">
        <f t="shared" si="13"/>
        <v/>
      </c>
    </row>
    <row r="883" spans="1:2" x14ac:dyDescent="0.25">
      <c r="A883" s="9" t="str">
        <f>IF('Frame Sections'!A897=0,"",'Frame Sections'!A897)</f>
        <v/>
      </c>
      <c r="B883" s="9" t="str">
        <f t="shared" si="13"/>
        <v/>
      </c>
    </row>
    <row r="884" spans="1:2" x14ac:dyDescent="0.25">
      <c r="A884" s="9" t="str">
        <f>IF('Frame Sections'!A898=0,"",'Frame Sections'!A898)</f>
        <v/>
      </c>
      <c r="B884" s="9" t="str">
        <f t="shared" si="13"/>
        <v/>
      </c>
    </row>
    <row r="885" spans="1:2" x14ac:dyDescent="0.25">
      <c r="A885" s="9" t="str">
        <f>IF('Frame Sections'!A899=0,"",'Frame Sections'!A899)</f>
        <v/>
      </c>
      <c r="B885" s="9" t="str">
        <f t="shared" si="13"/>
        <v/>
      </c>
    </row>
    <row r="886" spans="1:2" x14ac:dyDescent="0.25">
      <c r="A886" s="9" t="str">
        <f>IF('Frame Sections'!A900=0,"",'Frame Sections'!A900)</f>
        <v/>
      </c>
      <c r="B886" s="9" t="str">
        <f t="shared" si="13"/>
        <v/>
      </c>
    </row>
    <row r="887" spans="1:2" x14ac:dyDescent="0.25">
      <c r="A887" s="9" t="str">
        <f>IF('Frame Sections'!A901=0,"",'Frame Sections'!A901)</f>
        <v/>
      </c>
      <c r="B887" s="9" t="str">
        <f t="shared" si="13"/>
        <v/>
      </c>
    </row>
    <row r="888" spans="1:2" x14ac:dyDescent="0.25">
      <c r="A888" s="9" t="str">
        <f>IF('Frame Sections'!A902=0,"",'Frame Sections'!A902)</f>
        <v/>
      </c>
      <c r="B888" s="9" t="str">
        <f t="shared" si="13"/>
        <v/>
      </c>
    </row>
    <row r="889" spans="1:2" x14ac:dyDescent="0.25">
      <c r="A889" s="9" t="str">
        <f>IF('Frame Sections'!A903=0,"",'Frame Sections'!A903)</f>
        <v/>
      </c>
      <c r="B889" s="9" t="str">
        <f t="shared" si="13"/>
        <v/>
      </c>
    </row>
    <row r="890" spans="1:2" x14ac:dyDescent="0.25">
      <c r="A890" s="9" t="str">
        <f>IF('Frame Sections'!A904=0,"",'Frame Sections'!A904)</f>
        <v/>
      </c>
      <c r="B890" s="9" t="str">
        <f t="shared" si="13"/>
        <v/>
      </c>
    </row>
    <row r="891" spans="1:2" x14ac:dyDescent="0.25">
      <c r="A891" s="9" t="str">
        <f>IF('Frame Sections'!A905=0,"",'Frame Sections'!A905)</f>
        <v/>
      </c>
      <c r="B891" s="9" t="str">
        <f t="shared" si="13"/>
        <v/>
      </c>
    </row>
    <row r="892" spans="1:2" x14ac:dyDescent="0.25">
      <c r="A892" s="9" t="str">
        <f>IF('Frame Sections'!A906=0,"",'Frame Sections'!A906)</f>
        <v/>
      </c>
      <c r="B892" s="9" t="str">
        <f t="shared" si="13"/>
        <v/>
      </c>
    </row>
    <row r="893" spans="1:2" x14ac:dyDescent="0.25">
      <c r="A893" s="9" t="str">
        <f>IF('Frame Sections'!A907=0,"",'Frame Sections'!A907)</f>
        <v/>
      </c>
      <c r="B893" s="9" t="str">
        <f t="shared" si="13"/>
        <v/>
      </c>
    </row>
    <row r="894" spans="1:2" x14ac:dyDescent="0.25">
      <c r="A894" s="9" t="str">
        <f>IF('Frame Sections'!A908=0,"",'Frame Sections'!A908)</f>
        <v/>
      </c>
      <c r="B894" s="9" t="str">
        <f t="shared" si="13"/>
        <v/>
      </c>
    </row>
    <row r="895" spans="1:2" x14ac:dyDescent="0.25">
      <c r="A895" s="9" t="str">
        <f>IF('Frame Sections'!A909=0,"",'Frame Sections'!A909)</f>
        <v/>
      </c>
      <c r="B895" s="9" t="str">
        <f t="shared" si="13"/>
        <v/>
      </c>
    </row>
    <row r="896" spans="1:2" x14ac:dyDescent="0.25">
      <c r="A896" s="9" t="str">
        <f>IF('Frame Sections'!A910=0,"",'Frame Sections'!A910)</f>
        <v/>
      </c>
      <c r="B896" s="9" t="str">
        <f t="shared" si="13"/>
        <v/>
      </c>
    </row>
    <row r="897" spans="1:2" x14ac:dyDescent="0.25">
      <c r="A897" s="9" t="str">
        <f>IF('Frame Sections'!A911=0,"",'Frame Sections'!A911)</f>
        <v/>
      </c>
      <c r="B897" s="9" t="str">
        <f t="shared" si="13"/>
        <v/>
      </c>
    </row>
    <row r="898" spans="1:2" x14ac:dyDescent="0.25">
      <c r="A898" s="9" t="str">
        <f>IF('Frame Sections'!A912=0,"",'Frame Sections'!A912)</f>
        <v/>
      </c>
      <c r="B898" s="9" t="str">
        <f t="shared" ref="B898:B961" si="14">IF(OR(A898=0,A898=""),"",VLOOKUP(A898,SecDB,5,FALSE))</f>
        <v/>
      </c>
    </row>
    <row r="899" spans="1:2" x14ac:dyDescent="0.25">
      <c r="A899" s="9" t="str">
        <f>IF('Frame Sections'!A913=0,"",'Frame Sections'!A913)</f>
        <v/>
      </c>
      <c r="B899" s="9" t="str">
        <f t="shared" si="14"/>
        <v/>
      </c>
    </row>
    <row r="900" spans="1:2" x14ac:dyDescent="0.25">
      <c r="A900" s="9" t="str">
        <f>IF('Frame Sections'!A914=0,"",'Frame Sections'!A914)</f>
        <v/>
      </c>
      <c r="B900" s="9" t="str">
        <f t="shared" si="14"/>
        <v/>
      </c>
    </row>
    <row r="901" spans="1:2" x14ac:dyDescent="0.25">
      <c r="A901" s="9" t="str">
        <f>IF('Frame Sections'!A915=0,"",'Frame Sections'!A915)</f>
        <v/>
      </c>
      <c r="B901" s="9" t="str">
        <f t="shared" si="14"/>
        <v/>
      </c>
    </row>
    <row r="902" spans="1:2" x14ac:dyDescent="0.25">
      <c r="A902" s="9" t="str">
        <f>IF('Frame Sections'!A916=0,"",'Frame Sections'!A916)</f>
        <v/>
      </c>
      <c r="B902" s="9" t="str">
        <f t="shared" si="14"/>
        <v/>
      </c>
    </row>
    <row r="903" spans="1:2" x14ac:dyDescent="0.25">
      <c r="A903" s="9" t="str">
        <f>IF('Frame Sections'!A917=0,"",'Frame Sections'!A917)</f>
        <v/>
      </c>
      <c r="B903" s="9" t="str">
        <f t="shared" si="14"/>
        <v/>
      </c>
    </row>
    <row r="904" spans="1:2" x14ac:dyDescent="0.25">
      <c r="A904" s="9" t="str">
        <f>IF('Frame Sections'!A918=0,"",'Frame Sections'!A918)</f>
        <v/>
      </c>
      <c r="B904" s="9" t="str">
        <f t="shared" si="14"/>
        <v/>
      </c>
    </row>
    <row r="905" spans="1:2" x14ac:dyDescent="0.25">
      <c r="A905" s="9" t="str">
        <f>IF('Frame Sections'!A919=0,"",'Frame Sections'!A919)</f>
        <v/>
      </c>
      <c r="B905" s="9" t="str">
        <f t="shared" si="14"/>
        <v/>
      </c>
    </row>
    <row r="906" spans="1:2" x14ac:dyDescent="0.25">
      <c r="A906" s="9" t="str">
        <f>IF('Frame Sections'!A920=0,"",'Frame Sections'!A920)</f>
        <v/>
      </c>
      <c r="B906" s="9" t="str">
        <f t="shared" si="14"/>
        <v/>
      </c>
    </row>
    <row r="907" spans="1:2" x14ac:dyDescent="0.25">
      <c r="A907" s="9" t="str">
        <f>IF('Frame Sections'!A921=0,"",'Frame Sections'!A921)</f>
        <v/>
      </c>
      <c r="B907" s="9" t="str">
        <f t="shared" si="14"/>
        <v/>
      </c>
    </row>
    <row r="908" spans="1:2" x14ac:dyDescent="0.25">
      <c r="A908" s="9" t="str">
        <f>IF('Frame Sections'!A922=0,"",'Frame Sections'!A922)</f>
        <v/>
      </c>
      <c r="B908" s="9" t="str">
        <f t="shared" si="14"/>
        <v/>
      </c>
    </row>
    <row r="909" spans="1:2" x14ac:dyDescent="0.25">
      <c r="A909" s="9" t="str">
        <f>IF('Frame Sections'!A923=0,"",'Frame Sections'!A923)</f>
        <v/>
      </c>
      <c r="B909" s="9" t="str">
        <f t="shared" si="14"/>
        <v/>
      </c>
    </row>
    <row r="910" spans="1:2" x14ac:dyDescent="0.25">
      <c r="A910" s="9" t="str">
        <f>IF('Frame Sections'!A924=0,"",'Frame Sections'!A924)</f>
        <v/>
      </c>
      <c r="B910" s="9" t="str">
        <f t="shared" si="14"/>
        <v/>
      </c>
    </row>
    <row r="911" spans="1:2" x14ac:dyDescent="0.25">
      <c r="A911" s="9" t="str">
        <f>IF('Frame Sections'!A925=0,"",'Frame Sections'!A925)</f>
        <v/>
      </c>
      <c r="B911" s="9" t="str">
        <f t="shared" si="14"/>
        <v/>
      </c>
    </row>
    <row r="912" spans="1:2" x14ac:dyDescent="0.25">
      <c r="A912" s="9" t="str">
        <f>IF('Frame Sections'!A926=0,"",'Frame Sections'!A926)</f>
        <v/>
      </c>
      <c r="B912" s="9" t="str">
        <f t="shared" si="14"/>
        <v/>
      </c>
    </row>
    <row r="913" spans="1:2" x14ac:dyDescent="0.25">
      <c r="A913" s="9" t="str">
        <f>IF('Frame Sections'!A927=0,"",'Frame Sections'!A927)</f>
        <v/>
      </c>
      <c r="B913" s="9" t="str">
        <f t="shared" si="14"/>
        <v/>
      </c>
    </row>
    <row r="914" spans="1:2" x14ac:dyDescent="0.25">
      <c r="A914" s="9" t="str">
        <f>IF('Frame Sections'!A928=0,"",'Frame Sections'!A928)</f>
        <v/>
      </c>
      <c r="B914" s="9" t="str">
        <f t="shared" si="14"/>
        <v/>
      </c>
    </row>
    <row r="915" spans="1:2" x14ac:dyDescent="0.25">
      <c r="A915" s="9" t="str">
        <f>IF('Frame Sections'!A929=0,"",'Frame Sections'!A929)</f>
        <v/>
      </c>
      <c r="B915" s="9" t="str">
        <f t="shared" si="14"/>
        <v/>
      </c>
    </row>
    <row r="916" spans="1:2" x14ac:dyDescent="0.25">
      <c r="A916" s="9" t="str">
        <f>IF('Frame Sections'!A930=0,"",'Frame Sections'!A930)</f>
        <v/>
      </c>
      <c r="B916" s="9" t="str">
        <f t="shared" si="14"/>
        <v/>
      </c>
    </row>
    <row r="917" spans="1:2" x14ac:dyDescent="0.25">
      <c r="A917" s="9" t="str">
        <f>IF('Frame Sections'!A931=0,"",'Frame Sections'!A931)</f>
        <v/>
      </c>
      <c r="B917" s="9" t="str">
        <f t="shared" si="14"/>
        <v/>
      </c>
    </row>
    <row r="918" spans="1:2" x14ac:dyDescent="0.25">
      <c r="A918" s="9" t="str">
        <f>IF('Frame Sections'!A932=0,"",'Frame Sections'!A932)</f>
        <v/>
      </c>
      <c r="B918" s="9" t="str">
        <f t="shared" si="14"/>
        <v/>
      </c>
    </row>
    <row r="919" spans="1:2" x14ac:dyDescent="0.25">
      <c r="A919" s="9" t="str">
        <f>IF('Frame Sections'!A933=0,"",'Frame Sections'!A933)</f>
        <v/>
      </c>
      <c r="B919" s="9" t="str">
        <f t="shared" si="14"/>
        <v/>
      </c>
    </row>
    <row r="920" spans="1:2" x14ac:dyDescent="0.25">
      <c r="A920" s="9" t="str">
        <f>IF('Frame Sections'!A934=0,"",'Frame Sections'!A934)</f>
        <v/>
      </c>
      <c r="B920" s="9" t="str">
        <f t="shared" si="14"/>
        <v/>
      </c>
    </row>
    <row r="921" spans="1:2" x14ac:dyDescent="0.25">
      <c r="A921" s="9" t="str">
        <f>IF('Frame Sections'!A935=0,"",'Frame Sections'!A935)</f>
        <v/>
      </c>
      <c r="B921" s="9" t="str">
        <f t="shared" si="14"/>
        <v/>
      </c>
    </row>
    <row r="922" spans="1:2" x14ac:dyDescent="0.25">
      <c r="A922" s="9" t="str">
        <f>IF('Frame Sections'!A936=0,"",'Frame Sections'!A936)</f>
        <v/>
      </c>
      <c r="B922" s="9" t="str">
        <f t="shared" si="14"/>
        <v/>
      </c>
    </row>
    <row r="923" spans="1:2" x14ac:dyDescent="0.25">
      <c r="A923" s="9" t="str">
        <f>IF('Frame Sections'!A937=0,"",'Frame Sections'!A937)</f>
        <v/>
      </c>
      <c r="B923" s="9" t="str">
        <f t="shared" si="14"/>
        <v/>
      </c>
    </row>
    <row r="924" spans="1:2" x14ac:dyDescent="0.25">
      <c r="A924" s="9" t="str">
        <f>IF('Frame Sections'!A938=0,"",'Frame Sections'!A938)</f>
        <v/>
      </c>
      <c r="B924" s="9" t="str">
        <f t="shared" si="14"/>
        <v/>
      </c>
    </row>
    <row r="925" spans="1:2" x14ac:dyDescent="0.25">
      <c r="A925" s="9" t="str">
        <f>IF('Frame Sections'!A939=0,"",'Frame Sections'!A939)</f>
        <v/>
      </c>
      <c r="B925" s="9" t="str">
        <f t="shared" si="14"/>
        <v/>
      </c>
    </row>
    <row r="926" spans="1:2" x14ac:dyDescent="0.25">
      <c r="A926" s="9" t="str">
        <f>IF('Frame Sections'!A940=0,"",'Frame Sections'!A940)</f>
        <v/>
      </c>
      <c r="B926" s="9" t="str">
        <f t="shared" si="14"/>
        <v/>
      </c>
    </row>
    <row r="927" spans="1:2" x14ac:dyDescent="0.25">
      <c r="A927" s="9" t="str">
        <f>IF('Frame Sections'!A941=0,"",'Frame Sections'!A941)</f>
        <v/>
      </c>
      <c r="B927" s="9" t="str">
        <f t="shared" si="14"/>
        <v/>
      </c>
    </row>
    <row r="928" spans="1:2" x14ac:dyDescent="0.25">
      <c r="A928" s="9" t="str">
        <f>IF('Frame Sections'!A942=0,"",'Frame Sections'!A942)</f>
        <v/>
      </c>
      <c r="B928" s="9" t="str">
        <f t="shared" si="14"/>
        <v/>
      </c>
    </row>
    <row r="929" spans="1:2" x14ac:dyDescent="0.25">
      <c r="A929" s="9" t="str">
        <f>IF('Frame Sections'!A943=0,"",'Frame Sections'!A943)</f>
        <v/>
      </c>
      <c r="B929" s="9" t="str">
        <f t="shared" si="14"/>
        <v/>
      </c>
    </row>
    <row r="930" spans="1:2" x14ac:dyDescent="0.25">
      <c r="A930" s="9" t="str">
        <f>IF('Frame Sections'!A944=0,"",'Frame Sections'!A944)</f>
        <v/>
      </c>
      <c r="B930" s="9" t="str">
        <f t="shared" si="14"/>
        <v/>
      </c>
    </row>
    <row r="931" spans="1:2" x14ac:dyDescent="0.25">
      <c r="A931" s="9" t="str">
        <f>IF('Frame Sections'!A945=0,"",'Frame Sections'!A945)</f>
        <v/>
      </c>
      <c r="B931" s="9" t="str">
        <f t="shared" si="14"/>
        <v/>
      </c>
    </row>
    <row r="932" spans="1:2" x14ac:dyDescent="0.25">
      <c r="A932" s="9" t="str">
        <f>IF('Frame Sections'!A946=0,"",'Frame Sections'!A946)</f>
        <v/>
      </c>
      <c r="B932" s="9" t="str">
        <f t="shared" si="14"/>
        <v/>
      </c>
    </row>
    <row r="933" spans="1:2" x14ac:dyDescent="0.25">
      <c r="A933" s="9" t="str">
        <f>IF('Frame Sections'!A947=0,"",'Frame Sections'!A947)</f>
        <v/>
      </c>
      <c r="B933" s="9" t="str">
        <f t="shared" si="14"/>
        <v/>
      </c>
    </row>
    <row r="934" spans="1:2" x14ac:dyDescent="0.25">
      <c r="A934" s="9" t="str">
        <f>IF('Frame Sections'!A948=0,"",'Frame Sections'!A948)</f>
        <v/>
      </c>
      <c r="B934" s="9" t="str">
        <f t="shared" si="14"/>
        <v/>
      </c>
    </row>
    <row r="935" spans="1:2" x14ac:dyDescent="0.25">
      <c r="A935" s="9" t="str">
        <f>IF('Frame Sections'!A949=0,"",'Frame Sections'!A949)</f>
        <v/>
      </c>
      <c r="B935" s="9" t="str">
        <f t="shared" si="14"/>
        <v/>
      </c>
    </row>
    <row r="936" spans="1:2" x14ac:dyDescent="0.25">
      <c r="A936" s="9" t="str">
        <f>IF('Frame Sections'!A950=0,"",'Frame Sections'!A950)</f>
        <v/>
      </c>
      <c r="B936" s="9" t="str">
        <f t="shared" si="14"/>
        <v/>
      </c>
    </row>
    <row r="937" spans="1:2" x14ac:dyDescent="0.25">
      <c r="A937" s="9" t="str">
        <f>IF('Frame Sections'!A951=0,"",'Frame Sections'!A951)</f>
        <v/>
      </c>
      <c r="B937" s="9" t="str">
        <f t="shared" si="14"/>
        <v/>
      </c>
    </row>
    <row r="938" spans="1:2" x14ac:dyDescent="0.25">
      <c r="A938" s="9" t="str">
        <f>IF('Frame Sections'!A952=0,"",'Frame Sections'!A952)</f>
        <v/>
      </c>
      <c r="B938" s="9" t="str">
        <f t="shared" si="14"/>
        <v/>
      </c>
    </row>
    <row r="939" spans="1:2" x14ac:dyDescent="0.25">
      <c r="A939" s="9" t="str">
        <f>IF('Frame Sections'!A953=0,"",'Frame Sections'!A953)</f>
        <v/>
      </c>
      <c r="B939" s="9" t="str">
        <f t="shared" si="14"/>
        <v/>
      </c>
    </row>
    <row r="940" spans="1:2" x14ac:dyDescent="0.25">
      <c r="A940" s="9" t="str">
        <f>IF('Frame Sections'!A954=0,"",'Frame Sections'!A954)</f>
        <v/>
      </c>
      <c r="B940" s="9" t="str">
        <f t="shared" si="14"/>
        <v/>
      </c>
    </row>
    <row r="941" spans="1:2" x14ac:dyDescent="0.25">
      <c r="A941" s="9" t="str">
        <f>IF('Frame Sections'!A955=0,"",'Frame Sections'!A955)</f>
        <v/>
      </c>
      <c r="B941" s="9" t="str">
        <f t="shared" si="14"/>
        <v/>
      </c>
    </row>
    <row r="942" spans="1:2" x14ac:dyDescent="0.25">
      <c r="A942" s="9" t="str">
        <f>IF('Frame Sections'!A956=0,"",'Frame Sections'!A956)</f>
        <v/>
      </c>
      <c r="B942" s="9" t="str">
        <f t="shared" si="14"/>
        <v/>
      </c>
    </row>
    <row r="943" spans="1:2" x14ac:dyDescent="0.25">
      <c r="A943" s="9" t="str">
        <f>IF('Frame Sections'!A957=0,"",'Frame Sections'!A957)</f>
        <v/>
      </c>
      <c r="B943" s="9" t="str">
        <f t="shared" si="14"/>
        <v/>
      </c>
    </row>
    <row r="944" spans="1:2" x14ac:dyDescent="0.25">
      <c r="A944" s="9" t="str">
        <f>IF('Frame Sections'!A958=0,"",'Frame Sections'!A958)</f>
        <v/>
      </c>
      <c r="B944" s="9" t="str">
        <f t="shared" si="14"/>
        <v/>
      </c>
    </row>
    <row r="945" spans="1:2" x14ac:dyDescent="0.25">
      <c r="A945" s="9" t="str">
        <f>IF('Frame Sections'!A959=0,"",'Frame Sections'!A959)</f>
        <v/>
      </c>
      <c r="B945" s="9" t="str">
        <f t="shared" si="14"/>
        <v/>
      </c>
    </row>
    <row r="946" spans="1:2" x14ac:dyDescent="0.25">
      <c r="A946" s="9" t="str">
        <f>IF('Frame Sections'!A960=0,"",'Frame Sections'!A960)</f>
        <v/>
      </c>
      <c r="B946" s="9" t="str">
        <f t="shared" si="14"/>
        <v/>
      </c>
    </row>
    <row r="947" spans="1:2" x14ac:dyDescent="0.25">
      <c r="A947" s="9" t="str">
        <f>IF('Frame Sections'!A961=0,"",'Frame Sections'!A961)</f>
        <v/>
      </c>
      <c r="B947" s="9" t="str">
        <f t="shared" si="14"/>
        <v/>
      </c>
    </row>
    <row r="948" spans="1:2" x14ac:dyDescent="0.25">
      <c r="A948" s="9" t="str">
        <f>IF('Frame Sections'!A962=0,"",'Frame Sections'!A962)</f>
        <v/>
      </c>
      <c r="B948" s="9" t="str">
        <f t="shared" si="14"/>
        <v/>
      </c>
    </row>
    <row r="949" spans="1:2" x14ac:dyDescent="0.25">
      <c r="A949" s="9" t="str">
        <f>IF('Frame Sections'!A963=0,"",'Frame Sections'!A963)</f>
        <v/>
      </c>
      <c r="B949" s="9" t="str">
        <f t="shared" si="14"/>
        <v/>
      </c>
    </row>
    <row r="950" spans="1:2" x14ac:dyDescent="0.25">
      <c r="A950" s="9" t="str">
        <f>IF('Frame Sections'!A964=0,"",'Frame Sections'!A964)</f>
        <v/>
      </c>
      <c r="B950" s="9" t="str">
        <f t="shared" si="14"/>
        <v/>
      </c>
    </row>
    <row r="951" spans="1:2" x14ac:dyDescent="0.25">
      <c r="A951" s="9" t="str">
        <f>IF('Frame Sections'!A965=0,"",'Frame Sections'!A965)</f>
        <v/>
      </c>
      <c r="B951" s="9" t="str">
        <f t="shared" si="14"/>
        <v/>
      </c>
    </row>
    <row r="952" spans="1:2" x14ac:dyDescent="0.25">
      <c r="A952" s="9" t="str">
        <f>IF('Frame Sections'!A966=0,"",'Frame Sections'!A966)</f>
        <v/>
      </c>
      <c r="B952" s="9" t="str">
        <f t="shared" si="14"/>
        <v/>
      </c>
    </row>
    <row r="953" spans="1:2" x14ac:dyDescent="0.25">
      <c r="A953" s="9" t="str">
        <f>IF('Frame Sections'!A967=0,"",'Frame Sections'!A967)</f>
        <v/>
      </c>
      <c r="B953" s="9" t="str">
        <f t="shared" si="14"/>
        <v/>
      </c>
    </row>
    <row r="954" spans="1:2" x14ac:dyDescent="0.25">
      <c r="A954" s="9" t="str">
        <f>IF('Frame Sections'!A968=0,"",'Frame Sections'!A968)</f>
        <v/>
      </c>
      <c r="B954" s="9" t="str">
        <f t="shared" si="14"/>
        <v/>
      </c>
    </row>
    <row r="955" spans="1:2" x14ac:dyDescent="0.25">
      <c r="A955" s="9" t="str">
        <f>IF('Frame Sections'!A969=0,"",'Frame Sections'!A969)</f>
        <v/>
      </c>
      <c r="B955" s="9" t="str">
        <f t="shared" si="14"/>
        <v/>
      </c>
    </row>
    <row r="956" spans="1:2" x14ac:dyDescent="0.25">
      <c r="A956" s="9" t="str">
        <f>IF('Frame Sections'!A970=0,"",'Frame Sections'!A970)</f>
        <v/>
      </c>
      <c r="B956" s="9" t="str">
        <f t="shared" si="14"/>
        <v/>
      </c>
    </row>
    <row r="957" spans="1:2" x14ac:dyDescent="0.25">
      <c r="A957" s="9" t="str">
        <f>IF('Frame Sections'!A971=0,"",'Frame Sections'!A971)</f>
        <v/>
      </c>
      <c r="B957" s="9" t="str">
        <f t="shared" si="14"/>
        <v/>
      </c>
    </row>
    <row r="958" spans="1:2" x14ac:dyDescent="0.25">
      <c r="A958" s="9" t="str">
        <f>IF('Frame Sections'!A972=0,"",'Frame Sections'!A972)</f>
        <v/>
      </c>
      <c r="B958" s="9" t="str">
        <f t="shared" si="14"/>
        <v/>
      </c>
    </row>
    <row r="959" spans="1:2" x14ac:dyDescent="0.25">
      <c r="A959" s="9" t="str">
        <f>IF('Frame Sections'!A973=0,"",'Frame Sections'!A973)</f>
        <v/>
      </c>
      <c r="B959" s="9" t="str">
        <f t="shared" si="14"/>
        <v/>
      </c>
    </row>
    <row r="960" spans="1:2" x14ac:dyDescent="0.25">
      <c r="A960" s="9" t="str">
        <f>IF('Frame Sections'!A974=0,"",'Frame Sections'!A974)</f>
        <v/>
      </c>
      <c r="B960" s="9" t="str">
        <f t="shared" si="14"/>
        <v/>
      </c>
    </row>
    <row r="961" spans="1:2" x14ac:dyDescent="0.25">
      <c r="A961" s="9" t="str">
        <f>IF('Frame Sections'!A975=0,"",'Frame Sections'!A975)</f>
        <v/>
      </c>
      <c r="B961" s="9" t="str">
        <f t="shared" si="14"/>
        <v/>
      </c>
    </row>
    <row r="962" spans="1:2" x14ac:dyDescent="0.25">
      <c r="A962" s="9" t="str">
        <f>IF('Frame Sections'!A976=0,"",'Frame Sections'!A976)</f>
        <v/>
      </c>
      <c r="B962" s="9" t="str">
        <f t="shared" ref="B962:B1001" si="15">IF(OR(A962=0,A962=""),"",VLOOKUP(A962,SecDB,5,FALSE))</f>
        <v/>
      </c>
    </row>
    <row r="963" spans="1:2" x14ac:dyDescent="0.25">
      <c r="A963" s="9" t="str">
        <f>IF('Frame Sections'!A977=0,"",'Frame Sections'!A977)</f>
        <v/>
      </c>
      <c r="B963" s="9" t="str">
        <f t="shared" si="15"/>
        <v/>
      </c>
    </row>
    <row r="964" spans="1:2" x14ac:dyDescent="0.25">
      <c r="A964" s="9" t="str">
        <f>IF('Frame Sections'!A978=0,"",'Frame Sections'!A978)</f>
        <v/>
      </c>
      <c r="B964" s="9" t="str">
        <f t="shared" si="15"/>
        <v/>
      </c>
    </row>
    <row r="965" spans="1:2" x14ac:dyDescent="0.25">
      <c r="A965" s="9" t="str">
        <f>IF('Frame Sections'!A979=0,"",'Frame Sections'!A979)</f>
        <v/>
      </c>
      <c r="B965" s="9" t="str">
        <f t="shared" si="15"/>
        <v/>
      </c>
    </row>
    <row r="966" spans="1:2" x14ac:dyDescent="0.25">
      <c r="A966" s="9" t="str">
        <f>IF('Frame Sections'!A980=0,"",'Frame Sections'!A980)</f>
        <v/>
      </c>
      <c r="B966" s="9" t="str">
        <f t="shared" si="15"/>
        <v/>
      </c>
    </row>
    <row r="967" spans="1:2" x14ac:dyDescent="0.25">
      <c r="A967" s="9" t="str">
        <f>IF('Frame Sections'!A981=0,"",'Frame Sections'!A981)</f>
        <v/>
      </c>
      <c r="B967" s="9" t="str">
        <f t="shared" si="15"/>
        <v/>
      </c>
    </row>
    <row r="968" spans="1:2" x14ac:dyDescent="0.25">
      <c r="A968" s="9" t="str">
        <f>IF('Frame Sections'!A982=0,"",'Frame Sections'!A982)</f>
        <v/>
      </c>
      <c r="B968" s="9" t="str">
        <f t="shared" si="15"/>
        <v/>
      </c>
    </row>
    <row r="969" spans="1:2" x14ac:dyDescent="0.25">
      <c r="A969" s="9" t="str">
        <f>IF('Frame Sections'!A983=0,"",'Frame Sections'!A983)</f>
        <v/>
      </c>
      <c r="B969" s="9" t="str">
        <f t="shared" si="15"/>
        <v/>
      </c>
    </row>
    <row r="970" spans="1:2" x14ac:dyDescent="0.25">
      <c r="A970" s="9" t="str">
        <f>IF('Frame Sections'!A984=0,"",'Frame Sections'!A984)</f>
        <v/>
      </c>
      <c r="B970" s="9" t="str">
        <f t="shared" si="15"/>
        <v/>
      </c>
    </row>
    <row r="971" spans="1:2" x14ac:dyDescent="0.25">
      <c r="A971" s="9" t="str">
        <f>IF('Frame Sections'!A985=0,"",'Frame Sections'!A985)</f>
        <v/>
      </c>
      <c r="B971" s="9" t="str">
        <f t="shared" si="15"/>
        <v/>
      </c>
    </row>
    <row r="972" spans="1:2" x14ac:dyDescent="0.25">
      <c r="A972" s="9" t="str">
        <f>IF('Frame Sections'!A986=0,"",'Frame Sections'!A986)</f>
        <v/>
      </c>
      <c r="B972" s="9" t="str">
        <f t="shared" si="15"/>
        <v/>
      </c>
    </row>
    <row r="973" spans="1:2" x14ac:dyDescent="0.25">
      <c r="A973" s="9" t="str">
        <f>IF('Frame Sections'!A987=0,"",'Frame Sections'!A987)</f>
        <v/>
      </c>
      <c r="B973" s="9" t="str">
        <f t="shared" si="15"/>
        <v/>
      </c>
    </row>
    <row r="974" spans="1:2" x14ac:dyDescent="0.25">
      <c r="A974" s="9" t="str">
        <f>IF('Frame Sections'!A988=0,"",'Frame Sections'!A988)</f>
        <v/>
      </c>
      <c r="B974" s="9" t="str">
        <f t="shared" si="15"/>
        <v/>
      </c>
    </row>
    <row r="975" spans="1:2" x14ac:dyDescent="0.25">
      <c r="A975" s="9" t="str">
        <f>IF('Frame Sections'!A989=0,"",'Frame Sections'!A989)</f>
        <v/>
      </c>
      <c r="B975" s="9" t="str">
        <f t="shared" si="15"/>
        <v/>
      </c>
    </row>
    <row r="976" spans="1:2" x14ac:dyDescent="0.25">
      <c r="A976" s="9" t="str">
        <f>IF('Frame Sections'!A990=0,"",'Frame Sections'!A990)</f>
        <v/>
      </c>
      <c r="B976" s="9" t="str">
        <f t="shared" si="15"/>
        <v/>
      </c>
    </row>
    <row r="977" spans="1:2" x14ac:dyDescent="0.25">
      <c r="A977" s="9" t="str">
        <f>IF('Frame Sections'!A991=0,"",'Frame Sections'!A991)</f>
        <v/>
      </c>
      <c r="B977" s="9" t="str">
        <f t="shared" si="15"/>
        <v/>
      </c>
    </row>
    <row r="978" spans="1:2" x14ac:dyDescent="0.25">
      <c r="A978" s="9" t="str">
        <f>IF('Frame Sections'!A992=0,"",'Frame Sections'!A992)</f>
        <v/>
      </c>
      <c r="B978" s="9" t="str">
        <f t="shared" si="15"/>
        <v/>
      </c>
    </row>
    <row r="979" spans="1:2" x14ac:dyDescent="0.25">
      <c r="A979" s="9" t="str">
        <f>IF('Frame Sections'!A993=0,"",'Frame Sections'!A993)</f>
        <v/>
      </c>
      <c r="B979" s="9" t="str">
        <f t="shared" si="15"/>
        <v/>
      </c>
    </row>
    <row r="980" spans="1:2" x14ac:dyDescent="0.25">
      <c r="A980" s="9" t="str">
        <f>IF('Frame Sections'!A994=0,"",'Frame Sections'!A994)</f>
        <v/>
      </c>
      <c r="B980" s="9" t="str">
        <f t="shared" si="15"/>
        <v/>
      </c>
    </row>
    <row r="981" spans="1:2" x14ac:dyDescent="0.25">
      <c r="A981" s="9" t="str">
        <f>IF('Frame Sections'!A995=0,"",'Frame Sections'!A995)</f>
        <v/>
      </c>
      <c r="B981" s="9" t="str">
        <f t="shared" si="15"/>
        <v/>
      </c>
    </row>
    <row r="982" spans="1:2" x14ac:dyDescent="0.25">
      <c r="A982" s="9" t="str">
        <f>IF('Frame Sections'!A996=0,"",'Frame Sections'!A996)</f>
        <v/>
      </c>
      <c r="B982" s="9" t="str">
        <f t="shared" si="15"/>
        <v/>
      </c>
    </row>
    <row r="983" spans="1:2" x14ac:dyDescent="0.25">
      <c r="A983" s="9" t="str">
        <f>IF('Frame Sections'!A997=0,"",'Frame Sections'!A997)</f>
        <v/>
      </c>
      <c r="B983" s="9" t="str">
        <f t="shared" si="15"/>
        <v/>
      </c>
    </row>
    <row r="984" spans="1:2" x14ac:dyDescent="0.25">
      <c r="A984" s="9" t="str">
        <f>IF('Frame Sections'!A998=0,"",'Frame Sections'!A998)</f>
        <v/>
      </c>
      <c r="B984" s="9" t="str">
        <f t="shared" si="15"/>
        <v/>
      </c>
    </row>
    <row r="985" spans="1:2" x14ac:dyDescent="0.25">
      <c r="A985" s="9" t="str">
        <f>IF('Frame Sections'!A999=0,"",'Frame Sections'!A999)</f>
        <v/>
      </c>
      <c r="B985" s="9" t="str">
        <f t="shared" si="15"/>
        <v/>
      </c>
    </row>
    <row r="986" spans="1:2" x14ac:dyDescent="0.25">
      <c r="A986" s="9" t="str">
        <f>IF('Frame Sections'!A1000=0,"",'Frame Sections'!A1000)</f>
        <v/>
      </c>
      <c r="B986" s="9" t="str">
        <f t="shared" si="15"/>
        <v/>
      </c>
    </row>
    <row r="987" spans="1:2" x14ac:dyDescent="0.25">
      <c r="A987" s="9" t="str">
        <f>IF('Frame Sections'!A1001=0,"",'Frame Sections'!A1001)</f>
        <v/>
      </c>
      <c r="B987" s="9" t="str">
        <f t="shared" si="15"/>
        <v/>
      </c>
    </row>
    <row r="988" spans="1:2" x14ac:dyDescent="0.25">
      <c r="A988" s="9" t="str">
        <f>IF('Frame Sections'!A1002=0,"",'Frame Sections'!A1002)</f>
        <v/>
      </c>
      <c r="B988" s="9" t="str">
        <f t="shared" si="15"/>
        <v/>
      </c>
    </row>
    <row r="989" spans="1:2" x14ac:dyDescent="0.25">
      <c r="A989" s="9" t="str">
        <f>IF('Frame Sections'!A1003=0,"",'Frame Sections'!A1003)</f>
        <v/>
      </c>
      <c r="B989" s="9" t="str">
        <f t="shared" si="15"/>
        <v/>
      </c>
    </row>
    <row r="990" spans="1:2" x14ac:dyDescent="0.25">
      <c r="A990" s="9" t="str">
        <f>IF('Frame Sections'!A1004=0,"",'Frame Sections'!A1004)</f>
        <v/>
      </c>
      <c r="B990" s="9" t="str">
        <f t="shared" si="15"/>
        <v/>
      </c>
    </row>
    <row r="991" spans="1:2" x14ac:dyDescent="0.25">
      <c r="A991" s="9" t="str">
        <f>IF('Frame Sections'!A1005=0,"",'Frame Sections'!A1005)</f>
        <v/>
      </c>
      <c r="B991" s="9" t="str">
        <f t="shared" si="15"/>
        <v/>
      </c>
    </row>
    <row r="992" spans="1:2" x14ac:dyDescent="0.25">
      <c r="A992" s="9" t="str">
        <f>IF('Frame Sections'!A1006=0,"",'Frame Sections'!A1006)</f>
        <v/>
      </c>
      <c r="B992" s="9" t="str">
        <f t="shared" si="15"/>
        <v/>
      </c>
    </row>
    <row r="993" spans="1:2" x14ac:dyDescent="0.25">
      <c r="A993" s="9" t="str">
        <f>IF('Frame Sections'!A1007=0,"",'Frame Sections'!A1007)</f>
        <v/>
      </c>
      <c r="B993" s="9" t="str">
        <f t="shared" si="15"/>
        <v/>
      </c>
    </row>
    <row r="994" spans="1:2" x14ac:dyDescent="0.25">
      <c r="A994" s="9" t="str">
        <f>IF('Frame Sections'!A1008=0,"",'Frame Sections'!A1008)</f>
        <v/>
      </c>
      <c r="B994" s="9" t="str">
        <f t="shared" si="15"/>
        <v/>
      </c>
    </row>
    <row r="995" spans="1:2" x14ac:dyDescent="0.25">
      <c r="A995" s="9" t="str">
        <f>IF('Frame Sections'!A1009=0,"",'Frame Sections'!A1009)</f>
        <v/>
      </c>
      <c r="B995" s="9" t="str">
        <f t="shared" si="15"/>
        <v/>
      </c>
    </row>
    <row r="996" spans="1:2" x14ac:dyDescent="0.25">
      <c r="A996" s="9" t="str">
        <f>IF('Frame Sections'!A1010=0,"",'Frame Sections'!A1010)</f>
        <v/>
      </c>
      <c r="B996" s="9" t="str">
        <f t="shared" si="15"/>
        <v/>
      </c>
    </row>
    <row r="997" spans="1:2" x14ac:dyDescent="0.25">
      <c r="A997" s="9" t="str">
        <f>IF('Frame Sections'!A1011=0,"",'Frame Sections'!A1011)</f>
        <v/>
      </c>
      <c r="B997" s="9" t="str">
        <f t="shared" si="15"/>
        <v/>
      </c>
    </row>
    <row r="998" spans="1:2" x14ac:dyDescent="0.25">
      <c r="A998" s="9" t="str">
        <f>IF('Frame Sections'!A1012=0,"",'Frame Sections'!A1012)</f>
        <v/>
      </c>
      <c r="B998" s="9" t="str">
        <f t="shared" si="15"/>
        <v/>
      </c>
    </row>
    <row r="999" spans="1:2" x14ac:dyDescent="0.25">
      <c r="A999" s="9" t="str">
        <f>IF('Frame Sections'!A1013=0,"",'Frame Sections'!A1013)</f>
        <v/>
      </c>
      <c r="B999" s="9" t="str">
        <f t="shared" si="15"/>
        <v/>
      </c>
    </row>
    <row r="1000" spans="1:2" x14ac:dyDescent="0.25">
      <c r="A1000" s="9" t="str">
        <f>IF('Frame Sections'!A1014=0,"",'Frame Sections'!A1014)</f>
        <v/>
      </c>
      <c r="B1000" s="9" t="str">
        <f t="shared" si="15"/>
        <v/>
      </c>
    </row>
    <row r="1001" spans="1:2" x14ac:dyDescent="0.25">
      <c r="A1001" s="9" t="str">
        <f>IF('Frame Sections'!A1015=0,"",'Frame Sections'!A1015)</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2026-07-29T02:16:34Z</dcterms:modified>
</cp:coreProperties>
</file>