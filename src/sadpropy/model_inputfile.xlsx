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64A4DF52-C986-44E2-9E99-14E33CF398B3}" xr6:coauthVersionLast="47" xr6:coauthVersionMax="47" xr10:uidLastSave="{00000000-0000-0000-0000-000000000000}"/>
  <bookViews>
    <workbookView xWindow="-120" yWindow="-120" windowWidth="29040" windowHeight="15720" firstSheet="1" activeTab="1"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Frame Sections" sheetId="10" r:id="rId8"/>
    <sheet name="Sec_Aggregator" sheetId="12" r:id="rId9"/>
    <sheet name="Slab Sections" sheetId="13" r:id="rId10"/>
    <sheet name="Point Objects" sheetId="26" r:id="rId11"/>
    <sheet name="Line Objects" sheetId="28" r:id="rId12"/>
    <sheet name="Surface Objects" sheetId="29" r:id="rId13"/>
    <sheet name="Restraints" sheetId="18" r:id="rId14"/>
    <sheet name="Point Loads" sheetId="32" r:id="rId15"/>
    <sheet name="Concentrated Line Loads" sheetId="33" r:id="rId16"/>
    <sheet name="Distributed Line Loads" sheetId="34" r:id="rId17"/>
    <sheet name="Surface Loads" sheetId="36" r:id="rId18"/>
    <sheet name="Loads" sheetId="19" r:id="rId19"/>
    <sheet name="Sec_Fiber" sheetId="11" r:id="rId20"/>
  </sheets>
  <definedNames>
    <definedName name="Base_Sec">'Frame Sections'!$A$18:$A$1017</definedName>
    <definedName name="Elastic_Mat_Name">ListDB!$J$2:$J$1001</definedName>
    <definedName name="Ele_Type">ListDB!$N$2:$N$1001</definedName>
    <definedName name="Int_Type_Con">ListDB!$M$2:$M$1001</definedName>
    <definedName name="Int_Type_Dist">ListDB!$L$2:$L$1001</definedName>
    <definedName name="LC_Type">ListDB!$S$2:$S$1001</definedName>
    <definedName name="Line_ID">'Line Objects'!$A$16:$A$1048576</definedName>
    <definedName name="Mat_Concrete">ListDB!$H$2:$H$1001</definedName>
    <definedName name="Mat_Model_Concrete">ListDB!$C$2:$C$1001</definedName>
    <definedName name="Mat_Model_Hysteretic">ListDB!$E$2:$E$1001</definedName>
    <definedName name="Mat_Model_Steel">ListDB!$D$2:$D$1001</definedName>
    <definedName name="Mat_Name">ListDB!$G$2:$G$1001</definedName>
    <definedName name="Mat_Steel">ListDB!$I$2:$I$1001</definedName>
    <definedName name="Mat_Type">ListDB!$B$2:$B$1001</definedName>
    <definedName name="NL_Mat_Name">ListDB!$K$2:$K$1001</definedName>
    <definedName name="Point_ID">'Point Objects'!$A$8:$A$1048576</definedName>
    <definedName name="Sec_Model">ListDB!$P$2:$P$1001</definedName>
    <definedName name="Sec_Name">ListDB!$R$2:$R$1001</definedName>
    <definedName name="Sec_name_wo_agg">ListDB!$Q$2:$Q$1001</definedName>
    <definedName name="Sec_Shape">ListDB!$O$2:$O$1001</definedName>
    <definedName name="SecDB">'Frame Sections'!$A$18:$O$1017</definedName>
    <definedName name="SecFiberDB">Sec_Fiber!$A$21:$O$1020</definedName>
    <definedName name="Slab_Sec">'Slab Sections'!$A$7:$A$1006</definedName>
    <definedName name="Spring_Mat_Name">ListDB!$F$2:$F$1048576</definedName>
    <definedName name="Surface_ID">'Surface Objects'!$A$11:$A$1048576</definedName>
    <definedName name="Unit_Angle">ListDB!$Y$2:$Y$3</definedName>
    <definedName name="Unit_Force">ListDB!$T$2:$T$8</definedName>
    <definedName name="Unit_Length">ListDB!$U$2:$U$6</definedName>
    <definedName name="Unit_Mass">ListDB!$V$2:$V$6</definedName>
    <definedName name="Unit_Stress">ListDB!$W$2:$W$9</definedName>
    <definedName name="Unit_Time">ListDB!$X$2:$X$3</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R2" i="1" l="1" a="1"/>
  <c r="R2" i="1" s="1"/>
  <c r="Q2" i="1" a="1"/>
  <c r="Q2" i="1" s="1"/>
  <c r="G8" i="10"/>
  <c r="G7" i="10"/>
  <c r="G6" i="10"/>
  <c r="G5" i="10"/>
  <c r="G4" i="10"/>
  <c r="G2" i="10"/>
  <c r="G3" i="10"/>
  <c r="T20" i="10"/>
  <c r="S20" i="10"/>
  <c r="R20" i="10"/>
  <c r="Q20" i="10"/>
  <c r="P20" i="10"/>
  <c r="G2" i="1" a="1"/>
  <c r="G2" i="1" s="1"/>
  <c r="J2" i="1" a="1"/>
  <c r="J2" i="1" s="1"/>
  <c r="F2" i="1" a="1"/>
  <c r="F2" i="1" s="1"/>
  <c r="K2" i="1" a="1"/>
  <c r="K2" i="1" s="1"/>
  <c r="K8" i="5"/>
  <c r="K7" i="5"/>
  <c r="K6" i="5"/>
  <c r="K5" i="5"/>
  <c r="K2" i="5"/>
  <c r="D37" i="5"/>
  <c r="G36" i="5"/>
  <c r="J36" i="5" s="1"/>
  <c r="E35" i="5"/>
  <c r="J35" i="5"/>
  <c r="A25" i="5"/>
  <c r="A15" i="5"/>
  <c r="A14" i="5"/>
  <c r="A8" i="5"/>
  <c r="A11" i="5"/>
  <c r="A13" i="34"/>
  <c r="A11" i="34"/>
  <c r="A9" i="34"/>
  <c r="A7" i="34"/>
  <c r="A12" i="34"/>
  <c r="A10" i="34"/>
  <c r="A8" i="34"/>
  <c r="A6" i="34"/>
  <c r="A5" i="34"/>
  <c r="A12" i="33"/>
  <c r="A10" i="33"/>
  <c r="A8" i="33"/>
  <c r="A6" i="33"/>
  <c r="A11" i="33"/>
  <c r="A9" i="33"/>
  <c r="A7" i="33"/>
  <c r="A5" i="33"/>
  <c r="A5" i="36"/>
  <c r="A8" i="32"/>
  <c r="A9" i="32"/>
  <c r="A7" i="32"/>
  <c r="A6" i="32"/>
  <c r="A5" i="32"/>
  <c r="A4" i="32"/>
  <c r="A5" i="26"/>
  <c r="E36" i="5" l="1"/>
  <c r="A4" i="13"/>
  <c r="A16" i="11"/>
  <c r="A15" i="11"/>
  <c r="A14" i="11"/>
  <c r="A13" i="11"/>
  <c r="A5" i="5"/>
  <c r="A6" i="5"/>
  <c r="A9" i="28"/>
  <c r="A8" i="28"/>
  <c r="A4" i="26"/>
  <c r="A3" i="26"/>
  <c r="E34" i="5" l="1"/>
  <c r="D34" i="5"/>
  <c r="G33" i="5"/>
  <c r="E33" i="5" s="1"/>
  <c r="I2" i="1" l="1" a="1"/>
  <c r="I2" i="1" s="1"/>
  <c r="H2" i="1" a="1"/>
  <c r="H2" i="1" s="1"/>
  <c r="I16" i="12" l="1"/>
  <c r="I17" i="12" l="1"/>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H21" i="11"/>
  <c r="L21" i="11"/>
  <c r="M21" i="11"/>
  <c r="N21" i="11"/>
  <c r="O21"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21" i="11"/>
  <c r="C19" i="10"/>
  <c r="C21" i="10"/>
  <c r="C22" i="10"/>
  <c r="C23" i="10"/>
  <c r="C24" i="10"/>
  <c r="C25" i="10"/>
  <c r="C26" i="10"/>
  <c r="C27" i="10"/>
  <c r="C28" i="10"/>
  <c r="C29" i="10"/>
  <c r="C30" i="10"/>
  <c r="C31" i="10"/>
  <c r="C32" i="10"/>
  <c r="C33" i="10"/>
  <c r="C34" i="10"/>
  <c r="C35" i="10"/>
  <c r="C36" i="10"/>
  <c r="C37" i="10"/>
  <c r="C38" i="10"/>
  <c r="C39" i="10"/>
  <c r="C40" i="10"/>
  <c r="C41" i="10"/>
  <c r="C42" i="10"/>
  <c r="C43" i="10"/>
  <c r="C44" i="10"/>
  <c r="C45" i="10"/>
  <c r="C46" i="10"/>
  <c r="C47" i="10"/>
  <c r="C48" i="10"/>
  <c r="C49" i="10"/>
  <c r="C50" i="10"/>
  <c r="C51" i="10"/>
  <c r="C52" i="10"/>
  <c r="C53" i="10"/>
  <c r="C54" i="10"/>
  <c r="C55" i="10"/>
  <c r="C56" i="10"/>
  <c r="C57" i="10"/>
  <c r="C58" i="10"/>
  <c r="C59" i="10"/>
  <c r="C60" i="10"/>
  <c r="C61" i="10"/>
  <c r="C62" i="10"/>
  <c r="C63" i="10"/>
  <c r="C64" i="10"/>
  <c r="C65" i="10"/>
  <c r="C66" i="10"/>
  <c r="C67" i="10"/>
  <c r="C68" i="10"/>
  <c r="C69" i="10"/>
  <c r="C70" i="10"/>
  <c r="C71" i="10"/>
  <c r="C72" i="10"/>
  <c r="C73" i="10"/>
  <c r="C74" i="10"/>
  <c r="C75" i="10"/>
  <c r="C76" i="10"/>
  <c r="C77" i="10"/>
  <c r="C78" i="10"/>
  <c r="C79" i="10"/>
  <c r="C80" i="10"/>
  <c r="C81" i="10"/>
  <c r="C82" i="10"/>
  <c r="C83" i="10"/>
  <c r="C84" i="10"/>
  <c r="C85" i="10"/>
  <c r="C86" i="10"/>
  <c r="C87" i="10"/>
  <c r="C88" i="10"/>
  <c r="C89" i="10"/>
  <c r="C90" i="10"/>
  <c r="C91" i="10"/>
  <c r="C92" i="10"/>
  <c r="C93" i="10"/>
  <c r="C94" i="10"/>
  <c r="C95" i="10"/>
  <c r="C96" i="10"/>
  <c r="C97" i="10"/>
  <c r="C98" i="10"/>
  <c r="C99" i="10"/>
  <c r="C100" i="10"/>
  <c r="C101" i="10"/>
  <c r="C102" i="10"/>
  <c r="C103" i="10"/>
  <c r="C104" i="10"/>
  <c r="C105" i="10"/>
  <c r="C106" i="10"/>
  <c r="C107" i="10"/>
  <c r="C108" i="10"/>
  <c r="C109" i="10"/>
  <c r="C110" i="10"/>
  <c r="C111" i="10"/>
  <c r="C112" i="10"/>
  <c r="C113" i="10"/>
  <c r="C114" i="10"/>
  <c r="C115" i="10"/>
  <c r="C116" i="10"/>
  <c r="C117" i="10"/>
  <c r="C118" i="10"/>
  <c r="C119" i="10"/>
  <c r="C120" i="10"/>
  <c r="C121" i="10"/>
  <c r="C122" i="10"/>
  <c r="C123" i="10"/>
  <c r="C124" i="10"/>
  <c r="C125" i="10"/>
  <c r="C126" i="10"/>
  <c r="C127" i="10"/>
  <c r="C128" i="10"/>
  <c r="C129" i="10"/>
  <c r="C130" i="10"/>
  <c r="C131" i="10"/>
  <c r="C132" i="10"/>
  <c r="C133" i="10"/>
  <c r="C134" i="10"/>
  <c r="C135" i="10"/>
  <c r="C136" i="10"/>
  <c r="C137" i="10"/>
  <c r="C138" i="10"/>
  <c r="C139" i="10"/>
  <c r="C140" i="10"/>
  <c r="C141" i="10"/>
  <c r="C142" i="10"/>
  <c r="C143" i="10"/>
  <c r="C144" i="10"/>
  <c r="C145" i="10"/>
  <c r="C146" i="10"/>
  <c r="C147" i="10"/>
  <c r="C148" i="10"/>
  <c r="C149" i="10"/>
  <c r="C150" i="10"/>
  <c r="C151" i="10"/>
  <c r="C152" i="10"/>
  <c r="C153" i="10"/>
  <c r="C154" i="10"/>
  <c r="C155" i="10"/>
  <c r="C156" i="10"/>
  <c r="C157" i="10"/>
  <c r="C158" i="10"/>
  <c r="C159" i="10"/>
  <c r="C160" i="10"/>
  <c r="C161" i="10"/>
  <c r="C162" i="10"/>
  <c r="C163" i="10"/>
  <c r="C164" i="10"/>
  <c r="C165" i="10"/>
  <c r="C166" i="10"/>
  <c r="C167" i="10"/>
  <c r="C168" i="10"/>
  <c r="C169" i="10"/>
  <c r="C170" i="10"/>
  <c r="C171" i="10"/>
  <c r="C172" i="10"/>
  <c r="C173" i="10"/>
  <c r="C174" i="10"/>
  <c r="C175" i="10"/>
  <c r="C176" i="10"/>
  <c r="C177" i="10"/>
  <c r="C178" i="10"/>
  <c r="C179" i="10"/>
  <c r="C180" i="10"/>
  <c r="C181" i="10"/>
  <c r="C182" i="10"/>
  <c r="C183" i="10"/>
  <c r="C184" i="10"/>
  <c r="C185" i="10"/>
  <c r="C186" i="10"/>
  <c r="C187" i="10"/>
  <c r="C188" i="10"/>
  <c r="C189" i="10"/>
  <c r="C190" i="10"/>
  <c r="C191" i="10"/>
  <c r="C192" i="10"/>
  <c r="C193" i="10"/>
  <c r="C194" i="10"/>
  <c r="C195" i="10"/>
  <c r="C196" i="10"/>
  <c r="C197" i="10"/>
  <c r="C198" i="10"/>
  <c r="C199" i="10"/>
  <c r="C200" i="10"/>
  <c r="C201" i="10"/>
  <c r="C202" i="10"/>
  <c r="C203" i="10"/>
  <c r="C204" i="10"/>
  <c r="C205" i="10"/>
  <c r="C206" i="10"/>
  <c r="C207" i="10"/>
  <c r="C208" i="10"/>
  <c r="C209" i="10"/>
  <c r="C210" i="10"/>
  <c r="C211" i="10"/>
  <c r="C212" i="10"/>
  <c r="C213" i="10"/>
  <c r="C214" i="10"/>
  <c r="C215" i="10"/>
  <c r="C216" i="10"/>
  <c r="C217" i="10"/>
  <c r="C218" i="10"/>
  <c r="C219" i="10"/>
  <c r="C220" i="10"/>
  <c r="C221" i="10"/>
  <c r="C222" i="10"/>
  <c r="C223" i="10"/>
  <c r="C224" i="10"/>
  <c r="C225" i="10"/>
  <c r="C226" i="10"/>
  <c r="C227" i="10"/>
  <c r="C228" i="10"/>
  <c r="C229" i="10"/>
  <c r="C230" i="10"/>
  <c r="C231" i="10"/>
  <c r="C232" i="10"/>
  <c r="C233" i="10"/>
  <c r="C234" i="10"/>
  <c r="C235" i="10"/>
  <c r="C236" i="10"/>
  <c r="C237" i="10"/>
  <c r="C238" i="10"/>
  <c r="C239" i="10"/>
  <c r="C240" i="10"/>
  <c r="C241" i="10"/>
  <c r="C242" i="10"/>
  <c r="C243" i="10"/>
  <c r="C244" i="10"/>
  <c r="C245" i="10"/>
  <c r="C246" i="10"/>
  <c r="C247" i="10"/>
  <c r="C248" i="10"/>
  <c r="C249" i="10"/>
  <c r="C250" i="10"/>
  <c r="C251" i="10"/>
  <c r="C252" i="10"/>
  <c r="C253" i="10"/>
  <c r="C254" i="10"/>
  <c r="C255" i="10"/>
  <c r="C256" i="10"/>
  <c r="C257" i="10"/>
  <c r="C258" i="10"/>
  <c r="C259" i="10"/>
  <c r="C260" i="10"/>
  <c r="C261" i="10"/>
  <c r="C262" i="10"/>
  <c r="C263" i="10"/>
  <c r="C264" i="10"/>
  <c r="C265" i="10"/>
  <c r="C266" i="10"/>
  <c r="C267" i="10"/>
  <c r="C268" i="10"/>
  <c r="C269" i="10"/>
  <c r="C270" i="10"/>
  <c r="C271" i="10"/>
  <c r="C272" i="10"/>
  <c r="C273" i="10"/>
  <c r="C274" i="10"/>
  <c r="C275" i="10"/>
  <c r="C276" i="10"/>
  <c r="C277" i="10"/>
  <c r="C278" i="10"/>
  <c r="C279" i="10"/>
  <c r="C280" i="10"/>
  <c r="C281" i="10"/>
  <c r="C282" i="10"/>
  <c r="C283" i="10"/>
  <c r="C284" i="10"/>
  <c r="C285" i="10"/>
  <c r="C286" i="10"/>
  <c r="C287" i="10"/>
  <c r="C288" i="10"/>
  <c r="C289" i="10"/>
  <c r="C290" i="10"/>
  <c r="C291" i="10"/>
  <c r="C292" i="10"/>
  <c r="C293" i="10"/>
  <c r="C294" i="10"/>
  <c r="C295" i="10"/>
  <c r="C296" i="10"/>
  <c r="C297" i="10"/>
  <c r="C298" i="10"/>
  <c r="C299" i="10"/>
  <c r="C300" i="10"/>
  <c r="C301" i="10"/>
  <c r="C302" i="10"/>
  <c r="C303" i="10"/>
  <c r="C304" i="10"/>
  <c r="C305" i="10"/>
  <c r="C306" i="10"/>
  <c r="C307" i="10"/>
  <c r="C308" i="10"/>
  <c r="C309" i="10"/>
  <c r="C310" i="10"/>
  <c r="C311" i="10"/>
  <c r="C312" i="10"/>
  <c r="C313" i="10"/>
  <c r="C314" i="10"/>
  <c r="C315" i="10"/>
  <c r="C316" i="10"/>
  <c r="C317" i="10"/>
  <c r="C318" i="10"/>
  <c r="C319" i="10"/>
  <c r="C320" i="10"/>
  <c r="C321" i="10"/>
  <c r="C322" i="10"/>
  <c r="C323" i="10"/>
  <c r="C324" i="10"/>
  <c r="C325" i="10"/>
  <c r="C326" i="10"/>
  <c r="C327" i="10"/>
  <c r="C328" i="10"/>
  <c r="C329" i="10"/>
  <c r="C330" i="10"/>
  <c r="C331" i="10"/>
  <c r="C332" i="10"/>
  <c r="C333" i="10"/>
  <c r="C334" i="10"/>
  <c r="C335" i="10"/>
  <c r="C336" i="10"/>
  <c r="C337" i="10"/>
  <c r="C338" i="10"/>
  <c r="C339" i="10"/>
  <c r="C340" i="10"/>
  <c r="C341" i="10"/>
  <c r="C342" i="10"/>
  <c r="C343" i="10"/>
  <c r="C344" i="10"/>
  <c r="C345" i="10"/>
  <c r="C346" i="10"/>
  <c r="C347" i="10"/>
  <c r="C348" i="10"/>
  <c r="C349" i="10"/>
  <c r="C350" i="10"/>
  <c r="C351" i="10"/>
  <c r="C352" i="10"/>
  <c r="C353" i="10"/>
  <c r="C354" i="10"/>
  <c r="C355" i="10"/>
  <c r="C356" i="10"/>
  <c r="C357" i="10"/>
  <c r="C358" i="10"/>
  <c r="C359" i="10"/>
  <c r="C360" i="10"/>
  <c r="C361" i="10"/>
  <c r="C362" i="10"/>
  <c r="C363" i="10"/>
  <c r="C364" i="10"/>
  <c r="C365" i="10"/>
  <c r="C366" i="10"/>
  <c r="C367" i="10"/>
  <c r="C368" i="10"/>
  <c r="C369" i="10"/>
  <c r="C370" i="10"/>
  <c r="C371" i="10"/>
  <c r="C372" i="10"/>
  <c r="C373" i="10"/>
  <c r="C374" i="10"/>
  <c r="C375" i="10"/>
  <c r="C376" i="10"/>
  <c r="C377" i="10"/>
  <c r="C378" i="10"/>
  <c r="C379" i="10"/>
  <c r="C380" i="10"/>
  <c r="C381" i="10"/>
  <c r="C382" i="10"/>
  <c r="C383" i="10"/>
  <c r="C384" i="10"/>
  <c r="C385" i="10"/>
  <c r="C386" i="10"/>
  <c r="C387" i="10"/>
  <c r="C388" i="10"/>
  <c r="C389" i="10"/>
  <c r="C390" i="10"/>
  <c r="C391" i="10"/>
  <c r="C392" i="10"/>
  <c r="C393" i="10"/>
  <c r="C394" i="10"/>
  <c r="C395" i="10"/>
  <c r="C396" i="10"/>
  <c r="C397" i="10"/>
  <c r="C398" i="10"/>
  <c r="C399" i="10"/>
  <c r="C400" i="10"/>
  <c r="C401" i="10"/>
  <c r="C402" i="10"/>
  <c r="C403" i="10"/>
  <c r="C404" i="10"/>
  <c r="C405" i="10"/>
  <c r="C406" i="10"/>
  <c r="C407" i="10"/>
  <c r="C408" i="10"/>
  <c r="C409" i="10"/>
  <c r="C410" i="10"/>
  <c r="C411" i="10"/>
  <c r="C412" i="10"/>
  <c r="C413" i="10"/>
  <c r="C414" i="10"/>
  <c r="C415" i="10"/>
  <c r="C416" i="10"/>
  <c r="C417" i="10"/>
  <c r="C418" i="10"/>
  <c r="C419" i="10"/>
  <c r="C420" i="10"/>
  <c r="C421" i="10"/>
  <c r="C422" i="10"/>
  <c r="C423" i="10"/>
  <c r="C424" i="10"/>
  <c r="C425" i="10"/>
  <c r="C426" i="10"/>
  <c r="C427" i="10"/>
  <c r="C428" i="10"/>
  <c r="C429" i="10"/>
  <c r="C430" i="10"/>
  <c r="C431" i="10"/>
  <c r="C432" i="10"/>
  <c r="C433" i="10"/>
  <c r="C434" i="10"/>
  <c r="C435" i="10"/>
  <c r="C436" i="10"/>
  <c r="C437" i="10"/>
  <c r="C438" i="10"/>
  <c r="C439" i="10"/>
  <c r="C440" i="10"/>
  <c r="C441" i="10"/>
  <c r="C442" i="10"/>
  <c r="C443" i="10"/>
  <c r="C444" i="10"/>
  <c r="C445" i="10"/>
  <c r="C446" i="10"/>
  <c r="C447" i="10"/>
  <c r="C448" i="10"/>
  <c r="C449" i="10"/>
  <c r="C450" i="10"/>
  <c r="C451" i="10"/>
  <c r="C452" i="10"/>
  <c r="C453" i="10"/>
  <c r="C454" i="10"/>
  <c r="C455" i="10"/>
  <c r="C456" i="10"/>
  <c r="C457" i="10"/>
  <c r="C458" i="10"/>
  <c r="C459" i="10"/>
  <c r="C460" i="10"/>
  <c r="C461" i="10"/>
  <c r="C462" i="10"/>
  <c r="C463" i="10"/>
  <c r="C464" i="10"/>
  <c r="C465" i="10"/>
  <c r="C466" i="10"/>
  <c r="C467" i="10"/>
  <c r="C468" i="10"/>
  <c r="C469" i="10"/>
  <c r="C470" i="10"/>
  <c r="C471" i="10"/>
  <c r="C472" i="10"/>
  <c r="C473" i="10"/>
  <c r="C474" i="10"/>
  <c r="C475" i="10"/>
  <c r="C476" i="10"/>
  <c r="C477" i="10"/>
  <c r="C478" i="10"/>
  <c r="C479" i="10"/>
  <c r="C480" i="10"/>
  <c r="C481" i="10"/>
  <c r="C482" i="10"/>
  <c r="C483" i="10"/>
  <c r="C484" i="10"/>
  <c r="C485" i="10"/>
  <c r="C486" i="10"/>
  <c r="C487" i="10"/>
  <c r="C488" i="10"/>
  <c r="C489" i="10"/>
  <c r="C490" i="10"/>
  <c r="C491" i="10"/>
  <c r="C492" i="10"/>
  <c r="C493" i="10"/>
  <c r="C494" i="10"/>
  <c r="C495" i="10"/>
  <c r="C496" i="10"/>
  <c r="C497" i="10"/>
  <c r="C498" i="10"/>
  <c r="C499" i="10"/>
  <c r="C500" i="10"/>
  <c r="C501" i="10"/>
  <c r="C502" i="10"/>
  <c r="C503" i="10"/>
  <c r="C504" i="10"/>
  <c r="C505" i="10"/>
  <c r="C506" i="10"/>
  <c r="C507" i="10"/>
  <c r="C508" i="10"/>
  <c r="C509" i="10"/>
  <c r="C510" i="10"/>
  <c r="C511" i="10"/>
  <c r="C512" i="10"/>
  <c r="C513" i="10"/>
  <c r="C514" i="10"/>
  <c r="C515" i="10"/>
  <c r="C516" i="10"/>
  <c r="C517" i="10"/>
  <c r="C518" i="10"/>
  <c r="C519" i="10"/>
  <c r="C520" i="10"/>
  <c r="C521" i="10"/>
  <c r="C522" i="10"/>
  <c r="C523" i="10"/>
  <c r="C524" i="10"/>
  <c r="C525" i="10"/>
  <c r="C526" i="10"/>
  <c r="C527" i="10"/>
  <c r="C528" i="10"/>
  <c r="C529" i="10"/>
  <c r="C530" i="10"/>
  <c r="C531" i="10"/>
  <c r="C532" i="10"/>
  <c r="C533" i="10"/>
  <c r="C534" i="10"/>
  <c r="C535" i="10"/>
  <c r="C536" i="10"/>
  <c r="C537" i="10"/>
  <c r="C538" i="10"/>
  <c r="C539" i="10"/>
  <c r="C540" i="10"/>
  <c r="C541" i="10"/>
  <c r="C542" i="10"/>
  <c r="C543" i="10"/>
  <c r="C544" i="10"/>
  <c r="C545" i="10"/>
  <c r="C546" i="10"/>
  <c r="C547" i="10"/>
  <c r="C548" i="10"/>
  <c r="C549" i="10"/>
  <c r="C550" i="10"/>
  <c r="C551" i="10"/>
  <c r="C552" i="10"/>
  <c r="C553" i="10"/>
  <c r="C554" i="10"/>
  <c r="C555" i="10"/>
  <c r="C556" i="10"/>
  <c r="C557" i="10"/>
  <c r="C558" i="10"/>
  <c r="C559" i="10"/>
  <c r="C560" i="10"/>
  <c r="C561" i="10"/>
  <c r="C562" i="10"/>
  <c r="C563" i="10"/>
  <c r="C564" i="10"/>
  <c r="C565" i="10"/>
  <c r="C566" i="10"/>
  <c r="C567" i="10"/>
  <c r="C568" i="10"/>
  <c r="C569" i="10"/>
  <c r="C570" i="10"/>
  <c r="C571" i="10"/>
  <c r="C572" i="10"/>
  <c r="C573" i="10"/>
  <c r="C574" i="10"/>
  <c r="C575" i="10"/>
  <c r="C576" i="10"/>
  <c r="C577" i="10"/>
  <c r="C578" i="10"/>
  <c r="C579" i="10"/>
  <c r="C580" i="10"/>
  <c r="C581" i="10"/>
  <c r="C582" i="10"/>
  <c r="C583" i="10"/>
  <c r="C584" i="10"/>
  <c r="C585" i="10"/>
  <c r="C586" i="10"/>
  <c r="C587" i="10"/>
  <c r="C588" i="10"/>
  <c r="C589" i="10"/>
  <c r="C590" i="10"/>
  <c r="C591" i="10"/>
  <c r="C592" i="10"/>
  <c r="C593" i="10"/>
  <c r="C594" i="10"/>
  <c r="C595" i="10"/>
  <c r="C596" i="10"/>
  <c r="C597" i="10"/>
  <c r="C598" i="10"/>
  <c r="C599" i="10"/>
  <c r="C600" i="10"/>
  <c r="C601" i="10"/>
  <c r="C602" i="10"/>
  <c r="C603" i="10"/>
  <c r="C604" i="10"/>
  <c r="C605" i="10"/>
  <c r="C606" i="10"/>
  <c r="C607" i="10"/>
  <c r="C608" i="10"/>
  <c r="C609" i="10"/>
  <c r="C610" i="10"/>
  <c r="C611" i="10"/>
  <c r="C612" i="10"/>
  <c r="C613" i="10"/>
  <c r="C614" i="10"/>
  <c r="C615" i="10"/>
  <c r="C616" i="10"/>
  <c r="C617" i="10"/>
  <c r="C618" i="10"/>
  <c r="C619" i="10"/>
  <c r="C620" i="10"/>
  <c r="C621" i="10"/>
  <c r="C622" i="10"/>
  <c r="C623" i="10"/>
  <c r="C624" i="10"/>
  <c r="C625" i="10"/>
  <c r="C626" i="10"/>
  <c r="C627" i="10"/>
  <c r="C628" i="10"/>
  <c r="C629" i="10"/>
  <c r="C630" i="10"/>
  <c r="C631" i="10"/>
  <c r="C632" i="10"/>
  <c r="C633" i="10"/>
  <c r="C634" i="10"/>
  <c r="C635" i="10"/>
  <c r="C636" i="10"/>
  <c r="C637" i="10"/>
  <c r="C638" i="10"/>
  <c r="C639" i="10"/>
  <c r="C640" i="10"/>
  <c r="C641" i="10"/>
  <c r="C642" i="10"/>
  <c r="C643" i="10"/>
  <c r="C644" i="10"/>
  <c r="C645" i="10"/>
  <c r="C646" i="10"/>
  <c r="C647" i="10"/>
  <c r="C648" i="10"/>
  <c r="C649" i="10"/>
  <c r="C650" i="10"/>
  <c r="C651" i="10"/>
  <c r="C652" i="10"/>
  <c r="C653" i="10"/>
  <c r="C654" i="10"/>
  <c r="C655" i="10"/>
  <c r="C656" i="10"/>
  <c r="C657" i="10"/>
  <c r="C658" i="10"/>
  <c r="C659" i="10"/>
  <c r="C660" i="10"/>
  <c r="C661" i="10"/>
  <c r="C662" i="10"/>
  <c r="C663" i="10"/>
  <c r="C664" i="10"/>
  <c r="C665" i="10"/>
  <c r="C666" i="10"/>
  <c r="C667" i="10"/>
  <c r="C668" i="10"/>
  <c r="C669" i="10"/>
  <c r="C670" i="10"/>
  <c r="C671" i="10"/>
  <c r="C672" i="10"/>
  <c r="C673" i="10"/>
  <c r="C674" i="10"/>
  <c r="C675" i="10"/>
  <c r="C676" i="10"/>
  <c r="C677" i="10"/>
  <c r="C678" i="10"/>
  <c r="C679" i="10"/>
  <c r="C680" i="10"/>
  <c r="C681" i="10"/>
  <c r="C682" i="10"/>
  <c r="C683" i="10"/>
  <c r="C684" i="10"/>
  <c r="C685" i="10"/>
  <c r="C686" i="10"/>
  <c r="C687" i="10"/>
  <c r="C688" i="10"/>
  <c r="C689" i="10"/>
  <c r="C690" i="10"/>
  <c r="C691" i="10"/>
  <c r="C692" i="10"/>
  <c r="C693" i="10"/>
  <c r="C694" i="10"/>
  <c r="C695" i="10"/>
  <c r="C696" i="10"/>
  <c r="C697" i="10"/>
  <c r="C698" i="10"/>
  <c r="C699" i="10"/>
  <c r="C700" i="10"/>
  <c r="C701" i="10"/>
  <c r="C702" i="10"/>
  <c r="C703" i="10"/>
  <c r="C704" i="10"/>
  <c r="C705" i="10"/>
  <c r="C706" i="10"/>
  <c r="C707" i="10"/>
  <c r="C708" i="10"/>
  <c r="C709" i="10"/>
  <c r="C710" i="10"/>
  <c r="C711" i="10"/>
  <c r="C712" i="10"/>
  <c r="C713" i="10"/>
  <c r="C714" i="10"/>
  <c r="C715" i="10"/>
  <c r="C716" i="10"/>
  <c r="C717" i="10"/>
  <c r="C718" i="10"/>
  <c r="C719" i="10"/>
  <c r="C720" i="10"/>
  <c r="C721" i="10"/>
  <c r="C722" i="10"/>
  <c r="C723" i="10"/>
  <c r="C724" i="10"/>
  <c r="C725" i="10"/>
  <c r="C726" i="10"/>
  <c r="C727" i="10"/>
  <c r="C728" i="10"/>
  <c r="C729" i="10"/>
  <c r="C730" i="10"/>
  <c r="C731" i="10"/>
  <c r="C732" i="10"/>
  <c r="C733" i="10"/>
  <c r="C734" i="10"/>
  <c r="C735" i="10"/>
  <c r="C736" i="10"/>
  <c r="C737" i="10"/>
  <c r="C738" i="10"/>
  <c r="C739" i="10"/>
  <c r="C740" i="10"/>
  <c r="C741" i="10"/>
  <c r="C742" i="10"/>
  <c r="C743" i="10"/>
  <c r="C744" i="10"/>
  <c r="C745" i="10"/>
  <c r="C746" i="10"/>
  <c r="C747" i="10"/>
  <c r="C748" i="10"/>
  <c r="C749" i="10"/>
  <c r="C750" i="10"/>
  <c r="C751" i="10"/>
  <c r="C752" i="10"/>
  <c r="C753" i="10"/>
  <c r="C754" i="10"/>
  <c r="C755" i="10"/>
  <c r="C756" i="10"/>
  <c r="C757" i="10"/>
  <c r="C758" i="10"/>
  <c r="C759" i="10"/>
  <c r="C760" i="10"/>
  <c r="C761" i="10"/>
  <c r="C762" i="10"/>
  <c r="C763" i="10"/>
  <c r="C764" i="10"/>
  <c r="C765" i="10"/>
  <c r="C766" i="10"/>
  <c r="C767" i="10"/>
  <c r="C768" i="10"/>
  <c r="C769" i="10"/>
  <c r="C770" i="10"/>
  <c r="C771" i="10"/>
  <c r="C772" i="10"/>
  <c r="C773" i="10"/>
  <c r="C774" i="10"/>
  <c r="C775" i="10"/>
  <c r="C776" i="10"/>
  <c r="C777" i="10"/>
  <c r="C778" i="10"/>
  <c r="C779" i="10"/>
  <c r="C780" i="10"/>
  <c r="C781" i="10"/>
  <c r="C782" i="10"/>
  <c r="C783" i="10"/>
  <c r="C784" i="10"/>
  <c r="C785" i="10"/>
  <c r="C786" i="10"/>
  <c r="C787" i="10"/>
  <c r="C788" i="10"/>
  <c r="C789" i="10"/>
  <c r="C790" i="10"/>
  <c r="C791" i="10"/>
  <c r="C792" i="10"/>
  <c r="C793" i="10"/>
  <c r="C794" i="10"/>
  <c r="C795" i="10"/>
  <c r="C796" i="10"/>
  <c r="C797" i="10"/>
  <c r="C798" i="10"/>
  <c r="C799" i="10"/>
  <c r="C800" i="10"/>
  <c r="C801" i="10"/>
  <c r="C802" i="10"/>
  <c r="C803" i="10"/>
  <c r="C804" i="10"/>
  <c r="C805" i="10"/>
  <c r="C806" i="10"/>
  <c r="C807" i="10"/>
  <c r="C808" i="10"/>
  <c r="C809" i="10"/>
  <c r="C810" i="10"/>
  <c r="C811" i="10"/>
  <c r="C812" i="10"/>
  <c r="C813" i="10"/>
  <c r="C814" i="10"/>
  <c r="C815" i="10"/>
  <c r="C816" i="10"/>
  <c r="C817" i="10"/>
  <c r="C818" i="10"/>
  <c r="C819" i="10"/>
  <c r="C820" i="10"/>
  <c r="C821" i="10"/>
  <c r="C822" i="10"/>
  <c r="C823" i="10"/>
  <c r="C824" i="10"/>
  <c r="C825" i="10"/>
  <c r="C826" i="10"/>
  <c r="C827" i="10"/>
  <c r="C828" i="10"/>
  <c r="C829" i="10"/>
  <c r="C830" i="10"/>
  <c r="C831" i="10"/>
  <c r="C832" i="10"/>
  <c r="C833" i="10"/>
  <c r="C834" i="10"/>
  <c r="C835" i="10"/>
  <c r="C836" i="10"/>
  <c r="C837" i="10"/>
  <c r="C838" i="10"/>
  <c r="C839" i="10"/>
  <c r="C840" i="10"/>
  <c r="C841" i="10"/>
  <c r="C842" i="10"/>
  <c r="C843" i="10"/>
  <c r="C844" i="10"/>
  <c r="C845" i="10"/>
  <c r="C846" i="10"/>
  <c r="C847" i="10"/>
  <c r="C848" i="10"/>
  <c r="C849" i="10"/>
  <c r="C850" i="10"/>
  <c r="C851" i="10"/>
  <c r="C852" i="10"/>
  <c r="C853" i="10"/>
  <c r="C854" i="10"/>
  <c r="C855" i="10"/>
  <c r="C856" i="10"/>
  <c r="C857" i="10"/>
  <c r="C858" i="10"/>
  <c r="C859" i="10"/>
  <c r="C860" i="10"/>
  <c r="C861" i="10"/>
  <c r="C862" i="10"/>
  <c r="C863" i="10"/>
  <c r="C864" i="10"/>
  <c r="C865" i="10"/>
  <c r="C866" i="10"/>
  <c r="C867" i="10"/>
  <c r="C868" i="10"/>
  <c r="C869" i="10"/>
  <c r="C870" i="10"/>
  <c r="C871" i="10"/>
  <c r="C872" i="10"/>
  <c r="C873" i="10"/>
  <c r="C874" i="10"/>
  <c r="C875" i="10"/>
  <c r="C876" i="10"/>
  <c r="C877" i="10"/>
  <c r="C878" i="10"/>
  <c r="C879" i="10"/>
  <c r="C880" i="10"/>
  <c r="C881" i="10"/>
  <c r="C882" i="10"/>
  <c r="C883" i="10"/>
  <c r="C884" i="10"/>
  <c r="C885" i="10"/>
  <c r="C886" i="10"/>
  <c r="C887" i="10"/>
  <c r="C888" i="10"/>
  <c r="C889" i="10"/>
  <c r="C890" i="10"/>
  <c r="C891" i="10"/>
  <c r="C892" i="10"/>
  <c r="C893" i="10"/>
  <c r="C894" i="10"/>
  <c r="C895" i="10"/>
  <c r="C896" i="10"/>
  <c r="C897" i="10"/>
  <c r="C898" i="10"/>
  <c r="C899" i="10"/>
  <c r="C900" i="10"/>
  <c r="C901" i="10"/>
  <c r="C902" i="10"/>
  <c r="C903" i="10"/>
  <c r="C904" i="10"/>
  <c r="C905" i="10"/>
  <c r="C906" i="10"/>
  <c r="C907" i="10"/>
  <c r="C908" i="10"/>
  <c r="C909" i="10"/>
  <c r="C910" i="10"/>
  <c r="C911" i="10"/>
  <c r="C912" i="10"/>
  <c r="C913" i="10"/>
  <c r="C914" i="10"/>
  <c r="C915" i="10"/>
  <c r="C916" i="10"/>
  <c r="C917" i="10"/>
  <c r="C918" i="10"/>
  <c r="C919" i="10"/>
  <c r="C920" i="10"/>
  <c r="C921" i="10"/>
  <c r="C922" i="10"/>
  <c r="C923" i="10"/>
  <c r="C924" i="10"/>
  <c r="C925" i="10"/>
  <c r="C926" i="10"/>
  <c r="C927" i="10"/>
  <c r="C928" i="10"/>
  <c r="C929" i="10"/>
  <c r="C930" i="10"/>
  <c r="C931" i="10"/>
  <c r="C932" i="10"/>
  <c r="C933" i="10"/>
  <c r="C934" i="10"/>
  <c r="C935" i="10"/>
  <c r="C936" i="10"/>
  <c r="C937" i="10"/>
  <c r="C938" i="10"/>
  <c r="C939" i="10"/>
  <c r="C940" i="10"/>
  <c r="C941" i="10"/>
  <c r="C942" i="10"/>
  <c r="C943" i="10"/>
  <c r="C944" i="10"/>
  <c r="C945" i="10"/>
  <c r="C946" i="10"/>
  <c r="C947" i="10"/>
  <c r="C948" i="10"/>
  <c r="C949" i="10"/>
  <c r="C950" i="10"/>
  <c r="C951" i="10"/>
  <c r="C952" i="10"/>
  <c r="C953" i="10"/>
  <c r="C954" i="10"/>
  <c r="C955" i="10"/>
  <c r="C956" i="10"/>
  <c r="C957" i="10"/>
  <c r="C958" i="10"/>
  <c r="C959" i="10"/>
  <c r="C960" i="10"/>
  <c r="C961" i="10"/>
  <c r="C962" i="10"/>
  <c r="C963" i="10"/>
  <c r="C964" i="10"/>
  <c r="C965" i="10"/>
  <c r="C966" i="10"/>
  <c r="C967" i="10"/>
  <c r="C968" i="10"/>
  <c r="C969" i="10"/>
  <c r="C970" i="10"/>
  <c r="C971" i="10"/>
  <c r="C972" i="10"/>
  <c r="C973" i="10"/>
  <c r="C974" i="10"/>
  <c r="C975" i="10"/>
  <c r="C976" i="10"/>
  <c r="C977" i="10"/>
  <c r="C978" i="10"/>
  <c r="C979" i="10"/>
  <c r="C980" i="10"/>
  <c r="C981" i="10"/>
  <c r="C982" i="10"/>
  <c r="C983" i="10"/>
  <c r="C984" i="10"/>
  <c r="C985" i="10"/>
  <c r="C986" i="10"/>
  <c r="C987" i="10"/>
  <c r="C988" i="10"/>
  <c r="C989" i="10"/>
  <c r="C990" i="10"/>
  <c r="C991" i="10"/>
  <c r="C992" i="10"/>
  <c r="C993" i="10"/>
  <c r="C994" i="10"/>
  <c r="C995" i="10"/>
  <c r="C996" i="10"/>
  <c r="C997" i="10"/>
  <c r="C998" i="10"/>
  <c r="C999" i="10"/>
  <c r="C1000" i="10"/>
  <c r="C1001" i="10"/>
  <c r="C1002" i="10"/>
  <c r="C1003" i="10"/>
  <c r="C1004" i="10"/>
  <c r="C1005" i="10"/>
  <c r="C1006" i="10"/>
  <c r="C1007" i="10"/>
  <c r="C1008" i="10"/>
  <c r="C1009" i="10"/>
  <c r="C1010" i="10"/>
  <c r="C1011" i="10"/>
  <c r="C1012" i="10"/>
  <c r="C1013" i="10"/>
  <c r="C1014" i="10"/>
  <c r="C1015" i="10"/>
  <c r="C1016" i="10"/>
  <c r="C1017" i="1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<sst xmlns="http://schemas.openxmlformats.org/spreadsheetml/2006/main" count="2062" uniqueCount="387">
  <si>
    <t>SI (N-m)</t>
  </si>
  <si>
    <t>Unitweight</t>
  </si>
  <si>
    <t>Concrete</t>
  </si>
  <si>
    <t>Rebar</t>
  </si>
  <si>
    <t>Default Units</t>
  </si>
  <si>
    <t>Value</t>
  </si>
  <si>
    <t>Nonlinear Analysis</t>
  </si>
  <si>
    <t>P-Delta</t>
  </si>
  <si>
    <t>Material Type</t>
  </si>
  <si>
    <t>Steel</t>
  </si>
  <si>
    <t>Material Name</t>
  </si>
  <si>
    <t>E</t>
  </si>
  <si>
    <t>nu</t>
  </si>
  <si>
    <t>RC30</t>
  </si>
  <si>
    <t>Rebar420</t>
  </si>
  <si>
    <t>Material Model</t>
  </si>
  <si>
    <t>RC Unconfined</t>
  </si>
  <si>
    <t>RC Confined</t>
  </si>
  <si>
    <t>Rebar420NL</t>
  </si>
  <si>
    <t>NL Material Name</t>
  </si>
  <si>
    <t>Integration Type for Distributed Plasticity</t>
  </si>
  <si>
    <t>Integration Type for Concentrated Plasticity</t>
  </si>
  <si>
    <t>Lobatto</t>
  </si>
  <si>
    <t>Section Shape</t>
  </si>
  <si>
    <t>Section Name</t>
  </si>
  <si>
    <t>Load Case Type</t>
  </si>
  <si>
    <t>Rectangular</t>
  </si>
  <si>
    <t>D</t>
  </si>
  <si>
    <t>L</t>
  </si>
  <si>
    <t>Lr</t>
  </si>
  <si>
    <t>W</t>
  </si>
  <si>
    <t>Section Model</t>
  </si>
  <si>
    <t>C1</t>
  </si>
  <si>
    <t>B1</t>
  </si>
  <si>
    <t>Base Section</t>
  </si>
  <si>
    <t>Integration Type</t>
  </si>
  <si>
    <t>Material 2</t>
  </si>
  <si>
    <t>Material 3</t>
  </si>
  <si>
    <t>cover</t>
  </si>
  <si>
    <t>nBarsTop</t>
  </si>
  <si>
    <t>nBarsBot</t>
  </si>
  <si>
    <t>nBarsInt</t>
  </si>
  <si>
    <t>barDiaHoop</t>
  </si>
  <si>
    <t>barDiaTop</t>
  </si>
  <si>
    <t>barDiaBot</t>
  </si>
  <si>
    <t>barDiaInt</t>
  </si>
  <si>
    <t>C1_Fiber</t>
  </si>
  <si>
    <t>Aggregated Section</t>
  </si>
  <si>
    <t>t</t>
  </si>
  <si>
    <t>S1</t>
  </si>
  <si>
    <t>X</t>
  </si>
  <si>
    <t>Y</t>
  </si>
  <si>
    <t>Z</t>
  </si>
  <si>
    <t>Element Type</t>
  </si>
  <si>
    <t>Column</t>
  </si>
  <si>
    <t>Beam</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</si>
  <si>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</si>
  <si>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</si>
  <si>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</si>
  <si>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</si>
  <si>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</si>
  <si>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</si>
  <si>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</si>
  <si>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</si>
  <si>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</si>
  <si>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</si>
  <si>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</si>
  <si>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</si>
  <si>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</si>
  <si>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</si>
  <si>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</si>
  <si>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</si>
  <si>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</si>
  <si>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</si>
  <si>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</si>
  <si>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</si>
  <si>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</si>
  <si>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</si>
  <si>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</si>
  <si>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</si>
  <si>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</si>
  <si>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</si>
  <si>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</si>
  <si>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</si>
  <si>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</si>
  <si>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</si>
  <si>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</si>
  <si>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</si>
  <si>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</si>
  <si>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</si>
  <si>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</si>
  <si>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</si>
  <si>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</si>
  <si>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</si>
  <si>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</si>
  <si>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</si>
  <si>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</si>
  <si>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</si>
  <si>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</si>
  <si>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</si>
  <si>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</si>
  <si>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</si>
  <si>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</si>
  <si>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</si>
  <si>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</si>
  <si>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</si>
  <si>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</si>
  <si>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</si>
  <si>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</si>
  <si>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</si>
  <si>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</si>
  <si>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</si>
  <si>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</si>
  <si>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</si>
  <si>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</si>
  <si>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</si>
  <si>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</si>
  <si>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</si>
  <si>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</si>
  <si>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</si>
  <si>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</si>
  <si>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</si>
  <si>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</si>
  <si>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</si>
  <si>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</si>
  <si>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</si>
  <si>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</si>
  <si>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</si>
  <si>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</si>
  <si>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</si>
  <si>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</si>
  <si>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</si>
  <si>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</si>
  <si>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</si>
  <si>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</si>
  <si>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</si>
  <si>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</si>
  <si>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</si>
  <si>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</si>
  <si>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</si>
  <si>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</si>
  <si>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</si>
  <si>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</si>
  <si>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</si>
  <si>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</si>
  <si>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</si>
  <si>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</si>
  <si>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</si>
  <si>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</si>
  <si>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</si>
  <si>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</si>
  <si>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</si>
  <si>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</si>
  <si>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</si>
  <si>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</si>
  <si>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</si>
  <si>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</si>
  <si>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</si>
  <si>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</si>
  <si>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</si>
  <si>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</si>
  <si>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</si>
  <si>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</si>
  <si>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</si>
  <si>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</si>
  <si>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</si>
  <si>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</si>
  <si>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</si>
  <si>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</si>
  <si>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</si>
  <si>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</si>
  <si>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</si>
  <si>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 R0: Parameters to control the transition from elastic to plastic branches, recommended value = 10-20 (Input as Integer)</t>
  </si>
  <si>
    <t>- cR1: Parameters to control the transition from elastic to plastic branches, recommended value = 0.925 (Input as Float)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</si>
  <si>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</si>
  <si>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</si>
  <si>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</si>
  <si>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</si>
  <si>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</si>
  <si>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ecmax: Maximum compression strain (Input as Float)</t>
  </si>
  <si>
    <t>- etmax: Maximum tension strain (Input as Float)</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</si>
  <si>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</si>
  <si>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</si>
  <si>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</si>
  <si>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</si>
  <si>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</si>
  <si>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</si>
  <si>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</si>
  <si>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</si>
  <si>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</si>
  <si>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</si>
  <si>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</si>
  <si>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</si>
  <si>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</si>
  <si>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</si>
  <si>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</si>
  <si>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</si>
  <si>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</si>
  <si>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</si>
  <si>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</si>
  <si>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</si>
  <si>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</si>
  <si>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</si>
  <si>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</si>
  <si>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</si>
  <si>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</si>
  <si>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</si>
  <si>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</si>
  <si>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Section Model: Opensees section model</t>
  </si>
  <si>
    <t>- Element Type: Type of element (Choose from the list)</t>
  </si>
  <si>
    <t>- Section Name: Name of fiber section (Input as String)</t>
  </si>
  <si>
    <t>- Base Section: Base section of fiber section (Choose from the list)</t>
  </si>
  <si>
    <t>- Integration Type: Numerical integration formulation of fiber section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</si>
  <si>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</si>
  <si>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</si>
  <si>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</si>
  <si>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</si>
  <si>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</si>
  <si>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Plasticity Model</t>
  </si>
  <si>
    <t>Model Dimensional Space</t>
  </si>
  <si>
    <t>Concentrated Plasticity (with Zero length element)</t>
  </si>
  <si>
    <t>Concentrated Plasticity (Element with hinge)</t>
  </si>
  <si>
    <t>Fibre Model</t>
  </si>
  <si>
    <t>No</t>
  </si>
  <si>
    <t>- Project Name: Name of the project (Input as String)</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</si>
  <si>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</si>
  <si>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</si>
  <si>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</si>
  <si>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</si>
  <si>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</si>
  <si>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</si>
  <si>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</si>
  <si>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</si>
  <si>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</si>
  <si>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</si>
  <si>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</si>
  <si>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</si>
  <si>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</si>
  <si>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</si>
  <si>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</si>
  <si>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</si>
  <si>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</si>
  <si>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</si>
  <si>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</si>
  <si>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</si>
  <si>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</si>
  <si>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</si>
  <si>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</si>
  <si>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</si>
  <si>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</si>
  <si>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</si>
  <si>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</si>
  <si>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</si>
  <si>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</si>
  <si>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</si>
  <si>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</si>
  <si>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</si>
  <si>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</si>
  <si>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</si>
  <si>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</si>
  <si>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</si>
  <si>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Material 4</t>
  </si>
  <si>
    <t>Material 5</t>
  </si>
  <si>
    <t>Material 6</t>
  </si>
  <si>
    <t>- Keep empty on unused Material columns</t>
  </si>
  <si>
    <t>- Material 2: Material 2 of fiber section, if fiber section is concrete, set this column with material of concrete cover (Choose from the list)</t>
  </si>
  <si>
    <t>- Material 3: Material 3 of fiber section, if fiber section is concrete, set this column with material of reinforcement (Choose from the list)</t>
  </si>
  <si>
    <t>- Material : Material 1 of section aggregator refers to "P" Axial force-deformation. Multiple or all force-deformation relationship can be used together but there is no interaction between responses (Choose from the list)</t>
  </si>
  <si>
    <t>- Material 3 : Material 3 of section aggregator refers to "Vy" Shear force-deformation along section local y-axis (Choose from the list)</t>
  </si>
  <si>
    <t>- Material 2 : Material 2 of section aggregator refers to "Mz" Moment-curvature about section local z-axis (Choose from the list)</t>
  </si>
  <si>
    <t>- Material 4 : Material 4 of section aggregator refers to "My" Moment-curvature about section local y-axis (Choose from the list)</t>
  </si>
  <si>
    <t>- Material 5 : Material 5 of section aggregator refers to "Vz" Shear force-deformation along section local z-axis (Choose from the list)</t>
  </si>
  <si>
    <t>- Material 6 : Material 6 of section aggregator refers to "T" Torsion Force-Deformation (Choose from the list)</t>
  </si>
  <si>
    <r>
      <t xml:space="preserve">- Aggregated Section: Name of section which the Materials are aggregated as additional force-deformation relationship, </t>
    </r>
    <r>
      <rPr>
        <b/>
        <sz val="12"/>
        <color theme="1"/>
        <rFont val="Aptos Narrow"/>
        <family val="2"/>
        <scheme val="minor"/>
      </rPr>
      <t>Optional</t>
    </r>
    <r>
      <rPr>
        <sz val="12"/>
        <color theme="1"/>
        <rFont val="Aptos Narrow"/>
        <family val="2"/>
        <scheme val="minor"/>
      </rPr>
      <t xml:space="preserve"> (Choose from the list)</t>
    </r>
  </si>
  <si>
    <r>
      <t xml:space="preserve">- Base Section: Base section of section aggregator, </t>
    </r>
    <r>
      <rPr>
        <b/>
        <sz val="12"/>
        <color theme="1"/>
        <rFont val="Aptos Narrow"/>
        <family val="2"/>
        <scheme val="minor"/>
      </rPr>
      <t>Mandatory</t>
    </r>
    <r>
      <rPr>
        <sz val="12"/>
        <color theme="1"/>
        <rFont val="Aptos Narrow"/>
        <family val="2"/>
        <scheme val="minor"/>
      </rPr>
      <t xml:space="preserve"> (Choose from the list)</t>
    </r>
  </si>
  <si>
    <t>- Material: Material of slab section (Choose from the list)</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</si>
  <si>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</si>
  <si>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</si>
  <si>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</si>
  <si>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</si>
  <si>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FX</t>
  </si>
  <si>
    <t>FY</t>
  </si>
  <si>
    <t>FZ</t>
  </si>
  <si>
    <t>MX</t>
  </si>
  <si>
    <t>MY</t>
  </si>
  <si>
    <t>MZ</t>
  </si>
  <si>
    <t>Load Case</t>
  </si>
  <si>
    <t>Line</t>
  </si>
  <si>
    <t>Gravity</t>
  </si>
  <si>
    <t>Direction</t>
  </si>
  <si>
    <t>- Point: Point name to be subjected point load (Choose from the list)</t>
  </si>
  <si>
    <t>- Load Case: Load case of subjected point load (Choose from the list)</t>
  </si>
  <si>
    <t>- Line: Line name to be subjected line point load (Choose from the list)</t>
  </si>
  <si>
    <t>- Load Case: Load case of subjected line point load (Choose from the list)</t>
  </si>
  <si>
    <t>Surface</t>
  </si>
  <si>
    <t>- Surface: Surface name to be subjected surface load (Choose from the list)</t>
  </si>
  <si>
    <t>Load</t>
  </si>
  <si>
    <t>- Load Case: Load case of subjected surface load (Choose from the list)</t>
  </si>
  <si>
    <t>- Direction: Direction of subjected surface load (Choose from the list)</t>
  </si>
  <si>
    <t>Load 1</t>
  </si>
  <si>
    <t>Load 2</t>
  </si>
  <si>
    <t>Load 3</t>
  </si>
  <si>
    <t>Load 4</t>
  </si>
  <si>
    <t>Location 1</t>
  </si>
  <si>
    <t>Location 2</t>
  </si>
  <si>
    <t>Location 3</t>
  </si>
  <si>
    <t>Location 4</t>
  </si>
  <si>
    <t>Uniform Load</t>
  </si>
  <si>
    <t>- Line: Line name to be subjected distributed line load (Choose from the list)</t>
  </si>
  <si>
    <t>- Load Case: Load case of subjected distributed line load (Choose from the list)</t>
  </si>
  <si>
    <t>- Direction: Direction of all subjected line point load (Load 1 - Load 4) (Choose from the list)</t>
  </si>
  <si>
    <t>- Direction: Direction of all subjected distributed line load (Uniform, Load 1 - Load 4) (Choose from the list)</t>
  </si>
  <si>
    <t>- Material: Material 1 of fiber section (main material), if fiber section is concrete, set this column with material of concrete core (Choose from the list)</t>
  </si>
  <si>
    <t>3D-Space</t>
  </si>
  <si>
    <t>Elastic</t>
  </si>
  <si>
    <t>Concrete04</t>
  </si>
  <si>
    <t>Steel02</t>
  </si>
  <si>
    <t>Material Model Concrete</t>
  </si>
  <si>
    <t>Material Model Steel</t>
  </si>
  <si>
    <t>Material Model Hysteretic</t>
  </si>
  <si>
    <t>IMKBilinear</t>
  </si>
  <si>
    <t>IMKPinching</t>
  </si>
  <si>
    <t>Spring</t>
  </si>
  <si>
    <t>Prop1</t>
  </si>
  <si>
    <t>Prop2</t>
  </si>
  <si>
    <t>Prop3</t>
  </si>
  <si>
    <t>Prop4</t>
  </si>
  <si>
    <t>Prop5</t>
  </si>
  <si>
    <t>Prop6</t>
  </si>
  <si>
    <t>Prop7</t>
  </si>
  <si>
    <t>Prop8</t>
  </si>
  <si>
    <t>Prop9</t>
  </si>
  <si>
    <t>Prop10</t>
  </si>
  <si>
    <t>Prop11</t>
  </si>
  <si>
    <t>Prop12</t>
  </si>
  <si>
    <t>Prop13</t>
  </si>
  <si>
    <t>Prop14</t>
  </si>
  <si>
    <t>Prop15</t>
  </si>
  <si>
    <t>Prop16</t>
  </si>
  <si>
    <t>Prop17</t>
  </si>
  <si>
    <t>Prop18</t>
  </si>
  <si>
    <t>Prop19</t>
  </si>
  <si>
    <t>Prop20</t>
  </si>
  <si>
    <t>Prop21</t>
  </si>
  <si>
    <t>Prop22</t>
  </si>
  <si>
    <t>Prop23</t>
  </si>
  <si>
    <t>Prop24</t>
  </si>
  <si>
    <t>Prop25</t>
  </si>
  <si>
    <t>Prop26</t>
  </si>
  <si>
    <t>Prop27</t>
  </si>
  <si>
    <t>Prop28</t>
  </si>
  <si>
    <t>Concrete04+MinMax</t>
  </si>
  <si>
    <t>Steel02+MinMax</t>
  </si>
  <si>
    <t>- Properties of Rebar/Steel + Steel02+MinMax: 1=fy, 2=fu, 3=eu, 4=b, 5=R0, 6=cR1, 7=cR2, 8=a1, 9=a2, 10=a3, 11=a4, 12=f_init, 13=ecmax, 14=etmax</t>
  </si>
  <si>
    <t>- Properties of Rebar/Steel + Steel02: 1=fy, 2=fu, 3=eu, 4=b, 5=R0, 6=cR1, 7=cR2, 8=a1, 9=a2, 10=a3, 11=a4, 12=f_init</t>
  </si>
  <si>
    <t>- Properties of Rebar/Steel + Elastic: 1=fy, 2=fu</t>
  </si>
  <si>
    <t>- Properties of Concrete + Concrete04+MinMax: 1=fc, 2=epsc, 3=epscu, 4=fct, 5=et, 6=beta, 7=ecmax, 8=etmax</t>
  </si>
  <si>
    <t>- Properties of Concrete + Concrete04: 1=fc, 2=epsc, 3=epscu, 4=fct, 5=et, 6=beta</t>
  </si>
  <si>
    <t>- Properties of Concrete + Elastic: 1=fc</t>
  </si>
  <si>
    <t>- Properties of Spring + IMKBilinear: 1=K0, 2=as_Pos, 3=as_Neg, 4=My_Pos, 5=My_Neg, 6=Mu_Pos, 7=Mu_Neg, 8=Lamda_S, 9=Lamda_C, 10=Lamda_A, 11=Lamda_K, 12=c_S, 13=c_C, 14=c_A, 15=c_K, 16=theta_p_Pos, 17=theta_p_Neg, 18=theta_pc_Pos, 19=theta_pc_Neg, 20=theta_u_Pos, 21=theta_u_Neg, 22=Res_Pos, 23=Res_Neg, 24=D_Pos, 25=D_Neg, 26=nFactor</t>
  </si>
  <si>
    <t>- Properties of Spring + IMKPeakOriented: 1=K0, 2=as_Pos, 3=as_Neg, 4=My_Pos, 5=My_Neg, 6=Mu_Pos, 7=Mu_Neg, 8=Lamda_S, 9=Lamda_C, 10=Lamda_A, 11=Lamda_K, 12=c_S, 13=c_C, 14=c_A, 15=c_K, 16=theta_p_Pos, 17=theta_p_Neg, 18=theta_pc_Pos, 19=theta_pc_Neg, 20=theta_u_Pos, 21=theta_u_Neg, 22=Res_Pos, 23=Res_Neg, 24=D_Pos, 25=D_Neg</t>
  </si>
  <si>
    <t>- Properties of Spring + IMKPinching: 1=K0, 2=as_Pos, 3=as_Neg, 4=My_Pos, 5=My_Neg, 6=Mu_Pos, 7=Mu_Neg, 8=Lamda_S, 9=Lamda_C, 10=Lamda_A, 11=Lamda_K, 12=c_S, 13=c_C, 14=c_A, 15=c_K, 16=theta_p_Pos, 17=theta_p_Neg, 18=theta_pc_Pos, 19=theta_pc_Neg, 20=theta_u_Pos, 21=theta_u_Neg, 22=Res_Pos, 23=Res_Neg, 24=D_Pos, 25=D_Neg, 26=Fpr_Pos, 27=Fpr_Neg, 28=A_pinch</t>
  </si>
  <si>
    <t>Elastic Material Name</t>
  </si>
  <si>
    <t>Fiber</t>
  </si>
  <si>
    <t>- Section Model: Opensees section model (Choose from the list)</t>
  </si>
  <si>
    <t>Spring Material Name</t>
  </si>
  <si>
    <t>Dim1</t>
  </si>
  <si>
    <t>Dim2</t>
  </si>
  <si>
    <t>Material2</t>
  </si>
  <si>
    <t>Material3</t>
  </si>
  <si>
    <t>C1Fiber</t>
  </si>
  <si>
    <t>FiberProp1</t>
  </si>
  <si>
    <t>FiberProp2</t>
  </si>
  <si>
    <t>FiberProp3</t>
  </si>
  <si>
    <t>FiberProp4</t>
  </si>
  <si>
    <t>FiberProp5</t>
  </si>
  <si>
    <t>FiberProp6</t>
  </si>
  <si>
    <t>FiberProp7</t>
  </si>
  <si>
    <t>FiberProp8</t>
  </si>
  <si>
    <t>- Material: Material 1 of section (main material), if fiber section is concrete, set this as material of concrete core (Choose from the list)</t>
  </si>
  <si>
    <t>- Material2: Material 2 of fiber section, if fiber section is concrete, set this as material of concrete cover (Choose from the list)</t>
  </si>
  <si>
    <t>- Material3: Material 3 of fiber section, if fiber section is concrete, set this as material of reinforcement (Choose from the list)</t>
  </si>
  <si>
    <t>- Keep red-colored cells with either blank or a value of 0.0</t>
  </si>
  <si>
    <t>- Dimension of rectangular: 1=h, 2=b</t>
  </si>
  <si>
    <t>- Fiber properties of section: 1=c, 2=barDiaHoop, 3=barDiaTop, 4=barDiaBot, 5=barDiaInt, 6=nBarsTop, 7=nBarsBot, 8=nBarsInt</t>
  </si>
  <si>
    <t>C1Fiber_Agg</t>
  </si>
  <si>
    <t>Hinge Radau</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</si>
</sst>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00"/>
    <numFmt numFmtId="166" formatCode="0.0"/>
    <numFmt numFmtId="167" formatCode="0.#####"/>
    <numFmt numFmtId="169" formatCode="0.####"/>
  </numFmts>
  <fonts count="17"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
      <sz val="12"/>
      <color rgb="FF000000"/>
      <name val="Aptos Narrow"/>
      <family val="2"/>
      <scheme val="minor"/>
    </font>
    <font>
      <b/>
      <sz val="12"/>
      <color theme="1"/>
      <name val="Aptos Narrow"/>
      <scheme val="minor"/>
    </font>
    <font>
      <sz val="12"/>
      <color theme="1"/>
      <name val="Aptos Narrow"/>
      <scheme val="minor"/>
    </font>
  </fonts>
  <fills count="4">
    <fill>
      <patternFill patternType="none"/>
    </fill>
    <fill>
      <patternFill patternType="gray125"/>
    </fill>
    <fill>
      <patternFill patternType="solid">
        <fgColor theme="0" tint="-0.14999847407452621"/>
        <bgColor indexed="64"/>
      </patternFill>
    </fill>
    <fill>
      <patternFill patternType="solid">
        <fgColor rgb="FFD9D9D9"/>
        <bgColor rgb="FF000000"/>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49">
    <xf numFmtId="0" fontId="0" fillId="0" borderId="0" xfId="0"/>
    <xf numFmtId="0" fontId="9" fillId="0" borderId="0" xfId="0" applyFont="1" applyAlignment="1">
      <alignment horizontal="center"/>
    </xf>
    <xf numFmtId="0" fontId="10" fillId="0" borderId="0" xfId="0" applyFont="1" applyAlignment="1">
      <alignment horizontal="center"/>
    </xf>
    <xf numFmtId="0" fontId="9" fillId="0" borderId="0" xfId="0" applyFont="1"/>
    <xf numFmtId="2" fontId="9" fillId="0" borderId="0" xfId="0" applyNumberFormat="1" applyFont="1"/>
    <xf numFmtId="164" fontId="9" fillId="0" borderId="0" xfId="0" applyNumberFormat="1" applyFont="1"/>
    <xf numFmtId="1" fontId="9" fillId="0" borderId="0" xfId="0" applyNumberFormat="1" applyFont="1"/>
    <xf numFmtId="0" fontId="11" fillId="0" borderId="0" xfId="0" applyFont="1"/>
    <xf numFmtId="0" fontId="11" fillId="0" borderId="0" xfId="0" applyFont="1" applyAlignment="1">
      <alignment horizontal="center"/>
    </xf>
    <xf numFmtId="49" fontId="9" fillId="0" borderId="0" xfId="0" applyNumberFormat="1" applyFont="1"/>
    <xf numFmtId="0" fontId="11" fillId="0" borderId="0" xfId="0" applyFont="1" applyAlignment="1">
      <alignment horizontal="center" vertical="top"/>
    </xf>
    <xf numFmtId="0" fontId="8" fillId="0" borderId="0" xfId="0" applyFont="1" applyAlignment="1">
      <alignment vertical="top"/>
    </xf>
    <xf numFmtId="0" fontId="8" fillId="0" borderId="0" xfId="0" applyFont="1" applyAlignment="1">
      <alignment vertical="top" wrapText="1"/>
    </xf>
    <xf numFmtId="49" fontId="8" fillId="0" borderId="0" xfId="0" applyNumberFormat="1" applyFont="1" applyAlignment="1">
      <alignment vertical="top"/>
    </xf>
    <xf numFmtId="0" fontId="11" fillId="2" borderId="1" xfId="0" applyFont="1" applyFill="1" applyBorder="1" applyAlignment="1">
      <alignment horizontal="center" vertical="top"/>
    </xf>
    <xf numFmtId="0" fontId="8" fillId="2" borderId="1" xfId="0" applyFont="1" applyFill="1" applyBorder="1" applyAlignment="1">
      <alignment vertical="top"/>
    </xf>
    <xf numFmtId="0" fontId="10" fillId="2" borderId="2" xfId="0" applyFont="1" applyFill="1" applyBorder="1" applyAlignment="1">
      <alignment vertical="top"/>
    </xf>
    <xf numFmtId="0" fontId="8" fillId="2" borderId="3" xfId="0" applyFont="1" applyFill="1" applyBorder="1" applyAlignment="1">
      <alignment vertical="top"/>
    </xf>
    <xf numFmtId="0" fontId="8" fillId="2" borderId="5" xfId="0" applyFont="1" applyFill="1" applyBorder="1" applyAlignment="1">
      <alignment vertical="top"/>
    </xf>
    <xf numFmtId="0" fontId="7" fillId="2" borderId="6" xfId="0" quotePrefix="1" applyFont="1" applyFill="1" applyBorder="1" applyAlignment="1">
      <alignment vertical="top"/>
    </xf>
    <xf numFmtId="0" fontId="8" fillId="2" borderId="7" xfId="0" applyFont="1" applyFill="1" applyBorder="1" applyAlignment="1">
      <alignment vertical="top"/>
    </xf>
    <xf numFmtId="0" fontId="7" fillId="0" borderId="1" xfId="0" applyFont="1" applyBorder="1" applyAlignment="1" applyProtection="1">
      <alignment vertical="top"/>
      <protection locked="0"/>
    </xf>
    <xf numFmtId="0" fontId="7" fillId="0" borderId="1" xfId="0" applyFont="1" applyBorder="1" applyAlignment="1" applyProtection="1">
      <alignment vertical="top" wrapText="1"/>
      <protection locked="0"/>
    </xf>
    <xf numFmtId="0" fontId="7" fillId="2" borderId="1" xfId="0" applyFont="1" applyFill="1" applyBorder="1" applyAlignment="1">
      <alignment vertical="top"/>
    </xf>
    <xf numFmtId="0" fontId="7" fillId="2" borderId="1" xfId="0" applyFont="1" applyFill="1" applyBorder="1"/>
    <xf numFmtId="49" fontId="8" fillId="0" borderId="1" xfId="0" applyNumberFormat="1" applyFont="1" applyBorder="1" applyAlignment="1" applyProtection="1">
      <alignment horizontal="center" vertical="top"/>
      <protection locked="0"/>
    </xf>
    <xf numFmtId="49" fontId="9" fillId="0" borderId="1" xfId="0" applyNumberFormat="1" applyFont="1" applyBorder="1" applyAlignment="1" applyProtection="1">
      <alignment horizontal="center"/>
      <protection locked="0"/>
    </xf>
    <xf numFmtId="0" fontId="7" fillId="2" borderId="4" xfId="0" quotePrefix="1" applyFont="1" applyFill="1" applyBorder="1" applyAlignment="1">
      <alignment vertical="top"/>
    </xf>
    <xf numFmtId="0" fontId="10" fillId="2" borderId="1" xfId="0" applyFont="1" applyFill="1" applyBorder="1" applyAlignment="1">
      <alignment horizontal="center"/>
    </xf>
    <xf numFmtId="0" fontId="11" fillId="2" borderId="1" xfId="0" applyFont="1" applyFill="1" applyBorder="1" applyAlignment="1">
      <alignment horizontal="center"/>
    </xf>
    <xf numFmtId="0" fontId="10" fillId="2" borderId="2" xfId="0" applyFont="1" applyFill="1" applyBorder="1" applyAlignment="1">
      <alignment horizontal="left"/>
    </xf>
    <xf numFmtId="0" fontId="9" fillId="0" borderId="0" xfId="0" applyFont="1" applyAlignment="1">
      <alignment horizontal="left"/>
    </xf>
    <xf numFmtId="49" fontId="8" fillId="2" borderId="8" xfId="0" applyNumberFormat="1" applyFont="1" applyFill="1" applyBorder="1" applyAlignment="1">
      <alignment vertical="top"/>
    </xf>
    <xf numFmtId="0" fontId="8" fillId="2" borderId="8" xfId="0" applyFont="1" applyFill="1" applyBorder="1" applyAlignment="1">
      <alignment vertical="top"/>
    </xf>
    <xf numFmtId="49" fontId="8" fillId="2" borderId="9" xfId="0" applyNumberFormat="1" applyFont="1" applyFill="1" applyBorder="1" applyAlignment="1">
      <alignment vertical="top"/>
    </xf>
    <xf numFmtId="0" fontId="8" fillId="2" borderId="9" xfId="0" applyFont="1" applyFill="1" applyBorder="1" applyAlignment="1">
      <alignment vertical="top"/>
    </xf>
    <xf numFmtId="0" fontId="9" fillId="2" borderId="8" xfId="0" applyFont="1" applyFill="1" applyBorder="1" applyAlignment="1">
      <alignment horizontal="center"/>
    </xf>
    <xf numFmtId="0" fontId="9" fillId="2" borderId="3" xfId="0" applyFont="1" applyFill="1" applyBorder="1"/>
    <xf numFmtId="0" fontId="9" fillId="2" borderId="0" xfId="0" applyFont="1" applyFill="1" applyAlignment="1">
      <alignment horizontal="center"/>
    </xf>
    <xf numFmtId="0" fontId="9" fillId="2" borderId="5" xfId="0" applyFont="1" applyFill="1" applyBorder="1"/>
    <xf numFmtId="0" fontId="9" fillId="2" borderId="9" xfId="0" applyFont="1" applyFill="1" applyBorder="1" applyAlignment="1">
      <alignment horizontal="center"/>
    </xf>
    <xf numFmtId="0" fontId="9" fillId="2" borderId="7" xfId="0" applyFont="1" applyFill="1" applyBorder="1"/>
    <xf numFmtId="0" fontId="9" fillId="0" borderId="0" xfId="0" applyFont="1" applyAlignment="1" applyProtection="1">
      <alignment horizontal="center"/>
      <protection locked="0"/>
    </xf>
    <xf numFmtId="2" fontId="9" fillId="2" borderId="8" xfId="0" applyNumberFormat="1" applyFont="1" applyFill="1" applyBorder="1"/>
    <xf numFmtId="0" fontId="4" fillId="2" borderId="4" xfId="0" quotePrefix="1" applyFont="1" applyFill="1" applyBorder="1" applyAlignment="1">
      <alignment horizontal="left"/>
    </xf>
    <xf numFmtId="2" fontId="9" fillId="2" borderId="9" xfId="0" applyNumberFormat="1" applyFont="1" applyFill="1" applyBorder="1"/>
    <xf numFmtId="2" fontId="9" fillId="0" borderId="0" xfId="0" applyNumberFormat="1" applyFont="1" applyProtection="1">
      <protection locked="0"/>
    </xf>
    <xf numFmtId="0" fontId="4" fillId="2" borderId="6" xfId="0" quotePrefix="1" applyFont="1" applyFill="1" applyBorder="1" applyAlignment="1">
      <alignment horizontal="left"/>
    </xf>
    <xf numFmtId="0" fontId="4" fillId="2" borderId="4" xfId="0" quotePrefix="1" applyFont="1" applyFill="1" applyBorder="1" applyAlignment="1">
      <alignment vertical="top"/>
    </xf>
    <xf numFmtId="49" fontId="8" fillId="2" borderId="0" xfId="0" applyNumberFormat="1" applyFont="1" applyFill="1" applyAlignment="1">
      <alignment vertical="top"/>
    </xf>
    <xf numFmtId="0" fontId="8" fillId="2" borderId="0" xfId="0" applyFont="1" applyFill="1" applyAlignment="1">
      <alignment vertical="top"/>
    </xf>
    <xf numFmtId="2" fontId="9" fillId="2" borderId="0" xfId="0" applyNumberFormat="1" applyFont="1" applyFill="1"/>
    <xf numFmtId="164" fontId="9" fillId="0" borderId="0" xfId="0" applyNumberFormat="1" applyFont="1" applyProtection="1">
      <protection locked="0"/>
    </xf>
    <xf numFmtId="0" fontId="10" fillId="0" borderId="0" xfId="0" applyFont="1" applyAlignment="1">
      <alignment horizontal="center" vertical="top"/>
    </xf>
    <xf numFmtId="0" fontId="9" fillId="0" borderId="0" xfId="0" applyFont="1" applyAlignment="1">
      <alignment horizontal="center" vertical="top"/>
    </xf>
    <xf numFmtId="0" fontId="7" fillId="0" borderId="0" xfId="0" applyFont="1" applyAlignment="1">
      <alignment horizontal="center" vertical="top"/>
    </xf>
    <xf numFmtId="0" fontId="10" fillId="0" borderId="0" xfId="0" applyFont="1" applyAlignment="1">
      <alignment horizontal="left" vertical="top"/>
    </xf>
    <xf numFmtId="0" fontId="7" fillId="0" borderId="0" xfId="0" applyFont="1" applyAlignment="1">
      <alignment vertical="top"/>
    </xf>
    <xf numFmtId="0" fontId="4" fillId="0" borderId="0" xfId="0" applyFont="1" applyAlignment="1">
      <alignment vertical="top"/>
    </xf>
    <xf numFmtId="0" fontId="4" fillId="0" borderId="0" xfId="0" quotePrefix="1" applyFont="1" applyAlignment="1">
      <alignment vertical="top"/>
    </xf>
    <xf numFmtId="0" fontId="7" fillId="0" borderId="0" xfId="0" quotePrefix="1" applyFont="1" applyAlignment="1">
      <alignment vertical="top"/>
    </xf>
    <xf numFmtId="0" fontId="4" fillId="2" borderId="1" xfId="0" applyFont="1" applyFill="1" applyBorder="1" applyAlignment="1">
      <alignment vertical="top"/>
    </xf>
    <xf numFmtId="0" fontId="9" fillId="0" borderId="1" xfId="0" applyFont="1" applyBorder="1" applyAlignment="1" applyProtection="1">
      <alignment horizontal="center" vertical="top"/>
      <protection locked="0"/>
    </xf>
    <xf numFmtId="2" fontId="9" fillId="0" borderId="1" xfId="0" applyNumberFormat="1" applyFont="1" applyBorder="1" applyAlignment="1" applyProtection="1">
      <alignment vertical="top"/>
      <protection locked="0"/>
    </xf>
    <xf numFmtId="0" fontId="10" fillId="2" borderId="2" xfId="0" applyFont="1" applyFill="1" applyBorder="1" applyAlignment="1">
      <alignment horizontal="left" vertical="top"/>
    </xf>
    <xf numFmtId="166" fontId="12" fillId="2" borderId="8" xfId="0" applyNumberFormat="1" applyFont="1" applyFill="1" applyBorder="1" applyAlignment="1">
      <alignment vertical="top"/>
    </xf>
    <xf numFmtId="0" fontId="12" fillId="2" borderId="8" xfId="0" applyFont="1" applyFill="1" applyBorder="1" applyAlignment="1">
      <alignment vertical="top"/>
    </xf>
    <xf numFmtId="0" fontId="12" fillId="2" borderId="3" xfId="0" applyFont="1" applyFill="1" applyBorder="1" applyAlignment="1">
      <alignment vertical="top"/>
    </xf>
    <xf numFmtId="0" fontId="12" fillId="0" borderId="0" xfId="0" applyFont="1" applyAlignment="1">
      <alignment vertical="top"/>
    </xf>
    <xf numFmtId="0" fontId="5" fillId="2" borderId="4" xfId="0" quotePrefix="1" applyFont="1" applyFill="1" applyBorder="1" applyAlignment="1">
      <alignment horizontal="left" vertical="top"/>
    </xf>
    <xf numFmtId="0" fontId="12" fillId="2" borderId="5" xfId="0" applyFont="1" applyFill="1" applyBorder="1" applyAlignment="1">
      <alignment vertical="top"/>
    </xf>
    <xf numFmtId="0" fontId="7" fillId="2" borderId="4" xfId="0" quotePrefix="1" applyFont="1" applyFill="1" applyBorder="1" applyAlignment="1">
      <alignment horizontal="left" vertical="top"/>
    </xf>
    <xf numFmtId="0" fontId="7" fillId="2" borderId="6" xfId="0" quotePrefix="1" applyFont="1" applyFill="1" applyBorder="1" applyAlignment="1">
      <alignment horizontal="left" vertical="top"/>
    </xf>
    <xf numFmtId="166" fontId="12" fillId="2" borderId="9" xfId="0" applyNumberFormat="1" applyFont="1" applyFill="1" applyBorder="1" applyAlignment="1">
      <alignment vertical="top"/>
    </xf>
    <xf numFmtId="0" fontId="12" fillId="2" borderId="9" xfId="0" applyFont="1" applyFill="1" applyBorder="1" applyAlignment="1">
      <alignment vertical="top"/>
    </xf>
    <xf numFmtId="0" fontId="12" fillId="2" borderId="7" xfId="0" applyFont="1" applyFill="1" applyBorder="1" applyAlignment="1">
      <alignment vertical="top"/>
    </xf>
    <xf numFmtId="0" fontId="12" fillId="0" borderId="0" xfId="0" applyFont="1" applyAlignment="1">
      <alignment horizontal="left" vertical="top"/>
    </xf>
    <xf numFmtId="166" fontId="12" fillId="0" borderId="0" xfId="0" applyNumberFormat="1" applyFont="1" applyAlignment="1">
      <alignment vertical="top"/>
    </xf>
    <xf numFmtId="0" fontId="10" fillId="2" borderId="1" xfId="0" applyFont="1" applyFill="1" applyBorder="1" applyAlignment="1">
      <alignment horizontal="center" vertical="top"/>
    </xf>
    <xf numFmtId="0" fontId="12" fillId="0" borderId="0" xfId="0" applyFont="1" applyAlignment="1">
      <alignment horizontal="center" vertical="top"/>
    </xf>
    <xf numFmtId="166" fontId="12" fillId="0" borderId="0" xfId="0" applyNumberFormat="1" applyFont="1" applyAlignment="1" applyProtection="1">
      <alignment vertical="top"/>
      <protection locked="0"/>
    </xf>
    <xf numFmtId="0" fontId="9" fillId="2" borderId="8" xfId="0" applyFont="1" applyFill="1" applyBorder="1" applyAlignment="1">
      <alignment horizontal="center" vertical="top"/>
    </xf>
    <xf numFmtId="0" fontId="9" fillId="2" borderId="8" xfId="0" applyFont="1" applyFill="1" applyBorder="1" applyAlignment="1">
      <alignment vertical="top"/>
    </xf>
    <xf numFmtId="0" fontId="9" fillId="2" borderId="3" xfId="0" applyFont="1" applyFill="1" applyBorder="1" applyAlignment="1">
      <alignment vertical="top"/>
    </xf>
    <xf numFmtId="0" fontId="9" fillId="0" borderId="0" xfId="0" applyFont="1" applyAlignment="1">
      <alignment vertical="top"/>
    </xf>
    <xf numFmtId="0" fontId="9" fillId="2" borderId="0" xfId="0" applyFont="1" applyFill="1" applyAlignment="1">
      <alignment horizontal="center" vertical="top"/>
    </xf>
    <xf numFmtId="0" fontId="9" fillId="2" borderId="0" xfId="0" applyFont="1" applyFill="1" applyAlignment="1">
      <alignment vertical="top"/>
    </xf>
    <xf numFmtId="0" fontId="9" fillId="2" borderId="5" xfId="0" applyFont="1" applyFill="1" applyBorder="1" applyAlignment="1">
      <alignment vertical="top"/>
    </xf>
    <xf numFmtId="0" fontId="4" fillId="2" borderId="4" xfId="0" quotePrefix="1" applyFont="1" applyFill="1" applyBorder="1" applyAlignment="1">
      <alignment horizontal="left" vertical="top"/>
    </xf>
    <xf numFmtId="0" fontId="11" fillId="2" borderId="4" xfId="0" applyFont="1" applyFill="1" applyBorder="1" applyAlignment="1">
      <alignment horizontal="left" vertical="top"/>
    </xf>
    <xf numFmtId="0" fontId="10" fillId="2" borderId="6" xfId="0" quotePrefix="1" applyFont="1" applyFill="1" applyBorder="1" applyAlignment="1">
      <alignment horizontal="left" vertical="top"/>
    </xf>
    <xf numFmtId="0" fontId="9" fillId="2" borderId="9" xfId="0" applyFont="1" applyFill="1" applyBorder="1" applyAlignment="1">
      <alignment horizontal="center" vertical="top"/>
    </xf>
    <xf numFmtId="2" fontId="9" fillId="2" borderId="9" xfId="0" applyNumberFormat="1" applyFont="1" applyFill="1" applyBorder="1" applyAlignment="1">
      <alignment vertical="top"/>
    </xf>
    <xf numFmtId="2" fontId="9" fillId="0" borderId="0" xfId="0" applyNumberFormat="1" applyFont="1" applyAlignment="1">
      <alignment vertical="top"/>
    </xf>
    <xf numFmtId="0" fontId="9" fillId="0" borderId="0" xfId="0" applyFont="1" applyAlignment="1">
      <alignment horizontal="left" vertical="top"/>
    </xf>
    <xf numFmtId="2" fontId="10" fillId="2" borderId="1" xfId="0" applyNumberFormat="1" applyFont="1" applyFill="1" applyBorder="1" applyAlignment="1">
      <alignment horizontal="center" vertical="top"/>
    </xf>
    <xf numFmtId="0" fontId="9" fillId="0" borderId="0" xfId="0" applyFont="1" applyAlignment="1" applyProtection="1">
      <alignment horizontal="center" vertical="top"/>
      <protection locked="0"/>
    </xf>
    <xf numFmtId="0" fontId="11" fillId="2" borderId="2" xfId="0" applyFont="1" applyFill="1" applyBorder="1" applyAlignment="1">
      <alignment horizontal="left" vertical="top"/>
    </xf>
    <xf numFmtId="0" fontId="6" fillId="2" borderId="4" xfId="0" quotePrefix="1" applyFont="1" applyFill="1" applyBorder="1" applyAlignment="1">
      <alignment horizontal="left" vertical="top"/>
    </xf>
    <xf numFmtId="0" fontId="9" fillId="2" borderId="9" xfId="0" applyFont="1" applyFill="1" applyBorder="1" applyAlignment="1">
      <alignment vertical="top"/>
    </xf>
    <xf numFmtId="0" fontId="9" fillId="2" borderId="7" xfId="0" applyFont="1" applyFill="1" applyBorder="1" applyAlignment="1">
      <alignment vertical="top"/>
    </xf>
    <xf numFmtId="2" fontId="9" fillId="2" borderId="8" xfId="0" applyNumberFormat="1" applyFont="1" applyFill="1" applyBorder="1" applyAlignment="1">
      <alignment vertical="top"/>
    </xf>
    <xf numFmtId="2" fontId="9" fillId="2" borderId="0" xfId="0" applyNumberFormat="1" applyFont="1" applyFill="1" applyAlignment="1">
      <alignment vertical="top"/>
    </xf>
    <xf numFmtId="2" fontId="4" fillId="2" borderId="4" xfId="0" quotePrefix="1" applyNumberFormat="1" applyFont="1" applyFill="1" applyBorder="1" applyAlignment="1">
      <alignment vertical="top"/>
    </xf>
    <xf numFmtId="2" fontId="4" fillId="2" borderId="6" xfId="0" quotePrefix="1" applyNumberFormat="1" applyFont="1" applyFill="1" applyBorder="1" applyAlignment="1">
      <alignment vertical="top"/>
    </xf>
    <xf numFmtId="0" fontId="4" fillId="2" borderId="5" xfId="0" quotePrefix="1" applyFont="1" applyFill="1" applyBorder="1" applyAlignment="1">
      <alignment vertical="top"/>
    </xf>
    <xf numFmtId="1" fontId="9" fillId="2" borderId="8" xfId="0" applyNumberFormat="1" applyFont="1" applyFill="1" applyBorder="1"/>
    <xf numFmtId="164" fontId="9" fillId="2" borderId="8" xfId="0" applyNumberFormat="1" applyFont="1" applyFill="1" applyBorder="1"/>
    <xf numFmtId="164" fontId="9" fillId="2" borderId="3" xfId="0" applyNumberFormat="1" applyFont="1" applyFill="1" applyBorder="1"/>
    <xf numFmtId="164" fontId="9" fillId="2" borderId="5" xfId="0" applyNumberFormat="1" applyFont="1" applyFill="1" applyBorder="1"/>
    <xf numFmtId="1" fontId="9" fillId="2" borderId="9" xfId="0" applyNumberFormat="1" applyFont="1" applyFill="1" applyBorder="1"/>
    <xf numFmtId="164" fontId="9" fillId="2" borderId="9" xfId="0" applyNumberFormat="1" applyFont="1" applyFill="1" applyBorder="1"/>
    <xf numFmtId="164" fontId="9" fillId="2" borderId="7" xfId="0" applyNumberFormat="1" applyFont="1" applyFill="1" applyBorder="1"/>
    <xf numFmtId="1" fontId="9" fillId="0" borderId="0" xfId="0" applyNumberFormat="1" applyFont="1" applyProtection="1">
      <protection locked="0"/>
    </xf>
    <xf numFmtId="0" fontId="4" fillId="0" borderId="0" xfId="0" applyFont="1" applyAlignment="1" applyProtection="1">
      <alignment horizontal="center"/>
      <protection locked="0"/>
    </xf>
    <xf numFmtId="0" fontId="9" fillId="0" borderId="0" xfId="0" applyFont="1" applyAlignment="1">
      <alignment horizontal="center" vertical="top" wrapText="1"/>
    </xf>
    <xf numFmtId="0" fontId="4" fillId="0" borderId="0" xfId="0" applyFont="1" applyAlignment="1">
      <alignment horizontal="center" vertical="center" wrapText="1"/>
    </xf>
    <xf numFmtId="0" fontId="9" fillId="0" borderId="0" xfId="0" applyFont="1" applyAlignment="1">
      <alignment horizontal="center" vertical="center"/>
    </xf>
    <xf numFmtId="0" fontId="7" fillId="0" borderId="0" xfId="0" applyFont="1" applyAlignment="1">
      <alignment horizontal="center" vertical="center"/>
    </xf>
    <xf numFmtId="0" fontId="9" fillId="0" borderId="0" xfId="0" applyFont="1" applyAlignment="1">
      <alignment horizontal="center" vertical="center" wrapText="1"/>
    </xf>
    <xf numFmtId="0" fontId="4" fillId="0" borderId="0" xfId="0" applyFont="1" applyAlignment="1" applyProtection="1">
      <alignment horizontal="center" vertical="top"/>
      <protection locked="0"/>
    </xf>
    <xf numFmtId="0" fontId="4" fillId="2" borderId="6" xfId="0" quotePrefix="1" applyFont="1" applyFill="1" applyBorder="1" applyAlignment="1">
      <alignment vertical="top"/>
    </xf>
    <xf numFmtId="0" fontId="12" fillId="0" borderId="0" xfId="0" applyFont="1" applyAlignment="1" applyProtection="1">
      <alignment horizontal="center" vertical="top"/>
      <protection locked="0"/>
    </xf>
    <xf numFmtId="0" fontId="9" fillId="2" borderId="0" xfId="0" applyFont="1" applyFill="1"/>
    <xf numFmtId="0" fontId="9" fillId="2" borderId="8" xfId="0" applyFont="1" applyFill="1" applyBorder="1"/>
    <xf numFmtId="0" fontId="9" fillId="2" borderId="9" xfId="0" applyFont="1" applyFill="1" applyBorder="1"/>
    <xf numFmtId="0" fontId="4" fillId="2" borderId="5" xfId="0" quotePrefix="1" applyFont="1" applyFill="1" applyBorder="1" applyAlignment="1">
      <alignment vertical="top" wrapText="1"/>
    </xf>
    <xf numFmtId="0" fontId="3" fillId="0" borderId="0" xfId="0" applyFont="1" applyAlignment="1" applyProtection="1">
      <alignment horizontal="center"/>
      <protection locked="0"/>
    </xf>
    <xf numFmtId="0" fontId="3" fillId="2" borderId="6" xfId="0" quotePrefix="1" applyFont="1" applyFill="1" applyBorder="1" applyAlignment="1">
      <alignment horizontal="left" vertical="top"/>
    </xf>
    <xf numFmtId="166" fontId="12" fillId="2" borderId="0" xfId="0" applyNumberFormat="1" applyFont="1" applyFill="1" applyAlignment="1">
      <alignment vertical="top"/>
    </xf>
    <xf numFmtId="0" fontId="12" fillId="2" borderId="0" xfId="0" applyFont="1" applyFill="1" applyAlignment="1">
      <alignment vertical="top"/>
    </xf>
    <xf numFmtId="0" fontId="3" fillId="2" borderId="4" xfId="0" quotePrefix="1" applyFont="1" applyFill="1" applyBorder="1" applyAlignment="1">
      <alignment horizontal="left" vertical="top"/>
    </xf>
    <xf numFmtId="0" fontId="9" fillId="2" borderId="3" xfId="0" applyFont="1" applyFill="1" applyBorder="1" applyAlignment="1">
      <alignment horizontal="center" vertical="top"/>
    </xf>
    <xf numFmtId="0" fontId="9" fillId="2" borderId="5" xfId="0" applyFont="1" applyFill="1" applyBorder="1" applyAlignment="1">
      <alignment horizontal="center" vertical="top"/>
    </xf>
    <xf numFmtId="2" fontId="9" fillId="2" borderId="7" xfId="0" applyNumberFormat="1" applyFont="1" applyFill="1" applyBorder="1" applyAlignment="1">
      <alignment horizontal="center" vertical="top"/>
    </xf>
    <xf numFmtId="0" fontId="3" fillId="2" borderId="4" xfId="0" quotePrefix="1" applyFont="1" applyFill="1" applyBorder="1" applyAlignment="1">
      <alignment horizontal="left"/>
    </xf>
    <xf numFmtId="0" fontId="3" fillId="2" borderId="6" xfId="0" quotePrefix="1" applyFont="1" applyFill="1" applyBorder="1" applyAlignment="1">
      <alignment horizontal="left"/>
    </xf>
    <xf numFmtId="2" fontId="9" fillId="2" borderId="9" xfId="0" applyNumberFormat="1" applyFont="1" applyFill="1" applyBorder="1" applyAlignment="1">
      <alignment horizontal="center" vertical="top"/>
    </xf>
    <xf numFmtId="0" fontId="10" fillId="0" borderId="4" xfId="0" applyFont="1" applyBorder="1" applyAlignment="1">
      <alignment horizontal="center" vertical="top" wrapText="1"/>
    </xf>
    <xf numFmtId="0" fontId="3" fillId="0" borderId="0" xfId="0" applyFont="1" applyAlignment="1">
      <alignment horizontal="center" vertical="center"/>
    </xf>
    <xf numFmtId="0" fontId="9" fillId="2" borderId="0" xfId="0" applyFont="1" applyFill="1" applyAlignment="1">
      <alignment horizontal="center" vertical="center"/>
    </xf>
    <xf numFmtId="0" fontId="10" fillId="2" borderId="1" xfId="0" applyFont="1" applyFill="1" applyBorder="1" applyAlignment="1">
      <alignment horizontal="center" vertical="center" wrapText="1"/>
    </xf>
    <xf numFmtId="0" fontId="10" fillId="2" borderId="8" xfId="0" applyFont="1" applyFill="1" applyBorder="1" applyAlignment="1">
      <alignment horizontal="left"/>
    </xf>
    <xf numFmtId="0" fontId="4" fillId="2" borderId="0" xfId="0" quotePrefix="1" applyFont="1" applyFill="1" applyAlignment="1">
      <alignment horizontal="left"/>
    </xf>
    <xf numFmtId="0" fontId="4" fillId="2" borderId="9" xfId="0" quotePrefix="1" applyFont="1" applyFill="1" applyBorder="1" applyAlignment="1">
      <alignment horizontal="left"/>
    </xf>
    <xf numFmtId="1" fontId="9" fillId="2" borderId="0" xfId="0" applyNumberFormat="1" applyFont="1" applyFill="1"/>
    <xf numFmtId="164" fontId="9" fillId="2" borderId="0" xfId="0" applyNumberFormat="1" applyFont="1" applyFill="1"/>
    <xf numFmtId="0" fontId="3" fillId="0" borderId="0" xfId="0" applyFont="1" applyAlignment="1">
      <alignment horizontal="center" vertical="top"/>
    </xf>
    <xf numFmtId="0" fontId="3" fillId="0" borderId="0" xfId="0" applyFont="1" applyAlignment="1">
      <alignment vertical="center"/>
    </xf>
    <xf numFmtId="0" fontId="10" fillId="2" borderId="1" xfId="0" applyFont="1" applyFill="1" applyBorder="1" applyAlignment="1">
      <alignment horizontal="center" vertical="center"/>
    </xf>
    <xf numFmtId="0" fontId="10" fillId="2" borderId="2" xfId="0" applyFont="1" applyFill="1" applyBorder="1" applyAlignment="1">
      <alignment vertical="center"/>
    </xf>
    <xf numFmtId="0" fontId="3" fillId="2" borderId="8" xfId="0" applyFont="1" applyFill="1" applyBorder="1" applyAlignment="1">
      <alignment vertical="center"/>
    </xf>
    <xf numFmtId="0" fontId="3" fillId="2" borderId="3" xfId="0" applyFont="1" applyFill="1" applyBorder="1" applyAlignment="1">
      <alignment vertical="center"/>
    </xf>
    <xf numFmtId="0" fontId="3" fillId="2" borderId="4" xfId="0" quotePrefix="1" applyFont="1" applyFill="1" applyBorder="1" applyAlignment="1">
      <alignment vertical="center"/>
    </xf>
    <xf numFmtId="0" fontId="3" fillId="2" borderId="0" xfId="0" applyFont="1" applyFill="1" applyAlignment="1">
      <alignment vertical="center"/>
    </xf>
    <xf numFmtId="0" fontId="3" fillId="2" borderId="5" xfId="0" applyFont="1" applyFill="1" applyBorder="1" applyAlignment="1">
      <alignment vertical="center"/>
    </xf>
    <xf numFmtId="0" fontId="3" fillId="2" borderId="6" xfId="0" quotePrefix="1" applyFont="1" applyFill="1" applyBorder="1" applyAlignment="1">
      <alignment vertical="center"/>
    </xf>
    <xf numFmtId="0" fontId="3" fillId="2" borderId="9" xfId="0" applyFont="1" applyFill="1" applyBorder="1" applyAlignment="1">
      <alignment vertical="center"/>
    </xf>
    <xf numFmtId="0" fontId="3" fillId="2" borderId="7" xfId="0" applyFont="1" applyFill="1" applyBorder="1" applyAlignment="1">
      <alignment vertical="center"/>
    </xf>
    <xf numFmtId="49" fontId="3" fillId="0" borderId="0" xfId="0" applyNumberFormat="1" applyFont="1" applyAlignment="1">
      <alignment horizontal="center" vertical="center"/>
    </xf>
    <xf numFmtId="2" fontId="3" fillId="0" borderId="0" xfId="0" applyNumberFormat="1" applyFont="1" applyAlignment="1">
      <alignment horizontal="center" vertical="center"/>
    </xf>
    <xf numFmtId="0" fontId="3" fillId="0" borderId="1" xfId="0" applyFont="1" applyBorder="1" applyAlignment="1" applyProtection="1">
      <alignment horizontal="left" vertical="top"/>
      <protection locked="0"/>
    </xf>
    <xf numFmtId="0" fontId="14" fillId="3" borderId="4" xfId="0" applyFont="1" applyFill="1" applyBorder="1" applyAlignment="1">
      <alignment horizontal="left" vertical="top"/>
    </xf>
    <xf numFmtId="0" fontId="2" fillId="0" borderId="0" xfId="0" applyFont="1" applyAlignment="1">
      <alignment horizontal="center" vertical="center"/>
    </xf>
    <xf numFmtId="164" fontId="9" fillId="2" borderId="8" xfId="0" applyNumberFormat="1" applyFont="1" applyFill="1" applyBorder="1" applyAlignment="1">
      <alignment vertical="top"/>
    </xf>
    <xf numFmtId="164" fontId="9" fillId="2" borderId="3" xfId="0" applyNumberFormat="1" applyFont="1" applyFill="1" applyBorder="1" applyAlignment="1">
      <alignment vertical="top"/>
    </xf>
    <xf numFmtId="164" fontId="9" fillId="2" borderId="0" xfId="0" applyNumberFormat="1" applyFont="1" applyFill="1" applyAlignment="1">
      <alignment vertical="top"/>
    </xf>
    <xf numFmtId="164" fontId="9" fillId="2" borderId="5" xfId="0" applyNumberFormat="1" applyFont="1" applyFill="1" applyBorder="1" applyAlignment="1">
      <alignment vertical="top"/>
    </xf>
    <xf numFmtId="164" fontId="9" fillId="2" borderId="9" xfId="0" applyNumberFormat="1" applyFont="1" applyFill="1" applyBorder="1" applyAlignment="1">
      <alignment vertical="top"/>
    </xf>
    <xf numFmtId="164" fontId="9" fillId="2" borderId="7" xfId="0" applyNumberFormat="1" applyFont="1" applyFill="1" applyBorder="1" applyAlignment="1">
      <alignment vertical="top"/>
    </xf>
    <xf numFmtId="164" fontId="9" fillId="0" borderId="0" xfId="0" applyNumberFormat="1" applyFont="1" applyAlignment="1">
      <alignment vertical="top"/>
    </xf>
    <xf numFmtId="164" fontId="10" fillId="2" borderId="1" xfId="0" applyNumberFormat="1" applyFont="1" applyFill="1" applyBorder="1" applyAlignment="1">
      <alignment horizontal="center" vertical="top"/>
    </xf>
    <xf numFmtId="167" fontId="9" fillId="0" borderId="0" xfId="0" applyNumberFormat="1" applyFont="1" applyAlignment="1" applyProtection="1">
      <alignment vertical="top"/>
      <protection locked="0"/>
    </xf>
    <xf numFmtId="2" fontId="2" fillId="2" borderId="4" xfId="0" quotePrefix="1" applyNumberFormat="1" applyFont="1" applyFill="1" applyBorder="1" applyAlignment="1">
      <alignment vertical="top"/>
    </xf>
    <xf numFmtId="0" fontId="15" fillId="2" borderId="4" xfId="0" quotePrefix="1" applyFont="1" applyFill="1" applyBorder="1" applyAlignment="1">
      <alignment horizontal="left" vertical="top"/>
    </xf>
    <xf numFmtId="0" fontId="9" fillId="2" borderId="0" xfId="0" applyFont="1" applyFill="1" applyAlignment="1" applyProtection="1">
      <alignment horizontal="center" vertical="top"/>
      <protection locked="0"/>
    </xf>
    <xf numFmtId="0" fontId="15" fillId="2" borderId="6" xfId="0" quotePrefix="1" applyFont="1" applyFill="1" applyBorder="1" applyAlignment="1">
      <alignment horizontal="left" vertical="top"/>
    </xf>
    <xf numFmtId="167" fontId="9" fillId="2" borderId="9" xfId="0" applyNumberFormat="1" applyFont="1" applyFill="1" applyBorder="1" applyAlignment="1" applyProtection="1">
      <alignment vertical="top"/>
      <protection locked="0"/>
    </xf>
    <xf numFmtId="164" fontId="9" fillId="2" borderId="2" xfId="0" applyNumberFormat="1" applyFont="1" applyFill="1" applyBorder="1" applyAlignment="1">
      <alignment vertical="top"/>
    </xf>
    <xf numFmtId="164" fontId="9" fillId="2" borderId="4" xfId="0" applyNumberFormat="1" applyFont="1" applyFill="1" applyBorder="1" applyAlignment="1">
      <alignment vertical="top"/>
    </xf>
    <xf numFmtId="164" fontId="2" fillId="2" borderId="4" xfId="0" quotePrefix="1" applyNumberFormat="1" applyFont="1" applyFill="1" applyBorder="1" applyAlignment="1">
      <alignment vertical="top"/>
    </xf>
    <xf numFmtId="164" fontId="16" fillId="2" borderId="4" xfId="0" quotePrefix="1" applyNumberFormat="1" applyFont="1" applyFill="1" applyBorder="1" applyAlignment="1">
      <alignment vertical="top"/>
    </xf>
    <xf numFmtId="0" fontId="2" fillId="0" borderId="0" xfId="0" applyFont="1" applyAlignment="1" applyProtection="1">
      <alignment horizontal="center" vertical="top"/>
      <protection locked="0"/>
    </xf>
    <xf numFmtId="164" fontId="9" fillId="2" borderId="6" xfId="0" applyNumberFormat="1" applyFont="1" applyFill="1" applyBorder="1" applyAlignment="1">
      <alignment vertical="top"/>
    </xf>
    <xf numFmtId="164" fontId="2" fillId="2" borderId="5" xfId="0" quotePrefix="1" applyNumberFormat="1" applyFont="1" applyFill="1" applyBorder="1" applyAlignment="1">
      <alignment vertical="top"/>
    </xf>
    <xf numFmtId="164" fontId="10" fillId="0" borderId="4" xfId="0" applyNumberFormat="1" applyFont="1" applyBorder="1" applyAlignment="1">
      <alignment horizontal="center" vertical="top"/>
    </xf>
    <xf numFmtId="164" fontId="2" fillId="2" borderId="0" xfId="0" quotePrefix="1" applyNumberFormat="1" applyFont="1" applyFill="1" applyBorder="1" applyAlignment="1">
      <alignment vertical="top"/>
    </xf>
    <xf numFmtId="164" fontId="9" fillId="2" borderId="0" xfId="0" applyNumberFormat="1" applyFont="1" applyFill="1" applyBorder="1" applyAlignment="1">
      <alignment vertical="top"/>
    </xf>
    <xf numFmtId="164" fontId="1" fillId="2" borderId="4" xfId="0" quotePrefix="1" applyNumberFormat="1" applyFont="1" applyFill="1" applyBorder="1" applyAlignment="1">
      <alignment horizontal="left" vertical="top" wrapText="1"/>
    </xf>
    <xf numFmtId="0" fontId="4" fillId="2" borderId="0" xfId="0" quotePrefix="1" applyFont="1" applyFill="1" applyBorder="1" applyAlignment="1">
      <alignment vertical="top" wrapText="1"/>
    </xf>
    <xf numFmtId="0" fontId="4" fillId="2" borderId="0" xfId="0" quotePrefix="1" applyFont="1" applyFill="1" applyBorder="1" applyAlignment="1">
      <alignment vertical="top"/>
    </xf>
    <xf numFmtId="164" fontId="1" fillId="2" borderId="0" xfId="0" quotePrefix="1" applyNumberFormat="1" applyFont="1" applyFill="1" applyBorder="1" applyAlignment="1">
      <alignment horizontal="left" vertical="top" wrapText="1"/>
    </xf>
    <xf numFmtId="164" fontId="1" fillId="2" borderId="5" xfId="0" quotePrefix="1" applyNumberFormat="1" applyFont="1" applyFill="1" applyBorder="1" applyAlignment="1">
      <alignment horizontal="left" vertical="top" wrapText="1"/>
    </xf>
    <xf numFmtId="164" fontId="1" fillId="2" borderId="0" xfId="0" quotePrefix="1" applyNumberFormat="1" applyFont="1" applyFill="1" applyBorder="1" applyAlignment="1">
      <alignment vertical="top" wrapText="1"/>
    </xf>
    <xf numFmtId="164" fontId="1" fillId="2" borderId="5" xfId="0" quotePrefix="1" applyNumberFormat="1" applyFont="1" applyFill="1" applyBorder="1" applyAlignment="1">
      <alignment vertical="top" wrapText="1"/>
    </xf>
    <xf numFmtId="0" fontId="1" fillId="0" borderId="0" xfId="0" applyFont="1" applyAlignment="1" applyProtection="1">
      <alignment horizontal="center"/>
      <protection locked="0"/>
    </xf>
    <xf numFmtId="0" fontId="1" fillId="0" borderId="0" xfId="0" applyFont="1" applyAlignment="1">
      <alignment horizontal="center" vertical="center"/>
    </xf>
    <xf numFmtId="0" fontId="1" fillId="2" borderId="0" xfId="0" quotePrefix="1" applyFont="1" applyFill="1" applyAlignment="1" applyProtection="1">
      <alignment horizontal="left" vertical="top"/>
      <protection locked="0"/>
    </xf>
    <xf numFmtId="169" fontId="9" fillId="0" borderId="8" xfId="0" applyNumberFormat="1" applyFont="1" applyBorder="1" applyAlignment="1" applyProtection="1">
      <alignment vertical="top"/>
      <protection locked="0"/>
    </xf>
    <xf numFmtId="169" fontId="9" fillId="0" borderId="0" xfId="0" applyNumberFormat="1" applyFont="1" applyAlignment="1" applyProtection="1">
      <alignment vertical="top"/>
      <protection locked="0"/>
    </xf>
    <xf numFmtId="167" fontId="9" fillId="2" borderId="0" xfId="0" applyNumberFormat="1" applyFont="1" applyFill="1" applyBorder="1" applyAlignment="1" applyProtection="1">
      <alignment vertical="top"/>
      <protection locked="0"/>
    </xf>
    <xf numFmtId="164" fontId="9" fillId="2" borderId="4" xfId="0" applyNumberFormat="1" applyFont="1" applyFill="1" applyBorder="1" applyAlignment="1">
      <alignment horizontal="left" vertical="top" wrapText="1"/>
    </xf>
    <xf numFmtId="164" fontId="9" fillId="0" borderId="0" xfId="0" applyNumberFormat="1" applyFont="1" applyFill="1" applyBorder="1" applyAlignment="1">
      <alignment vertical="top"/>
    </xf>
    <xf numFmtId="0" fontId="9" fillId="0" borderId="0" xfId="0" applyFont="1" applyFill="1" applyBorder="1" applyAlignment="1">
      <alignment vertical="top"/>
    </xf>
    <xf numFmtId="0" fontId="2" fillId="0" borderId="0" xfId="0" quotePrefix="1" applyFont="1" applyFill="1" applyBorder="1" applyAlignment="1">
      <alignment vertical="top" wrapText="1"/>
    </xf>
    <xf numFmtId="164" fontId="2" fillId="0" borderId="0" xfId="0" quotePrefix="1" applyNumberFormat="1" applyFont="1" applyFill="1" applyBorder="1" applyAlignment="1">
      <alignment vertical="top" wrapText="1"/>
    </xf>
    <xf numFmtId="164" fontId="1" fillId="0" borderId="0" xfId="0" quotePrefix="1" applyNumberFormat="1" applyFont="1" applyFill="1" applyBorder="1" applyAlignment="1">
      <alignment vertical="top" wrapText="1"/>
    </xf>
    <xf numFmtId="164" fontId="2" fillId="0" borderId="0" xfId="0" quotePrefix="1" applyNumberFormat="1" applyFont="1" applyFill="1" applyBorder="1" applyAlignment="1">
      <alignment vertical="top"/>
    </xf>
    <xf numFmtId="164" fontId="9" fillId="2" borderId="0" xfId="0" applyNumberFormat="1" applyFont="1" applyFill="1" applyBorder="1" applyAlignment="1">
      <alignment horizontal="left" vertical="top" wrapText="1"/>
    </xf>
    <xf numFmtId="164" fontId="9" fillId="2" borderId="5" xfId="0" applyNumberFormat="1" applyFont="1" applyFill="1" applyBorder="1" applyAlignment="1">
      <alignment horizontal="left" vertical="top" wrapText="1"/>
    </xf>
    <xf numFmtId="2" fontId="9" fillId="2" borderId="0" xfId="0" applyNumberFormat="1" applyFont="1" applyFill="1" applyBorder="1" applyAlignment="1">
      <alignment vertical="center"/>
    </xf>
    <xf numFmtId="0" fontId="1" fillId="2" borderId="4" xfId="0" quotePrefix="1" applyFont="1" applyFill="1" applyBorder="1" applyAlignment="1">
      <alignment horizontal="left" vertical="center"/>
    </xf>
    <xf numFmtId="0" fontId="10" fillId="2" borderId="2" xfId="0" applyFont="1" applyFill="1" applyBorder="1" applyAlignment="1">
      <alignment horizontal="left" vertical="center"/>
    </xf>
    <xf numFmtId="0" fontId="9" fillId="2" borderId="8" xfId="0" applyFont="1" applyFill="1" applyBorder="1" applyAlignment="1">
      <alignment horizontal="center" vertical="center"/>
    </xf>
    <xf numFmtId="0" fontId="9" fillId="2" borderId="3" xfId="0" applyFont="1" applyFill="1" applyBorder="1" applyAlignment="1">
      <alignment horizontal="center" vertical="center"/>
    </xf>
    <xf numFmtId="0" fontId="9" fillId="2" borderId="2" xfId="0" applyFont="1" applyFill="1" applyBorder="1" applyAlignment="1">
      <alignment horizontal="center" vertical="center"/>
    </xf>
    <xf numFmtId="2" fontId="9" fillId="2" borderId="8" xfId="0" applyNumberFormat="1" applyFont="1" applyFill="1" applyBorder="1" applyAlignment="1">
      <alignment vertical="center"/>
    </xf>
    <xf numFmtId="2" fontId="9" fillId="2" borderId="3" xfId="0" applyNumberFormat="1" applyFont="1" applyFill="1" applyBorder="1" applyAlignment="1">
      <alignment vertical="center"/>
    </xf>
    <xf numFmtId="2" fontId="9" fillId="2" borderId="2" xfId="0" applyNumberFormat="1" applyFont="1" applyFill="1" applyBorder="1" applyAlignment="1">
      <alignment vertical="center"/>
    </xf>
    <xf numFmtId="0" fontId="9" fillId="0" borderId="0" xfId="0" applyFont="1" applyAlignment="1">
      <alignment vertical="center"/>
    </xf>
    <xf numFmtId="0" fontId="4" fillId="2" borderId="4" xfId="0" quotePrefix="1" applyFont="1" applyFill="1" applyBorder="1" applyAlignment="1">
      <alignment horizontal="left" vertical="center"/>
    </xf>
    <xf numFmtId="0" fontId="9" fillId="2" borderId="0" xfId="0" applyFont="1" applyFill="1" applyBorder="1" applyAlignment="1">
      <alignment horizontal="center" vertical="center"/>
    </xf>
    <xf numFmtId="0" fontId="9" fillId="2" borderId="5" xfId="0" applyFont="1" applyFill="1" applyBorder="1" applyAlignment="1">
      <alignment horizontal="center" vertical="center"/>
    </xf>
    <xf numFmtId="2" fontId="9" fillId="2" borderId="5" xfId="0" applyNumberFormat="1" applyFont="1" applyFill="1" applyBorder="1" applyAlignment="1">
      <alignment vertical="center"/>
    </xf>
    <xf numFmtId="2" fontId="9" fillId="2" borderId="4" xfId="0" applyNumberFormat="1" applyFont="1" applyFill="1" applyBorder="1" applyAlignment="1">
      <alignment vertical="center"/>
    </xf>
    <xf numFmtId="0" fontId="3" fillId="2" borderId="4" xfId="0" quotePrefix="1" applyFont="1" applyFill="1" applyBorder="1" applyAlignment="1">
      <alignment horizontal="left" vertical="center"/>
    </xf>
    <xf numFmtId="0" fontId="11" fillId="2" borderId="4" xfId="0" applyFont="1" applyFill="1" applyBorder="1" applyAlignment="1">
      <alignment horizontal="left" vertical="center"/>
    </xf>
    <xf numFmtId="0" fontId="10" fillId="2" borderId="6" xfId="0" quotePrefix="1" applyFont="1" applyFill="1" applyBorder="1" applyAlignment="1">
      <alignment horizontal="left" vertical="center"/>
    </xf>
    <xf numFmtId="0" fontId="9" fillId="2" borderId="9" xfId="0" applyFont="1" applyFill="1" applyBorder="1" applyAlignment="1">
      <alignment horizontal="center" vertical="center"/>
    </xf>
    <xf numFmtId="0" fontId="9" fillId="2" borderId="7" xfId="0" applyFont="1" applyFill="1" applyBorder="1" applyAlignment="1">
      <alignment horizontal="center" vertical="center"/>
    </xf>
    <xf numFmtId="0" fontId="9" fillId="2" borderId="6" xfId="0" applyFont="1" applyFill="1" applyBorder="1" applyAlignment="1">
      <alignment horizontal="center" vertical="center"/>
    </xf>
    <xf numFmtId="2" fontId="9" fillId="2" borderId="9" xfId="0" applyNumberFormat="1" applyFont="1" applyFill="1" applyBorder="1" applyAlignment="1">
      <alignment vertical="center"/>
    </xf>
    <xf numFmtId="2" fontId="9" fillId="2" borderId="7" xfId="0" applyNumberFormat="1" applyFont="1" applyFill="1" applyBorder="1" applyAlignment="1">
      <alignment vertical="center"/>
    </xf>
    <xf numFmtId="2" fontId="9" fillId="2" borderId="6" xfId="0" applyNumberFormat="1" applyFont="1" applyFill="1" applyBorder="1" applyAlignment="1">
      <alignment vertical="center"/>
    </xf>
    <xf numFmtId="0" fontId="9" fillId="0" borderId="0" xfId="0" applyFont="1" applyAlignment="1">
      <alignment horizontal="left" vertical="center"/>
    </xf>
    <xf numFmtId="2" fontId="9" fillId="0" borderId="0" xfId="0" applyNumberFormat="1" applyFont="1" applyAlignment="1">
      <alignment vertical="center"/>
    </xf>
    <xf numFmtId="0" fontId="10" fillId="0" borderId="0" xfId="0" applyFont="1" applyAlignment="1">
      <alignment horizontal="center" vertical="center"/>
    </xf>
    <xf numFmtId="0" fontId="9" fillId="0" borderId="0" xfId="0" applyFont="1" applyAlignment="1" applyProtection="1">
      <alignment horizontal="center" vertical="center"/>
      <protection locked="0"/>
    </xf>
    <xf numFmtId="0" fontId="9" fillId="0" borderId="0" xfId="0" applyFont="1" applyFill="1" applyAlignment="1" applyProtection="1">
      <alignment horizontal="center" vertical="center"/>
      <protection locked="0"/>
    </xf>
    <xf numFmtId="169" fontId="9" fillId="0" borderId="0" xfId="0" applyNumberFormat="1" applyFont="1" applyAlignment="1" applyProtection="1">
      <alignment vertical="center"/>
      <protection locked="0"/>
    </xf>
    <xf numFmtId="169" fontId="9" fillId="0" borderId="0" xfId="0" applyNumberFormat="1" applyFont="1" applyAlignment="1">
      <alignment vertical="center"/>
    </xf>
    <xf numFmtId="1" fontId="9" fillId="0" borderId="0" xfId="0" applyNumberFormat="1" applyFont="1" applyAlignment="1">
      <alignment vertical="center"/>
    </xf>
    <xf numFmtId="0" fontId="1" fillId="0" borderId="0" xfId="0" applyFont="1" applyAlignment="1" applyProtection="1">
      <alignment horizontal="center" vertical="center"/>
      <protection locked="0"/>
    </xf>
    <xf numFmtId="0" fontId="9" fillId="2" borderId="8" xfId="0" applyFont="1" applyFill="1" applyBorder="1" applyAlignment="1">
      <alignment vertical="center"/>
    </xf>
    <xf numFmtId="0" fontId="9" fillId="2" borderId="3" xfId="0" applyFont="1" applyFill="1" applyBorder="1" applyAlignment="1">
      <alignment vertical="center"/>
    </xf>
    <xf numFmtId="0" fontId="9" fillId="2" borderId="0" xfId="0" applyFont="1" applyFill="1" applyBorder="1" applyAlignment="1">
      <alignment vertical="center"/>
    </xf>
    <xf numFmtId="0" fontId="9" fillId="2" borderId="5" xfId="0" applyFont="1" applyFill="1" applyBorder="1" applyAlignment="1">
      <alignment vertical="center"/>
    </xf>
    <xf numFmtId="0" fontId="9" fillId="2" borderId="9" xfId="0" applyFont="1" applyFill="1" applyBorder="1" applyAlignment="1">
      <alignment vertical="center"/>
    </xf>
    <xf numFmtId="0" fontId="9" fillId="2" borderId="7" xfId="0" applyFont="1" applyFill="1" applyBorder="1" applyAlignment="1">
      <alignment vertical="center"/>
    </xf>
  </cellXfs>
  <cellStyles count="1">
    <cellStyle name="Normal" xfId="0" builtinId="0"/>
  </cellStyles>
  <dxfs count="1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eetMetadata" Target="metadata.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1" customWidth="1"/>
    <col min="2" max="2" width="50.85546875" style="11" customWidth="1"/>
    <col min="3" max="16384" width="10.85546875" style="11"/>
  </cols>
  <sheetData>
    <row r="1" spans="1:2" s="10" customFormat="1" x14ac:dyDescent="0.25">
      <c r="A1" s="10" t="s">
        <v>78</v>
      </c>
      <c r="B1" s="10" t="s">
        <v>5</v>
      </c>
    </row>
    <row r="2" spans="1:2" x14ac:dyDescent="0.25">
      <c r="A2" s="11" t="s">
        <v>79</v>
      </c>
      <c r="B2" s="11" t="s">
        <v>81</v>
      </c>
    </row>
    <row r="3" spans="1:2" ht="50.1" customHeight="1" x14ac:dyDescent="0.25">
      <c r="A3" s="11" t="s">
        <v>80</v>
      </c>
      <c r="B3" s="12" t="s">
        <v>82</v>
      </c>
    </row>
    <row r="4" spans="1:2" x14ac:dyDescent="0.25">
      <c r="A4" s="11" t="s">
        <v>4</v>
      </c>
      <c r="B4" s="11"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Y9"/>
  <sheetViews>
    <sheetView tabSelected="1" zoomScale="130" zoomScaleNormal="130" workbookViewId="0">
      <selection activeCell="M6" sqref="M6"/>
    </sheetView>
  </sheetViews>
  <sheetFormatPr defaultColWidth="9.140625" defaultRowHeight="15.75" x14ac:dyDescent="0.25"/>
  <cols>
    <col min="1" max="1" width="30.7109375" style="115" customWidth="1"/>
    <col min="2" max="5" width="20.7109375" style="54" customWidth="1"/>
    <col min="6" max="11" width="20.7109375" style="85" customWidth="1"/>
    <col min="12" max="16" width="20.7109375" style="54" customWidth="1"/>
    <col min="17" max="18" width="20.7109375" style="85" customWidth="1"/>
    <col min="19" max="25" width="10.7109375" style="54" customWidth="1"/>
    <col min="26" max="16384" width="9.140625" style="54"/>
  </cols>
  <sheetData>
    <row r="1" spans="1:25" s="115" customFormat="1" ht="47.25" x14ac:dyDescent="0.25">
      <c r="A1" s="141" t="s">
        <v>218</v>
      </c>
      <c r="B1" s="141" t="s">
        <v>8</v>
      </c>
      <c r="C1" s="141" t="s">
        <v>317</v>
      </c>
      <c r="D1" s="141" t="s">
        <v>318</v>
      </c>
      <c r="E1" s="141" t="s">
        <v>319</v>
      </c>
      <c r="F1" s="141" t="s">
        <v>365</v>
      </c>
      <c r="G1" s="141" t="s">
        <v>10</v>
      </c>
      <c r="H1" s="141" t="s">
        <v>85</v>
      </c>
      <c r="I1" s="141" t="s">
        <v>86</v>
      </c>
      <c r="J1" s="141" t="s">
        <v>362</v>
      </c>
      <c r="K1" s="141" t="s">
        <v>19</v>
      </c>
      <c r="L1" s="141" t="s">
        <v>20</v>
      </c>
      <c r="M1" s="141" t="s">
        <v>21</v>
      </c>
      <c r="N1" s="141" t="s">
        <v>53</v>
      </c>
      <c r="O1" s="141" t="s">
        <v>23</v>
      </c>
      <c r="P1" s="141" t="s">
        <v>31</v>
      </c>
      <c r="Q1" s="141" t="s">
        <v>258</v>
      </c>
      <c r="R1" s="141" t="s">
        <v>24</v>
      </c>
      <c r="S1" s="141" t="s">
        <v>25</v>
      </c>
      <c r="T1" s="141" t="s">
        <v>94</v>
      </c>
      <c r="U1" s="141" t="s">
        <v>95</v>
      </c>
      <c r="V1" s="141" t="s">
        <v>96</v>
      </c>
      <c r="W1" s="141" t="s">
        <v>97</v>
      </c>
      <c r="X1" s="141" t="s">
        <v>98</v>
      </c>
      <c r="Y1" s="141" t="s">
        <v>99</v>
      </c>
    </row>
    <row r="2" spans="1:25" ht="31.5" x14ac:dyDescent="0.25">
      <c r="A2" s="116" t="s">
        <v>220</v>
      </c>
      <c r="B2" s="117" t="s">
        <v>2</v>
      </c>
      <c r="C2" s="163" t="s">
        <v>314</v>
      </c>
      <c r="D2" s="163" t="s">
        <v>314</v>
      </c>
      <c r="E2" s="163" t="s">
        <v>320</v>
      </c>
      <c r="F2" s="140" t="str" cm="1">
        <f t="array" ref="F2">_xlfn._xlws.FILTER(Materials!A33:A1032,(Materials!B33:B1032="Spring")*(Materials!A33:A1032&lt;&gt;""))</f>
        <v>Rotational Spring</v>
      </c>
      <c r="G2" s="140" t="str" cm="1">
        <f t="array" ref="G2:G6">_xlfn._xlws.FILTER(Materials!A33:A1032,((Materials!C33:C1032="Elastic")+(Materials!C33:C1032="Concrete04")+(Materials!C33:C1032="Concrete04+MinMax")+(Materials!C33:C1032="Steel02")+(Materials!C33:C1032="Steel02+MinMax"))*(Materials!A33:A1032&lt;&gt;""))</f>
        <v>RC30</v>
      </c>
      <c r="H2" s="140" t="str" cm="1">
        <f t="array" ref="H2:H4">_xlfn._xlws.FILTER(Materials!A33:A1032,(Materials!B33:B1032="Concrete")*(Materials!A33:A1032&lt;&gt;""))</f>
        <v>RC30</v>
      </c>
      <c r="I2" s="140" t="str" cm="1">
        <f t="array" ref="I2:I3">_xlfn._xlws.FILTER(Materials!A33:A1032,((Materials!B33:B1032="Rebar")+(Materials!B33:B1032="Steel"))*(Materials!A33:A1032&lt;&gt;""))</f>
        <v>Rebar420</v>
      </c>
      <c r="J2" s="140" t="str" cm="1">
        <f t="array" ref="J2:J3">_xlfn._xlws.FILTER(Materials!A33:A1032,(Materials!C33:C1032="Elastic")*(Materials!A33:A1032&lt;&gt;""))</f>
        <v>RC30</v>
      </c>
      <c r="K2" s="140" t="str" cm="1">
        <f t="array" ref="K2:K4">_xlfn._xlws.FILTER(Materials!A33:A1032,((Materials!C33:C1032="Concrete04")+(Materials!C33:C1032="Concrete04+MinMax")+(Materials!C33:C1032="Steel02")+(Materials!C33:C1032="Steel02+MinMax"))*(Materials!A33:A1032&lt;&gt;""))</f>
        <v>RC Unconfined</v>
      </c>
      <c r="L2" s="117" t="s">
        <v>22</v>
      </c>
      <c r="M2" s="196" t="s">
        <v>386</v>
      </c>
      <c r="N2" s="139" t="s">
        <v>55</v>
      </c>
      <c r="O2" s="117" t="s">
        <v>26</v>
      </c>
      <c r="P2" s="196" t="s">
        <v>314</v>
      </c>
      <c r="Q2" s="140" t="str" cm="1">
        <f t="array" ref="Q2:Q4">_xlfn.LET(_xlpm.data, _xlfn.VSTACK('Frame Sections'!$A$18:$A$1017), _xlfn._xlws.FILTER(_xlpm.data, _xlpm.data&lt;&gt;""))</f>
        <v>C1</v>
      </c>
      <c r="R2" s="140" t="str" cm="1">
        <f t="array" ref="R2:R5">_xlfn.LET(_xlpm.data, _xlfn.VSTACK('Frame Sections'!$A$18:$A$1017,Sec_Aggregator!$A$16:$A$1015), _xlfn._xlws.FILTER(_xlpm.data, _xlpm.data&lt;&gt;""))</f>
        <v>C1</v>
      </c>
      <c r="S2" s="117" t="s">
        <v>27</v>
      </c>
      <c r="T2" s="118" t="s">
        <v>100</v>
      </c>
      <c r="U2" s="118" t="s">
        <v>107</v>
      </c>
      <c r="V2" s="118" t="s">
        <v>112</v>
      </c>
      <c r="W2" s="118" t="s">
        <v>117</v>
      </c>
      <c r="X2" s="118" t="s">
        <v>125</v>
      </c>
      <c r="Y2" s="118" t="s">
        <v>126</v>
      </c>
    </row>
    <row r="3" spans="1:25" ht="31.5" x14ac:dyDescent="0.25">
      <c r="A3" s="116" t="s">
        <v>221</v>
      </c>
      <c r="B3" s="117" t="s">
        <v>3</v>
      </c>
      <c r="C3" s="163" t="s">
        <v>315</v>
      </c>
      <c r="D3" s="163" t="s">
        <v>316</v>
      </c>
      <c r="E3" s="163" t="s">
        <v>232</v>
      </c>
      <c r="F3" s="140"/>
      <c r="G3" s="140" t="str">
        <v>Rebar420</v>
      </c>
      <c r="H3" s="140" t="str">
        <v>RC Unconfined</v>
      </c>
      <c r="I3" s="140" t="str">
        <v>Rebar420NL</v>
      </c>
      <c r="J3" s="140" t="str">
        <v>Rebar420</v>
      </c>
      <c r="K3" s="140" t="str">
        <v>RC Confined</v>
      </c>
      <c r="L3" s="117"/>
      <c r="M3" s="117"/>
      <c r="N3" s="139" t="s">
        <v>54</v>
      </c>
      <c r="O3" s="117"/>
      <c r="P3" s="196" t="s">
        <v>363</v>
      </c>
      <c r="Q3" s="140" t="str">
        <v>B1</v>
      </c>
      <c r="R3" s="140" t="str">
        <v>B1</v>
      </c>
      <c r="S3" s="117" t="s">
        <v>28</v>
      </c>
      <c r="T3" s="118" t="s">
        <v>101</v>
      </c>
      <c r="U3" s="118" t="s">
        <v>108</v>
      </c>
      <c r="V3" s="118" t="s">
        <v>113</v>
      </c>
      <c r="W3" s="118" t="s">
        <v>118</v>
      </c>
      <c r="X3" s="118" t="s">
        <v>137</v>
      </c>
      <c r="Y3" s="118" t="s">
        <v>127</v>
      </c>
    </row>
    <row r="4" spans="1:25" x14ac:dyDescent="0.25">
      <c r="A4" s="116" t="s">
        <v>222</v>
      </c>
      <c r="B4" s="117" t="s">
        <v>9</v>
      </c>
      <c r="C4" s="163" t="s">
        <v>351</v>
      </c>
      <c r="D4" s="163" t="s">
        <v>352</v>
      </c>
      <c r="E4" s="163" t="s">
        <v>321</v>
      </c>
      <c r="F4" s="140"/>
      <c r="G4" s="140" t="str">
        <v>RC Unconfined</v>
      </c>
      <c r="H4" s="140" t="str">
        <v>RC Confined</v>
      </c>
      <c r="I4" s="140"/>
      <c r="J4" s="140"/>
      <c r="K4" s="140" t="str">
        <v>Rebar420NL</v>
      </c>
      <c r="L4" s="117"/>
      <c r="M4" s="117"/>
      <c r="N4" s="139" t="s">
        <v>259</v>
      </c>
      <c r="O4" s="117"/>
      <c r="P4" s="117"/>
      <c r="Q4" s="140" t="str">
        <v>C1Fiber</v>
      </c>
      <c r="R4" s="140" t="str">
        <v>C1Fiber</v>
      </c>
      <c r="S4" s="117" t="s">
        <v>29</v>
      </c>
      <c r="T4" s="118" t="s">
        <v>102</v>
      </c>
      <c r="U4" s="118" t="s">
        <v>109</v>
      </c>
      <c r="V4" s="118" t="s">
        <v>114</v>
      </c>
      <c r="W4" s="118" t="s">
        <v>119</v>
      </c>
      <c r="X4" s="117"/>
      <c r="Y4" s="117"/>
    </row>
    <row r="5" spans="1:25" x14ac:dyDescent="0.25">
      <c r="A5" s="119"/>
      <c r="B5" s="163" t="s">
        <v>322</v>
      </c>
      <c r="C5" s="163"/>
      <c r="D5" s="163"/>
      <c r="E5" s="163"/>
      <c r="F5" s="140"/>
      <c r="G5" s="140" t="str">
        <v>RC Confined</v>
      </c>
      <c r="H5" s="140"/>
      <c r="I5" s="140"/>
      <c r="J5" s="140"/>
      <c r="K5" s="140"/>
      <c r="L5" s="117"/>
      <c r="M5" s="117"/>
      <c r="N5" s="117"/>
      <c r="O5" s="117"/>
      <c r="P5" s="117"/>
      <c r="Q5" s="140"/>
      <c r="R5" s="140" t="str">
        <v>C1Fiber_Agg</v>
      </c>
      <c r="S5" s="117" t="s">
        <v>11</v>
      </c>
      <c r="T5" s="118" t="s">
        <v>103</v>
      </c>
      <c r="U5" s="118" t="s">
        <v>110</v>
      </c>
      <c r="V5" s="118" t="s">
        <v>115</v>
      </c>
      <c r="W5" s="118" t="s">
        <v>120</v>
      </c>
      <c r="X5" s="117"/>
      <c r="Y5" s="117"/>
    </row>
    <row r="6" spans="1:25" x14ac:dyDescent="0.25">
      <c r="A6" s="119"/>
      <c r="B6" s="117"/>
      <c r="C6" s="117"/>
      <c r="D6" s="117"/>
      <c r="E6" s="117"/>
      <c r="F6" s="140"/>
      <c r="G6" s="140" t="str">
        <v>Rebar420NL</v>
      </c>
      <c r="H6" s="140"/>
      <c r="I6" s="140"/>
      <c r="J6" s="140"/>
      <c r="K6" s="140"/>
      <c r="L6" s="117"/>
      <c r="M6" s="117"/>
      <c r="N6" s="117"/>
      <c r="O6" s="117"/>
      <c r="P6" s="117"/>
      <c r="Q6" s="140"/>
      <c r="R6" s="140"/>
      <c r="S6" s="117" t="s">
        <v>30</v>
      </c>
      <c r="T6" s="118" t="s">
        <v>104</v>
      </c>
      <c r="U6" s="118" t="s">
        <v>111</v>
      </c>
      <c r="V6" s="118" t="s">
        <v>116</v>
      </c>
      <c r="W6" s="118" t="s">
        <v>121</v>
      </c>
      <c r="X6" s="117"/>
      <c r="Y6" s="117"/>
    </row>
    <row r="7" spans="1:25" x14ac:dyDescent="0.25">
      <c r="A7" s="119"/>
      <c r="B7" s="117"/>
      <c r="C7" s="117"/>
      <c r="D7" s="117"/>
      <c r="E7" s="117"/>
      <c r="F7" s="140"/>
      <c r="G7" s="140"/>
      <c r="H7" s="140"/>
      <c r="I7" s="140"/>
      <c r="J7" s="140"/>
      <c r="K7" s="140"/>
      <c r="L7" s="117"/>
      <c r="M7" s="117"/>
      <c r="N7" s="117"/>
      <c r="O7" s="117"/>
      <c r="P7" s="117"/>
      <c r="Q7" s="140"/>
      <c r="R7" s="140"/>
      <c r="S7" s="117"/>
      <c r="T7" s="118" t="s">
        <v>105</v>
      </c>
      <c r="U7" s="117"/>
      <c r="V7" s="117"/>
      <c r="W7" s="118" t="s">
        <v>122</v>
      </c>
      <c r="X7" s="117"/>
      <c r="Y7" s="117"/>
    </row>
    <row r="8" spans="1:25" x14ac:dyDescent="0.25">
      <c r="A8" s="119"/>
      <c r="B8" s="117"/>
      <c r="C8" s="117"/>
      <c r="D8" s="117"/>
      <c r="E8" s="117"/>
      <c r="F8" s="140"/>
      <c r="G8" s="140"/>
      <c r="H8" s="140"/>
      <c r="I8" s="140"/>
      <c r="J8" s="140"/>
      <c r="K8" s="140"/>
      <c r="L8" s="117"/>
      <c r="M8" s="117"/>
      <c r="N8" s="117"/>
      <c r="O8" s="117"/>
      <c r="P8" s="117"/>
      <c r="Q8" s="140"/>
      <c r="R8" s="140"/>
      <c r="S8" s="117"/>
      <c r="T8" s="118" t="s">
        <v>106</v>
      </c>
      <c r="U8" s="117"/>
      <c r="V8" s="117"/>
      <c r="W8" s="118" t="s">
        <v>123</v>
      </c>
      <c r="X8" s="117"/>
      <c r="Y8" s="117"/>
    </row>
    <row r="9" spans="1:25" x14ac:dyDescent="0.25">
      <c r="A9" s="119"/>
      <c r="B9" s="117"/>
      <c r="C9" s="117"/>
      <c r="D9" s="117"/>
      <c r="E9" s="117"/>
      <c r="F9" s="140"/>
      <c r="G9" s="140"/>
      <c r="H9" s="140"/>
      <c r="I9" s="140"/>
      <c r="J9" s="140"/>
      <c r="K9" s="140"/>
      <c r="L9" s="117"/>
      <c r="M9" s="117"/>
      <c r="N9" s="117"/>
      <c r="O9" s="117"/>
      <c r="P9" s="117"/>
      <c r="Q9" s="140"/>
      <c r="R9" s="140"/>
      <c r="S9" s="117"/>
      <c r="T9" s="117"/>
      <c r="U9" s="117"/>
      <c r="V9" s="117"/>
      <c r="W9" s="118" t="s">
        <v>124</v>
      </c>
      <c r="X9" s="117"/>
      <c r="Y9" s="117"/>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5" customWidth="1"/>
    <col min="2" max="16384" width="9.140625" style="57"/>
  </cols>
  <sheetData>
    <row r="1" spans="1:2" x14ac:dyDescent="0.25">
      <c r="A1" s="56" t="s">
        <v>132</v>
      </c>
    </row>
    <row r="2" spans="1:2" x14ac:dyDescent="0.25">
      <c r="A2" s="55">
        <v>1</v>
      </c>
      <c r="B2" s="57" t="s">
        <v>134</v>
      </c>
    </row>
    <row r="3" spans="1:2" x14ac:dyDescent="0.25">
      <c r="A3" s="55">
        <v>2</v>
      </c>
      <c r="B3" s="57" t="s">
        <v>135</v>
      </c>
    </row>
    <row r="4" spans="1:2" x14ac:dyDescent="0.25">
      <c r="A4" s="55">
        <v>3</v>
      </c>
      <c r="B4" s="57" t="s">
        <v>136</v>
      </c>
    </row>
    <row r="5" spans="1:2" x14ac:dyDescent="0.25">
      <c r="A5" s="55">
        <v>4</v>
      </c>
      <c r="B5" s="58" t="s">
        <v>166</v>
      </c>
    </row>
    <row r="6" spans="1:2" x14ac:dyDescent="0.25">
      <c r="A6" s="55">
        <v>5</v>
      </c>
      <c r="B6" s="59" t="s">
        <v>167</v>
      </c>
    </row>
    <row r="7" spans="1:2" x14ac:dyDescent="0.25">
      <c r="B7" s="60"/>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9" sqref="B9"/>
    </sheetView>
  </sheetViews>
  <sheetFormatPr defaultColWidth="10.85546875" defaultRowHeight="15.75" x14ac:dyDescent="0.25"/>
  <cols>
    <col min="1" max="1" width="25.7109375" style="11" customWidth="1"/>
    <col min="2" max="2" width="75.7109375" style="11" customWidth="1"/>
    <col min="3" max="16384" width="10.85546875" style="11"/>
  </cols>
  <sheetData>
    <row r="1" spans="1:2" x14ac:dyDescent="0.25">
      <c r="A1" s="16" t="s">
        <v>133</v>
      </c>
      <c r="B1" s="17"/>
    </row>
    <row r="2" spans="1:2" x14ac:dyDescent="0.25">
      <c r="A2" s="48" t="s">
        <v>224</v>
      </c>
      <c r="B2" s="18"/>
    </row>
    <row r="3" spans="1:2" x14ac:dyDescent="0.25">
      <c r="A3" s="27" t="s">
        <v>148</v>
      </c>
      <c r="B3" s="18"/>
    </row>
    <row r="4" spans="1:2" x14ac:dyDescent="0.25">
      <c r="A4" s="121" t="s">
        <v>225</v>
      </c>
      <c r="B4" s="20"/>
    </row>
    <row r="6" spans="1:2" s="10" customFormat="1" x14ac:dyDescent="0.25">
      <c r="A6" s="14" t="s">
        <v>87</v>
      </c>
      <c r="B6" s="14" t="s">
        <v>5</v>
      </c>
    </row>
    <row r="7" spans="1:2" x14ac:dyDescent="0.25">
      <c r="A7" s="15" t="s">
        <v>79</v>
      </c>
      <c r="B7" s="21" t="s">
        <v>81</v>
      </c>
    </row>
    <row r="8" spans="1:2" ht="50.1" customHeight="1" x14ac:dyDescent="0.25">
      <c r="A8" s="23" t="s">
        <v>80</v>
      </c>
      <c r="B8" s="22" t="s">
        <v>82</v>
      </c>
    </row>
    <row r="9" spans="1:2" x14ac:dyDescent="0.25">
      <c r="A9" s="61" t="s">
        <v>219</v>
      </c>
      <c r="B9" s="161" t="s">
        <v>313</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"2D-Plane, 3D-Space"</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C12" sqref="C12"/>
    </sheetView>
  </sheetViews>
  <sheetFormatPr defaultColWidth="10.85546875" defaultRowHeight="15.75" x14ac:dyDescent="0.25"/>
  <cols>
    <col min="1" max="1" width="20.7109375" style="11" customWidth="1"/>
    <col min="2" max="2" width="10.7109375" style="13" customWidth="1"/>
    <col min="3" max="16384" width="10.85546875" style="11"/>
  </cols>
  <sheetData>
    <row r="1" spans="1:5" x14ac:dyDescent="0.25">
      <c r="A1" s="16" t="s">
        <v>133</v>
      </c>
      <c r="B1" s="32"/>
      <c r="C1" s="33"/>
      <c r="D1" s="33"/>
      <c r="E1" s="17"/>
    </row>
    <row r="2" spans="1:5" x14ac:dyDescent="0.25">
      <c r="A2" s="27" t="s">
        <v>140</v>
      </c>
      <c r="B2" s="49"/>
      <c r="C2" s="50"/>
      <c r="D2" s="50"/>
      <c r="E2" s="18"/>
    </row>
    <row r="3" spans="1:5" x14ac:dyDescent="0.25">
      <c r="A3" s="27" t="s">
        <v>141</v>
      </c>
      <c r="B3" s="49"/>
      <c r="C3" s="50"/>
      <c r="D3" s="50"/>
      <c r="E3" s="18"/>
    </row>
    <row r="4" spans="1:5" x14ac:dyDescent="0.25">
      <c r="A4" s="27" t="s">
        <v>142</v>
      </c>
      <c r="B4" s="49"/>
      <c r="C4" s="50"/>
      <c r="D4" s="50"/>
      <c r="E4" s="18"/>
    </row>
    <row r="5" spans="1:5" x14ac:dyDescent="0.25">
      <c r="A5" s="27" t="s">
        <v>143</v>
      </c>
      <c r="B5" s="49"/>
      <c r="C5" s="50"/>
      <c r="D5" s="50"/>
      <c r="E5" s="18"/>
    </row>
    <row r="6" spans="1:5" x14ac:dyDescent="0.25">
      <c r="A6" s="27" t="s">
        <v>144</v>
      </c>
      <c r="B6" s="49"/>
      <c r="C6" s="50"/>
      <c r="D6" s="50"/>
      <c r="E6" s="18"/>
    </row>
    <row r="7" spans="1:5" x14ac:dyDescent="0.25">
      <c r="A7" s="19" t="s">
        <v>145</v>
      </c>
      <c r="B7" s="34"/>
      <c r="C7" s="35"/>
      <c r="D7" s="35"/>
      <c r="E7" s="20"/>
    </row>
    <row r="9" spans="1:5" s="10" customFormat="1" x14ac:dyDescent="0.25">
      <c r="A9" s="14" t="s">
        <v>87</v>
      </c>
      <c r="B9" s="14" t="s">
        <v>5</v>
      </c>
    </row>
    <row r="10" spans="1:5" x14ac:dyDescent="0.25">
      <c r="A10" s="23" t="s">
        <v>88</v>
      </c>
      <c r="B10" s="25" t="s">
        <v>101</v>
      </c>
    </row>
    <row r="11" spans="1:5" x14ac:dyDescent="0.25">
      <c r="A11" s="24" t="s">
        <v>89</v>
      </c>
      <c r="B11" s="26" t="s">
        <v>107</v>
      </c>
    </row>
    <row r="12" spans="1:5" x14ac:dyDescent="0.25">
      <c r="A12" s="23" t="s">
        <v>90</v>
      </c>
      <c r="B12" s="25" t="s">
        <v>112</v>
      </c>
    </row>
    <row r="13" spans="1:5" x14ac:dyDescent="0.25">
      <c r="A13" s="23" t="s">
        <v>91</v>
      </c>
      <c r="B13" s="25" t="s">
        <v>119</v>
      </c>
    </row>
    <row r="14" spans="1:5" x14ac:dyDescent="0.25">
      <c r="A14" s="23" t="s">
        <v>92</v>
      </c>
      <c r="B14" s="25" t="s">
        <v>125</v>
      </c>
    </row>
    <row r="15" spans="1:5" x14ac:dyDescent="0.25">
      <c r="A15" s="23" t="s">
        <v>93</v>
      </c>
      <c r="B15" s="25" t="s">
        <v>126</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1" customWidth="1"/>
    <col min="2" max="2" width="10.7109375" style="11" customWidth="1"/>
    <col min="3" max="16384" width="10.85546875" style="11"/>
  </cols>
  <sheetData>
    <row r="1" spans="1:5" x14ac:dyDescent="0.25">
      <c r="A1" s="16" t="s">
        <v>133</v>
      </c>
      <c r="B1" s="33"/>
      <c r="C1" s="33"/>
      <c r="D1" s="33"/>
      <c r="E1" s="17"/>
    </row>
    <row r="2" spans="1:5" x14ac:dyDescent="0.25">
      <c r="A2" s="27" t="s">
        <v>146</v>
      </c>
      <c r="B2" s="50"/>
      <c r="C2" s="50"/>
      <c r="D2" s="50"/>
      <c r="E2" s="18"/>
    </row>
    <row r="3" spans="1:5" x14ac:dyDescent="0.25">
      <c r="A3" s="27" t="s">
        <v>147</v>
      </c>
      <c r="B3" s="50"/>
      <c r="C3" s="50"/>
      <c r="D3" s="50"/>
      <c r="E3" s="18"/>
    </row>
    <row r="4" spans="1:5" x14ac:dyDescent="0.25">
      <c r="A4" s="19" t="s">
        <v>149</v>
      </c>
      <c r="B4" s="35"/>
      <c r="C4" s="35"/>
      <c r="D4" s="35"/>
      <c r="E4" s="20"/>
    </row>
    <row r="6" spans="1:5" s="10" customFormat="1" x14ac:dyDescent="0.25">
      <c r="A6" s="14" t="s">
        <v>87</v>
      </c>
      <c r="B6" s="14" t="s">
        <v>5</v>
      </c>
    </row>
    <row r="7" spans="1:5" x14ac:dyDescent="0.25">
      <c r="A7" s="61" t="s">
        <v>6</v>
      </c>
      <c r="B7" s="62" t="s">
        <v>223</v>
      </c>
    </row>
    <row r="8" spans="1:5" x14ac:dyDescent="0.25">
      <c r="A8" s="61" t="s">
        <v>7</v>
      </c>
      <c r="B8" s="62" t="s">
        <v>83</v>
      </c>
    </row>
    <row r="9" spans="1:5" x14ac:dyDescent="0.25">
      <c r="A9" s="23" t="s">
        <v>84</v>
      </c>
      <c r="B9" s="63">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AO38"/>
  <sheetViews>
    <sheetView topLeftCell="A22" zoomScale="130" zoomScaleNormal="130" workbookViewId="0">
      <selection activeCell="AE26" sqref="AE26"/>
    </sheetView>
  </sheetViews>
  <sheetFormatPr defaultColWidth="8.85546875" defaultRowHeight="15.75" x14ac:dyDescent="0.25"/>
  <cols>
    <col min="1" max="3" width="20.7109375" style="96" customWidth="1"/>
    <col min="4" max="34" width="15.7109375" style="199" customWidth="1"/>
    <col min="35" max="35" width="10.7109375" style="172" customWidth="1"/>
    <col min="36" max="16384" width="8.85546875" style="84"/>
  </cols>
  <sheetData>
    <row r="1" spans="1:41" x14ac:dyDescent="0.25">
      <c r="A1" s="97" t="s">
        <v>133</v>
      </c>
      <c r="B1" s="81"/>
      <c r="C1" s="81"/>
      <c r="D1" s="101"/>
      <c r="E1" s="101"/>
      <c r="F1" s="101"/>
      <c r="G1" s="164"/>
      <c r="H1" s="164"/>
      <c r="I1" s="164"/>
      <c r="J1" s="165"/>
      <c r="K1" s="178"/>
      <c r="L1" s="164"/>
      <c r="M1" s="164"/>
      <c r="N1" s="164"/>
      <c r="O1" s="164"/>
      <c r="P1" s="164"/>
      <c r="Q1" s="164"/>
      <c r="R1" s="164"/>
      <c r="S1" s="164"/>
      <c r="T1" s="164"/>
      <c r="U1" s="164"/>
      <c r="V1" s="164"/>
      <c r="W1" s="164"/>
      <c r="X1" s="164"/>
      <c r="Y1" s="164"/>
      <c r="Z1" s="164"/>
      <c r="AA1" s="178"/>
      <c r="AB1" s="164"/>
      <c r="AC1" s="164"/>
      <c r="AD1" s="164"/>
      <c r="AE1" s="164"/>
      <c r="AF1" s="164"/>
      <c r="AG1" s="164"/>
      <c r="AH1" s="165"/>
      <c r="AI1" s="202"/>
      <c r="AJ1" s="203"/>
      <c r="AK1" s="203"/>
      <c r="AL1" s="203"/>
      <c r="AM1" s="203"/>
      <c r="AN1" s="203"/>
      <c r="AO1" s="203"/>
    </row>
    <row r="2" spans="1:41" x14ac:dyDescent="0.25">
      <c r="A2" s="88" t="s">
        <v>161</v>
      </c>
      <c r="B2" s="85"/>
      <c r="C2" s="85"/>
      <c r="D2" s="102"/>
      <c r="E2" s="102"/>
      <c r="F2" s="102"/>
      <c r="G2" s="166"/>
      <c r="H2" s="166"/>
      <c r="I2" s="166"/>
      <c r="J2" s="167"/>
      <c r="K2" s="179" t="str">
        <f>"- K0: Elastic stiffness (Input as Float) ("&amp;'User Defined Units'!$B$10&amp;"-"&amp;'User Defined Units'!$B$11&amp;"/"&amp;'User Defined Units'!$B$15&amp;")"</f>
        <v>- K0: Elastic stiffness (Input as Float) (kN-m/rad)</v>
      </c>
      <c r="L2" s="200"/>
      <c r="M2" s="187"/>
      <c r="N2" s="187"/>
      <c r="O2" s="187"/>
      <c r="P2" s="187"/>
      <c r="Q2" s="187"/>
      <c r="R2" s="187"/>
      <c r="S2" s="187"/>
      <c r="T2" s="187"/>
      <c r="U2" s="187"/>
      <c r="V2" s="187"/>
      <c r="W2" s="187"/>
      <c r="X2" s="187"/>
      <c r="Y2" s="187"/>
      <c r="Z2" s="187"/>
      <c r="AA2" s="188" t="s">
        <v>358</v>
      </c>
      <c r="AB2" s="191"/>
      <c r="AC2" s="191"/>
      <c r="AD2" s="191"/>
      <c r="AE2" s="191"/>
      <c r="AF2" s="191"/>
      <c r="AG2" s="191"/>
      <c r="AH2" s="192"/>
      <c r="AI2" s="204"/>
      <c r="AJ2" s="204"/>
      <c r="AK2" s="204"/>
      <c r="AL2" s="204"/>
      <c r="AM2" s="204"/>
      <c r="AN2" s="204"/>
      <c r="AO2" s="204"/>
    </row>
    <row r="3" spans="1:41" ht="15.75" customHeight="1" x14ac:dyDescent="0.25">
      <c r="A3" s="88" t="s">
        <v>162</v>
      </c>
      <c r="B3" s="85"/>
      <c r="C3" s="85"/>
      <c r="D3" s="102"/>
      <c r="E3" s="102"/>
      <c r="F3" s="102"/>
      <c r="G3" s="166"/>
      <c r="H3" s="166"/>
      <c r="I3" s="166"/>
      <c r="J3" s="167"/>
      <c r="K3" s="180" t="s">
        <v>182</v>
      </c>
      <c r="L3" s="186"/>
      <c r="M3" s="186"/>
      <c r="N3" s="186"/>
      <c r="O3" s="186"/>
      <c r="P3" s="186"/>
      <c r="Q3" s="186"/>
      <c r="R3" s="186"/>
      <c r="S3" s="186"/>
      <c r="T3" s="186"/>
      <c r="U3" s="186"/>
      <c r="V3" s="186"/>
      <c r="W3" s="186"/>
      <c r="X3" s="186"/>
      <c r="Y3" s="186"/>
      <c r="Z3" s="186"/>
      <c r="AA3" s="188" t="s">
        <v>357</v>
      </c>
      <c r="AB3" s="191"/>
      <c r="AC3" s="191"/>
      <c r="AD3" s="191"/>
      <c r="AE3" s="191"/>
      <c r="AF3" s="191"/>
      <c r="AG3" s="191"/>
      <c r="AH3" s="192"/>
      <c r="AI3" s="204"/>
      <c r="AJ3" s="204"/>
      <c r="AK3" s="204"/>
      <c r="AL3" s="204"/>
      <c r="AM3" s="204"/>
      <c r="AN3" s="204"/>
      <c r="AO3" s="204"/>
    </row>
    <row r="4" spans="1:41" ht="15.75" customHeight="1" x14ac:dyDescent="0.25">
      <c r="A4" s="197" t="s">
        <v>181</v>
      </c>
      <c r="B4" s="85"/>
      <c r="C4" s="85"/>
      <c r="D4" s="102"/>
      <c r="E4" s="102"/>
      <c r="F4" s="102"/>
      <c r="G4" s="166"/>
      <c r="H4" s="166"/>
      <c r="I4" s="166"/>
      <c r="J4" s="167"/>
      <c r="K4" s="180" t="s">
        <v>183</v>
      </c>
      <c r="L4" s="186"/>
      <c r="M4" s="186"/>
      <c r="N4" s="186"/>
      <c r="O4" s="186"/>
      <c r="P4" s="186"/>
      <c r="Q4" s="186"/>
      <c r="R4" s="186"/>
      <c r="S4" s="186"/>
      <c r="T4" s="186"/>
      <c r="U4" s="186"/>
      <c r="V4" s="186"/>
      <c r="W4" s="186"/>
      <c r="X4" s="186"/>
      <c r="Y4" s="186"/>
      <c r="Z4" s="186"/>
      <c r="AA4" s="188" t="s">
        <v>356</v>
      </c>
      <c r="AB4" s="191"/>
      <c r="AC4" s="191"/>
      <c r="AD4" s="191"/>
      <c r="AE4" s="191"/>
      <c r="AF4" s="191"/>
      <c r="AG4" s="191"/>
      <c r="AH4" s="192"/>
      <c r="AI4" s="204"/>
      <c r="AJ4" s="204"/>
      <c r="AK4" s="204"/>
      <c r="AL4" s="204"/>
      <c r="AM4" s="204"/>
      <c r="AN4" s="204"/>
      <c r="AO4" s="204"/>
    </row>
    <row r="5" spans="1:41" x14ac:dyDescent="0.25">
      <c r="A5" s="88" t="str">
        <f>"- Unitweight: Unitweight of material (Input as Float) ("&amp;'User Defined Units'!$B$10&amp;"/"&amp;'User Defined Units'!$B$11&amp;"3)"</f>
        <v>- Unitweight: Unitweight of material (Input as Float) (kN/m3)</v>
      </c>
      <c r="B5" s="85"/>
      <c r="C5" s="85"/>
      <c r="D5" s="102"/>
      <c r="E5" s="102"/>
      <c r="F5" s="102"/>
      <c r="G5" s="166"/>
      <c r="H5" s="166"/>
      <c r="I5" s="166"/>
      <c r="J5" s="167"/>
      <c r="K5" s="179" t="str">
        <f>"- My_Pos: Effective yield strength for positive loading direction (Input as Float) ("&amp;'User Defined Units'!$B$10&amp;"-"&amp;'User Defined Units'!$B$11&amp;")"</f>
        <v>- My_Pos: Effective yield strength for positive loading direction (Input as Float) (kN-m)</v>
      </c>
      <c r="L5" s="200"/>
      <c r="M5" s="187"/>
      <c r="N5" s="187"/>
      <c r="O5" s="187"/>
      <c r="P5" s="187"/>
      <c r="Q5" s="187"/>
      <c r="R5" s="187"/>
      <c r="S5" s="187"/>
      <c r="T5" s="187"/>
      <c r="U5" s="187"/>
      <c r="V5" s="187"/>
      <c r="W5" s="187"/>
      <c r="X5" s="187"/>
      <c r="Y5" s="187"/>
      <c r="Z5" s="187"/>
      <c r="AA5" s="188" t="s">
        <v>355</v>
      </c>
      <c r="AB5" s="191"/>
      <c r="AC5" s="191"/>
      <c r="AD5" s="191"/>
      <c r="AE5" s="191"/>
      <c r="AF5" s="191"/>
      <c r="AG5" s="191"/>
      <c r="AH5" s="192"/>
      <c r="AI5" s="205"/>
      <c r="AJ5" s="205"/>
      <c r="AK5" s="205"/>
      <c r="AL5" s="205"/>
      <c r="AM5" s="205"/>
      <c r="AN5" s="205"/>
      <c r="AO5" s="205"/>
    </row>
    <row r="6" spans="1:41" ht="15.95" customHeight="1" x14ac:dyDescent="0.25">
      <c r="A6" s="88" t="str">
        <f>"- E: Modulus of elasticity of material (Input as Float) ("&amp;'User Defined Units'!$B$13&amp;")"</f>
        <v>- E: Modulus of elasticity of material (Input as Float) (MPa)</v>
      </c>
      <c r="B6" s="85"/>
      <c r="C6" s="85"/>
      <c r="D6" s="102"/>
      <c r="E6" s="102"/>
      <c r="F6" s="102"/>
      <c r="G6" s="166"/>
      <c r="H6" s="166"/>
      <c r="I6" s="166"/>
      <c r="J6" s="167"/>
      <c r="K6" s="179" t="str">
        <f>"- My_Neg: Effective yield strength for negative loading direction (Input as Float) ("&amp;'User Defined Units'!$B$10&amp;"-"&amp;'User Defined Units'!$B$11&amp;")"</f>
        <v>- My_Neg: Effective yield strength for negative loading direction (Input as Float) (kN-m)</v>
      </c>
      <c r="L6" s="200"/>
      <c r="M6" s="187"/>
      <c r="N6" s="187"/>
      <c r="O6" s="187"/>
      <c r="P6" s="187"/>
      <c r="Q6" s="187"/>
      <c r="R6" s="187"/>
      <c r="S6" s="187"/>
      <c r="T6" s="187"/>
      <c r="U6" s="187"/>
      <c r="V6" s="187"/>
      <c r="W6" s="187"/>
      <c r="X6" s="187"/>
      <c r="Y6" s="187"/>
      <c r="Z6" s="187"/>
      <c r="AA6" s="188" t="s">
        <v>354</v>
      </c>
      <c r="AB6" s="191"/>
      <c r="AC6" s="191"/>
      <c r="AD6" s="191"/>
      <c r="AE6" s="191"/>
      <c r="AF6" s="191"/>
      <c r="AG6" s="191"/>
      <c r="AH6" s="192"/>
      <c r="AI6" s="205"/>
      <c r="AJ6" s="205"/>
      <c r="AK6" s="205"/>
      <c r="AL6" s="205"/>
      <c r="AM6" s="205"/>
      <c r="AN6" s="205"/>
      <c r="AO6" s="205"/>
    </row>
    <row r="7" spans="1:41" ht="15.75" customHeight="1" x14ac:dyDescent="0.25">
      <c r="A7" s="88" t="s">
        <v>154</v>
      </c>
      <c r="B7" s="85"/>
      <c r="C7" s="85"/>
      <c r="D7" s="102"/>
      <c r="E7" s="102"/>
      <c r="F7" s="102"/>
      <c r="G7" s="166"/>
      <c r="H7" s="166"/>
      <c r="I7" s="166"/>
      <c r="J7" s="167"/>
      <c r="K7" s="179" t="str">
        <f>"- Mu_Pos: Effective ultimate strength for positive loading direction (Input as Float) ("&amp;'User Defined Units'!$B$10&amp;"-"&amp;'User Defined Units'!$B$11&amp;")"</f>
        <v>- Mu_Pos: Effective ultimate strength for positive loading direction (Input as Float) (kN-m)</v>
      </c>
      <c r="L7" s="200"/>
      <c r="M7" s="187"/>
      <c r="N7" s="187"/>
      <c r="O7" s="187"/>
      <c r="P7" s="187"/>
      <c r="Q7" s="187"/>
      <c r="R7" s="187"/>
      <c r="S7" s="187"/>
      <c r="T7" s="187"/>
      <c r="U7" s="187"/>
      <c r="V7" s="187"/>
      <c r="W7" s="187"/>
      <c r="X7" s="187"/>
      <c r="Y7" s="187"/>
      <c r="Z7" s="187"/>
      <c r="AA7" s="188" t="s">
        <v>353</v>
      </c>
      <c r="AB7" s="191"/>
      <c r="AC7" s="191"/>
      <c r="AD7" s="191"/>
      <c r="AE7" s="191"/>
      <c r="AF7" s="191"/>
      <c r="AG7" s="191"/>
      <c r="AH7" s="192"/>
      <c r="AI7" s="205"/>
      <c r="AJ7" s="205"/>
      <c r="AK7" s="205"/>
      <c r="AL7" s="205"/>
      <c r="AM7" s="205"/>
      <c r="AN7" s="205"/>
      <c r="AO7" s="205"/>
    </row>
    <row r="8" spans="1:41" ht="15.95" customHeight="1" x14ac:dyDescent="0.25">
      <c r="A8" s="88" t="str">
        <f>"- fc: Maximum compressive strength of concrete (Input as Float) ("&amp;'User Defined Units'!$B$13&amp;")"</f>
        <v>- fc: Maximum compressive strength of concrete (Input as Float) (MPa)</v>
      </c>
      <c r="B8" s="85"/>
      <c r="C8" s="85"/>
      <c r="D8" s="102"/>
      <c r="E8" s="102"/>
      <c r="F8" s="102"/>
      <c r="G8" s="166"/>
      <c r="H8" s="166"/>
      <c r="I8" s="166"/>
      <c r="J8" s="167"/>
      <c r="K8" s="179" t="str">
        <f>"- Mu_Neg: Effective ultimate strength for negative loading direction (Input as Float) ("&amp;'User Defined Units'!$B$10&amp;"-"&amp;'User Defined Units'!$B$11&amp;")"</f>
        <v>- Mu_Neg: Effective ultimate strength for negative loading direction (Input as Float) (kN-m)</v>
      </c>
      <c r="L8" s="200"/>
      <c r="M8" s="187"/>
      <c r="N8" s="187"/>
      <c r="O8" s="187"/>
      <c r="P8" s="187"/>
      <c r="Q8" s="187"/>
      <c r="R8" s="187"/>
      <c r="S8" s="187"/>
      <c r="T8" s="187"/>
      <c r="U8" s="187"/>
      <c r="V8" s="187"/>
      <c r="W8" s="187"/>
      <c r="X8" s="187"/>
      <c r="Y8" s="187"/>
      <c r="Z8" s="187"/>
      <c r="AA8" s="188"/>
      <c r="AB8" s="191"/>
      <c r="AC8" s="191"/>
      <c r="AD8" s="191"/>
      <c r="AE8" s="191"/>
      <c r="AF8" s="191"/>
      <c r="AG8" s="191"/>
      <c r="AH8" s="192"/>
      <c r="AI8" s="205"/>
      <c r="AJ8" s="205"/>
      <c r="AK8" s="205"/>
      <c r="AL8" s="205"/>
      <c r="AM8" s="205"/>
      <c r="AN8" s="205"/>
      <c r="AO8" s="205"/>
    </row>
    <row r="9" spans="1:41" ht="15.75" customHeight="1" x14ac:dyDescent="0.25">
      <c r="A9" s="162" t="s">
        <v>163</v>
      </c>
      <c r="B9" s="85"/>
      <c r="C9" s="85"/>
      <c r="D9" s="102"/>
      <c r="E9" s="102"/>
      <c r="F9" s="102"/>
      <c r="G9" s="166"/>
      <c r="H9" s="166"/>
      <c r="I9" s="166"/>
      <c r="J9" s="167"/>
      <c r="K9" s="180" t="s">
        <v>192</v>
      </c>
      <c r="L9" s="200"/>
      <c r="M9" s="187"/>
      <c r="N9" s="187"/>
      <c r="O9" s="187"/>
      <c r="P9" s="187"/>
      <c r="Q9" s="187"/>
      <c r="R9" s="187"/>
      <c r="S9" s="187"/>
      <c r="T9" s="187"/>
      <c r="U9" s="187"/>
      <c r="V9" s="187"/>
      <c r="W9" s="187"/>
      <c r="X9" s="187"/>
      <c r="Y9" s="187"/>
      <c r="Z9" s="187"/>
      <c r="AA9" s="188" t="s">
        <v>359</v>
      </c>
      <c r="AB9" s="208"/>
      <c r="AC9" s="208"/>
      <c r="AD9" s="208"/>
      <c r="AE9" s="208"/>
      <c r="AF9" s="208"/>
      <c r="AG9" s="208"/>
      <c r="AH9" s="209"/>
      <c r="AI9" s="206"/>
      <c r="AJ9" s="206"/>
      <c r="AK9" s="206"/>
      <c r="AL9" s="206"/>
      <c r="AM9" s="206"/>
      <c r="AN9" s="206"/>
      <c r="AO9" s="206"/>
    </row>
    <row r="10" spans="1:41" ht="15.95" customHeight="1" x14ac:dyDescent="0.25">
      <c r="A10" s="162" t="s">
        <v>164</v>
      </c>
      <c r="B10" s="85"/>
      <c r="C10" s="85"/>
      <c r="D10" s="102"/>
      <c r="E10" s="102"/>
      <c r="F10" s="102"/>
      <c r="G10" s="166"/>
      <c r="H10" s="166"/>
      <c r="I10" s="166"/>
      <c r="J10" s="167"/>
      <c r="K10" s="180" t="s">
        <v>193</v>
      </c>
      <c r="L10" s="200"/>
      <c r="M10" s="187"/>
      <c r="N10" s="187"/>
      <c r="O10" s="187"/>
      <c r="P10" s="187"/>
      <c r="Q10" s="187"/>
      <c r="R10" s="187"/>
      <c r="S10" s="187"/>
      <c r="T10" s="187"/>
      <c r="U10" s="187"/>
      <c r="V10" s="187"/>
      <c r="W10" s="187"/>
      <c r="X10" s="187"/>
      <c r="Y10" s="187"/>
      <c r="Z10" s="187"/>
      <c r="AA10" s="201"/>
      <c r="AB10" s="208"/>
      <c r="AC10" s="208"/>
      <c r="AD10" s="208"/>
      <c r="AE10" s="208"/>
      <c r="AF10" s="208"/>
      <c r="AG10" s="208"/>
      <c r="AH10" s="209"/>
      <c r="AI10" s="206"/>
      <c r="AJ10" s="206"/>
      <c r="AK10" s="206"/>
      <c r="AL10" s="206"/>
      <c r="AM10" s="206"/>
      <c r="AN10" s="206"/>
      <c r="AO10" s="206"/>
    </row>
    <row r="11" spans="1:41" ht="15.75" customHeight="1" x14ac:dyDescent="0.25">
      <c r="A11" s="88" t="str">
        <f>"- fct: Maximum tensile strength of concrete (Input as Float) ("&amp;'User Defined Units'!$B$13&amp;")"</f>
        <v>- fct: Maximum tensile strength of concrete (Input as Float) (MPa)</v>
      </c>
      <c r="B11" s="190"/>
      <c r="C11" s="190"/>
      <c r="D11" s="190"/>
      <c r="E11" s="190"/>
      <c r="F11" s="190"/>
      <c r="G11" s="190"/>
      <c r="H11" s="190"/>
      <c r="I11" s="190"/>
      <c r="J11" s="105"/>
      <c r="K11" s="181" t="s">
        <v>194</v>
      </c>
      <c r="L11" s="200"/>
      <c r="M11" s="187"/>
      <c r="N11" s="187"/>
      <c r="O11" s="187"/>
      <c r="P11" s="187"/>
      <c r="Q11" s="187"/>
      <c r="R11" s="187"/>
      <c r="S11" s="187"/>
      <c r="T11" s="187"/>
      <c r="U11" s="187"/>
      <c r="V11" s="187"/>
      <c r="W11" s="187"/>
      <c r="X11" s="187"/>
      <c r="Y11" s="187"/>
      <c r="Z11" s="187"/>
      <c r="AA11" s="201"/>
      <c r="AB11" s="208"/>
      <c r="AC11" s="208"/>
      <c r="AD11" s="208"/>
      <c r="AE11" s="208"/>
      <c r="AF11" s="208"/>
      <c r="AG11" s="208"/>
      <c r="AH11" s="209"/>
      <c r="AI11" s="206"/>
      <c r="AJ11" s="206"/>
      <c r="AK11" s="206"/>
      <c r="AL11" s="206"/>
      <c r="AM11" s="206"/>
      <c r="AN11" s="206"/>
      <c r="AO11" s="206"/>
    </row>
    <row r="12" spans="1:41" x14ac:dyDescent="0.25">
      <c r="A12" s="48" t="s">
        <v>169</v>
      </c>
      <c r="B12" s="85"/>
      <c r="C12" s="85"/>
      <c r="D12" s="102"/>
      <c r="E12" s="102"/>
      <c r="F12" s="102"/>
      <c r="G12" s="166"/>
      <c r="H12" s="166"/>
      <c r="I12" s="166"/>
      <c r="J12" s="167"/>
      <c r="K12" s="180" t="s">
        <v>195</v>
      </c>
      <c r="L12" s="200"/>
      <c r="M12" s="187"/>
      <c r="N12" s="187"/>
      <c r="O12" s="187"/>
      <c r="P12" s="187"/>
      <c r="Q12" s="187"/>
      <c r="R12" s="187"/>
      <c r="S12" s="187"/>
      <c r="T12" s="187"/>
      <c r="U12" s="187"/>
      <c r="V12" s="187"/>
      <c r="W12" s="187"/>
      <c r="X12" s="187"/>
      <c r="Y12" s="187"/>
      <c r="Z12" s="187"/>
      <c r="AA12" s="188" t="s">
        <v>360</v>
      </c>
      <c r="AB12" s="191"/>
      <c r="AC12" s="191"/>
      <c r="AD12" s="191"/>
      <c r="AE12" s="191"/>
      <c r="AF12" s="191"/>
      <c r="AG12" s="191"/>
      <c r="AH12" s="192"/>
      <c r="AI12" s="206"/>
      <c r="AJ12" s="206"/>
      <c r="AK12" s="206"/>
      <c r="AL12" s="206"/>
      <c r="AM12" s="206"/>
      <c r="AN12" s="206"/>
      <c r="AO12" s="206"/>
    </row>
    <row r="13" spans="1:41" ht="15.95" customHeight="1" x14ac:dyDescent="0.25">
      <c r="A13" s="88" t="s">
        <v>165</v>
      </c>
      <c r="B13" s="85"/>
      <c r="C13" s="85"/>
      <c r="D13" s="102"/>
      <c r="E13" s="102"/>
      <c r="F13" s="102"/>
      <c r="G13" s="166"/>
      <c r="H13" s="166"/>
      <c r="I13" s="166"/>
      <c r="J13" s="167"/>
      <c r="K13" s="180" t="s">
        <v>184</v>
      </c>
      <c r="L13" s="200"/>
      <c r="M13" s="187"/>
      <c r="N13" s="187"/>
      <c r="O13" s="187"/>
      <c r="P13" s="187"/>
      <c r="Q13" s="187"/>
      <c r="R13" s="187"/>
      <c r="S13" s="187"/>
      <c r="T13" s="187"/>
      <c r="U13" s="187"/>
      <c r="V13" s="187"/>
      <c r="W13" s="187"/>
      <c r="X13" s="187"/>
      <c r="Y13" s="187"/>
      <c r="Z13" s="187"/>
      <c r="AA13" s="188"/>
      <c r="AB13" s="191"/>
      <c r="AC13" s="191"/>
      <c r="AD13" s="191"/>
      <c r="AE13" s="191"/>
      <c r="AF13" s="191"/>
      <c r="AG13" s="191"/>
      <c r="AH13" s="192"/>
      <c r="AI13" s="205"/>
      <c r="AJ13" s="205"/>
      <c r="AK13" s="205"/>
      <c r="AL13" s="205"/>
      <c r="AM13" s="205"/>
      <c r="AN13" s="205"/>
      <c r="AO13" s="205"/>
    </row>
    <row r="14" spans="1:41" ht="15.95" customHeight="1" x14ac:dyDescent="0.25">
      <c r="A14" s="88" t="str">
        <f>"- fy: Yield strength of rebar/steel (Input as float) ("&amp;'User Defined Units'!$B$13&amp;")"</f>
        <v>- fy: Yield strength of rebar/steel (Input as float) (MPa)</v>
      </c>
      <c r="B14" s="85"/>
      <c r="C14" s="85"/>
      <c r="D14" s="102"/>
      <c r="E14" s="102"/>
      <c r="F14" s="102"/>
      <c r="G14" s="166"/>
      <c r="H14" s="166"/>
      <c r="I14" s="166"/>
      <c r="J14" s="167"/>
      <c r="K14" s="180" t="s">
        <v>185</v>
      </c>
      <c r="L14" s="200"/>
      <c r="M14" s="187"/>
      <c r="N14" s="187"/>
      <c r="O14" s="187"/>
      <c r="P14" s="187"/>
      <c r="Q14" s="187"/>
      <c r="R14" s="187"/>
      <c r="S14" s="187"/>
      <c r="T14" s="187"/>
      <c r="U14" s="187"/>
      <c r="V14" s="187"/>
      <c r="W14" s="187"/>
      <c r="X14" s="187"/>
      <c r="Y14" s="187"/>
      <c r="Z14" s="187"/>
      <c r="AA14" s="188"/>
      <c r="AB14" s="191"/>
      <c r="AC14" s="191"/>
      <c r="AD14" s="191"/>
      <c r="AE14" s="191"/>
      <c r="AF14" s="191"/>
      <c r="AG14" s="191"/>
      <c r="AH14" s="192"/>
      <c r="AI14" s="205"/>
      <c r="AJ14" s="205"/>
      <c r="AK14" s="205"/>
      <c r="AL14" s="205"/>
      <c r="AM14" s="205"/>
      <c r="AN14" s="205"/>
      <c r="AO14" s="205"/>
    </row>
    <row r="15" spans="1:41" ht="15.75" customHeight="1" x14ac:dyDescent="0.25">
      <c r="A15" s="88" t="str">
        <f>"- fu: Ultimate tensile strength of rebar/steel (Input as float) ("&amp;'User Defined Units'!$B$13&amp;")"</f>
        <v>- fu: Ultimate tensile strength of rebar/steel (Input as float) (MPa)</v>
      </c>
      <c r="B15" s="85"/>
      <c r="C15" s="85"/>
      <c r="D15" s="102"/>
      <c r="E15" s="102"/>
      <c r="F15" s="102"/>
      <c r="G15" s="166"/>
      <c r="H15" s="166"/>
      <c r="I15" s="166"/>
      <c r="J15" s="167"/>
      <c r="K15" s="180" t="s">
        <v>186</v>
      </c>
      <c r="L15" s="200"/>
      <c r="M15" s="187"/>
      <c r="N15" s="187"/>
      <c r="O15" s="187"/>
      <c r="P15" s="187"/>
      <c r="Q15" s="187"/>
      <c r="R15" s="187"/>
      <c r="S15" s="187"/>
      <c r="T15" s="187"/>
      <c r="U15" s="187"/>
      <c r="V15" s="187"/>
      <c r="W15" s="187"/>
      <c r="X15" s="187"/>
      <c r="Y15" s="187"/>
      <c r="Z15" s="187"/>
      <c r="AA15" s="188" t="s">
        <v>361</v>
      </c>
      <c r="AB15" s="191"/>
      <c r="AC15" s="191"/>
      <c r="AD15" s="191"/>
      <c r="AE15" s="191"/>
      <c r="AF15" s="191"/>
      <c r="AG15" s="191"/>
      <c r="AH15" s="192"/>
      <c r="AI15" s="205"/>
      <c r="AJ15" s="205"/>
      <c r="AK15" s="205"/>
      <c r="AL15" s="205"/>
      <c r="AM15" s="205"/>
      <c r="AN15" s="205"/>
      <c r="AO15" s="205"/>
    </row>
    <row r="16" spans="1:41" ht="15.75" customHeight="1" x14ac:dyDescent="0.25">
      <c r="A16" s="88" t="s">
        <v>170</v>
      </c>
      <c r="B16" s="190"/>
      <c r="C16" s="190"/>
      <c r="D16" s="190"/>
      <c r="E16" s="190"/>
      <c r="F16" s="190"/>
      <c r="G16" s="190"/>
      <c r="H16" s="190"/>
      <c r="I16" s="190"/>
      <c r="J16" s="105"/>
      <c r="K16" s="180" t="s">
        <v>187</v>
      </c>
      <c r="L16" s="200"/>
      <c r="M16" s="187"/>
      <c r="N16" s="187"/>
      <c r="O16" s="187"/>
      <c r="P16" s="187"/>
      <c r="Q16" s="187"/>
      <c r="R16" s="187"/>
      <c r="S16" s="187"/>
      <c r="T16" s="187"/>
      <c r="U16" s="187"/>
      <c r="V16" s="187"/>
      <c r="W16" s="187"/>
      <c r="X16" s="187"/>
      <c r="Y16" s="187"/>
      <c r="Z16" s="187"/>
      <c r="AA16" s="188"/>
      <c r="AB16" s="191"/>
      <c r="AC16" s="191"/>
      <c r="AD16" s="191"/>
      <c r="AE16" s="191"/>
      <c r="AF16" s="191"/>
      <c r="AG16" s="191"/>
      <c r="AH16" s="192"/>
      <c r="AI16" s="205"/>
      <c r="AJ16" s="205"/>
      <c r="AK16" s="205"/>
      <c r="AL16" s="205"/>
      <c r="AM16" s="205"/>
      <c r="AN16" s="205"/>
      <c r="AO16" s="205"/>
    </row>
    <row r="17" spans="1:41" ht="15.75" customHeight="1" x14ac:dyDescent="0.25">
      <c r="A17" s="48" t="s">
        <v>171</v>
      </c>
      <c r="B17" s="85"/>
      <c r="C17" s="85"/>
      <c r="D17" s="102"/>
      <c r="E17" s="102"/>
      <c r="F17" s="102"/>
      <c r="G17" s="166"/>
      <c r="H17" s="166"/>
      <c r="I17" s="166"/>
      <c r="J17" s="167"/>
      <c r="K17" s="180" t="s">
        <v>188</v>
      </c>
      <c r="L17" s="200"/>
      <c r="M17" s="187"/>
      <c r="N17" s="187"/>
      <c r="O17" s="187"/>
      <c r="P17" s="187"/>
      <c r="Q17" s="187"/>
      <c r="R17" s="187"/>
      <c r="S17" s="187"/>
      <c r="T17" s="187"/>
      <c r="U17" s="187"/>
      <c r="V17" s="187"/>
      <c r="W17" s="187"/>
      <c r="X17" s="187"/>
      <c r="Y17" s="187"/>
      <c r="Z17" s="187"/>
      <c r="AA17" s="188"/>
      <c r="AB17" s="191"/>
      <c r="AC17" s="191"/>
      <c r="AD17" s="191"/>
      <c r="AE17" s="191"/>
      <c r="AF17" s="191"/>
      <c r="AG17" s="191"/>
      <c r="AH17" s="192"/>
      <c r="AI17" s="206"/>
      <c r="AJ17" s="206"/>
      <c r="AK17" s="206"/>
      <c r="AL17" s="206"/>
      <c r="AM17" s="206"/>
      <c r="AN17" s="206"/>
      <c r="AO17" s="206"/>
    </row>
    <row r="18" spans="1:41" ht="15.95" customHeight="1" x14ac:dyDescent="0.25">
      <c r="A18" s="88" t="s">
        <v>172</v>
      </c>
      <c r="B18" s="85"/>
      <c r="C18" s="85"/>
      <c r="D18" s="102"/>
      <c r="E18" s="102"/>
      <c r="F18" s="102"/>
      <c r="G18" s="166"/>
      <c r="H18" s="166"/>
      <c r="I18" s="166"/>
      <c r="J18" s="167"/>
      <c r="K18" s="173" t="s">
        <v>189</v>
      </c>
      <c r="L18" s="200"/>
      <c r="M18" s="187"/>
      <c r="N18" s="187"/>
      <c r="O18" s="187"/>
      <c r="P18" s="187"/>
      <c r="Q18" s="187"/>
      <c r="R18" s="187"/>
      <c r="S18" s="187"/>
      <c r="T18" s="187"/>
      <c r="U18" s="187"/>
      <c r="V18" s="187"/>
      <c r="W18" s="187"/>
      <c r="X18" s="187"/>
      <c r="Y18" s="187"/>
      <c r="Z18" s="187"/>
      <c r="AA18" s="188"/>
      <c r="AB18" s="191"/>
      <c r="AC18" s="191"/>
      <c r="AD18" s="191"/>
      <c r="AE18" s="191"/>
      <c r="AF18" s="191"/>
      <c r="AG18" s="191"/>
      <c r="AH18" s="192"/>
      <c r="AI18" s="206"/>
      <c r="AJ18" s="206"/>
      <c r="AK18" s="206"/>
      <c r="AL18" s="206"/>
      <c r="AM18" s="206"/>
      <c r="AN18" s="206"/>
      <c r="AO18" s="206"/>
    </row>
    <row r="19" spans="1:41" x14ac:dyDescent="0.25">
      <c r="A19" s="88" t="s">
        <v>173</v>
      </c>
      <c r="B19" s="85"/>
      <c r="C19" s="85"/>
      <c r="D19" s="102"/>
      <c r="E19" s="102"/>
      <c r="F19" s="102"/>
      <c r="G19" s="166"/>
      <c r="H19" s="166"/>
      <c r="I19" s="166"/>
      <c r="J19" s="167"/>
      <c r="K19" s="103" t="s">
        <v>190</v>
      </c>
      <c r="L19" s="200"/>
      <c r="M19" s="187"/>
      <c r="N19" s="187"/>
      <c r="O19" s="187"/>
      <c r="P19" s="187"/>
      <c r="Q19" s="187"/>
      <c r="R19" s="187"/>
      <c r="S19" s="187"/>
      <c r="T19" s="187"/>
      <c r="U19" s="187"/>
      <c r="V19" s="187"/>
      <c r="W19" s="187"/>
      <c r="X19" s="187"/>
      <c r="Y19" s="187"/>
      <c r="Z19" s="187"/>
      <c r="AA19" s="179"/>
      <c r="AB19" s="187"/>
      <c r="AC19" s="187"/>
      <c r="AD19" s="187"/>
      <c r="AE19" s="187"/>
      <c r="AF19" s="193"/>
      <c r="AG19" s="193"/>
      <c r="AH19" s="194"/>
      <c r="AI19" s="206"/>
      <c r="AJ19" s="206"/>
      <c r="AK19" s="206"/>
      <c r="AL19" s="206"/>
      <c r="AM19" s="206"/>
      <c r="AN19" s="206"/>
      <c r="AO19" s="206"/>
    </row>
    <row r="20" spans="1:41" x14ac:dyDescent="0.25">
      <c r="A20" s="88" t="s">
        <v>174</v>
      </c>
      <c r="B20" s="189"/>
      <c r="C20" s="189"/>
      <c r="D20" s="189"/>
      <c r="E20" s="189"/>
      <c r="F20" s="189"/>
      <c r="G20" s="189"/>
      <c r="H20" s="189"/>
      <c r="I20" s="189"/>
      <c r="J20" s="126"/>
      <c r="K20" s="103" t="s">
        <v>191</v>
      </c>
      <c r="L20" s="200"/>
      <c r="M20" s="187"/>
      <c r="N20" s="187"/>
      <c r="O20" s="187"/>
      <c r="P20" s="187"/>
      <c r="Q20" s="187"/>
      <c r="R20" s="187"/>
      <c r="S20" s="187"/>
      <c r="T20" s="187"/>
      <c r="U20" s="187"/>
      <c r="V20" s="187"/>
      <c r="W20" s="187"/>
      <c r="X20" s="187"/>
      <c r="Y20" s="187"/>
      <c r="Z20" s="187"/>
      <c r="AA20" s="179"/>
      <c r="AB20" s="187"/>
      <c r="AC20" s="187"/>
      <c r="AD20" s="187"/>
      <c r="AE20" s="187"/>
      <c r="AF20" s="193"/>
      <c r="AG20" s="193"/>
      <c r="AH20" s="194"/>
      <c r="AI20" s="206"/>
      <c r="AJ20" s="206"/>
      <c r="AK20" s="206"/>
      <c r="AL20" s="206"/>
      <c r="AM20" s="206"/>
      <c r="AN20" s="206"/>
      <c r="AO20" s="206"/>
    </row>
    <row r="21" spans="1:41" x14ac:dyDescent="0.25">
      <c r="A21" s="48" t="s">
        <v>175</v>
      </c>
      <c r="B21" s="85"/>
      <c r="C21" s="85"/>
      <c r="D21" s="102"/>
      <c r="E21" s="102"/>
      <c r="F21" s="102"/>
      <c r="G21" s="166"/>
      <c r="H21" s="166"/>
      <c r="I21" s="166"/>
      <c r="J21" s="167"/>
      <c r="K21" s="103" t="s">
        <v>197</v>
      </c>
      <c r="L21" s="200"/>
      <c r="M21" s="187"/>
      <c r="N21" s="187"/>
      <c r="O21" s="187"/>
      <c r="P21" s="187"/>
      <c r="Q21" s="187"/>
      <c r="R21" s="187"/>
      <c r="S21" s="187"/>
      <c r="T21" s="187"/>
      <c r="U21" s="187"/>
      <c r="V21" s="187"/>
      <c r="W21" s="187"/>
      <c r="X21" s="187"/>
      <c r="Y21" s="187"/>
      <c r="Z21" s="187"/>
      <c r="AA21" s="179"/>
      <c r="AB21" s="187"/>
      <c r="AC21" s="187"/>
      <c r="AD21" s="187"/>
      <c r="AE21" s="187"/>
      <c r="AF21" s="186"/>
      <c r="AG21" s="186"/>
      <c r="AH21" s="184"/>
      <c r="AI21" s="207"/>
      <c r="AJ21" s="207"/>
      <c r="AK21" s="207"/>
      <c r="AL21" s="207"/>
      <c r="AM21" s="207"/>
      <c r="AN21" s="207"/>
      <c r="AO21" s="207"/>
    </row>
    <row r="22" spans="1:41" ht="15.75" customHeight="1" x14ac:dyDescent="0.25">
      <c r="A22" s="88" t="s">
        <v>176</v>
      </c>
      <c r="B22" s="190"/>
      <c r="C22" s="190"/>
      <c r="D22" s="190"/>
      <c r="E22" s="190"/>
      <c r="F22" s="190"/>
      <c r="G22" s="190"/>
      <c r="H22" s="190"/>
      <c r="I22" s="190"/>
      <c r="J22" s="105"/>
      <c r="K22" s="103" t="s">
        <v>196</v>
      </c>
      <c r="L22" s="200"/>
      <c r="M22" s="187"/>
      <c r="N22" s="187"/>
      <c r="O22" s="187"/>
      <c r="P22" s="187"/>
      <c r="Q22" s="187"/>
      <c r="R22" s="187"/>
      <c r="S22" s="187"/>
      <c r="T22" s="187"/>
      <c r="U22" s="187"/>
      <c r="V22" s="187"/>
      <c r="W22" s="187"/>
      <c r="X22" s="187"/>
      <c r="Y22" s="187"/>
      <c r="Z22" s="187"/>
      <c r="AA22" s="179"/>
      <c r="AB22" s="187"/>
      <c r="AC22" s="187"/>
      <c r="AD22" s="187"/>
      <c r="AE22" s="187"/>
      <c r="AF22" s="187"/>
      <c r="AG22" s="187"/>
      <c r="AH22" s="167"/>
      <c r="AI22" s="202"/>
      <c r="AJ22" s="203"/>
      <c r="AK22" s="203"/>
      <c r="AL22" s="203"/>
      <c r="AM22" s="203"/>
      <c r="AN22" s="203"/>
      <c r="AO22" s="203"/>
    </row>
    <row r="23" spans="1:41" x14ac:dyDescent="0.25">
      <c r="A23" s="48" t="s">
        <v>178</v>
      </c>
      <c r="B23" s="85"/>
      <c r="C23" s="85"/>
      <c r="D23" s="102"/>
      <c r="E23" s="102"/>
      <c r="F23" s="102"/>
      <c r="G23" s="166"/>
      <c r="H23" s="166"/>
      <c r="I23" s="166"/>
      <c r="J23" s="167"/>
      <c r="K23" s="103" t="s">
        <v>198</v>
      </c>
      <c r="L23" s="200"/>
      <c r="M23" s="187"/>
      <c r="N23" s="187"/>
      <c r="O23" s="187"/>
      <c r="P23" s="187"/>
      <c r="Q23" s="187"/>
      <c r="R23" s="187"/>
      <c r="S23" s="187"/>
      <c r="T23" s="187"/>
      <c r="U23" s="187"/>
      <c r="V23" s="187"/>
      <c r="W23" s="187"/>
      <c r="X23" s="187"/>
      <c r="Y23" s="187"/>
      <c r="Z23" s="187"/>
      <c r="AA23" s="179"/>
      <c r="AB23" s="187"/>
      <c r="AC23" s="187"/>
      <c r="AD23" s="187"/>
      <c r="AE23" s="187"/>
      <c r="AF23" s="200"/>
      <c r="AG23" s="187"/>
      <c r="AH23" s="167"/>
      <c r="AI23" s="202"/>
      <c r="AJ23" s="203"/>
      <c r="AK23" s="203"/>
      <c r="AL23" s="203"/>
      <c r="AM23" s="203"/>
      <c r="AN23" s="203"/>
      <c r="AO23" s="203"/>
    </row>
    <row r="24" spans="1:41" x14ac:dyDescent="0.25">
      <c r="A24" s="88" t="s">
        <v>177</v>
      </c>
      <c r="B24" s="85"/>
      <c r="C24" s="85"/>
      <c r="D24" s="102"/>
      <c r="E24" s="102"/>
      <c r="F24" s="102"/>
      <c r="G24" s="166"/>
      <c r="H24" s="166"/>
      <c r="I24" s="166"/>
      <c r="J24" s="167"/>
      <c r="K24" s="103" t="s">
        <v>199</v>
      </c>
      <c r="L24" s="200"/>
      <c r="M24" s="187"/>
      <c r="N24" s="187"/>
      <c r="O24" s="187"/>
      <c r="P24" s="187"/>
      <c r="Q24" s="187"/>
      <c r="R24" s="187"/>
      <c r="S24" s="187"/>
      <c r="T24" s="187"/>
      <c r="U24" s="187"/>
      <c r="V24" s="187"/>
      <c r="W24" s="187"/>
      <c r="X24" s="187"/>
      <c r="Y24" s="187"/>
      <c r="Z24" s="187"/>
      <c r="AA24" s="179"/>
      <c r="AB24" s="187"/>
      <c r="AC24" s="187"/>
      <c r="AD24" s="187"/>
      <c r="AE24" s="187"/>
      <c r="AF24" s="200"/>
      <c r="AG24" s="187"/>
      <c r="AH24" s="167"/>
      <c r="AI24" s="202"/>
      <c r="AJ24" s="203"/>
      <c r="AK24" s="203"/>
      <c r="AL24" s="203"/>
      <c r="AM24" s="203"/>
      <c r="AN24" s="203"/>
      <c r="AO24" s="203"/>
    </row>
    <row r="25" spans="1:41" x14ac:dyDescent="0.25">
      <c r="A25" s="88" t="str">
        <f>"- f_init: Initial stress value, default value = 0.0 (Input as Float) ("&amp;'User Defined Units'!$B$13&amp;")"</f>
        <v>- f_init: Initial stress value, default value = 0.0 (Input as Float) (MPa)</v>
      </c>
      <c r="B25" s="85"/>
      <c r="C25" s="85"/>
      <c r="D25" s="102"/>
      <c r="E25" s="102"/>
      <c r="F25" s="102"/>
      <c r="G25" s="166"/>
      <c r="H25" s="166"/>
      <c r="I25" s="166"/>
      <c r="J25" s="167"/>
      <c r="K25" s="103" t="s">
        <v>200</v>
      </c>
      <c r="L25" s="200"/>
      <c r="M25" s="187"/>
      <c r="N25" s="187"/>
      <c r="O25" s="187"/>
      <c r="P25" s="187"/>
      <c r="Q25" s="187"/>
      <c r="R25" s="187"/>
      <c r="S25" s="187"/>
      <c r="T25" s="187"/>
      <c r="U25" s="187"/>
      <c r="V25" s="187"/>
      <c r="W25" s="187"/>
      <c r="X25" s="187"/>
      <c r="Y25" s="187"/>
      <c r="Z25" s="187"/>
      <c r="AA25" s="179"/>
      <c r="AB25" s="187"/>
      <c r="AC25" s="187"/>
      <c r="AD25" s="187"/>
      <c r="AE25" s="187"/>
      <c r="AF25" s="187"/>
      <c r="AG25" s="187"/>
      <c r="AH25" s="167"/>
      <c r="AI25" s="202"/>
      <c r="AJ25" s="203"/>
      <c r="AK25" s="203"/>
      <c r="AL25" s="203"/>
      <c r="AM25" s="203"/>
      <c r="AN25" s="203"/>
      <c r="AO25" s="203"/>
    </row>
    <row r="26" spans="1:41" x14ac:dyDescent="0.25">
      <c r="A26" s="88" t="s">
        <v>179</v>
      </c>
      <c r="B26" s="85"/>
      <c r="C26" s="85"/>
      <c r="D26" s="102"/>
      <c r="E26" s="102"/>
      <c r="F26" s="102"/>
      <c r="G26" s="166"/>
      <c r="H26" s="166"/>
      <c r="I26" s="166"/>
      <c r="J26" s="167"/>
      <c r="K26" s="103" t="s">
        <v>201</v>
      </c>
      <c r="L26" s="200"/>
      <c r="M26" s="187"/>
      <c r="N26" s="187"/>
      <c r="O26" s="187"/>
      <c r="P26" s="187"/>
      <c r="Q26" s="187"/>
      <c r="R26" s="187"/>
      <c r="S26" s="187"/>
      <c r="T26" s="187"/>
      <c r="U26" s="187"/>
      <c r="V26" s="187"/>
      <c r="W26" s="187"/>
      <c r="X26" s="187"/>
      <c r="Y26" s="187"/>
      <c r="Z26" s="187"/>
      <c r="AA26" s="179"/>
      <c r="AB26" s="187"/>
      <c r="AC26" s="187"/>
      <c r="AD26" s="187"/>
      <c r="AE26" s="187"/>
      <c r="AF26" s="187"/>
      <c r="AG26" s="187"/>
      <c r="AH26" s="167"/>
      <c r="AI26" s="202"/>
      <c r="AJ26" s="203"/>
      <c r="AK26" s="203"/>
      <c r="AL26" s="203"/>
      <c r="AM26" s="203"/>
      <c r="AN26" s="203"/>
      <c r="AO26" s="203"/>
    </row>
    <row r="27" spans="1:41" x14ac:dyDescent="0.25">
      <c r="A27" s="88" t="s">
        <v>180</v>
      </c>
      <c r="B27" s="175"/>
      <c r="C27" s="85"/>
      <c r="D27" s="102"/>
      <c r="E27" s="102"/>
      <c r="F27" s="102"/>
      <c r="G27" s="166"/>
      <c r="H27" s="166"/>
      <c r="I27" s="166"/>
      <c r="J27" s="167"/>
      <c r="K27" s="103" t="s">
        <v>202</v>
      </c>
      <c r="L27" s="200"/>
      <c r="M27" s="187"/>
      <c r="N27" s="187"/>
      <c r="O27" s="187"/>
      <c r="P27" s="187"/>
      <c r="Q27" s="187"/>
      <c r="R27" s="187"/>
      <c r="S27" s="187"/>
      <c r="T27" s="187"/>
      <c r="U27" s="187"/>
      <c r="V27" s="187"/>
      <c r="W27" s="187"/>
      <c r="X27" s="187"/>
      <c r="Y27" s="187"/>
      <c r="Z27" s="187"/>
      <c r="AA27" s="179"/>
      <c r="AB27" s="187"/>
      <c r="AC27" s="187"/>
      <c r="AD27" s="187"/>
      <c r="AE27" s="187"/>
      <c r="AF27" s="187"/>
      <c r="AG27" s="187"/>
      <c r="AH27" s="167"/>
      <c r="AI27" s="202"/>
      <c r="AJ27" s="203"/>
      <c r="AK27" s="203"/>
      <c r="AL27" s="203"/>
      <c r="AM27" s="203"/>
      <c r="AN27" s="203"/>
      <c r="AO27" s="203"/>
    </row>
    <row r="28" spans="1:41" x14ac:dyDescent="0.25">
      <c r="A28" s="174"/>
      <c r="B28" s="85"/>
      <c r="C28" s="85"/>
      <c r="D28" s="102"/>
      <c r="E28" s="102"/>
      <c r="F28" s="102"/>
      <c r="G28" s="166"/>
      <c r="H28" s="166"/>
      <c r="I28" s="166"/>
      <c r="J28" s="167"/>
      <c r="K28" s="103" t="s">
        <v>203</v>
      </c>
      <c r="L28" s="200"/>
      <c r="M28" s="187"/>
      <c r="N28" s="187"/>
      <c r="O28" s="187"/>
      <c r="P28" s="187"/>
      <c r="Q28" s="187"/>
      <c r="R28" s="187"/>
      <c r="S28" s="187"/>
      <c r="T28" s="187"/>
      <c r="U28" s="187"/>
      <c r="V28" s="187"/>
      <c r="W28" s="187"/>
      <c r="X28" s="187"/>
      <c r="Y28" s="187"/>
      <c r="Z28" s="187"/>
      <c r="AA28" s="179"/>
      <c r="AB28" s="187"/>
      <c r="AC28" s="187"/>
      <c r="AD28" s="187"/>
      <c r="AE28" s="187"/>
      <c r="AF28" s="187"/>
      <c r="AG28" s="187"/>
      <c r="AH28" s="167"/>
      <c r="AI28" s="202"/>
      <c r="AJ28" s="203"/>
      <c r="AK28" s="203"/>
      <c r="AL28" s="203"/>
      <c r="AM28" s="203"/>
      <c r="AN28" s="203"/>
      <c r="AO28" s="203"/>
    </row>
    <row r="29" spans="1:41" x14ac:dyDescent="0.25">
      <c r="A29" s="89" t="s">
        <v>155</v>
      </c>
      <c r="B29" s="85"/>
      <c r="C29" s="85"/>
      <c r="D29" s="102"/>
      <c r="E29" s="102"/>
      <c r="F29" s="102"/>
      <c r="G29" s="166"/>
      <c r="H29" s="166"/>
      <c r="I29" s="166"/>
      <c r="J29" s="167"/>
      <c r="K29" s="103" t="s">
        <v>204</v>
      </c>
      <c r="L29" s="200"/>
      <c r="M29" s="187"/>
      <c r="N29" s="187"/>
      <c r="O29" s="187"/>
      <c r="P29" s="187"/>
      <c r="Q29" s="187"/>
      <c r="R29" s="187"/>
      <c r="S29" s="187"/>
      <c r="T29" s="187"/>
      <c r="U29" s="187"/>
      <c r="V29" s="187"/>
      <c r="W29" s="187"/>
      <c r="X29" s="187"/>
      <c r="Y29" s="187"/>
      <c r="Z29" s="187"/>
      <c r="AA29" s="179"/>
      <c r="AB29" s="187"/>
      <c r="AC29" s="187"/>
      <c r="AD29" s="187"/>
      <c r="AE29" s="187"/>
      <c r="AF29" s="187"/>
      <c r="AG29" s="187"/>
      <c r="AH29" s="167"/>
      <c r="AI29" s="202"/>
      <c r="AJ29" s="203"/>
      <c r="AK29" s="203"/>
      <c r="AL29" s="203"/>
      <c r="AM29" s="203"/>
      <c r="AN29" s="203"/>
      <c r="AO29" s="203"/>
    </row>
    <row r="30" spans="1:41" x14ac:dyDescent="0.25">
      <c r="A30" s="176" t="s">
        <v>168</v>
      </c>
      <c r="B30" s="91"/>
      <c r="C30" s="91"/>
      <c r="D30" s="92"/>
      <c r="E30" s="92"/>
      <c r="F30" s="92"/>
      <c r="G30" s="168"/>
      <c r="H30" s="168"/>
      <c r="I30" s="168"/>
      <c r="J30" s="169"/>
      <c r="K30" s="104" t="s">
        <v>205</v>
      </c>
      <c r="L30" s="177"/>
      <c r="M30" s="168"/>
      <c r="N30" s="168"/>
      <c r="O30" s="168"/>
      <c r="P30" s="168"/>
      <c r="Q30" s="168"/>
      <c r="R30" s="168"/>
      <c r="S30" s="168"/>
      <c r="T30" s="168"/>
      <c r="U30" s="168"/>
      <c r="V30" s="168"/>
      <c r="W30" s="168"/>
      <c r="X30" s="168"/>
      <c r="Y30" s="168"/>
      <c r="Z30" s="168"/>
      <c r="AA30" s="183"/>
      <c r="AB30" s="168"/>
      <c r="AC30" s="168"/>
      <c r="AD30" s="168"/>
      <c r="AE30" s="168"/>
      <c r="AF30" s="168"/>
      <c r="AG30" s="168"/>
      <c r="AH30" s="169"/>
      <c r="AI30" s="202"/>
      <c r="AJ30" s="203"/>
      <c r="AK30" s="203"/>
      <c r="AL30" s="203"/>
      <c r="AM30" s="203"/>
      <c r="AN30" s="203"/>
      <c r="AO30" s="203"/>
    </row>
    <row r="31" spans="1:41" x14ac:dyDescent="0.25">
      <c r="A31" s="94"/>
      <c r="B31" s="54"/>
      <c r="C31" s="54"/>
      <c r="D31" s="93"/>
      <c r="E31" s="93"/>
      <c r="F31" s="93"/>
      <c r="G31" s="170"/>
      <c r="H31" s="170"/>
      <c r="I31" s="170"/>
      <c r="J31" s="170"/>
      <c r="K31" s="170"/>
      <c r="L31" s="170"/>
      <c r="M31" s="170"/>
      <c r="N31" s="170"/>
      <c r="O31" s="170"/>
      <c r="P31" s="170"/>
      <c r="Q31" s="170"/>
      <c r="R31" s="170"/>
      <c r="S31" s="170"/>
      <c r="T31" s="170"/>
      <c r="U31" s="170"/>
      <c r="V31" s="170"/>
      <c r="W31" s="170"/>
      <c r="X31" s="170"/>
      <c r="Y31" s="170"/>
      <c r="Z31" s="170"/>
      <c r="AA31" s="170"/>
      <c r="AB31" s="170"/>
      <c r="AC31" s="170"/>
      <c r="AD31" s="170"/>
      <c r="AE31" s="170"/>
      <c r="AF31" s="170"/>
      <c r="AG31" s="170"/>
      <c r="AH31" s="170"/>
      <c r="AI31" s="170"/>
    </row>
    <row r="32" spans="1:41" s="53" customFormat="1" x14ac:dyDescent="0.25">
      <c r="A32" s="78" t="s">
        <v>10</v>
      </c>
      <c r="B32" s="78" t="s">
        <v>8</v>
      </c>
      <c r="C32" s="78" t="s">
        <v>15</v>
      </c>
      <c r="D32" s="78" t="s">
        <v>1</v>
      </c>
      <c r="E32" s="78" t="s">
        <v>11</v>
      </c>
      <c r="F32" s="78" t="s">
        <v>12</v>
      </c>
      <c r="G32" s="171" t="s">
        <v>323</v>
      </c>
      <c r="H32" s="171" t="s">
        <v>324</v>
      </c>
      <c r="I32" s="171" t="s">
        <v>325</v>
      </c>
      <c r="J32" s="171" t="s">
        <v>326</v>
      </c>
      <c r="K32" s="171" t="s">
        <v>327</v>
      </c>
      <c r="L32" s="171" t="s">
        <v>328</v>
      </c>
      <c r="M32" s="171" t="s">
        <v>329</v>
      </c>
      <c r="N32" s="171" t="s">
        <v>330</v>
      </c>
      <c r="O32" s="171" t="s">
        <v>331</v>
      </c>
      <c r="P32" s="171" t="s">
        <v>332</v>
      </c>
      <c r="Q32" s="171" t="s">
        <v>333</v>
      </c>
      <c r="R32" s="171" t="s">
        <v>334</v>
      </c>
      <c r="S32" s="171" t="s">
        <v>335</v>
      </c>
      <c r="T32" s="171" t="s">
        <v>336</v>
      </c>
      <c r="U32" s="171" t="s">
        <v>337</v>
      </c>
      <c r="V32" s="171" t="s">
        <v>338</v>
      </c>
      <c r="W32" s="171" t="s">
        <v>339</v>
      </c>
      <c r="X32" s="171" t="s">
        <v>340</v>
      </c>
      <c r="Y32" s="171" t="s">
        <v>341</v>
      </c>
      <c r="Z32" s="171" t="s">
        <v>342</v>
      </c>
      <c r="AA32" s="171" t="s">
        <v>343</v>
      </c>
      <c r="AB32" s="171" t="s">
        <v>344</v>
      </c>
      <c r="AC32" s="171" t="s">
        <v>345</v>
      </c>
      <c r="AD32" s="171" t="s">
        <v>346</v>
      </c>
      <c r="AE32" s="171" t="s">
        <v>347</v>
      </c>
      <c r="AF32" s="171" t="s">
        <v>348</v>
      </c>
      <c r="AG32" s="171" t="s">
        <v>349</v>
      </c>
      <c r="AH32" s="171" t="s">
        <v>350</v>
      </c>
      <c r="AI32" s="185"/>
    </row>
    <row r="33" spans="1:34" x14ac:dyDescent="0.25">
      <c r="A33" s="96" t="s">
        <v>13</v>
      </c>
      <c r="B33" s="96" t="s">
        <v>2</v>
      </c>
      <c r="C33" s="96" t="s">
        <v>314</v>
      </c>
      <c r="D33" s="198">
        <v>23.6</v>
      </c>
      <c r="E33" s="199">
        <f>4700*SQRT(G33)</f>
        <v>25742.960202742808</v>
      </c>
      <c r="F33" s="199">
        <v>0.2</v>
      </c>
      <c r="G33" s="199">
        <f>30</f>
        <v>30</v>
      </c>
      <c r="H33" s="199">
        <v>0</v>
      </c>
      <c r="I33" s="199">
        <v>0</v>
      </c>
      <c r="J33" s="199">
        <v>0</v>
      </c>
      <c r="K33" s="199">
        <v>0</v>
      </c>
      <c r="L33" s="199">
        <v>0</v>
      </c>
      <c r="M33" s="199">
        <v>0</v>
      </c>
      <c r="N33" s="199">
        <v>0</v>
      </c>
      <c r="O33" s="199">
        <v>0</v>
      </c>
      <c r="P33" s="199">
        <v>0</v>
      </c>
      <c r="Q33" s="199">
        <v>0</v>
      </c>
      <c r="R33" s="199">
        <v>0</v>
      </c>
      <c r="S33" s="199">
        <v>0</v>
      </c>
      <c r="T33" s="199">
        <v>0</v>
      </c>
      <c r="U33" s="199">
        <v>0</v>
      </c>
      <c r="V33" s="199">
        <v>0</v>
      </c>
      <c r="W33" s="199">
        <v>0</v>
      </c>
      <c r="X33" s="199">
        <v>0</v>
      </c>
      <c r="Y33" s="199">
        <v>0</v>
      </c>
      <c r="Z33" s="199">
        <v>0</v>
      </c>
      <c r="AA33" s="199">
        <v>0</v>
      </c>
      <c r="AB33" s="199">
        <v>0</v>
      </c>
      <c r="AC33" s="199">
        <v>0</v>
      </c>
      <c r="AD33" s="199">
        <v>0</v>
      </c>
      <c r="AE33" s="199">
        <v>0</v>
      </c>
      <c r="AF33" s="199">
        <v>0</v>
      </c>
      <c r="AG33" s="199">
        <v>0</v>
      </c>
      <c r="AH33" s="199">
        <v>0</v>
      </c>
    </row>
    <row r="34" spans="1:34" x14ac:dyDescent="0.25">
      <c r="A34" s="96" t="s">
        <v>14</v>
      </c>
      <c r="B34" s="96" t="s">
        <v>3</v>
      </c>
      <c r="C34" s="96" t="s">
        <v>314</v>
      </c>
      <c r="D34" s="199">
        <f>7850*9.80665/1000</f>
        <v>76.9822025</v>
      </c>
      <c r="E34" s="199">
        <f>200000</f>
        <v>200000</v>
      </c>
      <c r="F34" s="199">
        <v>0.3</v>
      </c>
      <c r="G34" s="199">
        <v>420</v>
      </c>
      <c r="H34" s="199">
        <v>525</v>
      </c>
      <c r="I34" s="199">
        <v>0</v>
      </c>
      <c r="J34" s="199">
        <v>0</v>
      </c>
      <c r="K34" s="199">
        <v>0</v>
      </c>
      <c r="L34" s="199">
        <v>0</v>
      </c>
      <c r="M34" s="199">
        <v>0</v>
      </c>
      <c r="N34" s="199">
        <v>0</v>
      </c>
      <c r="O34" s="199">
        <v>0</v>
      </c>
      <c r="P34" s="199">
        <v>0</v>
      </c>
      <c r="Q34" s="199">
        <v>0</v>
      </c>
      <c r="R34" s="199">
        <v>0</v>
      </c>
      <c r="S34" s="199">
        <v>0</v>
      </c>
      <c r="T34" s="199">
        <v>0</v>
      </c>
      <c r="U34" s="199">
        <v>0</v>
      </c>
      <c r="V34" s="199">
        <v>0</v>
      </c>
      <c r="W34" s="199">
        <v>0</v>
      </c>
      <c r="X34" s="199">
        <v>0</v>
      </c>
      <c r="Y34" s="199">
        <v>0</v>
      </c>
      <c r="Z34" s="199">
        <v>0</v>
      </c>
      <c r="AA34" s="199">
        <v>0</v>
      </c>
      <c r="AB34" s="199">
        <v>0</v>
      </c>
      <c r="AC34" s="199">
        <v>0</v>
      </c>
      <c r="AD34" s="199">
        <v>0</v>
      </c>
      <c r="AE34" s="199">
        <v>0</v>
      </c>
      <c r="AF34" s="199">
        <v>0</v>
      </c>
      <c r="AG34" s="199">
        <v>0</v>
      </c>
      <c r="AH34" s="199">
        <v>0</v>
      </c>
    </row>
    <row r="35" spans="1:34" x14ac:dyDescent="0.25">
      <c r="A35" s="96" t="s">
        <v>16</v>
      </c>
      <c r="B35" s="96" t="s">
        <v>2</v>
      </c>
      <c r="C35" s="96" t="s">
        <v>315</v>
      </c>
      <c r="D35" s="199">
        <v>23.6</v>
      </c>
      <c r="E35" s="199">
        <f>4700*SQRT(G35)</f>
        <v>25742.960202742808</v>
      </c>
      <c r="F35" s="199">
        <v>0.2</v>
      </c>
      <c r="G35" s="199">
        <v>30</v>
      </c>
      <c r="H35" s="199">
        <v>2E-3</v>
      </c>
      <c r="I35" s="199">
        <v>5.0000000000000001E-3</v>
      </c>
      <c r="J35" s="199">
        <f>0.62*SQRT(G35)</f>
        <v>3.3958798565320301</v>
      </c>
      <c r="K35" s="199">
        <v>0</v>
      </c>
      <c r="L35" s="199">
        <v>0.2</v>
      </c>
      <c r="M35" s="199">
        <v>0</v>
      </c>
      <c r="N35" s="199">
        <v>0</v>
      </c>
      <c r="O35" s="199">
        <v>0</v>
      </c>
      <c r="P35" s="199">
        <v>0</v>
      </c>
      <c r="Q35" s="199">
        <v>0</v>
      </c>
      <c r="R35" s="199">
        <v>0</v>
      </c>
      <c r="S35" s="199">
        <v>0</v>
      </c>
      <c r="T35" s="199">
        <v>0</v>
      </c>
      <c r="U35" s="199">
        <v>0</v>
      </c>
      <c r="V35" s="199">
        <v>0</v>
      </c>
      <c r="W35" s="199">
        <v>0</v>
      </c>
      <c r="X35" s="199">
        <v>0</v>
      </c>
      <c r="Y35" s="199">
        <v>0</v>
      </c>
      <c r="Z35" s="199">
        <v>0</v>
      </c>
      <c r="AA35" s="199">
        <v>0</v>
      </c>
      <c r="AB35" s="199">
        <v>0</v>
      </c>
      <c r="AC35" s="199">
        <v>0</v>
      </c>
      <c r="AD35" s="199">
        <v>0</v>
      </c>
      <c r="AE35" s="199">
        <v>0</v>
      </c>
      <c r="AF35" s="199">
        <v>0</v>
      </c>
      <c r="AG35" s="199">
        <v>0</v>
      </c>
      <c r="AH35" s="199">
        <v>0</v>
      </c>
    </row>
    <row r="36" spans="1:34" x14ac:dyDescent="0.25">
      <c r="A36" s="96" t="s">
        <v>17</v>
      </c>
      <c r="B36" s="96" t="s">
        <v>2</v>
      </c>
      <c r="C36" s="96" t="s">
        <v>315</v>
      </c>
      <c r="D36" s="199">
        <v>23.6</v>
      </c>
      <c r="E36" s="199">
        <f>4700*SQRT(G36)</f>
        <v>32295.406706849466</v>
      </c>
      <c r="F36" s="199">
        <v>0.2</v>
      </c>
      <c r="G36" s="199">
        <f>47.2156312521873</f>
        <v>47.215631252187301</v>
      </c>
      <c r="H36" s="199">
        <v>7.7385437507291001E-3</v>
      </c>
      <c r="I36" s="199">
        <v>2.2428475272193799E-2</v>
      </c>
      <c r="J36" s="199">
        <f>0.62*SQRT(G36)</f>
        <v>4.2602451400524828</v>
      </c>
      <c r="K36" s="199">
        <v>0</v>
      </c>
      <c r="L36" s="199">
        <v>0.2</v>
      </c>
      <c r="M36" s="199">
        <v>0</v>
      </c>
      <c r="N36" s="199">
        <v>0</v>
      </c>
      <c r="O36" s="199">
        <v>0</v>
      </c>
      <c r="P36" s="199">
        <v>0</v>
      </c>
      <c r="Q36" s="199">
        <v>0</v>
      </c>
      <c r="R36" s="199">
        <v>0</v>
      </c>
      <c r="S36" s="199">
        <v>0</v>
      </c>
      <c r="T36" s="199">
        <v>0</v>
      </c>
      <c r="U36" s="199">
        <v>0</v>
      </c>
      <c r="V36" s="199">
        <v>0</v>
      </c>
      <c r="W36" s="199">
        <v>0</v>
      </c>
      <c r="X36" s="199">
        <v>0</v>
      </c>
      <c r="Y36" s="199">
        <v>0</v>
      </c>
      <c r="Z36" s="199">
        <v>0</v>
      </c>
      <c r="AA36" s="199">
        <v>0</v>
      </c>
      <c r="AB36" s="199">
        <v>0</v>
      </c>
      <c r="AC36" s="199">
        <v>0</v>
      </c>
      <c r="AD36" s="199">
        <v>0</v>
      </c>
      <c r="AE36" s="199">
        <v>0</v>
      </c>
      <c r="AF36" s="199">
        <v>0</v>
      </c>
      <c r="AG36" s="199">
        <v>0</v>
      </c>
      <c r="AH36" s="199">
        <v>0</v>
      </c>
    </row>
    <row r="37" spans="1:34" x14ac:dyDescent="0.25">
      <c r="A37" s="96" t="s">
        <v>18</v>
      </c>
      <c r="B37" s="96" t="s">
        <v>3</v>
      </c>
      <c r="C37" s="96" t="s">
        <v>352</v>
      </c>
      <c r="D37" s="199">
        <f>7850*9.80665/1000</f>
        <v>76.9822025</v>
      </c>
      <c r="E37" s="199">
        <v>200000</v>
      </c>
      <c r="F37" s="199">
        <v>0.3</v>
      </c>
      <c r="G37" s="199">
        <v>420</v>
      </c>
      <c r="H37" s="199">
        <v>525</v>
      </c>
      <c r="I37" s="199">
        <v>0.08</v>
      </c>
      <c r="J37" s="199">
        <v>0</v>
      </c>
      <c r="K37" s="199">
        <v>20</v>
      </c>
      <c r="L37" s="199">
        <v>0.92500000000000004</v>
      </c>
      <c r="M37" s="199">
        <v>0.15</v>
      </c>
      <c r="N37" s="199">
        <v>0</v>
      </c>
      <c r="O37" s="199">
        <v>1</v>
      </c>
      <c r="P37" s="199">
        <v>0</v>
      </c>
      <c r="Q37" s="199">
        <v>1</v>
      </c>
      <c r="R37" s="199">
        <v>0</v>
      </c>
      <c r="S37" s="199">
        <v>0.08</v>
      </c>
      <c r="T37" s="199">
        <v>0.08</v>
      </c>
      <c r="U37" s="199">
        <v>0</v>
      </c>
      <c r="V37" s="199">
        <v>0</v>
      </c>
      <c r="W37" s="199">
        <v>0</v>
      </c>
      <c r="X37" s="199">
        <v>0</v>
      </c>
      <c r="Y37" s="199">
        <v>0</v>
      </c>
      <c r="Z37" s="199">
        <v>0</v>
      </c>
      <c r="AA37" s="199">
        <v>0</v>
      </c>
      <c r="AB37" s="199">
        <v>0</v>
      </c>
      <c r="AC37" s="199">
        <v>0</v>
      </c>
      <c r="AD37" s="199">
        <v>0</v>
      </c>
      <c r="AE37" s="199">
        <v>0</v>
      </c>
      <c r="AF37" s="199">
        <v>0</v>
      </c>
      <c r="AG37" s="199">
        <v>0</v>
      </c>
      <c r="AH37" s="199">
        <v>0</v>
      </c>
    </row>
    <row r="38" spans="1:34" x14ac:dyDescent="0.25">
      <c r="A38" s="182" t="s">
        <v>233</v>
      </c>
      <c r="B38" s="96" t="s">
        <v>322</v>
      </c>
      <c r="C38" s="96" t="s">
        <v>232</v>
      </c>
      <c r="D38" s="199">
        <v>0</v>
      </c>
      <c r="E38" s="199">
        <v>0</v>
      </c>
      <c r="F38" s="199">
        <v>0</v>
      </c>
      <c r="G38" s="199">
        <v>114958.97490209967</v>
      </c>
      <c r="H38" s="199">
        <v>0</v>
      </c>
      <c r="I38" s="199">
        <v>0</v>
      </c>
      <c r="J38" s="199">
        <v>243.16919999999999</v>
      </c>
      <c r="K38" s="199">
        <v>388.62200000000001</v>
      </c>
      <c r="L38" s="199">
        <v>267.48612000000003</v>
      </c>
      <c r="M38" s="199">
        <v>427.48420000000004</v>
      </c>
      <c r="N38" s="199">
        <v>0</v>
      </c>
      <c r="O38" s="199">
        <v>0</v>
      </c>
      <c r="P38" s="199">
        <v>0</v>
      </c>
      <c r="Q38" s="199">
        <v>0</v>
      </c>
      <c r="R38" s="199">
        <v>1</v>
      </c>
      <c r="S38" s="199">
        <v>1</v>
      </c>
      <c r="T38" s="199">
        <v>1</v>
      </c>
      <c r="U38" s="199">
        <v>1</v>
      </c>
      <c r="V38" s="199">
        <v>2.2268112818223454E-2</v>
      </c>
      <c r="W38" s="199">
        <v>2.2268112818223454E-2</v>
      </c>
      <c r="X38" s="199">
        <v>2.2268112818223454E-2</v>
      </c>
      <c r="Y38" s="199">
        <v>2.2268112818223454E-2</v>
      </c>
      <c r="Z38" s="199">
        <v>4.1385682576436635E-2</v>
      </c>
      <c r="AA38" s="199">
        <v>4.1385682576436635E-2</v>
      </c>
      <c r="AB38" s="199">
        <v>0.2</v>
      </c>
      <c r="AC38" s="199">
        <v>0.2</v>
      </c>
      <c r="AD38" s="199">
        <v>1</v>
      </c>
      <c r="AE38" s="199">
        <v>1</v>
      </c>
      <c r="AF38" s="199">
        <v>0</v>
      </c>
      <c r="AG38" s="199">
        <v>0</v>
      </c>
      <c r="AH38" s="199">
        <v>0</v>
      </c>
    </row>
  </sheetData>
  <mergeCells count="9">
    <mergeCell ref="AA3:AH3"/>
    <mergeCell ref="AA4:AH4"/>
    <mergeCell ref="AA5:AH5"/>
    <mergeCell ref="AA6:AH6"/>
    <mergeCell ref="AA7:AH8"/>
    <mergeCell ref="AA9:AH11"/>
    <mergeCell ref="AA12:AH14"/>
    <mergeCell ref="AA15:AH18"/>
    <mergeCell ref="AA2:AH2"/>
  </mergeCells>
  <conditionalFormatting sqref="D33:F1048576">
    <cfRule type="expression" dxfId="11" priority="4">
      <formula>OR($B33="Spring")</formula>
    </cfRule>
  </conditionalFormatting>
  <conditionalFormatting sqref="H33:AH1048576">
    <cfRule type="expression" dxfId="10" priority="7">
      <formula>AND($B33="Concrete",$C33="Elastic")</formula>
    </cfRule>
  </conditionalFormatting>
  <conditionalFormatting sqref="I33:AH1048576">
    <cfRule type="expression" dxfId="9" priority="6">
      <formula>AND(OR($B33="Rebar",$B33="Steel"),$C33="Elastic")</formula>
    </cfRule>
  </conditionalFormatting>
  <conditionalFormatting sqref="M33:AH1048576">
    <cfRule type="expression" dxfId="8" priority="18">
      <formula>AND($B33="Concrete",$C33="Concrete04")</formula>
    </cfRule>
  </conditionalFormatting>
  <conditionalFormatting sqref="O33:AH1048576">
    <cfRule type="expression" dxfId="7" priority="9">
      <formula>AND($B33="Concrete",$C33="Concrete04+MinMax")</formula>
    </cfRule>
  </conditionalFormatting>
  <conditionalFormatting sqref="S33:AH1048576">
    <cfRule type="expression" dxfId="6" priority="5">
      <formula>AND(OR($B33="Rebar",$B33="Steel"),$C33="Steel02")</formula>
    </cfRule>
  </conditionalFormatting>
  <conditionalFormatting sqref="U33:AH1048576">
    <cfRule type="expression" dxfId="5" priority="8">
      <formula>AND(OR($B33="Rebar",$B33="Steel"),$C33="Steel02+MinMax")</formula>
    </cfRule>
  </conditionalFormatting>
  <conditionalFormatting sqref="AF33:AH1048576">
    <cfRule type="expression" dxfId="4" priority="2">
      <formula>AND($B33="Spring",$C33="IMKPeakOriented")</formula>
    </cfRule>
  </conditionalFormatting>
  <conditionalFormatting sqref="AG33:AH1048576">
    <cfRule type="expression" dxfId="3" priority="3">
      <formula>AND($B33="Spring",$C33="IMKBilinear")</formula>
    </cfRule>
  </conditionalFormatting>
  <dataValidations xWindow="1021" yWindow="300" count="5">
    <dataValidation type="textLength" allowBlank="1" showInputMessage="1" showErrorMessage="1" errorTitle="Invalid Input" error="Please enter maximum 32 characters only." sqref="A33:A1048576" xr:uid="{131760B7-786E-3D4C-B392-BB100595E619}">
      <formula1>1</formula1>
      <formula2>32</formula2>
    </dataValidation>
    <dataValidation type="list" showInputMessage="1" showErrorMessage="1" errorTitle="Invalid Input" error="Choose from the list" sqref="B33:B1048576" xr:uid="{FF5910DB-B386-D14E-959D-0FD1DC758343}">
      <formula1>Mat_Type</formula1>
    </dataValidation>
    <dataValidation type="decimal" allowBlank="1" showInputMessage="1" showErrorMessage="1" errorTitle="Invalid Input" error="Please enter a float value only." sqref="AI33:AI1048576" xr:uid="{FCAF7430-218B-6845-83DC-1DDC9A5D41A0}">
      <formula1>0</formula1>
      <formula2>1000000000000</formula2>
    </dataValidation>
    <dataValidation type="list" showInputMessage="1" showErrorMessage="1" errorTitle="Invalid Input" error="Choose from the list" sqref="C33:C1048576" xr:uid="{0CFE9A7D-744C-0049-9CE5-4AAAE6F48C9C}">
      <formula1>IF($B33="Concrete",Mat_Model_Concrete,IF(OR($B33="Rebar",$B33="Steel"),Mat_Model_Steel,IF($B33="Spring",Mat_Model_Hysteretic,"")))</formula1>
    </dataValidation>
    <dataValidation type="decimal" allowBlank="1" showInputMessage="1" showErrorMessage="1" errorTitle="Invalid Input" error="Please enter a float value only." sqref="D33:AH1048576" xr:uid="{2019F943-A7EC-454C-B807-C86E2988A59B}">
      <formula1>0</formula1>
      <formula2>1000000000000</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W1017"/>
  <sheetViews>
    <sheetView zoomScale="130" zoomScaleNormal="130" workbookViewId="0">
      <selection activeCell="Q15" sqref="Q15"/>
    </sheetView>
  </sheetViews>
  <sheetFormatPr defaultColWidth="10.85546875" defaultRowHeight="15.75" x14ac:dyDescent="0.25"/>
  <cols>
    <col min="1" max="2" width="20.7109375" style="237" customWidth="1"/>
    <col min="3" max="3" width="20.7109375" style="238" customWidth="1"/>
    <col min="4" max="7" width="20.7109375" style="237" customWidth="1"/>
    <col min="8" max="15" width="15.7109375" style="239" customWidth="1"/>
    <col min="16" max="20" width="15.7109375" style="240" customWidth="1"/>
    <col min="21" max="23" width="15.7109375" style="241" customWidth="1"/>
    <col min="24" max="16384" width="10.85546875" style="219"/>
  </cols>
  <sheetData>
    <row r="1" spans="1:23" x14ac:dyDescent="0.25">
      <c r="A1" s="212" t="s">
        <v>133</v>
      </c>
      <c r="B1" s="213"/>
      <c r="C1" s="213"/>
      <c r="D1" s="213"/>
      <c r="E1" s="213"/>
      <c r="F1" s="214"/>
      <c r="G1" s="215"/>
      <c r="H1" s="216"/>
      <c r="I1" s="216"/>
      <c r="J1" s="217"/>
      <c r="K1" s="218"/>
      <c r="L1" s="216"/>
      <c r="M1" s="216"/>
      <c r="N1" s="217"/>
      <c r="O1" s="218"/>
      <c r="P1" s="243"/>
      <c r="Q1" s="243"/>
      <c r="R1" s="243"/>
      <c r="S1" s="243"/>
      <c r="T1" s="243"/>
      <c r="U1" s="243"/>
      <c r="V1" s="243"/>
      <c r="W1" s="244"/>
    </row>
    <row r="2" spans="1:23" x14ac:dyDescent="0.25">
      <c r="A2" s="220" t="s">
        <v>206</v>
      </c>
      <c r="B2" s="221"/>
      <c r="C2" s="221"/>
      <c r="D2" s="221"/>
      <c r="E2" s="221"/>
      <c r="F2" s="222"/>
      <c r="G2" s="220" t="str">
        <f>"- h: Height of rectangular section (Input as Float) ("&amp;'User Defined Units'!$B$11&amp;")"</f>
        <v>- h: Height of rectangular section (Input as Float) (m)</v>
      </c>
      <c r="H2" s="210"/>
      <c r="I2" s="210"/>
      <c r="J2" s="223"/>
      <c r="K2" s="211" t="s">
        <v>383</v>
      </c>
      <c r="L2" s="210"/>
      <c r="M2" s="210"/>
      <c r="N2" s="223"/>
      <c r="O2" s="211" t="s">
        <v>384</v>
      </c>
      <c r="P2" s="245"/>
      <c r="Q2" s="245"/>
      <c r="R2" s="245"/>
      <c r="S2" s="245"/>
      <c r="T2" s="245"/>
      <c r="U2" s="245"/>
      <c r="V2" s="245"/>
      <c r="W2" s="246"/>
    </row>
    <row r="3" spans="1:23" x14ac:dyDescent="0.25">
      <c r="A3" s="220" t="s">
        <v>207</v>
      </c>
      <c r="B3" s="221"/>
      <c r="C3" s="221"/>
      <c r="D3" s="221"/>
      <c r="E3" s="221"/>
      <c r="F3" s="222"/>
      <c r="G3" s="220" t="str">
        <f>"- b: Width of rectangular section (Input as Float) ("&amp;'User Defined Units'!$B$11&amp;")"</f>
        <v>- b: Width of rectangular section (Input as Float) (m)</v>
      </c>
      <c r="H3" s="210"/>
      <c r="I3" s="210"/>
      <c r="J3" s="223"/>
      <c r="K3" s="224"/>
      <c r="L3" s="210"/>
      <c r="M3" s="210"/>
      <c r="N3" s="223"/>
      <c r="O3" s="224"/>
      <c r="P3" s="245"/>
      <c r="Q3" s="245"/>
      <c r="R3" s="245"/>
      <c r="S3" s="245"/>
      <c r="T3" s="245"/>
      <c r="U3" s="245"/>
      <c r="V3" s="245"/>
      <c r="W3" s="246"/>
    </row>
    <row r="4" spans="1:23" x14ac:dyDescent="0.25">
      <c r="A4" s="211" t="s">
        <v>364</v>
      </c>
      <c r="B4" s="221"/>
      <c r="C4" s="221"/>
      <c r="D4" s="221"/>
      <c r="E4" s="221"/>
      <c r="F4" s="222"/>
      <c r="G4" s="211" t="str">
        <f>"- c: Concrete cover (Input as Float) ("&amp;'User Defined Units'!$B$11&amp;")"</f>
        <v>- c: Concrete cover (Input as Float) (m)</v>
      </c>
      <c r="H4" s="210"/>
      <c r="I4" s="210"/>
      <c r="J4" s="223"/>
      <c r="K4" s="224"/>
      <c r="L4" s="210"/>
      <c r="M4" s="210"/>
      <c r="N4" s="223"/>
      <c r="O4" s="224"/>
      <c r="P4" s="245"/>
      <c r="Q4" s="245"/>
      <c r="R4" s="245"/>
      <c r="S4" s="245"/>
      <c r="T4" s="245"/>
      <c r="U4" s="245"/>
      <c r="V4" s="245"/>
      <c r="W4" s="246"/>
    </row>
    <row r="5" spans="1:23" x14ac:dyDescent="0.25">
      <c r="A5" s="211" t="s">
        <v>379</v>
      </c>
      <c r="B5" s="221"/>
      <c r="C5" s="221"/>
      <c r="D5" s="221"/>
      <c r="E5" s="221"/>
      <c r="F5" s="222"/>
      <c r="G5" s="220" t="str">
        <f>"- barDiaHoop: Diameter of hoops (Input as Float) ("&amp;'User Defined Units'!$B$11&amp;")"</f>
        <v>- barDiaHoop: Diameter of hoops (Input as Float) (m)</v>
      </c>
      <c r="H5" s="210"/>
      <c r="I5" s="210"/>
      <c r="J5" s="223"/>
      <c r="K5" s="224"/>
      <c r="L5" s="210"/>
      <c r="M5" s="210"/>
      <c r="N5" s="223"/>
      <c r="O5" s="224"/>
      <c r="P5" s="245"/>
      <c r="Q5" s="245"/>
      <c r="R5" s="245"/>
      <c r="S5" s="245"/>
      <c r="T5" s="245"/>
      <c r="U5" s="245"/>
      <c r="V5" s="245"/>
      <c r="W5" s="246"/>
    </row>
    <row r="6" spans="1:23" x14ac:dyDescent="0.25">
      <c r="A6" s="211" t="s">
        <v>380</v>
      </c>
      <c r="B6" s="221"/>
      <c r="C6" s="221"/>
      <c r="D6" s="221"/>
      <c r="E6" s="221"/>
      <c r="F6" s="222"/>
      <c r="G6" s="220" t="str">
        <f>"- barDiaTop: Diameter of top reinforcements (Input as Float) ("&amp;'User Defined Units'!$B$11&amp;")"</f>
        <v>- barDiaTop: Diameter of top reinforcements (Input as Float) (m)</v>
      </c>
      <c r="H6" s="210"/>
      <c r="I6" s="210"/>
      <c r="J6" s="223"/>
      <c r="K6" s="224"/>
      <c r="L6" s="210"/>
      <c r="M6" s="210"/>
      <c r="N6" s="223"/>
      <c r="O6" s="224"/>
      <c r="P6" s="245"/>
      <c r="Q6" s="245"/>
      <c r="R6" s="245"/>
      <c r="S6" s="245"/>
      <c r="T6" s="245"/>
      <c r="U6" s="245"/>
      <c r="V6" s="245"/>
      <c r="W6" s="246"/>
    </row>
    <row r="7" spans="1:23" x14ac:dyDescent="0.25">
      <c r="A7" s="211" t="s">
        <v>381</v>
      </c>
      <c r="B7" s="221"/>
      <c r="C7" s="221"/>
      <c r="D7" s="221"/>
      <c r="E7" s="221"/>
      <c r="F7" s="222"/>
      <c r="G7" s="220" t="str">
        <f>"- barDiaBot: Diameter of bottom reinforcements (Input as Float) ("&amp;'User Defined Units'!$B$11&amp;")"</f>
        <v>- barDiaBot: Diameter of bottom reinforcements (Input as Float) (m)</v>
      </c>
      <c r="H7" s="210"/>
      <c r="I7" s="210"/>
      <c r="J7" s="223"/>
      <c r="K7" s="224"/>
      <c r="L7" s="210"/>
      <c r="M7" s="210"/>
      <c r="N7" s="223"/>
      <c r="O7" s="224"/>
      <c r="P7" s="245"/>
      <c r="Q7" s="245"/>
      <c r="R7" s="245"/>
      <c r="S7" s="245"/>
      <c r="T7" s="245"/>
      <c r="U7" s="245"/>
      <c r="V7" s="245"/>
      <c r="W7" s="246"/>
    </row>
    <row r="8" spans="1:23" x14ac:dyDescent="0.25">
      <c r="A8" s="225" t="s">
        <v>252</v>
      </c>
      <c r="B8" s="221"/>
      <c r="C8" s="221"/>
      <c r="D8" s="221"/>
      <c r="E8" s="221"/>
      <c r="F8" s="222"/>
      <c r="G8" s="220" t="str">
        <f>"- barDiaInt: Diameter of intermediate reinforcements (Input as Float) ("&amp;'User Defined Units'!$B$11&amp;")"</f>
        <v>- barDiaInt: Diameter of intermediate reinforcements (Input as Float) (m)</v>
      </c>
      <c r="H8" s="210"/>
      <c r="I8" s="210"/>
      <c r="J8" s="223"/>
      <c r="K8" s="224"/>
      <c r="L8" s="210"/>
      <c r="M8" s="210"/>
      <c r="N8" s="223"/>
      <c r="O8" s="224"/>
      <c r="P8" s="245"/>
      <c r="Q8" s="245"/>
      <c r="R8" s="245"/>
      <c r="S8" s="245"/>
      <c r="T8" s="245"/>
      <c r="U8" s="245"/>
      <c r="V8" s="245"/>
      <c r="W8" s="246"/>
    </row>
    <row r="9" spans="1:23" x14ac:dyDescent="0.25">
      <c r="A9" s="225" t="s">
        <v>253</v>
      </c>
      <c r="B9" s="221"/>
      <c r="C9" s="221"/>
      <c r="D9" s="221"/>
      <c r="E9" s="221"/>
      <c r="F9" s="222"/>
      <c r="G9" s="220" t="s">
        <v>214</v>
      </c>
      <c r="H9" s="210"/>
      <c r="I9" s="210"/>
      <c r="J9" s="223"/>
      <c r="K9" s="224"/>
      <c r="L9" s="210"/>
      <c r="M9" s="210"/>
      <c r="N9" s="223"/>
      <c r="O9" s="224"/>
      <c r="P9" s="245"/>
      <c r="Q9" s="245"/>
      <c r="R9" s="245"/>
      <c r="S9" s="245"/>
      <c r="T9" s="245"/>
      <c r="U9" s="245"/>
      <c r="V9" s="245"/>
      <c r="W9" s="246"/>
    </row>
    <row r="10" spans="1:23" x14ac:dyDescent="0.25">
      <c r="A10" s="225" t="s">
        <v>254</v>
      </c>
      <c r="B10" s="221"/>
      <c r="C10" s="221"/>
      <c r="D10" s="221"/>
      <c r="E10" s="221"/>
      <c r="F10" s="222"/>
      <c r="G10" s="220" t="s">
        <v>215</v>
      </c>
      <c r="H10" s="210"/>
      <c r="I10" s="210"/>
      <c r="J10" s="223"/>
      <c r="K10" s="224"/>
      <c r="L10" s="210"/>
      <c r="M10" s="210"/>
      <c r="N10" s="223"/>
      <c r="O10" s="224"/>
      <c r="P10" s="245"/>
      <c r="Q10" s="245"/>
      <c r="R10" s="245"/>
      <c r="S10" s="245"/>
      <c r="T10" s="245"/>
      <c r="U10" s="245"/>
      <c r="V10" s="245"/>
      <c r="W10" s="246"/>
    </row>
    <row r="11" spans="1:23" x14ac:dyDescent="0.25">
      <c r="A11" s="225" t="s">
        <v>255</v>
      </c>
      <c r="B11" s="221"/>
      <c r="C11" s="221"/>
      <c r="D11" s="221"/>
      <c r="E11" s="221"/>
      <c r="F11" s="222"/>
      <c r="G11" s="220" t="s">
        <v>216</v>
      </c>
      <c r="H11" s="210"/>
      <c r="I11" s="210"/>
      <c r="J11" s="223"/>
      <c r="K11" s="224"/>
      <c r="L11" s="210"/>
      <c r="M11" s="210"/>
      <c r="N11" s="223"/>
      <c r="O11" s="224"/>
      <c r="P11" s="245"/>
      <c r="Q11" s="245"/>
      <c r="R11" s="245"/>
      <c r="S11" s="245"/>
      <c r="T11" s="245"/>
      <c r="U11" s="245"/>
      <c r="V11" s="245"/>
      <c r="W11" s="246"/>
    </row>
    <row r="12" spans="1:23" x14ac:dyDescent="0.25">
      <c r="A12" s="225" t="s">
        <v>256</v>
      </c>
      <c r="B12" s="221"/>
      <c r="C12" s="221"/>
      <c r="D12" s="221"/>
      <c r="E12" s="221"/>
      <c r="F12" s="222"/>
      <c r="G12" s="211"/>
      <c r="H12" s="210"/>
      <c r="I12" s="210"/>
      <c r="J12" s="223"/>
      <c r="K12" s="224"/>
      <c r="L12" s="210"/>
      <c r="M12" s="210"/>
      <c r="N12" s="223"/>
      <c r="O12" s="224"/>
      <c r="P12" s="245"/>
      <c r="Q12" s="245"/>
      <c r="R12" s="245"/>
      <c r="S12" s="245"/>
      <c r="T12" s="245"/>
      <c r="U12" s="245"/>
      <c r="V12" s="245"/>
      <c r="W12" s="246"/>
    </row>
    <row r="13" spans="1:23" x14ac:dyDescent="0.25">
      <c r="A13" s="225" t="s">
        <v>257</v>
      </c>
      <c r="B13" s="221"/>
      <c r="C13" s="221"/>
      <c r="D13" s="221"/>
      <c r="E13" s="221"/>
      <c r="F13" s="222"/>
      <c r="G13" s="220"/>
      <c r="H13" s="210"/>
      <c r="I13" s="210"/>
      <c r="J13" s="223"/>
      <c r="K13" s="224"/>
      <c r="L13" s="210"/>
      <c r="M13" s="210"/>
      <c r="N13" s="223"/>
      <c r="O13" s="224"/>
      <c r="P13" s="245"/>
      <c r="Q13" s="245"/>
      <c r="R13" s="245"/>
      <c r="S13" s="245"/>
      <c r="T13" s="245"/>
      <c r="U13" s="245"/>
      <c r="V13" s="245"/>
      <c r="W13" s="246"/>
    </row>
    <row r="14" spans="1:23" x14ac:dyDescent="0.25">
      <c r="A14" s="226" t="s">
        <v>155</v>
      </c>
      <c r="B14" s="221"/>
      <c r="C14" s="221"/>
      <c r="D14" s="221"/>
      <c r="E14" s="221"/>
      <c r="F14" s="222"/>
      <c r="G14" s="220"/>
      <c r="H14" s="210"/>
      <c r="I14" s="210"/>
      <c r="J14" s="223"/>
      <c r="K14" s="224"/>
      <c r="L14" s="210"/>
      <c r="M14" s="210"/>
      <c r="N14" s="223"/>
      <c r="O14" s="224"/>
      <c r="P14" s="245"/>
      <c r="Q14" s="245"/>
      <c r="R14" s="245"/>
      <c r="S14" s="245"/>
      <c r="T14" s="245"/>
      <c r="U14" s="245"/>
      <c r="V14" s="245"/>
      <c r="W14" s="246"/>
    </row>
    <row r="15" spans="1:23" x14ac:dyDescent="0.25">
      <c r="A15" s="227" t="s">
        <v>382</v>
      </c>
      <c r="B15" s="228"/>
      <c r="C15" s="228"/>
      <c r="D15" s="228"/>
      <c r="E15" s="228"/>
      <c r="F15" s="229"/>
      <c r="G15" s="230"/>
      <c r="H15" s="231"/>
      <c r="I15" s="231"/>
      <c r="J15" s="232"/>
      <c r="K15" s="233"/>
      <c r="L15" s="231"/>
      <c r="M15" s="231"/>
      <c r="N15" s="232"/>
      <c r="O15" s="233"/>
      <c r="P15" s="247"/>
      <c r="Q15" s="247"/>
      <c r="R15" s="247"/>
      <c r="S15" s="247"/>
      <c r="T15" s="247"/>
      <c r="U15" s="247"/>
      <c r="V15" s="247"/>
      <c r="W15" s="248"/>
    </row>
    <row r="16" spans="1:23" x14ac:dyDescent="0.25">
      <c r="A16" s="234"/>
      <c r="B16" s="117"/>
      <c r="C16" s="117"/>
      <c r="D16" s="117"/>
      <c r="E16" s="117"/>
      <c r="F16" s="117"/>
      <c r="G16" s="117"/>
      <c r="H16" s="235"/>
      <c r="I16" s="235"/>
      <c r="J16" s="235"/>
      <c r="K16" s="235"/>
      <c r="L16" s="235"/>
      <c r="M16" s="235"/>
      <c r="N16" s="235"/>
      <c r="O16" s="235"/>
      <c r="P16" s="219"/>
      <c r="Q16" s="219"/>
      <c r="R16" s="219"/>
      <c r="S16" s="219"/>
      <c r="T16" s="219"/>
      <c r="U16" s="219"/>
      <c r="V16" s="219"/>
      <c r="W16" s="219"/>
    </row>
    <row r="17" spans="1:23" s="236" customFormat="1" x14ac:dyDescent="0.25">
      <c r="A17" s="149" t="s">
        <v>24</v>
      </c>
      <c r="B17" s="149" t="s">
        <v>23</v>
      </c>
      <c r="C17" s="149" t="s">
        <v>31</v>
      </c>
      <c r="D17" s="149" t="s">
        <v>260</v>
      </c>
      <c r="E17" s="149" t="s">
        <v>368</v>
      </c>
      <c r="F17" s="149" t="s">
        <v>369</v>
      </c>
      <c r="G17" s="149" t="s">
        <v>35</v>
      </c>
      <c r="H17" s="149" t="s">
        <v>246</v>
      </c>
      <c r="I17" s="149" t="s">
        <v>247</v>
      </c>
      <c r="J17" s="149" t="s">
        <v>248</v>
      </c>
      <c r="K17" s="149" t="s">
        <v>249</v>
      </c>
      <c r="L17" s="149" t="s">
        <v>250</v>
      </c>
      <c r="M17" s="149" t="s">
        <v>251</v>
      </c>
      <c r="N17" s="149" t="s">
        <v>366</v>
      </c>
      <c r="O17" s="149" t="s">
        <v>367</v>
      </c>
      <c r="P17" s="149" t="s">
        <v>371</v>
      </c>
      <c r="Q17" s="149" t="s">
        <v>372</v>
      </c>
      <c r="R17" s="149" t="s">
        <v>373</v>
      </c>
      <c r="S17" s="149" t="s">
        <v>374</v>
      </c>
      <c r="T17" s="149" t="s">
        <v>375</v>
      </c>
      <c r="U17" s="149" t="s">
        <v>376</v>
      </c>
      <c r="V17" s="149" t="s">
        <v>377</v>
      </c>
      <c r="W17" s="149" t="s">
        <v>378</v>
      </c>
    </row>
    <row r="18" spans="1:23" x14ac:dyDescent="0.25">
      <c r="A18" s="237" t="s">
        <v>32</v>
      </c>
      <c r="B18" s="237" t="s">
        <v>26</v>
      </c>
      <c r="C18" s="238" t="s">
        <v>314</v>
      </c>
      <c r="D18" s="237" t="s">
        <v>13</v>
      </c>
      <c r="H18" s="239">
        <v>1</v>
      </c>
      <c r="I18" s="239">
        <v>1</v>
      </c>
      <c r="J18" s="239">
        <v>1</v>
      </c>
      <c r="K18" s="239">
        <v>0.7</v>
      </c>
      <c r="L18" s="239">
        <v>0.7</v>
      </c>
      <c r="M18" s="239">
        <v>1</v>
      </c>
      <c r="N18" s="239">
        <v>0.7</v>
      </c>
      <c r="O18" s="239">
        <v>0.7</v>
      </c>
      <c r="P18" s="240">
        <v>0</v>
      </c>
      <c r="Q18" s="240">
        <v>0</v>
      </c>
      <c r="R18" s="240">
        <v>0</v>
      </c>
      <c r="S18" s="240">
        <v>0</v>
      </c>
      <c r="T18" s="240">
        <v>0</v>
      </c>
      <c r="U18" s="241">
        <v>0</v>
      </c>
      <c r="V18" s="241">
        <v>0</v>
      </c>
      <c r="W18" s="241">
        <v>0</v>
      </c>
    </row>
    <row r="19" spans="1:23" x14ac:dyDescent="0.25">
      <c r="A19" s="237" t="s">
        <v>33</v>
      </c>
      <c r="B19" s="237" t="s">
        <v>26</v>
      </c>
      <c r="C19" s="238" t="str">
        <f>IF(A19=0,"","Elastic")</f>
        <v>Elastic</v>
      </c>
      <c r="D19" s="237" t="s">
        <v>13</v>
      </c>
      <c r="H19" s="239">
        <v>1</v>
      </c>
      <c r="I19" s="239">
        <v>1</v>
      </c>
      <c r="J19" s="239">
        <v>1</v>
      </c>
      <c r="K19" s="239">
        <v>0.35</v>
      </c>
      <c r="L19" s="239">
        <v>0.35</v>
      </c>
      <c r="M19" s="239">
        <v>1</v>
      </c>
      <c r="N19" s="239">
        <v>0.6</v>
      </c>
      <c r="O19" s="239">
        <v>0.3</v>
      </c>
      <c r="P19" s="240">
        <v>0</v>
      </c>
      <c r="Q19" s="240">
        <v>0</v>
      </c>
      <c r="R19" s="240">
        <v>0</v>
      </c>
      <c r="S19" s="240">
        <v>0</v>
      </c>
      <c r="T19" s="240">
        <v>0</v>
      </c>
      <c r="U19" s="241">
        <v>0</v>
      </c>
      <c r="V19" s="241">
        <v>0</v>
      </c>
      <c r="W19" s="241">
        <v>0</v>
      </c>
    </row>
    <row r="20" spans="1:23" x14ac:dyDescent="0.25">
      <c r="A20" s="242" t="s">
        <v>370</v>
      </c>
      <c r="B20" s="237" t="s">
        <v>26</v>
      </c>
      <c r="C20" s="238" t="s">
        <v>363</v>
      </c>
      <c r="D20" s="237" t="s">
        <v>17</v>
      </c>
      <c r="E20" s="237" t="s">
        <v>16</v>
      </c>
      <c r="F20" s="237" t="s">
        <v>18</v>
      </c>
      <c r="G20" s="237" t="s">
        <v>22</v>
      </c>
      <c r="H20" s="239">
        <v>1</v>
      </c>
      <c r="I20" s="239">
        <v>1</v>
      </c>
      <c r="J20" s="239">
        <v>1</v>
      </c>
      <c r="K20" s="239">
        <v>1</v>
      </c>
      <c r="L20" s="239">
        <v>1</v>
      </c>
      <c r="M20" s="239">
        <v>1</v>
      </c>
      <c r="N20" s="239">
        <v>0.7</v>
      </c>
      <c r="O20" s="239">
        <v>0.7</v>
      </c>
      <c r="P20" s="240">
        <f>40/1000</f>
        <v>0.04</v>
      </c>
      <c r="Q20" s="240">
        <f>13/1000</f>
        <v>1.2999999999999999E-2</v>
      </c>
      <c r="R20" s="240">
        <f>22/1000</f>
        <v>2.1999999999999999E-2</v>
      </c>
      <c r="S20" s="240">
        <f>22/1000</f>
        <v>2.1999999999999999E-2</v>
      </c>
      <c r="T20" s="240">
        <f>22/1000</f>
        <v>2.1999999999999999E-2</v>
      </c>
      <c r="U20" s="241">
        <v>7</v>
      </c>
      <c r="V20" s="241">
        <v>7</v>
      </c>
      <c r="W20" s="241">
        <v>10</v>
      </c>
    </row>
    <row r="21" spans="1:23" x14ac:dyDescent="0.25">
      <c r="C21" s="238" t="str">
        <f>IF(A21=0,"","Elastic")</f>
        <v/>
      </c>
    </row>
    <row r="22" spans="1:23" x14ac:dyDescent="0.25">
      <c r="C22" s="238" t="str">
        <f>IF(A22=0,"","Elastic")</f>
        <v/>
      </c>
    </row>
    <row r="23" spans="1:23" x14ac:dyDescent="0.25">
      <c r="C23" s="238" t="str">
        <f>IF(A23=0,"","Elastic")</f>
        <v/>
      </c>
    </row>
    <row r="24" spans="1:23" x14ac:dyDescent="0.25">
      <c r="C24" s="238" t="str">
        <f>IF(A24=0,"","Elastic")</f>
        <v/>
      </c>
    </row>
    <row r="25" spans="1:23" x14ac:dyDescent="0.25">
      <c r="C25" s="238" t="str">
        <f>IF(A25=0,"","Elastic")</f>
        <v/>
      </c>
    </row>
    <row r="26" spans="1:23" x14ac:dyDescent="0.25">
      <c r="C26" s="238" t="str">
        <f>IF(A26=0,"","Elastic")</f>
        <v/>
      </c>
    </row>
    <row r="27" spans="1:23" x14ac:dyDescent="0.25">
      <c r="C27" s="238" t="str">
        <f>IF(A27=0,"","Elastic")</f>
        <v/>
      </c>
    </row>
    <row r="28" spans="1:23" x14ac:dyDescent="0.25">
      <c r="C28" s="238" t="str">
        <f>IF(A28=0,"","Elastic")</f>
        <v/>
      </c>
    </row>
    <row r="29" spans="1:23" x14ac:dyDescent="0.25">
      <c r="C29" s="238" t="str">
        <f>IF(A29=0,"","Elastic")</f>
        <v/>
      </c>
    </row>
    <row r="30" spans="1:23" x14ac:dyDescent="0.25">
      <c r="C30" s="238" t="str">
        <f>IF(A30=0,"","Elastic")</f>
        <v/>
      </c>
    </row>
    <row r="31" spans="1:23" x14ac:dyDescent="0.25">
      <c r="C31" s="238" t="str">
        <f>IF(A31=0,"","Elastic")</f>
        <v/>
      </c>
    </row>
    <row r="32" spans="1:23" x14ac:dyDescent="0.25">
      <c r="C32" s="238" t="str">
        <f>IF(A32=0,"","Elastic")</f>
        <v/>
      </c>
    </row>
    <row r="33" spans="3:3" x14ac:dyDescent="0.25">
      <c r="C33" s="238" t="str">
        <f>IF(A33=0,"","Elastic")</f>
        <v/>
      </c>
    </row>
    <row r="34" spans="3:3" x14ac:dyDescent="0.25">
      <c r="C34" s="238" t="str">
        <f>IF(A34=0,"","Elastic")</f>
        <v/>
      </c>
    </row>
    <row r="35" spans="3:3" x14ac:dyDescent="0.25">
      <c r="C35" s="238" t="str">
        <f>IF(A35=0,"","Elastic")</f>
        <v/>
      </c>
    </row>
    <row r="36" spans="3:3" x14ac:dyDescent="0.25">
      <c r="C36" s="238" t="str">
        <f>IF(A36=0,"","Elastic")</f>
        <v/>
      </c>
    </row>
    <row r="37" spans="3:3" x14ac:dyDescent="0.25">
      <c r="C37" s="238" t="str">
        <f>IF(A37=0,"","Elastic")</f>
        <v/>
      </c>
    </row>
    <row r="38" spans="3:3" x14ac:dyDescent="0.25">
      <c r="C38" s="238" t="str">
        <f>IF(A38=0,"","Elastic")</f>
        <v/>
      </c>
    </row>
    <row r="39" spans="3:3" x14ac:dyDescent="0.25">
      <c r="C39" s="238" t="str">
        <f>IF(A39=0,"","Elastic")</f>
        <v/>
      </c>
    </row>
    <row r="40" spans="3:3" x14ac:dyDescent="0.25">
      <c r="C40" s="238" t="str">
        <f>IF(A40=0,"","Elastic")</f>
        <v/>
      </c>
    </row>
    <row r="41" spans="3:3" x14ac:dyDescent="0.25">
      <c r="C41" s="238" t="str">
        <f>IF(A41=0,"","Elastic")</f>
        <v/>
      </c>
    </row>
    <row r="42" spans="3:3" x14ac:dyDescent="0.25">
      <c r="C42" s="238" t="str">
        <f>IF(A42=0,"","Elastic")</f>
        <v/>
      </c>
    </row>
    <row r="43" spans="3:3" x14ac:dyDescent="0.25">
      <c r="C43" s="238" t="str">
        <f>IF(A43=0,"","Elastic")</f>
        <v/>
      </c>
    </row>
    <row r="44" spans="3:3" x14ac:dyDescent="0.25">
      <c r="C44" s="238" t="str">
        <f>IF(A44=0,"","Elastic")</f>
        <v/>
      </c>
    </row>
    <row r="45" spans="3:3" x14ac:dyDescent="0.25">
      <c r="C45" s="238" t="str">
        <f>IF(A45=0,"","Elastic")</f>
        <v/>
      </c>
    </row>
    <row r="46" spans="3:3" x14ac:dyDescent="0.25">
      <c r="C46" s="238" t="str">
        <f>IF(A46=0,"","Elastic")</f>
        <v/>
      </c>
    </row>
    <row r="47" spans="3:3" x14ac:dyDescent="0.25">
      <c r="C47" s="238" t="str">
        <f>IF(A47=0,"","Elastic")</f>
        <v/>
      </c>
    </row>
    <row r="48" spans="3:3" x14ac:dyDescent="0.25">
      <c r="C48" s="238" t="str">
        <f>IF(A48=0,"","Elastic")</f>
        <v/>
      </c>
    </row>
    <row r="49" spans="3:3" x14ac:dyDescent="0.25">
      <c r="C49" s="238" t="str">
        <f>IF(A49=0,"","Elastic")</f>
        <v/>
      </c>
    </row>
    <row r="50" spans="3:3" x14ac:dyDescent="0.25">
      <c r="C50" s="238" t="str">
        <f>IF(A50=0,"","Elastic")</f>
        <v/>
      </c>
    </row>
    <row r="51" spans="3:3" x14ac:dyDescent="0.25">
      <c r="C51" s="238" t="str">
        <f>IF(A51=0,"","Elastic")</f>
        <v/>
      </c>
    </row>
    <row r="52" spans="3:3" x14ac:dyDescent="0.25">
      <c r="C52" s="238" t="str">
        <f>IF(A52=0,"","Elastic")</f>
        <v/>
      </c>
    </row>
    <row r="53" spans="3:3" x14ac:dyDescent="0.25">
      <c r="C53" s="238" t="str">
        <f>IF(A53=0,"","Elastic")</f>
        <v/>
      </c>
    </row>
    <row r="54" spans="3:3" x14ac:dyDescent="0.25">
      <c r="C54" s="238" t="str">
        <f>IF(A54=0,"","Elastic")</f>
        <v/>
      </c>
    </row>
    <row r="55" spans="3:3" x14ac:dyDescent="0.25">
      <c r="C55" s="238" t="str">
        <f>IF(A55=0,"","Elastic")</f>
        <v/>
      </c>
    </row>
    <row r="56" spans="3:3" x14ac:dyDescent="0.25">
      <c r="C56" s="238" t="str">
        <f>IF(A56=0,"","Elastic")</f>
        <v/>
      </c>
    </row>
    <row r="57" spans="3:3" x14ac:dyDescent="0.25">
      <c r="C57" s="238" t="str">
        <f>IF(A57=0,"","Elastic")</f>
        <v/>
      </c>
    </row>
    <row r="58" spans="3:3" x14ac:dyDescent="0.25">
      <c r="C58" s="238" t="str">
        <f>IF(A58=0,"","Elastic")</f>
        <v/>
      </c>
    </row>
    <row r="59" spans="3:3" x14ac:dyDescent="0.25">
      <c r="C59" s="238" t="str">
        <f>IF(A59=0,"","Elastic")</f>
        <v/>
      </c>
    </row>
    <row r="60" spans="3:3" x14ac:dyDescent="0.25">
      <c r="C60" s="238" t="str">
        <f>IF(A60=0,"","Elastic")</f>
        <v/>
      </c>
    </row>
    <row r="61" spans="3:3" x14ac:dyDescent="0.25">
      <c r="C61" s="238" t="str">
        <f>IF(A61=0,"","Elastic")</f>
        <v/>
      </c>
    </row>
    <row r="62" spans="3:3" x14ac:dyDescent="0.25">
      <c r="C62" s="238" t="str">
        <f>IF(A62=0,"","Elastic")</f>
        <v/>
      </c>
    </row>
    <row r="63" spans="3:3" x14ac:dyDescent="0.25">
      <c r="C63" s="238" t="str">
        <f>IF(A63=0,"","Elastic")</f>
        <v/>
      </c>
    </row>
    <row r="64" spans="3:3" x14ac:dyDescent="0.25">
      <c r="C64" s="238" t="str">
        <f>IF(A64=0,"","Elastic")</f>
        <v/>
      </c>
    </row>
    <row r="65" spans="3:3" x14ac:dyDescent="0.25">
      <c r="C65" s="238" t="str">
        <f>IF(A65=0,"","Elastic")</f>
        <v/>
      </c>
    </row>
    <row r="66" spans="3:3" x14ac:dyDescent="0.25">
      <c r="C66" s="238" t="str">
        <f>IF(A66=0,"","Elastic")</f>
        <v/>
      </c>
    </row>
    <row r="67" spans="3:3" x14ac:dyDescent="0.25">
      <c r="C67" s="238" t="str">
        <f>IF(A67=0,"","Elastic")</f>
        <v/>
      </c>
    </row>
    <row r="68" spans="3:3" x14ac:dyDescent="0.25">
      <c r="C68" s="238" t="str">
        <f>IF(A68=0,"","Elastic")</f>
        <v/>
      </c>
    </row>
    <row r="69" spans="3:3" x14ac:dyDescent="0.25">
      <c r="C69" s="238" t="str">
        <f>IF(A69=0,"","Elastic")</f>
        <v/>
      </c>
    </row>
    <row r="70" spans="3:3" x14ac:dyDescent="0.25">
      <c r="C70" s="238" t="str">
        <f>IF(A70=0,"","Elastic")</f>
        <v/>
      </c>
    </row>
    <row r="71" spans="3:3" x14ac:dyDescent="0.25">
      <c r="C71" s="238" t="str">
        <f>IF(A71=0,"","Elastic")</f>
        <v/>
      </c>
    </row>
    <row r="72" spans="3:3" x14ac:dyDescent="0.25">
      <c r="C72" s="238" t="str">
        <f>IF(A72=0,"","Elastic")</f>
        <v/>
      </c>
    </row>
    <row r="73" spans="3:3" x14ac:dyDescent="0.25">
      <c r="C73" s="238" t="str">
        <f>IF(A73=0,"","Elastic")</f>
        <v/>
      </c>
    </row>
    <row r="74" spans="3:3" x14ac:dyDescent="0.25">
      <c r="C74" s="238" t="str">
        <f>IF(A74=0,"","Elastic")</f>
        <v/>
      </c>
    </row>
    <row r="75" spans="3:3" x14ac:dyDescent="0.25">
      <c r="C75" s="238" t="str">
        <f>IF(A75=0,"","Elastic")</f>
        <v/>
      </c>
    </row>
    <row r="76" spans="3:3" x14ac:dyDescent="0.25">
      <c r="C76" s="238" t="str">
        <f>IF(A76=0,"","Elastic")</f>
        <v/>
      </c>
    </row>
    <row r="77" spans="3:3" x14ac:dyDescent="0.25">
      <c r="C77" s="238" t="str">
        <f>IF(A77=0,"","Elastic")</f>
        <v/>
      </c>
    </row>
    <row r="78" spans="3:3" x14ac:dyDescent="0.25">
      <c r="C78" s="238" t="str">
        <f>IF(A78=0,"","Elastic")</f>
        <v/>
      </c>
    </row>
    <row r="79" spans="3:3" x14ac:dyDescent="0.25">
      <c r="C79" s="238" t="str">
        <f>IF(A79=0,"","Elastic")</f>
        <v/>
      </c>
    </row>
    <row r="80" spans="3:3" x14ac:dyDescent="0.25">
      <c r="C80" s="238" t="str">
        <f>IF(A80=0,"","Elastic")</f>
        <v/>
      </c>
    </row>
    <row r="81" spans="3:3" x14ac:dyDescent="0.25">
      <c r="C81" s="238" t="str">
        <f>IF(A81=0,"","Elastic")</f>
        <v/>
      </c>
    </row>
    <row r="82" spans="3:3" x14ac:dyDescent="0.25">
      <c r="C82" s="238" t="str">
        <f>IF(A82=0,"","Elastic")</f>
        <v/>
      </c>
    </row>
    <row r="83" spans="3:3" x14ac:dyDescent="0.25">
      <c r="C83" s="238" t="str">
        <f>IF(A83=0,"","Elastic")</f>
        <v/>
      </c>
    </row>
    <row r="84" spans="3:3" x14ac:dyDescent="0.25">
      <c r="C84" s="238" t="str">
        <f>IF(A84=0,"","Elastic")</f>
        <v/>
      </c>
    </row>
    <row r="85" spans="3:3" x14ac:dyDescent="0.25">
      <c r="C85" s="238" t="str">
        <f>IF(A85=0,"","Elastic")</f>
        <v/>
      </c>
    </row>
    <row r="86" spans="3:3" x14ac:dyDescent="0.25">
      <c r="C86" s="238" t="str">
        <f>IF(A86=0,"","Elastic")</f>
        <v/>
      </c>
    </row>
    <row r="87" spans="3:3" x14ac:dyDescent="0.25">
      <c r="C87" s="238" t="str">
        <f>IF(A87=0,"","Elastic")</f>
        <v/>
      </c>
    </row>
    <row r="88" spans="3:3" x14ac:dyDescent="0.25">
      <c r="C88" s="238" t="str">
        <f>IF(A88=0,"","Elastic")</f>
        <v/>
      </c>
    </row>
    <row r="89" spans="3:3" x14ac:dyDescent="0.25">
      <c r="C89" s="238" t="str">
        <f>IF(A89=0,"","Elastic")</f>
        <v/>
      </c>
    </row>
    <row r="90" spans="3:3" x14ac:dyDescent="0.25">
      <c r="C90" s="238" t="str">
        <f>IF(A90=0,"","Elastic")</f>
        <v/>
      </c>
    </row>
    <row r="91" spans="3:3" x14ac:dyDescent="0.25">
      <c r="C91" s="238" t="str">
        <f>IF(A91=0,"","Elastic")</f>
        <v/>
      </c>
    </row>
    <row r="92" spans="3:3" x14ac:dyDescent="0.25">
      <c r="C92" s="238" t="str">
        <f>IF(A92=0,"","Elastic")</f>
        <v/>
      </c>
    </row>
    <row r="93" spans="3:3" x14ac:dyDescent="0.25">
      <c r="C93" s="238" t="str">
        <f>IF(A93=0,"","Elastic")</f>
        <v/>
      </c>
    </row>
    <row r="94" spans="3:3" x14ac:dyDescent="0.25">
      <c r="C94" s="238" t="str">
        <f>IF(A94=0,"","Elastic")</f>
        <v/>
      </c>
    </row>
    <row r="95" spans="3:3" x14ac:dyDescent="0.25">
      <c r="C95" s="238" t="str">
        <f>IF(A95=0,"","Elastic")</f>
        <v/>
      </c>
    </row>
    <row r="96" spans="3:3" x14ac:dyDescent="0.25">
      <c r="C96" s="238" t="str">
        <f>IF(A96=0,"","Elastic")</f>
        <v/>
      </c>
    </row>
    <row r="97" spans="3:3" x14ac:dyDescent="0.25">
      <c r="C97" s="238" t="str">
        <f>IF(A97=0,"","Elastic")</f>
        <v/>
      </c>
    </row>
    <row r="98" spans="3:3" x14ac:dyDescent="0.25">
      <c r="C98" s="238" t="str">
        <f>IF(A98=0,"","Elastic")</f>
        <v/>
      </c>
    </row>
    <row r="99" spans="3:3" x14ac:dyDescent="0.25">
      <c r="C99" s="238" t="str">
        <f>IF(A99=0,"","Elastic")</f>
        <v/>
      </c>
    </row>
    <row r="100" spans="3:3" x14ac:dyDescent="0.25">
      <c r="C100" s="238" t="str">
        <f>IF(A100=0,"","Elastic")</f>
        <v/>
      </c>
    </row>
    <row r="101" spans="3:3" x14ac:dyDescent="0.25">
      <c r="C101" s="238" t="str">
        <f>IF(A101=0,"","Elastic")</f>
        <v/>
      </c>
    </row>
    <row r="102" spans="3:3" x14ac:dyDescent="0.25">
      <c r="C102" s="238" t="str">
        <f>IF(A102=0,"","Elastic")</f>
        <v/>
      </c>
    </row>
    <row r="103" spans="3:3" x14ac:dyDescent="0.25">
      <c r="C103" s="238" t="str">
        <f>IF(A103=0,"","Elastic")</f>
        <v/>
      </c>
    </row>
    <row r="104" spans="3:3" x14ac:dyDescent="0.25">
      <c r="C104" s="238" t="str">
        <f>IF(A104=0,"","Elastic")</f>
        <v/>
      </c>
    </row>
    <row r="105" spans="3:3" x14ac:dyDescent="0.25">
      <c r="C105" s="238" t="str">
        <f>IF(A105=0,"","Elastic")</f>
        <v/>
      </c>
    </row>
    <row r="106" spans="3:3" x14ac:dyDescent="0.25">
      <c r="C106" s="238" t="str">
        <f>IF(A106=0,"","Elastic")</f>
        <v/>
      </c>
    </row>
    <row r="107" spans="3:3" x14ac:dyDescent="0.25">
      <c r="C107" s="238" t="str">
        <f>IF(A107=0,"","Elastic")</f>
        <v/>
      </c>
    </row>
    <row r="108" spans="3:3" x14ac:dyDescent="0.25">
      <c r="C108" s="238" t="str">
        <f>IF(A108=0,"","Elastic")</f>
        <v/>
      </c>
    </row>
    <row r="109" spans="3:3" x14ac:dyDescent="0.25">
      <c r="C109" s="238" t="str">
        <f>IF(A109=0,"","Elastic")</f>
        <v/>
      </c>
    </row>
    <row r="110" spans="3:3" x14ac:dyDescent="0.25">
      <c r="C110" s="238" t="str">
        <f>IF(A110=0,"","Elastic")</f>
        <v/>
      </c>
    </row>
    <row r="111" spans="3:3" x14ac:dyDescent="0.25">
      <c r="C111" s="238" t="str">
        <f>IF(A111=0,"","Elastic")</f>
        <v/>
      </c>
    </row>
    <row r="112" spans="3:3" x14ac:dyDescent="0.25">
      <c r="C112" s="238" t="str">
        <f>IF(A112=0,"","Elastic")</f>
        <v/>
      </c>
    </row>
    <row r="113" spans="3:3" x14ac:dyDescent="0.25">
      <c r="C113" s="238" t="str">
        <f>IF(A113=0,"","Elastic")</f>
        <v/>
      </c>
    </row>
    <row r="114" spans="3:3" x14ac:dyDescent="0.25">
      <c r="C114" s="238" t="str">
        <f>IF(A114=0,"","Elastic")</f>
        <v/>
      </c>
    </row>
    <row r="115" spans="3:3" x14ac:dyDescent="0.25">
      <c r="C115" s="238" t="str">
        <f>IF(A115=0,"","Elastic")</f>
        <v/>
      </c>
    </row>
    <row r="116" spans="3:3" x14ac:dyDescent="0.25">
      <c r="C116" s="238" t="str">
        <f>IF(A116=0,"","Elastic")</f>
        <v/>
      </c>
    </row>
    <row r="117" spans="3:3" x14ac:dyDescent="0.25">
      <c r="C117" s="238" t="str">
        <f>IF(A117=0,"","Elastic")</f>
        <v/>
      </c>
    </row>
    <row r="118" spans="3:3" x14ac:dyDescent="0.25">
      <c r="C118" s="238" t="str">
        <f>IF(A118=0,"","Elastic")</f>
        <v/>
      </c>
    </row>
    <row r="119" spans="3:3" x14ac:dyDescent="0.25">
      <c r="C119" s="238" t="str">
        <f>IF(A119=0,"","Elastic")</f>
        <v/>
      </c>
    </row>
    <row r="120" spans="3:3" x14ac:dyDescent="0.25">
      <c r="C120" s="238" t="str">
        <f>IF(A120=0,"","Elastic")</f>
        <v/>
      </c>
    </row>
    <row r="121" spans="3:3" x14ac:dyDescent="0.25">
      <c r="C121" s="238" t="str">
        <f>IF(A121=0,"","Elastic")</f>
        <v/>
      </c>
    </row>
    <row r="122" spans="3:3" x14ac:dyDescent="0.25">
      <c r="C122" s="238" t="str">
        <f>IF(A122=0,"","Elastic")</f>
        <v/>
      </c>
    </row>
    <row r="123" spans="3:3" x14ac:dyDescent="0.25">
      <c r="C123" s="238" t="str">
        <f>IF(A123=0,"","Elastic")</f>
        <v/>
      </c>
    </row>
    <row r="124" spans="3:3" x14ac:dyDescent="0.25">
      <c r="C124" s="238" t="str">
        <f>IF(A124=0,"","Elastic")</f>
        <v/>
      </c>
    </row>
    <row r="125" spans="3:3" x14ac:dyDescent="0.25">
      <c r="C125" s="238" t="str">
        <f>IF(A125=0,"","Elastic")</f>
        <v/>
      </c>
    </row>
    <row r="126" spans="3:3" x14ac:dyDescent="0.25">
      <c r="C126" s="238" t="str">
        <f>IF(A126=0,"","Elastic")</f>
        <v/>
      </c>
    </row>
    <row r="127" spans="3:3" x14ac:dyDescent="0.25">
      <c r="C127" s="238" t="str">
        <f>IF(A127=0,"","Elastic")</f>
        <v/>
      </c>
    </row>
    <row r="128" spans="3:3" x14ac:dyDescent="0.25">
      <c r="C128" s="238" t="str">
        <f>IF(A128=0,"","Elastic")</f>
        <v/>
      </c>
    </row>
    <row r="129" spans="3:3" x14ac:dyDescent="0.25">
      <c r="C129" s="238" t="str">
        <f>IF(A129=0,"","Elastic")</f>
        <v/>
      </c>
    </row>
    <row r="130" spans="3:3" x14ac:dyDescent="0.25">
      <c r="C130" s="238" t="str">
        <f>IF(A130=0,"","Elastic")</f>
        <v/>
      </c>
    </row>
    <row r="131" spans="3:3" x14ac:dyDescent="0.25">
      <c r="C131" s="238" t="str">
        <f>IF(A131=0,"","Elastic")</f>
        <v/>
      </c>
    </row>
    <row r="132" spans="3:3" x14ac:dyDescent="0.25">
      <c r="C132" s="238" t="str">
        <f>IF(A132=0,"","Elastic")</f>
        <v/>
      </c>
    </row>
    <row r="133" spans="3:3" x14ac:dyDescent="0.25">
      <c r="C133" s="238" t="str">
        <f>IF(A133=0,"","Elastic")</f>
        <v/>
      </c>
    </row>
    <row r="134" spans="3:3" x14ac:dyDescent="0.25">
      <c r="C134" s="238" t="str">
        <f>IF(A134=0,"","Elastic")</f>
        <v/>
      </c>
    </row>
    <row r="135" spans="3:3" x14ac:dyDescent="0.25">
      <c r="C135" s="238" t="str">
        <f>IF(A135=0,"","Elastic")</f>
        <v/>
      </c>
    </row>
    <row r="136" spans="3:3" x14ac:dyDescent="0.25">
      <c r="C136" s="238" t="str">
        <f>IF(A136=0,"","Elastic")</f>
        <v/>
      </c>
    </row>
    <row r="137" spans="3:3" x14ac:dyDescent="0.25">
      <c r="C137" s="238" t="str">
        <f>IF(A137=0,"","Elastic")</f>
        <v/>
      </c>
    </row>
    <row r="138" spans="3:3" x14ac:dyDescent="0.25">
      <c r="C138" s="238" t="str">
        <f>IF(A138=0,"","Elastic")</f>
        <v/>
      </c>
    </row>
    <row r="139" spans="3:3" x14ac:dyDescent="0.25">
      <c r="C139" s="238" t="str">
        <f>IF(A139=0,"","Elastic")</f>
        <v/>
      </c>
    </row>
    <row r="140" spans="3:3" x14ac:dyDescent="0.25">
      <c r="C140" s="238" t="str">
        <f>IF(A140=0,"","Elastic")</f>
        <v/>
      </c>
    </row>
    <row r="141" spans="3:3" x14ac:dyDescent="0.25">
      <c r="C141" s="238" t="str">
        <f>IF(A141=0,"","Elastic")</f>
        <v/>
      </c>
    </row>
    <row r="142" spans="3:3" x14ac:dyDescent="0.25">
      <c r="C142" s="238" t="str">
        <f>IF(A142=0,"","Elastic")</f>
        <v/>
      </c>
    </row>
    <row r="143" spans="3:3" x14ac:dyDescent="0.25">
      <c r="C143" s="238" t="str">
        <f>IF(A143=0,"","Elastic")</f>
        <v/>
      </c>
    </row>
    <row r="144" spans="3:3" x14ac:dyDescent="0.25">
      <c r="C144" s="238" t="str">
        <f>IF(A144=0,"","Elastic")</f>
        <v/>
      </c>
    </row>
    <row r="145" spans="3:3" x14ac:dyDescent="0.25">
      <c r="C145" s="238" t="str">
        <f>IF(A145=0,"","Elastic")</f>
        <v/>
      </c>
    </row>
    <row r="146" spans="3:3" x14ac:dyDescent="0.25">
      <c r="C146" s="238" t="str">
        <f>IF(A146=0,"","Elastic")</f>
        <v/>
      </c>
    </row>
    <row r="147" spans="3:3" x14ac:dyDescent="0.25">
      <c r="C147" s="238" t="str">
        <f>IF(A147=0,"","Elastic")</f>
        <v/>
      </c>
    </row>
    <row r="148" spans="3:3" x14ac:dyDescent="0.25">
      <c r="C148" s="238" t="str">
        <f>IF(A148=0,"","Elastic")</f>
        <v/>
      </c>
    </row>
    <row r="149" spans="3:3" x14ac:dyDescent="0.25">
      <c r="C149" s="238" t="str">
        <f>IF(A149=0,"","Elastic")</f>
        <v/>
      </c>
    </row>
    <row r="150" spans="3:3" x14ac:dyDescent="0.25">
      <c r="C150" s="238" t="str">
        <f>IF(A150=0,"","Elastic")</f>
        <v/>
      </c>
    </row>
    <row r="151" spans="3:3" x14ac:dyDescent="0.25">
      <c r="C151" s="238" t="str">
        <f>IF(A151=0,"","Elastic")</f>
        <v/>
      </c>
    </row>
    <row r="152" spans="3:3" x14ac:dyDescent="0.25">
      <c r="C152" s="238" t="str">
        <f>IF(A152=0,"","Elastic")</f>
        <v/>
      </c>
    </row>
    <row r="153" spans="3:3" x14ac:dyDescent="0.25">
      <c r="C153" s="238" t="str">
        <f>IF(A153=0,"","Elastic")</f>
        <v/>
      </c>
    </row>
    <row r="154" spans="3:3" x14ac:dyDescent="0.25">
      <c r="C154" s="238" t="str">
        <f>IF(A154=0,"","Elastic")</f>
        <v/>
      </c>
    </row>
    <row r="155" spans="3:3" x14ac:dyDescent="0.25">
      <c r="C155" s="238" t="str">
        <f>IF(A155=0,"","Elastic")</f>
        <v/>
      </c>
    </row>
    <row r="156" spans="3:3" x14ac:dyDescent="0.25">
      <c r="C156" s="238" t="str">
        <f>IF(A156=0,"","Elastic")</f>
        <v/>
      </c>
    </row>
    <row r="157" spans="3:3" x14ac:dyDescent="0.25">
      <c r="C157" s="238" t="str">
        <f>IF(A157=0,"","Elastic")</f>
        <v/>
      </c>
    </row>
    <row r="158" spans="3:3" x14ac:dyDescent="0.25">
      <c r="C158" s="238" t="str">
        <f>IF(A158=0,"","Elastic")</f>
        <v/>
      </c>
    </row>
    <row r="159" spans="3:3" x14ac:dyDescent="0.25">
      <c r="C159" s="238" t="str">
        <f>IF(A159=0,"","Elastic")</f>
        <v/>
      </c>
    </row>
    <row r="160" spans="3:3" x14ac:dyDescent="0.25">
      <c r="C160" s="238" t="str">
        <f>IF(A160=0,"","Elastic")</f>
        <v/>
      </c>
    </row>
    <row r="161" spans="3:3" x14ac:dyDescent="0.25">
      <c r="C161" s="238" t="str">
        <f>IF(A161=0,"","Elastic")</f>
        <v/>
      </c>
    </row>
    <row r="162" spans="3:3" x14ac:dyDescent="0.25">
      <c r="C162" s="238" t="str">
        <f>IF(A162=0,"","Elastic")</f>
        <v/>
      </c>
    </row>
    <row r="163" spans="3:3" x14ac:dyDescent="0.25">
      <c r="C163" s="238" t="str">
        <f>IF(A163=0,"","Elastic")</f>
        <v/>
      </c>
    </row>
    <row r="164" spans="3:3" x14ac:dyDescent="0.25">
      <c r="C164" s="238" t="str">
        <f>IF(A164=0,"","Elastic")</f>
        <v/>
      </c>
    </row>
    <row r="165" spans="3:3" x14ac:dyDescent="0.25">
      <c r="C165" s="238" t="str">
        <f>IF(A165=0,"","Elastic")</f>
        <v/>
      </c>
    </row>
    <row r="166" spans="3:3" x14ac:dyDescent="0.25">
      <c r="C166" s="238" t="str">
        <f>IF(A166=0,"","Elastic")</f>
        <v/>
      </c>
    </row>
    <row r="167" spans="3:3" x14ac:dyDescent="0.25">
      <c r="C167" s="238" t="str">
        <f>IF(A167=0,"","Elastic")</f>
        <v/>
      </c>
    </row>
    <row r="168" spans="3:3" x14ac:dyDescent="0.25">
      <c r="C168" s="238" t="str">
        <f>IF(A168=0,"","Elastic")</f>
        <v/>
      </c>
    </row>
    <row r="169" spans="3:3" x14ac:dyDescent="0.25">
      <c r="C169" s="238" t="str">
        <f>IF(A169=0,"","Elastic")</f>
        <v/>
      </c>
    </row>
    <row r="170" spans="3:3" x14ac:dyDescent="0.25">
      <c r="C170" s="238" t="str">
        <f>IF(A170=0,"","Elastic")</f>
        <v/>
      </c>
    </row>
    <row r="171" spans="3:3" x14ac:dyDescent="0.25">
      <c r="C171" s="238" t="str">
        <f>IF(A171=0,"","Elastic")</f>
        <v/>
      </c>
    </row>
    <row r="172" spans="3:3" x14ac:dyDescent="0.25">
      <c r="C172" s="238" t="str">
        <f>IF(A172=0,"","Elastic")</f>
        <v/>
      </c>
    </row>
    <row r="173" spans="3:3" x14ac:dyDescent="0.25">
      <c r="C173" s="238" t="str">
        <f>IF(A173=0,"","Elastic")</f>
        <v/>
      </c>
    </row>
    <row r="174" spans="3:3" x14ac:dyDescent="0.25">
      <c r="C174" s="238" t="str">
        <f>IF(A174=0,"","Elastic")</f>
        <v/>
      </c>
    </row>
    <row r="175" spans="3:3" x14ac:dyDescent="0.25">
      <c r="C175" s="238" t="str">
        <f>IF(A175=0,"","Elastic")</f>
        <v/>
      </c>
    </row>
    <row r="176" spans="3:3" x14ac:dyDescent="0.25">
      <c r="C176" s="238" t="str">
        <f>IF(A176=0,"","Elastic")</f>
        <v/>
      </c>
    </row>
    <row r="177" spans="3:3" x14ac:dyDescent="0.25">
      <c r="C177" s="238" t="str">
        <f>IF(A177=0,"","Elastic")</f>
        <v/>
      </c>
    </row>
    <row r="178" spans="3:3" x14ac:dyDescent="0.25">
      <c r="C178" s="238" t="str">
        <f>IF(A178=0,"","Elastic")</f>
        <v/>
      </c>
    </row>
    <row r="179" spans="3:3" x14ac:dyDescent="0.25">
      <c r="C179" s="238" t="str">
        <f>IF(A179=0,"","Elastic")</f>
        <v/>
      </c>
    </row>
    <row r="180" spans="3:3" x14ac:dyDescent="0.25">
      <c r="C180" s="238" t="str">
        <f>IF(A180=0,"","Elastic")</f>
        <v/>
      </c>
    </row>
    <row r="181" spans="3:3" x14ac:dyDescent="0.25">
      <c r="C181" s="238" t="str">
        <f>IF(A181=0,"","Elastic")</f>
        <v/>
      </c>
    </row>
    <row r="182" spans="3:3" x14ac:dyDescent="0.25">
      <c r="C182" s="238" t="str">
        <f>IF(A182=0,"","Elastic")</f>
        <v/>
      </c>
    </row>
    <row r="183" spans="3:3" x14ac:dyDescent="0.25">
      <c r="C183" s="238" t="str">
        <f>IF(A183=0,"","Elastic")</f>
        <v/>
      </c>
    </row>
    <row r="184" spans="3:3" x14ac:dyDescent="0.25">
      <c r="C184" s="238" t="str">
        <f>IF(A184=0,"","Elastic")</f>
        <v/>
      </c>
    </row>
    <row r="185" spans="3:3" x14ac:dyDescent="0.25">
      <c r="C185" s="238" t="str">
        <f>IF(A185=0,"","Elastic")</f>
        <v/>
      </c>
    </row>
    <row r="186" spans="3:3" x14ac:dyDescent="0.25">
      <c r="C186" s="238" t="str">
        <f>IF(A186=0,"","Elastic")</f>
        <v/>
      </c>
    </row>
    <row r="187" spans="3:3" x14ac:dyDescent="0.25">
      <c r="C187" s="238" t="str">
        <f>IF(A187=0,"","Elastic")</f>
        <v/>
      </c>
    </row>
    <row r="188" spans="3:3" x14ac:dyDescent="0.25">
      <c r="C188" s="238" t="str">
        <f>IF(A188=0,"","Elastic")</f>
        <v/>
      </c>
    </row>
    <row r="189" spans="3:3" x14ac:dyDescent="0.25">
      <c r="C189" s="238" t="str">
        <f>IF(A189=0,"","Elastic")</f>
        <v/>
      </c>
    </row>
    <row r="190" spans="3:3" x14ac:dyDescent="0.25">
      <c r="C190" s="238" t="str">
        <f>IF(A190=0,"","Elastic")</f>
        <v/>
      </c>
    </row>
    <row r="191" spans="3:3" x14ac:dyDescent="0.25">
      <c r="C191" s="238" t="str">
        <f>IF(A191=0,"","Elastic")</f>
        <v/>
      </c>
    </row>
    <row r="192" spans="3:3" x14ac:dyDescent="0.25">
      <c r="C192" s="238" t="str">
        <f>IF(A192=0,"","Elastic")</f>
        <v/>
      </c>
    </row>
    <row r="193" spans="3:3" x14ac:dyDescent="0.25">
      <c r="C193" s="238" t="str">
        <f>IF(A193=0,"","Elastic")</f>
        <v/>
      </c>
    </row>
    <row r="194" spans="3:3" x14ac:dyDescent="0.25">
      <c r="C194" s="238" t="str">
        <f>IF(A194=0,"","Elastic")</f>
        <v/>
      </c>
    </row>
    <row r="195" spans="3:3" x14ac:dyDescent="0.25">
      <c r="C195" s="238" t="str">
        <f>IF(A195=0,"","Elastic")</f>
        <v/>
      </c>
    </row>
    <row r="196" spans="3:3" x14ac:dyDescent="0.25">
      <c r="C196" s="238" t="str">
        <f>IF(A196=0,"","Elastic")</f>
        <v/>
      </c>
    </row>
    <row r="197" spans="3:3" x14ac:dyDescent="0.25">
      <c r="C197" s="238" t="str">
        <f>IF(A197=0,"","Elastic")</f>
        <v/>
      </c>
    </row>
    <row r="198" spans="3:3" x14ac:dyDescent="0.25">
      <c r="C198" s="238" t="str">
        <f>IF(A198=0,"","Elastic")</f>
        <v/>
      </c>
    </row>
    <row r="199" spans="3:3" x14ac:dyDescent="0.25">
      <c r="C199" s="238" t="str">
        <f>IF(A199=0,"","Elastic")</f>
        <v/>
      </c>
    </row>
    <row r="200" spans="3:3" x14ac:dyDescent="0.25">
      <c r="C200" s="238" t="str">
        <f>IF(A200=0,"","Elastic")</f>
        <v/>
      </c>
    </row>
    <row r="201" spans="3:3" x14ac:dyDescent="0.25">
      <c r="C201" s="238" t="str">
        <f>IF(A201=0,"","Elastic")</f>
        <v/>
      </c>
    </row>
    <row r="202" spans="3:3" x14ac:dyDescent="0.25">
      <c r="C202" s="238" t="str">
        <f>IF(A202=0,"","Elastic")</f>
        <v/>
      </c>
    </row>
    <row r="203" spans="3:3" x14ac:dyDescent="0.25">
      <c r="C203" s="238" t="str">
        <f>IF(A203=0,"","Elastic")</f>
        <v/>
      </c>
    </row>
    <row r="204" spans="3:3" x14ac:dyDescent="0.25">
      <c r="C204" s="238" t="str">
        <f>IF(A204=0,"","Elastic")</f>
        <v/>
      </c>
    </row>
    <row r="205" spans="3:3" x14ac:dyDescent="0.25">
      <c r="C205" s="238" t="str">
        <f>IF(A205=0,"","Elastic")</f>
        <v/>
      </c>
    </row>
    <row r="206" spans="3:3" x14ac:dyDescent="0.25">
      <c r="C206" s="238" t="str">
        <f>IF(A206=0,"","Elastic")</f>
        <v/>
      </c>
    </row>
    <row r="207" spans="3:3" x14ac:dyDescent="0.25">
      <c r="C207" s="238" t="str">
        <f>IF(A207=0,"","Elastic")</f>
        <v/>
      </c>
    </row>
    <row r="208" spans="3:3" x14ac:dyDescent="0.25">
      <c r="C208" s="238" t="str">
        <f>IF(A208=0,"","Elastic")</f>
        <v/>
      </c>
    </row>
    <row r="209" spans="3:3" x14ac:dyDescent="0.25">
      <c r="C209" s="238" t="str">
        <f>IF(A209=0,"","Elastic")</f>
        <v/>
      </c>
    </row>
    <row r="210" spans="3:3" x14ac:dyDescent="0.25">
      <c r="C210" s="238" t="str">
        <f>IF(A210=0,"","Elastic")</f>
        <v/>
      </c>
    </row>
    <row r="211" spans="3:3" x14ac:dyDescent="0.25">
      <c r="C211" s="238" t="str">
        <f>IF(A211=0,"","Elastic")</f>
        <v/>
      </c>
    </row>
    <row r="212" spans="3:3" x14ac:dyDescent="0.25">
      <c r="C212" s="238" t="str">
        <f>IF(A212=0,"","Elastic")</f>
        <v/>
      </c>
    </row>
    <row r="213" spans="3:3" x14ac:dyDescent="0.25">
      <c r="C213" s="238" t="str">
        <f>IF(A213=0,"","Elastic")</f>
        <v/>
      </c>
    </row>
    <row r="214" spans="3:3" x14ac:dyDescent="0.25">
      <c r="C214" s="238" t="str">
        <f>IF(A214=0,"","Elastic")</f>
        <v/>
      </c>
    </row>
    <row r="215" spans="3:3" x14ac:dyDescent="0.25">
      <c r="C215" s="238" t="str">
        <f>IF(A215=0,"","Elastic")</f>
        <v/>
      </c>
    </row>
    <row r="216" spans="3:3" x14ac:dyDescent="0.25">
      <c r="C216" s="238" t="str">
        <f>IF(A216=0,"","Elastic")</f>
        <v/>
      </c>
    </row>
    <row r="217" spans="3:3" x14ac:dyDescent="0.25">
      <c r="C217" s="238" t="str">
        <f>IF(A217=0,"","Elastic")</f>
        <v/>
      </c>
    </row>
    <row r="218" spans="3:3" x14ac:dyDescent="0.25">
      <c r="C218" s="238" t="str">
        <f>IF(A218=0,"","Elastic")</f>
        <v/>
      </c>
    </row>
    <row r="219" spans="3:3" x14ac:dyDescent="0.25">
      <c r="C219" s="238" t="str">
        <f>IF(A219=0,"","Elastic")</f>
        <v/>
      </c>
    </row>
    <row r="220" spans="3:3" x14ac:dyDescent="0.25">
      <c r="C220" s="238" t="str">
        <f>IF(A220=0,"","Elastic")</f>
        <v/>
      </c>
    </row>
    <row r="221" spans="3:3" x14ac:dyDescent="0.25">
      <c r="C221" s="238" t="str">
        <f>IF(A221=0,"","Elastic")</f>
        <v/>
      </c>
    </row>
    <row r="222" spans="3:3" x14ac:dyDescent="0.25">
      <c r="C222" s="238" t="str">
        <f>IF(A222=0,"","Elastic")</f>
        <v/>
      </c>
    </row>
    <row r="223" spans="3:3" x14ac:dyDescent="0.25">
      <c r="C223" s="238" t="str">
        <f>IF(A223=0,"","Elastic")</f>
        <v/>
      </c>
    </row>
    <row r="224" spans="3:3" x14ac:dyDescent="0.25">
      <c r="C224" s="238" t="str">
        <f>IF(A224=0,"","Elastic")</f>
        <v/>
      </c>
    </row>
    <row r="225" spans="3:3" x14ac:dyDescent="0.25">
      <c r="C225" s="238" t="str">
        <f>IF(A225=0,"","Elastic")</f>
        <v/>
      </c>
    </row>
    <row r="226" spans="3:3" x14ac:dyDescent="0.25">
      <c r="C226" s="238" t="str">
        <f>IF(A226=0,"","Elastic")</f>
        <v/>
      </c>
    </row>
    <row r="227" spans="3:3" x14ac:dyDescent="0.25">
      <c r="C227" s="238" t="str">
        <f>IF(A227=0,"","Elastic")</f>
        <v/>
      </c>
    </row>
    <row r="228" spans="3:3" x14ac:dyDescent="0.25">
      <c r="C228" s="238" t="str">
        <f>IF(A228=0,"","Elastic")</f>
        <v/>
      </c>
    </row>
    <row r="229" spans="3:3" x14ac:dyDescent="0.25">
      <c r="C229" s="238" t="str">
        <f>IF(A229=0,"","Elastic")</f>
        <v/>
      </c>
    </row>
    <row r="230" spans="3:3" x14ac:dyDescent="0.25">
      <c r="C230" s="238" t="str">
        <f>IF(A230=0,"","Elastic")</f>
        <v/>
      </c>
    </row>
    <row r="231" spans="3:3" x14ac:dyDescent="0.25">
      <c r="C231" s="238" t="str">
        <f>IF(A231=0,"","Elastic")</f>
        <v/>
      </c>
    </row>
    <row r="232" spans="3:3" x14ac:dyDescent="0.25">
      <c r="C232" s="238" t="str">
        <f>IF(A232=0,"","Elastic")</f>
        <v/>
      </c>
    </row>
    <row r="233" spans="3:3" x14ac:dyDescent="0.25">
      <c r="C233" s="238" t="str">
        <f>IF(A233=0,"","Elastic")</f>
        <v/>
      </c>
    </row>
    <row r="234" spans="3:3" x14ac:dyDescent="0.25">
      <c r="C234" s="238" t="str">
        <f>IF(A234=0,"","Elastic")</f>
        <v/>
      </c>
    </row>
    <row r="235" spans="3:3" x14ac:dyDescent="0.25">
      <c r="C235" s="238" t="str">
        <f>IF(A235=0,"","Elastic")</f>
        <v/>
      </c>
    </row>
    <row r="236" spans="3:3" x14ac:dyDescent="0.25">
      <c r="C236" s="238" t="str">
        <f>IF(A236=0,"","Elastic")</f>
        <v/>
      </c>
    </row>
    <row r="237" spans="3:3" x14ac:dyDescent="0.25">
      <c r="C237" s="238" t="str">
        <f>IF(A237=0,"","Elastic")</f>
        <v/>
      </c>
    </row>
    <row r="238" spans="3:3" x14ac:dyDescent="0.25">
      <c r="C238" s="238" t="str">
        <f>IF(A238=0,"","Elastic")</f>
        <v/>
      </c>
    </row>
    <row r="239" spans="3:3" x14ac:dyDescent="0.25">
      <c r="C239" s="238" t="str">
        <f>IF(A239=0,"","Elastic")</f>
        <v/>
      </c>
    </row>
    <row r="240" spans="3:3" x14ac:dyDescent="0.25">
      <c r="C240" s="238" t="str">
        <f>IF(A240=0,"","Elastic")</f>
        <v/>
      </c>
    </row>
    <row r="241" spans="3:3" x14ac:dyDescent="0.25">
      <c r="C241" s="238" t="str">
        <f>IF(A241=0,"","Elastic")</f>
        <v/>
      </c>
    </row>
    <row r="242" spans="3:3" x14ac:dyDescent="0.25">
      <c r="C242" s="238" t="str">
        <f>IF(A242=0,"","Elastic")</f>
        <v/>
      </c>
    </row>
    <row r="243" spans="3:3" x14ac:dyDescent="0.25">
      <c r="C243" s="238" t="str">
        <f>IF(A243=0,"","Elastic")</f>
        <v/>
      </c>
    </row>
    <row r="244" spans="3:3" x14ac:dyDescent="0.25">
      <c r="C244" s="238" t="str">
        <f>IF(A244=0,"","Elastic")</f>
        <v/>
      </c>
    </row>
    <row r="245" spans="3:3" x14ac:dyDescent="0.25">
      <c r="C245" s="238" t="str">
        <f>IF(A245=0,"","Elastic")</f>
        <v/>
      </c>
    </row>
    <row r="246" spans="3:3" x14ac:dyDescent="0.25">
      <c r="C246" s="238" t="str">
        <f>IF(A246=0,"","Elastic")</f>
        <v/>
      </c>
    </row>
    <row r="247" spans="3:3" x14ac:dyDescent="0.25">
      <c r="C247" s="238" t="str">
        <f>IF(A247=0,"","Elastic")</f>
        <v/>
      </c>
    </row>
    <row r="248" spans="3:3" x14ac:dyDescent="0.25">
      <c r="C248" s="238" t="str">
        <f>IF(A248=0,"","Elastic")</f>
        <v/>
      </c>
    </row>
    <row r="249" spans="3:3" x14ac:dyDescent="0.25">
      <c r="C249" s="238" t="str">
        <f>IF(A249=0,"","Elastic")</f>
        <v/>
      </c>
    </row>
    <row r="250" spans="3:3" x14ac:dyDescent="0.25">
      <c r="C250" s="238" t="str">
        <f>IF(A250=0,"","Elastic")</f>
        <v/>
      </c>
    </row>
    <row r="251" spans="3:3" x14ac:dyDescent="0.25">
      <c r="C251" s="238" t="str">
        <f>IF(A251=0,"","Elastic")</f>
        <v/>
      </c>
    </row>
    <row r="252" spans="3:3" x14ac:dyDescent="0.25">
      <c r="C252" s="238" t="str">
        <f>IF(A252=0,"","Elastic")</f>
        <v/>
      </c>
    </row>
    <row r="253" spans="3:3" x14ac:dyDescent="0.25">
      <c r="C253" s="238" t="str">
        <f>IF(A253=0,"","Elastic")</f>
        <v/>
      </c>
    </row>
    <row r="254" spans="3:3" x14ac:dyDescent="0.25">
      <c r="C254" s="238" t="str">
        <f>IF(A254=0,"","Elastic")</f>
        <v/>
      </c>
    </row>
    <row r="255" spans="3:3" x14ac:dyDescent="0.25">
      <c r="C255" s="238" t="str">
        <f>IF(A255=0,"","Elastic")</f>
        <v/>
      </c>
    </row>
    <row r="256" spans="3:3" x14ac:dyDescent="0.25">
      <c r="C256" s="238" t="str">
        <f>IF(A256=0,"","Elastic")</f>
        <v/>
      </c>
    </row>
    <row r="257" spans="3:3" x14ac:dyDescent="0.25">
      <c r="C257" s="238" t="str">
        <f>IF(A257=0,"","Elastic")</f>
        <v/>
      </c>
    </row>
    <row r="258" spans="3:3" x14ac:dyDescent="0.25">
      <c r="C258" s="238" t="str">
        <f>IF(A258=0,"","Elastic")</f>
        <v/>
      </c>
    </row>
    <row r="259" spans="3:3" x14ac:dyDescent="0.25">
      <c r="C259" s="238" t="str">
        <f>IF(A259=0,"","Elastic")</f>
        <v/>
      </c>
    </row>
    <row r="260" spans="3:3" x14ac:dyDescent="0.25">
      <c r="C260" s="238" t="str">
        <f>IF(A260=0,"","Elastic")</f>
        <v/>
      </c>
    </row>
    <row r="261" spans="3:3" x14ac:dyDescent="0.25">
      <c r="C261" s="238" t="str">
        <f>IF(A261=0,"","Elastic")</f>
        <v/>
      </c>
    </row>
    <row r="262" spans="3:3" x14ac:dyDescent="0.25">
      <c r="C262" s="238" t="str">
        <f>IF(A262=0,"","Elastic")</f>
        <v/>
      </c>
    </row>
    <row r="263" spans="3:3" x14ac:dyDescent="0.25">
      <c r="C263" s="238" t="str">
        <f>IF(A263=0,"","Elastic")</f>
        <v/>
      </c>
    </row>
    <row r="264" spans="3:3" x14ac:dyDescent="0.25">
      <c r="C264" s="238" t="str">
        <f>IF(A264=0,"","Elastic")</f>
        <v/>
      </c>
    </row>
    <row r="265" spans="3:3" x14ac:dyDescent="0.25">
      <c r="C265" s="238" t="str">
        <f>IF(A265=0,"","Elastic")</f>
        <v/>
      </c>
    </row>
    <row r="266" spans="3:3" x14ac:dyDescent="0.25">
      <c r="C266" s="238" t="str">
        <f>IF(A266=0,"","Elastic")</f>
        <v/>
      </c>
    </row>
    <row r="267" spans="3:3" x14ac:dyDescent="0.25">
      <c r="C267" s="238" t="str">
        <f>IF(A267=0,"","Elastic")</f>
        <v/>
      </c>
    </row>
    <row r="268" spans="3:3" x14ac:dyDescent="0.25">
      <c r="C268" s="238" t="str">
        <f>IF(A268=0,"","Elastic")</f>
        <v/>
      </c>
    </row>
    <row r="269" spans="3:3" x14ac:dyDescent="0.25">
      <c r="C269" s="238" t="str">
        <f>IF(A269=0,"","Elastic")</f>
        <v/>
      </c>
    </row>
    <row r="270" spans="3:3" x14ac:dyDescent="0.25">
      <c r="C270" s="238" t="str">
        <f>IF(A270=0,"","Elastic")</f>
        <v/>
      </c>
    </row>
    <row r="271" spans="3:3" x14ac:dyDescent="0.25">
      <c r="C271" s="238" t="str">
        <f>IF(A271=0,"","Elastic")</f>
        <v/>
      </c>
    </row>
    <row r="272" spans="3:3" x14ac:dyDescent="0.25">
      <c r="C272" s="238" t="str">
        <f>IF(A272=0,"","Elastic")</f>
        <v/>
      </c>
    </row>
    <row r="273" spans="3:3" x14ac:dyDescent="0.25">
      <c r="C273" s="238" t="str">
        <f>IF(A273=0,"","Elastic")</f>
        <v/>
      </c>
    </row>
    <row r="274" spans="3:3" x14ac:dyDescent="0.25">
      <c r="C274" s="238" t="str">
        <f>IF(A274=0,"","Elastic")</f>
        <v/>
      </c>
    </row>
    <row r="275" spans="3:3" x14ac:dyDescent="0.25">
      <c r="C275" s="238" t="str">
        <f>IF(A275=0,"","Elastic")</f>
        <v/>
      </c>
    </row>
    <row r="276" spans="3:3" x14ac:dyDescent="0.25">
      <c r="C276" s="238" t="str">
        <f>IF(A276=0,"","Elastic")</f>
        <v/>
      </c>
    </row>
    <row r="277" spans="3:3" x14ac:dyDescent="0.25">
      <c r="C277" s="238" t="str">
        <f>IF(A277=0,"","Elastic")</f>
        <v/>
      </c>
    </row>
    <row r="278" spans="3:3" x14ac:dyDescent="0.25">
      <c r="C278" s="238" t="str">
        <f>IF(A278=0,"","Elastic")</f>
        <v/>
      </c>
    </row>
    <row r="279" spans="3:3" x14ac:dyDescent="0.25">
      <c r="C279" s="238" t="str">
        <f>IF(A279=0,"","Elastic")</f>
        <v/>
      </c>
    </row>
    <row r="280" spans="3:3" x14ac:dyDescent="0.25">
      <c r="C280" s="238" t="str">
        <f>IF(A280=0,"","Elastic")</f>
        <v/>
      </c>
    </row>
    <row r="281" spans="3:3" x14ac:dyDescent="0.25">
      <c r="C281" s="238" t="str">
        <f>IF(A281=0,"","Elastic")</f>
        <v/>
      </c>
    </row>
    <row r="282" spans="3:3" x14ac:dyDescent="0.25">
      <c r="C282" s="238" t="str">
        <f>IF(A282=0,"","Elastic")</f>
        <v/>
      </c>
    </row>
    <row r="283" spans="3:3" x14ac:dyDescent="0.25">
      <c r="C283" s="238" t="str">
        <f>IF(A283=0,"","Elastic")</f>
        <v/>
      </c>
    </row>
    <row r="284" spans="3:3" x14ac:dyDescent="0.25">
      <c r="C284" s="238" t="str">
        <f>IF(A284=0,"","Elastic")</f>
        <v/>
      </c>
    </row>
    <row r="285" spans="3:3" x14ac:dyDescent="0.25">
      <c r="C285" s="238" t="str">
        <f>IF(A285=0,"","Elastic")</f>
        <v/>
      </c>
    </row>
    <row r="286" spans="3:3" x14ac:dyDescent="0.25">
      <c r="C286" s="238" t="str">
        <f>IF(A286=0,"","Elastic")</f>
        <v/>
      </c>
    </row>
    <row r="287" spans="3:3" x14ac:dyDescent="0.25">
      <c r="C287" s="238" t="str">
        <f>IF(A287=0,"","Elastic")</f>
        <v/>
      </c>
    </row>
    <row r="288" spans="3:3" x14ac:dyDescent="0.25">
      <c r="C288" s="238" t="str">
        <f>IF(A288=0,"","Elastic")</f>
        <v/>
      </c>
    </row>
    <row r="289" spans="3:3" x14ac:dyDescent="0.25">
      <c r="C289" s="238" t="str">
        <f>IF(A289=0,"","Elastic")</f>
        <v/>
      </c>
    </row>
    <row r="290" spans="3:3" x14ac:dyDescent="0.25">
      <c r="C290" s="238" t="str">
        <f>IF(A290=0,"","Elastic")</f>
        <v/>
      </c>
    </row>
    <row r="291" spans="3:3" x14ac:dyDescent="0.25">
      <c r="C291" s="238" t="str">
        <f>IF(A291=0,"","Elastic")</f>
        <v/>
      </c>
    </row>
    <row r="292" spans="3:3" x14ac:dyDescent="0.25">
      <c r="C292" s="238" t="str">
        <f>IF(A292=0,"","Elastic")</f>
        <v/>
      </c>
    </row>
    <row r="293" spans="3:3" x14ac:dyDescent="0.25">
      <c r="C293" s="238" t="str">
        <f>IF(A293=0,"","Elastic")</f>
        <v/>
      </c>
    </row>
    <row r="294" spans="3:3" x14ac:dyDescent="0.25">
      <c r="C294" s="238" t="str">
        <f>IF(A294=0,"","Elastic")</f>
        <v/>
      </c>
    </row>
    <row r="295" spans="3:3" x14ac:dyDescent="0.25">
      <c r="C295" s="238" t="str">
        <f>IF(A295=0,"","Elastic")</f>
        <v/>
      </c>
    </row>
    <row r="296" spans="3:3" x14ac:dyDescent="0.25">
      <c r="C296" s="238" t="str">
        <f>IF(A296=0,"","Elastic")</f>
        <v/>
      </c>
    </row>
    <row r="297" spans="3:3" x14ac:dyDescent="0.25">
      <c r="C297" s="238" t="str">
        <f>IF(A297=0,"","Elastic")</f>
        <v/>
      </c>
    </row>
    <row r="298" spans="3:3" x14ac:dyDescent="0.25">
      <c r="C298" s="238" t="str">
        <f>IF(A298=0,"","Elastic")</f>
        <v/>
      </c>
    </row>
    <row r="299" spans="3:3" x14ac:dyDescent="0.25">
      <c r="C299" s="238" t="str">
        <f>IF(A299=0,"","Elastic")</f>
        <v/>
      </c>
    </row>
    <row r="300" spans="3:3" x14ac:dyDescent="0.25">
      <c r="C300" s="238" t="str">
        <f>IF(A300=0,"","Elastic")</f>
        <v/>
      </c>
    </row>
    <row r="301" spans="3:3" x14ac:dyDescent="0.25">
      <c r="C301" s="238" t="str">
        <f>IF(A301=0,"","Elastic")</f>
        <v/>
      </c>
    </row>
    <row r="302" spans="3:3" x14ac:dyDescent="0.25">
      <c r="C302" s="238" t="str">
        <f>IF(A302=0,"","Elastic")</f>
        <v/>
      </c>
    </row>
    <row r="303" spans="3:3" x14ac:dyDescent="0.25">
      <c r="C303" s="238" t="str">
        <f>IF(A303=0,"","Elastic")</f>
        <v/>
      </c>
    </row>
    <row r="304" spans="3:3" x14ac:dyDescent="0.25">
      <c r="C304" s="238" t="str">
        <f>IF(A304=0,"","Elastic")</f>
        <v/>
      </c>
    </row>
    <row r="305" spans="3:3" x14ac:dyDescent="0.25">
      <c r="C305" s="238" t="str">
        <f>IF(A305=0,"","Elastic")</f>
        <v/>
      </c>
    </row>
    <row r="306" spans="3:3" x14ac:dyDescent="0.25">
      <c r="C306" s="238" t="str">
        <f>IF(A306=0,"","Elastic")</f>
        <v/>
      </c>
    </row>
    <row r="307" spans="3:3" x14ac:dyDescent="0.25">
      <c r="C307" s="238" t="str">
        <f>IF(A307=0,"","Elastic")</f>
        <v/>
      </c>
    </row>
    <row r="308" spans="3:3" x14ac:dyDescent="0.25">
      <c r="C308" s="238" t="str">
        <f>IF(A308=0,"","Elastic")</f>
        <v/>
      </c>
    </row>
    <row r="309" spans="3:3" x14ac:dyDescent="0.25">
      <c r="C309" s="238" t="str">
        <f>IF(A309=0,"","Elastic")</f>
        <v/>
      </c>
    </row>
    <row r="310" spans="3:3" x14ac:dyDescent="0.25">
      <c r="C310" s="238" t="str">
        <f>IF(A310=0,"","Elastic")</f>
        <v/>
      </c>
    </row>
    <row r="311" spans="3:3" x14ac:dyDescent="0.25">
      <c r="C311" s="238" t="str">
        <f>IF(A311=0,"","Elastic")</f>
        <v/>
      </c>
    </row>
    <row r="312" spans="3:3" x14ac:dyDescent="0.25">
      <c r="C312" s="238" t="str">
        <f>IF(A312=0,"","Elastic")</f>
        <v/>
      </c>
    </row>
    <row r="313" spans="3:3" x14ac:dyDescent="0.25">
      <c r="C313" s="238" t="str">
        <f>IF(A313=0,"","Elastic")</f>
        <v/>
      </c>
    </row>
    <row r="314" spans="3:3" x14ac:dyDescent="0.25">
      <c r="C314" s="238" t="str">
        <f>IF(A314=0,"","Elastic")</f>
        <v/>
      </c>
    </row>
    <row r="315" spans="3:3" x14ac:dyDescent="0.25">
      <c r="C315" s="238" t="str">
        <f>IF(A315=0,"","Elastic")</f>
        <v/>
      </c>
    </row>
    <row r="316" spans="3:3" x14ac:dyDescent="0.25">
      <c r="C316" s="238" t="str">
        <f>IF(A316=0,"","Elastic")</f>
        <v/>
      </c>
    </row>
    <row r="317" spans="3:3" x14ac:dyDescent="0.25">
      <c r="C317" s="238" t="str">
        <f>IF(A317=0,"","Elastic")</f>
        <v/>
      </c>
    </row>
    <row r="318" spans="3:3" x14ac:dyDescent="0.25">
      <c r="C318" s="238" t="str">
        <f>IF(A318=0,"","Elastic")</f>
        <v/>
      </c>
    </row>
    <row r="319" spans="3:3" x14ac:dyDescent="0.25">
      <c r="C319" s="238" t="str">
        <f>IF(A319=0,"","Elastic")</f>
        <v/>
      </c>
    </row>
    <row r="320" spans="3:3" x14ac:dyDescent="0.25">
      <c r="C320" s="238" t="str">
        <f>IF(A320=0,"","Elastic")</f>
        <v/>
      </c>
    </row>
    <row r="321" spans="3:3" x14ac:dyDescent="0.25">
      <c r="C321" s="238" t="str">
        <f>IF(A321=0,"","Elastic")</f>
        <v/>
      </c>
    </row>
    <row r="322" spans="3:3" x14ac:dyDescent="0.25">
      <c r="C322" s="238" t="str">
        <f>IF(A322=0,"","Elastic")</f>
        <v/>
      </c>
    </row>
    <row r="323" spans="3:3" x14ac:dyDescent="0.25">
      <c r="C323" s="238" t="str">
        <f>IF(A323=0,"","Elastic")</f>
        <v/>
      </c>
    </row>
    <row r="324" spans="3:3" x14ac:dyDescent="0.25">
      <c r="C324" s="238" t="str">
        <f>IF(A324=0,"","Elastic")</f>
        <v/>
      </c>
    </row>
    <row r="325" spans="3:3" x14ac:dyDescent="0.25">
      <c r="C325" s="238" t="str">
        <f>IF(A325=0,"","Elastic")</f>
        <v/>
      </c>
    </row>
    <row r="326" spans="3:3" x14ac:dyDescent="0.25">
      <c r="C326" s="238" t="str">
        <f>IF(A326=0,"","Elastic")</f>
        <v/>
      </c>
    </row>
    <row r="327" spans="3:3" x14ac:dyDescent="0.25">
      <c r="C327" s="238" t="str">
        <f>IF(A327=0,"","Elastic")</f>
        <v/>
      </c>
    </row>
    <row r="328" spans="3:3" x14ac:dyDescent="0.25">
      <c r="C328" s="238" t="str">
        <f>IF(A328=0,"","Elastic")</f>
        <v/>
      </c>
    </row>
    <row r="329" spans="3:3" x14ac:dyDescent="0.25">
      <c r="C329" s="238" t="str">
        <f>IF(A329=0,"","Elastic")</f>
        <v/>
      </c>
    </row>
    <row r="330" spans="3:3" x14ac:dyDescent="0.25">
      <c r="C330" s="238" t="str">
        <f>IF(A330=0,"","Elastic")</f>
        <v/>
      </c>
    </row>
    <row r="331" spans="3:3" x14ac:dyDescent="0.25">
      <c r="C331" s="238" t="str">
        <f>IF(A331=0,"","Elastic")</f>
        <v/>
      </c>
    </row>
    <row r="332" spans="3:3" x14ac:dyDescent="0.25">
      <c r="C332" s="238" t="str">
        <f>IF(A332=0,"","Elastic")</f>
        <v/>
      </c>
    </row>
    <row r="333" spans="3:3" x14ac:dyDescent="0.25">
      <c r="C333" s="238" t="str">
        <f>IF(A333=0,"","Elastic")</f>
        <v/>
      </c>
    </row>
    <row r="334" spans="3:3" x14ac:dyDescent="0.25">
      <c r="C334" s="238" t="str">
        <f>IF(A334=0,"","Elastic")</f>
        <v/>
      </c>
    </row>
    <row r="335" spans="3:3" x14ac:dyDescent="0.25">
      <c r="C335" s="238" t="str">
        <f>IF(A335=0,"","Elastic")</f>
        <v/>
      </c>
    </row>
    <row r="336" spans="3:3" x14ac:dyDescent="0.25">
      <c r="C336" s="238" t="str">
        <f>IF(A336=0,"","Elastic")</f>
        <v/>
      </c>
    </row>
    <row r="337" spans="3:3" x14ac:dyDescent="0.25">
      <c r="C337" s="238" t="str">
        <f>IF(A337=0,"","Elastic")</f>
        <v/>
      </c>
    </row>
    <row r="338" spans="3:3" x14ac:dyDescent="0.25">
      <c r="C338" s="238" t="str">
        <f>IF(A338=0,"","Elastic")</f>
        <v/>
      </c>
    </row>
    <row r="339" spans="3:3" x14ac:dyDescent="0.25">
      <c r="C339" s="238" t="str">
        <f>IF(A339=0,"","Elastic")</f>
        <v/>
      </c>
    </row>
    <row r="340" spans="3:3" x14ac:dyDescent="0.25">
      <c r="C340" s="238" t="str">
        <f>IF(A340=0,"","Elastic")</f>
        <v/>
      </c>
    </row>
    <row r="341" spans="3:3" x14ac:dyDescent="0.25">
      <c r="C341" s="238" t="str">
        <f>IF(A341=0,"","Elastic")</f>
        <v/>
      </c>
    </row>
    <row r="342" spans="3:3" x14ac:dyDescent="0.25">
      <c r="C342" s="238" t="str">
        <f>IF(A342=0,"","Elastic")</f>
        <v/>
      </c>
    </row>
    <row r="343" spans="3:3" x14ac:dyDescent="0.25">
      <c r="C343" s="238" t="str">
        <f>IF(A343=0,"","Elastic")</f>
        <v/>
      </c>
    </row>
    <row r="344" spans="3:3" x14ac:dyDescent="0.25">
      <c r="C344" s="238" t="str">
        <f>IF(A344=0,"","Elastic")</f>
        <v/>
      </c>
    </row>
    <row r="345" spans="3:3" x14ac:dyDescent="0.25">
      <c r="C345" s="238" t="str">
        <f>IF(A345=0,"","Elastic")</f>
        <v/>
      </c>
    </row>
    <row r="346" spans="3:3" x14ac:dyDescent="0.25">
      <c r="C346" s="238" t="str">
        <f>IF(A346=0,"","Elastic")</f>
        <v/>
      </c>
    </row>
    <row r="347" spans="3:3" x14ac:dyDescent="0.25">
      <c r="C347" s="238" t="str">
        <f>IF(A347=0,"","Elastic")</f>
        <v/>
      </c>
    </row>
    <row r="348" spans="3:3" x14ac:dyDescent="0.25">
      <c r="C348" s="238" t="str">
        <f>IF(A348=0,"","Elastic")</f>
        <v/>
      </c>
    </row>
    <row r="349" spans="3:3" x14ac:dyDescent="0.25">
      <c r="C349" s="238" t="str">
        <f>IF(A349=0,"","Elastic")</f>
        <v/>
      </c>
    </row>
    <row r="350" spans="3:3" x14ac:dyDescent="0.25">
      <c r="C350" s="238" t="str">
        <f>IF(A350=0,"","Elastic")</f>
        <v/>
      </c>
    </row>
    <row r="351" spans="3:3" x14ac:dyDescent="0.25">
      <c r="C351" s="238" t="str">
        <f>IF(A351=0,"","Elastic")</f>
        <v/>
      </c>
    </row>
    <row r="352" spans="3:3" x14ac:dyDescent="0.25">
      <c r="C352" s="238" t="str">
        <f>IF(A352=0,"","Elastic")</f>
        <v/>
      </c>
    </row>
    <row r="353" spans="3:3" x14ac:dyDescent="0.25">
      <c r="C353" s="238" t="str">
        <f>IF(A353=0,"","Elastic")</f>
        <v/>
      </c>
    </row>
    <row r="354" spans="3:3" x14ac:dyDescent="0.25">
      <c r="C354" s="238" t="str">
        <f>IF(A354=0,"","Elastic")</f>
        <v/>
      </c>
    </row>
    <row r="355" spans="3:3" x14ac:dyDescent="0.25">
      <c r="C355" s="238" t="str">
        <f>IF(A355=0,"","Elastic")</f>
        <v/>
      </c>
    </row>
    <row r="356" spans="3:3" x14ac:dyDescent="0.25">
      <c r="C356" s="238" t="str">
        <f>IF(A356=0,"","Elastic")</f>
        <v/>
      </c>
    </row>
    <row r="357" spans="3:3" x14ac:dyDescent="0.25">
      <c r="C357" s="238" t="str">
        <f>IF(A357=0,"","Elastic")</f>
        <v/>
      </c>
    </row>
    <row r="358" spans="3:3" x14ac:dyDescent="0.25">
      <c r="C358" s="238" t="str">
        <f>IF(A358=0,"","Elastic")</f>
        <v/>
      </c>
    </row>
    <row r="359" spans="3:3" x14ac:dyDescent="0.25">
      <c r="C359" s="238" t="str">
        <f>IF(A359=0,"","Elastic")</f>
        <v/>
      </c>
    </row>
    <row r="360" spans="3:3" x14ac:dyDescent="0.25">
      <c r="C360" s="238" t="str">
        <f>IF(A360=0,"","Elastic")</f>
        <v/>
      </c>
    </row>
    <row r="361" spans="3:3" x14ac:dyDescent="0.25">
      <c r="C361" s="238" t="str">
        <f>IF(A361=0,"","Elastic")</f>
        <v/>
      </c>
    </row>
    <row r="362" spans="3:3" x14ac:dyDescent="0.25">
      <c r="C362" s="238" t="str">
        <f>IF(A362=0,"","Elastic")</f>
        <v/>
      </c>
    </row>
    <row r="363" spans="3:3" x14ac:dyDescent="0.25">
      <c r="C363" s="238" t="str">
        <f>IF(A363=0,"","Elastic")</f>
        <v/>
      </c>
    </row>
    <row r="364" spans="3:3" x14ac:dyDescent="0.25">
      <c r="C364" s="238" t="str">
        <f>IF(A364=0,"","Elastic")</f>
        <v/>
      </c>
    </row>
    <row r="365" spans="3:3" x14ac:dyDescent="0.25">
      <c r="C365" s="238" t="str">
        <f>IF(A365=0,"","Elastic")</f>
        <v/>
      </c>
    </row>
    <row r="366" spans="3:3" x14ac:dyDescent="0.25">
      <c r="C366" s="238" t="str">
        <f>IF(A366=0,"","Elastic")</f>
        <v/>
      </c>
    </row>
    <row r="367" spans="3:3" x14ac:dyDescent="0.25">
      <c r="C367" s="238" t="str">
        <f>IF(A367=0,"","Elastic")</f>
        <v/>
      </c>
    </row>
    <row r="368" spans="3:3" x14ac:dyDescent="0.25">
      <c r="C368" s="238" t="str">
        <f>IF(A368=0,"","Elastic")</f>
        <v/>
      </c>
    </row>
    <row r="369" spans="3:3" x14ac:dyDescent="0.25">
      <c r="C369" s="238" t="str">
        <f>IF(A369=0,"","Elastic")</f>
        <v/>
      </c>
    </row>
    <row r="370" spans="3:3" x14ac:dyDescent="0.25">
      <c r="C370" s="238" t="str">
        <f>IF(A370=0,"","Elastic")</f>
        <v/>
      </c>
    </row>
    <row r="371" spans="3:3" x14ac:dyDescent="0.25">
      <c r="C371" s="238" t="str">
        <f>IF(A371=0,"","Elastic")</f>
        <v/>
      </c>
    </row>
    <row r="372" spans="3:3" x14ac:dyDescent="0.25">
      <c r="C372" s="238" t="str">
        <f>IF(A372=0,"","Elastic")</f>
        <v/>
      </c>
    </row>
    <row r="373" spans="3:3" x14ac:dyDescent="0.25">
      <c r="C373" s="238" t="str">
        <f>IF(A373=0,"","Elastic")</f>
        <v/>
      </c>
    </row>
    <row r="374" spans="3:3" x14ac:dyDescent="0.25">
      <c r="C374" s="238" t="str">
        <f>IF(A374=0,"","Elastic")</f>
        <v/>
      </c>
    </row>
    <row r="375" spans="3:3" x14ac:dyDescent="0.25">
      <c r="C375" s="238" t="str">
        <f>IF(A375=0,"","Elastic")</f>
        <v/>
      </c>
    </row>
    <row r="376" spans="3:3" x14ac:dyDescent="0.25">
      <c r="C376" s="238" t="str">
        <f>IF(A376=0,"","Elastic")</f>
        <v/>
      </c>
    </row>
    <row r="377" spans="3:3" x14ac:dyDescent="0.25">
      <c r="C377" s="238" t="str">
        <f>IF(A377=0,"","Elastic")</f>
        <v/>
      </c>
    </row>
    <row r="378" spans="3:3" x14ac:dyDescent="0.25">
      <c r="C378" s="238" t="str">
        <f>IF(A378=0,"","Elastic")</f>
        <v/>
      </c>
    </row>
    <row r="379" spans="3:3" x14ac:dyDescent="0.25">
      <c r="C379" s="238" t="str">
        <f>IF(A379=0,"","Elastic")</f>
        <v/>
      </c>
    </row>
    <row r="380" spans="3:3" x14ac:dyDescent="0.25">
      <c r="C380" s="238" t="str">
        <f>IF(A380=0,"","Elastic")</f>
        <v/>
      </c>
    </row>
    <row r="381" spans="3:3" x14ac:dyDescent="0.25">
      <c r="C381" s="238" t="str">
        <f>IF(A381=0,"","Elastic")</f>
        <v/>
      </c>
    </row>
    <row r="382" spans="3:3" x14ac:dyDescent="0.25">
      <c r="C382" s="238" t="str">
        <f>IF(A382=0,"","Elastic")</f>
        <v/>
      </c>
    </row>
    <row r="383" spans="3:3" x14ac:dyDescent="0.25">
      <c r="C383" s="238" t="str">
        <f>IF(A383=0,"","Elastic")</f>
        <v/>
      </c>
    </row>
    <row r="384" spans="3:3" x14ac:dyDescent="0.25">
      <c r="C384" s="238" t="str">
        <f>IF(A384=0,"","Elastic")</f>
        <v/>
      </c>
    </row>
    <row r="385" spans="3:3" x14ac:dyDescent="0.25">
      <c r="C385" s="238" t="str">
        <f>IF(A385=0,"","Elastic")</f>
        <v/>
      </c>
    </row>
    <row r="386" spans="3:3" x14ac:dyDescent="0.25">
      <c r="C386" s="238" t="str">
        <f>IF(A386=0,"","Elastic")</f>
        <v/>
      </c>
    </row>
    <row r="387" spans="3:3" x14ac:dyDescent="0.25">
      <c r="C387" s="238" t="str">
        <f>IF(A387=0,"","Elastic")</f>
        <v/>
      </c>
    </row>
    <row r="388" spans="3:3" x14ac:dyDescent="0.25">
      <c r="C388" s="238" t="str">
        <f>IF(A388=0,"","Elastic")</f>
        <v/>
      </c>
    </row>
    <row r="389" spans="3:3" x14ac:dyDescent="0.25">
      <c r="C389" s="238" t="str">
        <f>IF(A389=0,"","Elastic")</f>
        <v/>
      </c>
    </row>
    <row r="390" spans="3:3" x14ac:dyDescent="0.25">
      <c r="C390" s="238" t="str">
        <f>IF(A390=0,"","Elastic")</f>
        <v/>
      </c>
    </row>
    <row r="391" spans="3:3" x14ac:dyDescent="0.25">
      <c r="C391" s="238" t="str">
        <f>IF(A391=0,"","Elastic")</f>
        <v/>
      </c>
    </row>
    <row r="392" spans="3:3" x14ac:dyDescent="0.25">
      <c r="C392" s="238" t="str">
        <f>IF(A392=0,"","Elastic")</f>
        <v/>
      </c>
    </row>
    <row r="393" spans="3:3" x14ac:dyDescent="0.25">
      <c r="C393" s="238" t="str">
        <f>IF(A393=0,"","Elastic")</f>
        <v/>
      </c>
    </row>
    <row r="394" spans="3:3" x14ac:dyDescent="0.25">
      <c r="C394" s="238" t="str">
        <f>IF(A394=0,"","Elastic")</f>
        <v/>
      </c>
    </row>
    <row r="395" spans="3:3" x14ac:dyDescent="0.25">
      <c r="C395" s="238" t="str">
        <f>IF(A395=0,"","Elastic")</f>
        <v/>
      </c>
    </row>
    <row r="396" spans="3:3" x14ac:dyDescent="0.25">
      <c r="C396" s="238" t="str">
        <f>IF(A396=0,"","Elastic")</f>
        <v/>
      </c>
    </row>
    <row r="397" spans="3:3" x14ac:dyDescent="0.25">
      <c r="C397" s="238" t="str">
        <f>IF(A397=0,"","Elastic")</f>
        <v/>
      </c>
    </row>
    <row r="398" spans="3:3" x14ac:dyDescent="0.25">
      <c r="C398" s="238" t="str">
        <f>IF(A398=0,"","Elastic")</f>
        <v/>
      </c>
    </row>
    <row r="399" spans="3:3" x14ac:dyDescent="0.25">
      <c r="C399" s="238" t="str">
        <f>IF(A399=0,"","Elastic")</f>
        <v/>
      </c>
    </row>
    <row r="400" spans="3:3" x14ac:dyDescent="0.25">
      <c r="C400" s="238" t="str">
        <f>IF(A400=0,"","Elastic")</f>
        <v/>
      </c>
    </row>
    <row r="401" spans="3:3" x14ac:dyDescent="0.25">
      <c r="C401" s="238" t="str">
        <f>IF(A401=0,"","Elastic")</f>
        <v/>
      </c>
    </row>
    <row r="402" spans="3:3" x14ac:dyDescent="0.25">
      <c r="C402" s="238" t="str">
        <f>IF(A402=0,"","Elastic")</f>
        <v/>
      </c>
    </row>
    <row r="403" spans="3:3" x14ac:dyDescent="0.25">
      <c r="C403" s="238" t="str">
        <f>IF(A403=0,"","Elastic")</f>
        <v/>
      </c>
    </row>
    <row r="404" spans="3:3" x14ac:dyDescent="0.25">
      <c r="C404" s="238" t="str">
        <f>IF(A404=0,"","Elastic")</f>
        <v/>
      </c>
    </row>
    <row r="405" spans="3:3" x14ac:dyDescent="0.25">
      <c r="C405" s="238" t="str">
        <f>IF(A405=0,"","Elastic")</f>
        <v/>
      </c>
    </row>
    <row r="406" spans="3:3" x14ac:dyDescent="0.25">
      <c r="C406" s="238" t="str">
        <f>IF(A406=0,"","Elastic")</f>
        <v/>
      </c>
    </row>
    <row r="407" spans="3:3" x14ac:dyDescent="0.25">
      <c r="C407" s="238" t="str">
        <f>IF(A407=0,"","Elastic")</f>
        <v/>
      </c>
    </row>
    <row r="408" spans="3:3" x14ac:dyDescent="0.25">
      <c r="C408" s="238" t="str">
        <f>IF(A408=0,"","Elastic")</f>
        <v/>
      </c>
    </row>
    <row r="409" spans="3:3" x14ac:dyDescent="0.25">
      <c r="C409" s="238" t="str">
        <f>IF(A409=0,"","Elastic")</f>
        <v/>
      </c>
    </row>
    <row r="410" spans="3:3" x14ac:dyDescent="0.25">
      <c r="C410" s="238" t="str">
        <f>IF(A410=0,"","Elastic")</f>
        <v/>
      </c>
    </row>
    <row r="411" spans="3:3" x14ac:dyDescent="0.25">
      <c r="C411" s="238" t="str">
        <f>IF(A411=0,"","Elastic")</f>
        <v/>
      </c>
    </row>
    <row r="412" spans="3:3" x14ac:dyDescent="0.25">
      <c r="C412" s="238" t="str">
        <f>IF(A412=0,"","Elastic")</f>
        <v/>
      </c>
    </row>
    <row r="413" spans="3:3" x14ac:dyDescent="0.25">
      <c r="C413" s="238" t="str">
        <f>IF(A413=0,"","Elastic")</f>
        <v/>
      </c>
    </row>
    <row r="414" spans="3:3" x14ac:dyDescent="0.25">
      <c r="C414" s="238" t="str">
        <f>IF(A414=0,"","Elastic")</f>
        <v/>
      </c>
    </row>
    <row r="415" spans="3:3" x14ac:dyDescent="0.25">
      <c r="C415" s="238" t="str">
        <f>IF(A415=0,"","Elastic")</f>
        <v/>
      </c>
    </row>
    <row r="416" spans="3:3" x14ac:dyDescent="0.25">
      <c r="C416" s="238" t="str">
        <f>IF(A416=0,"","Elastic")</f>
        <v/>
      </c>
    </row>
    <row r="417" spans="3:3" x14ac:dyDescent="0.25">
      <c r="C417" s="238" t="str">
        <f>IF(A417=0,"","Elastic")</f>
        <v/>
      </c>
    </row>
    <row r="418" spans="3:3" x14ac:dyDescent="0.25">
      <c r="C418" s="238" t="str">
        <f>IF(A418=0,"","Elastic")</f>
        <v/>
      </c>
    </row>
    <row r="419" spans="3:3" x14ac:dyDescent="0.25">
      <c r="C419" s="238" t="str">
        <f>IF(A419=0,"","Elastic")</f>
        <v/>
      </c>
    </row>
    <row r="420" spans="3:3" x14ac:dyDescent="0.25">
      <c r="C420" s="238" t="str">
        <f>IF(A420=0,"","Elastic")</f>
        <v/>
      </c>
    </row>
    <row r="421" spans="3:3" x14ac:dyDescent="0.25">
      <c r="C421" s="238" t="str">
        <f>IF(A421=0,"","Elastic")</f>
        <v/>
      </c>
    </row>
    <row r="422" spans="3:3" x14ac:dyDescent="0.25">
      <c r="C422" s="238" t="str">
        <f>IF(A422=0,"","Elastic")</f>
        <v/>
      </c>
    </row>
    <row r="423" spans="3:3" x14ac:dyDescent="0.25">
      <c r="C423" s="238" t="str">
        <f>IF(A423=0,"","Elastic")</f>
        <v/>
      </c>
    </row>
    <row r="424" spans="3:3" x14ac:dyDescent="0.25">
      <c r="C424" s="238" t="str">
        <f>IF(A424=0,"","Elastic")</f>
        <v/>
      </c>
    </row>
    <row r="425" spans="3:3" x14ac:dyDescent="0.25">
      <c r="C425" s="238" t="str">
        <f>IF(A425=0,"","Elastic")</f>
        <v/>
      </c>
    </row>
    <row r="426" spans="3:3" x14ac:dyDescent="0.25">
      <c r="C426" s="238" t="str">
        <f>IF(A426=0,"","Elastic")</f>
        <v/>
      </c>
    </row>
    <row r="427" spans="3:3" x14ac:dyDescent="0.25">
      <c r="C427" s="238" t="str">
        <f>IF(A427=0,"","Elastic")</f>
        <v/>
      </c>
    </row>
    <row r="428" spans="3:3" x14ac:dyDescent="0.25">
      <c r="C428" s="238" t="str">
        <f>IF(A428=0,"","Elastic")</f>
        <v/>
      </c>
    </row>
    <row r="429" spans="3:3" x14ac:dyDescent="0.25">
      <c r="C429" s="238" t="str">
        <f>IF(A429=0,"","Elastic")</f>
        <v/>
      </c>
    </row>
    <row r="430" spans="3:3" x14ac:dyDescent="0.25">
      <c r="C430" s="238" t="str">
        <f>IF(A430=0,"","Elastic")</f>
        <v/>
      </c>
    </row>
    <row r="431" spans="3:3" x14ac:dyDescent="0.25">
      <c r="C431" s="238" t="str">
        <f>IF(A431=0,"","Elastic")</f>
        <v/>
      </c>
    </row>
    <row r="432" spans="3:3" x14ac:dyDescent="0.25">
      <c r="C432" s="238" t="str">
        <f>IF(A432=0,"","Elastic")</f>
        <v/>
      </c>
    </row>
    <row r="433" spans="3:3" x14ac:dyDescent="0.25">
      <c r="C433" s="238" t="str">
        <f>IF(A433=0,"","Elastic")</f>
        <v/>
      </c>
    </row>
    <row r="434" spans="3:3" x14ac:dyDescent="0.25">
      <c r="C434" s="238" t="str">
        <f>IF(A434=0,"","Elastic")</f>
        <v/>
      </c>
    </row>
    <row r="435" spans="3:3" x14ac:dyDescent="0.25">
      <c r="C435" s="238" t="str">
        <f>IF(A435=0,"","Elastic")</f>
        <v/>
      </c>
    </row>
    <row r="436" spans="3:3" x14ac:dyDescent="0.25">
      <c r="C436" s="238" t="str">
        <f>IF(A436=0,"","Elastic")</f>
        <v/>
      </c>
    </row>
    <row r="437" spans="3:3" x14ac:dyDescent="0.25">
      <c r="C437" s="238" t="str">
        <f>IF(A437=0,"","Elastic")</f>
        <v/>
      </c>
    </row>
    <row r="438" spans="3:3" x14ac:dyDescent="0.25">
      <c r="C438" s="238" t="str">
        <f>IF(A438=0,"","Elastic")</f>
        <v/>
      </c>
    </row>
    <row r="439" spans="3:3" x14ac:dyDescent="0.25">
      <c r="C439" s="238" t="str">
        <f>IF(A439=0,"","Elastic")</f>
        <v/>
      </c>
    </row>
    <row r="440" spans="3:3" x14ac:dyDescent="0.25">
      <c r="C440" s="238" t="str">
        <f>IF(A440=0,"","Elastic")</f>
        <v/>
      </c>
    </row>
    <row r="441" spans="3:3" x14ac:dyDescent="0.25">
      <c r="C441" s="238" t="str">
        <f>IF(A441=0,"","Elastic")</f>
        <v/>
      </c>
    </row>
    <row r="442" spans="3:3" x14ac:dyDescent="0.25">
      <c r="C442" s="238" t="str">
        <f>IF(A442=0,"","Elastic")</f>
        <v/>
      </c>
    </row>
    <row r="443" spans="3:3" x14ac:dyDescent="0.25">
      <c r="C443" s="238" t="str">
        <f>IF(A443=0,"","Elastic")</f>
        <v/>
      </c>
    </row>
    <row r="444" spans="3:3" x14ac:dyDescent="0.25">
      <c r="C444" s="238" t="str">
        <f>IF(A444=0,"","Elastic")</f>
        <v/>
      </c>
    </row>
    <row r="445" spans="3:3" x14ac:dyDescent="0.25">
      <c r="C445" s="238" t="str">
        <f>IF(A445=0,"","Elastic")</f>
        <v/>
      </c>
    </row>
    <row r="446" spans="3:3" x14ac:dyDescent="0.25">
      <c r="C446" s="238" t="str">
        <f>IF(A446=0,"","Elastic")</f>
        <v/>
      </c>
    </row>
    <row r="447" spans="3:3" x14ac:dyDescent="0.25">
      <c r="C447" s="238" t="str">
        <f>IF(A447=0,"","Elastic")</f>
        <v/>
      </c>
    </row>
    <row r="448" spans="3:3" x14ac:dyDescent="0.25">
      <c r="C448" s="238" t="str">
        <f>IF(A448=0,"","Elastic")</f>
        <v/>
      </c>
    </row>
    <row r="449" spans="3:3" x14ac:dyDescent="0.25">
      <c r="C449" s="238" t="str">
        <f>IF(A449=0,"","Elastic")</f>
        <v/>
      </c>
    </row>
    <row r="450" spans="3:3" x14ac:dyDescent="0.25">
      <c r="C450" s="238" t="str">
        <f>IF(A450=0,"","Elastic")</f>
        <v/>
      </c>
    </row>
    <row r="451" spans="3:3" x14ac:dyDescent="0.25">
      <c r="C451" s="238" t="str">
        <f>IF(A451=0,"","Elastic")</f>
        <v/>
      </c>
    </row>
    <row r="452" spans="3:3" x14ac:dyDescent="0.25">
      <c r="C452" s="238" t="str">
        <f>IF(A452=0,"","Elastic")</f>
        <v/>
      </c>
    </row>
    <row r="453" spans="3:3" x14ac:dyDescent="0.25">
      <c r="C453" s="238" t="str">
        <f>IF(A453=0,"","Elastic")</f>
        <v/>
      </c>
    </row>
    <row r="454" spans="3:3" x14ac:dyDescent="0.25">
      <c r="C454" s="238" t="str">
        <f>IF(A454=0,"","Elastic")</f>
        <v/>
      </c>
    </row>
    <row r="455" spans="3:3" x14ac:dyDescent="0.25">
      <c r="C455" s="238" t="str">
        <f>IF(A455=0,"","Elastic")</f>
        <v/>
      </c>
    </row>
    <row r="456" spans="3:3" x14ac:dyDescent="0.25">
      <c r="C456" s="238" t="str">
        <f>IF(A456=0,"","Elastic")</f>
        <v/>
      </c>
    </row>
    <row r="457" spans="3:3" x14ac:dyDescent="0.25">
      <c r="C457" s="238" t="str">
        <f>IF(A457=0,"","Elastic")</f>
        <v/>
      </c>
    </row>
    <row r="458" spans="3:3" x14ac:dyDescent="0.25">
      <c r="C458" s="238" t="str">
        <f>IF(A458=0,"","Elastic")</f>
        <v/>
      </c>
    </row>
    <row r="459" spans="3:3" x14ac:dyDescent="0.25">
      <c r="C459" s="238" t="str">
        <f>IF(A459=0,"","Elastic")</f>
        <v/>
      </c>
    </row>
    <row r="460" spans="3:3" x14ac:dyDescent="0.25">
      <c r="C460" s="238" t="str">
        <f>IF(A460=0,"","Elastic")</f>
        <v/>
      </c>
    </row>
    <row r="461" spans="3:3" x14ac:dyDescent="0.25">
      <c r="C461" s="238" t="str">
        <f>IF(A461=0,"","Elastic")</f>
        <v/>
      </c>
    </row>
    <row r="462" spans="3:3" x14ac:dyDescent="0.25">
      <c r="C462" s="238" t="str">
        <f>IF(A462=0,"","Elastic")</f>
        <v/>
      </c>
    </row>
    <row r="463" spans="3:3" x14ac:dyDescent="0.25">
      <c r="C463" s="238" t="str">
        <f>IF(A463=0,"","Elastic")</f>
        <v/>
      </c>
    </row>
    <row r="464" spans="3:3" x14ac:dyDescent="0.25">
      <c r="C464" s="238" t="str">
        <f>IF(A464=0,"","Elastic")</f>
        <v/>
      </c>
    </row>
    <row r="465" spans="3:3" x14ac:dyDescent="0.25">
      <c r="C465" s="238" t="str">
        <f>IF(A465=0,"","Elastic")</f>
        <v/>
      </c>
    </row>
    <row r="466" spans="3:3" x14ac:dyDescent="0.25">
      <c r="C466" s="238" t="str">
        <f>IF(A466=0,"","Elastic")</f>
        <v/>
      </c>
    </row>
    <row r="467" spans="3:3" x14ac:dyDescent="0.25">
      <c r="C467" s="238" t="str">
        <f>IF(A467=0,"","Elastic")</f>
        <v/>
      </c>
    </row>
    <row r="468" spans="3:3" x14ac:dyDescent="0.25">
      <c r="C468" s="238" t="str">
        <f>IF(A468=0,"","Elastic")</f>
        <v/>
      </c>
    </row>
    <row r="469" spans="3:3" x14ac:dyDescent="0.25">
      <c r="C469" s="238" t="str">
        <f>IF(A469=0,"","Elastic")</f>
        <v/>
      </c>
    </row>
    <row r="470" spans="3:3" x14ac:dyDescent="0.25">
      <c r="C470" s="238" t="str">
        <f>IF(A470=0,"","Elastic")</f>
        <v/>
      </c>
    </row>
    <row r="471" spans="3:3" x14ac:dyDescent="0.25">
      <c r="C471" s="238" t="str">
        <f>IF(A471=0,"","Elastic")</f>
        <v/>
      </c>
    </row>
    <row r="472" spans="3:3" x14ac:dyDescent="0.25">
      <c r="C472" s="238" t="str">
        <f>IF(A472=0,"","Elastic")</f>
        <v/>
      </c>
    </row>
    <row r="473" spans="3:3" x14ac:dyDescent="0.25">
      <c r="C473" s="238" t="str">
        <f>IF(A473=0,"","Elastic")</f>
        <v/>
      </c>
    </row>
    <row r="474" spans="3:3" x14ac:dyDescent="0.25">
      <c r="C474" s="238" t="str">
        <f>IF(A474=0,"","Elastic")</f>
        <v/>
      </c>
    </row>
    <row r="475" spans="3:3" x14ac:dyDescent="0.25">
      <c r="C475" s="238" t="str">
        <f>IF(A475=0,"","Elastic")</f>
        <v/>
      </c>
    </row>
    <row r="476" spans="3:3" x14ac:dyDescent="0.25">
      <c r="C476" s="238" t="str">
        <f>IF(A476=0,"","Elastic")</f>
        <v/>
      </c>
    </row>
    <row r="477" spans="3:3" x14ac:dyDescent="0.25">
      <c r="C477" s="238" t="str">
        <f>IF(A477=0,"","Elastic")</f>
        <v/>
      </c>
    </row>
    <row r="478" spans="3:3" x14ac:dyDescent="0.25">
      <c r="C478" s="238" t="str">
        <f>IF(A478=0,"","Elastic")</f>
        <v/>
      </c>
    </row>
    <row r="479" spans="3:3" x14ac:dyDescent="0.25">
      <c r="C479" s="238" t="str">
        <f>IF(A479=0,"","Elastic")</f>
        <v/>
      </c>
    </row>
    <row r="480" spans="3:3" x14ac:dyDescent="0.25">
      <c r="C480" s="238" t="str">
        <f>IF(A480=0,"","Elastic")</f>
        <v/>
      </c>
    </row>
    <row r="481" spans="3:3" x14ac:dyDescent="0.25">
      <c r="C481" s="238" t="str">
        <f>IF(A481=0,"","Elastic")</f>
        <v/>
      </c>
    </row>
    <row r="482" spans="3:3" x14ac:dyDescent="0.25">
      <c r="C482" s="238" t="str">
        <f>IF(A482=0,"","Elastic")</f>
        <v/>
      </c>
    </row>
    <row r="483" spans="3:3" x14ac:dyDescent="0.25">
      <c r="C483" s="238" t="str">
        <f>IF(A483=0,"","Elastic")</f>
        <v/>
      </c>
    </row>
    <row r="484" spans="3:3" x14ac:dyDescent="0.25">
      <c r="C484" s="238" t="str">
        <f>IF(A484=0,"","Elastic")</f>
        <v/>
      </c>
    </row>
    <row r="485" spans="3:3" x14ac:dyDescent="0.25">
      <c r="C485" s="238" t="str">
        <f>IF(A485=0,"","Elastic")</f>
        <v/>
      </c>
    </row>
    <row r="486" spans="3:3" x14ac:dyDescent="0.25">
      <c r="C486" s="238" t="str">
        <f>IF(A486=0,"","Elastic")</f>
        <v/>
      </c>
    </row>
    <row r="487" spans="3:3" x14ac:dyDescent="0.25">
      <c r="C487" s="238" t="str">
        <f>IF(A487=0,"","Elastic")</f>
        <v/>
      </c>
    </row>
    <row r="488" spans="3:3" x14ac:dyDescent="0.25">
      <c r="C488" s="238" t="str">
        <f>IF(A488=0,"","Elastic")</f>
        <v/>
      </c>
    </row>
    <row r="489" spans="3:3" x14ac:dyDescent="0.25">
      <c r="C489" s="238" t="str">
        <f>IF(A489=0,"","Elastic")</f>
        <v/>
      </c>
    </row>
    <row r="490" spans="3:3" x14ac:dyDescent="0.25">
      <c r="C490" s="238" t="str">
        <f>IF(A490=0,"","Elastic")</f>
        <v/>
      </c>
    </row>
    <row r="491" spans="3:3" x14ac:dyDescent="0.25">
      <c r="C491" s="238" t="str">
        <f>IF(A491=0,"","Elastic")</f>
        <v/>
      </c>
    </row>
    <row r="492" spans="3:3" x14ac:dyDescent="0.25">
      <c r="C492" s="238" t="str">
        <f>IF(A492=0,"","Elastic")</f>
        <v/>
      </c>
    </row>
    <row r="493" spans="3:3" x14ac:dyDescent="0.25">
      <c r="C493" s="238" t="str">
        <f>IF(A493=0,"","Elastic")</f>
        <v/>
      </c>
    </row>
    <row r="494" spans="3:3" x14ac:dyDescent="0.25">
      <c r="C494" s="238" t="str">
        <f>IF(A494=0,"","Elastic")</f>
        <v/>
      </c>
    </row>
    <row r="495" spans="3:3" x14ac:dyDescent="0.25">
      <c r="C495" s="238" t="str">
        <f>IF(A495=0,"","Elastic")</f>
        <v/>
      </c>
    </row>
    <row r="496" spans="3:3" x14ac:dyDescent="0.25">
      <c r="C496" s="238" t="str">
        <f>IF(A496=0,"","Elastic")</f>
        <v/>
      </c>
    </row>
    <row r="497" spans="3:3" x14ac:dyDescent="0.25">
      <c r="C497" s="238" t="str">
        <f>IF(A497=0,"","Elastic")</f>
        <v/>
      </c>
    </row>
    <row r="498" spans="3:3" x14ac:dyDescent="0.25">
      <c r="C498" s="238" t="str">
        <f>IF(A498=0,"","Elastic")</f>
        <v/>
      </c>
    </row>
    <row r="499" spans="3:3" x14ac:dyDescent="0.25">
      <c r="C499" s="238" t="str">
        <f>IF(A499=0,"","Elastic")</f>
        <v/>
      </c>
    </row>
    <row r="500" spans="3:3" x14ac:dyDescent="0.25">
      <c r="C500" s="238" t="str">
        <f>IF(A500=0,"","Elastic")</f>
        <v/>
      </c>
    </row>
    <row r="501" spans="3:3" x14ac:dyDescent="0.25">
      <c r="C501" s="238" t="str">
        <f>IF(A501=0,"","Elastic")</f>
        <v/>
      </c>
    </row>
    <row r="502" spans="3:3" x14ac:dyDescent="0.25">
      <c r="C502" s="238" t="str">
        <f>IF(A502=0,"","Elastic")</f>
        <v/>
      </c>
    </row>
    <row r="503" spans="3:3" x14ac:dyDescent="0.25">
      <c r="C503" s="238" t="str">
        <f>IF(A503=0,"","Elastic")</f>
        <v/>
      </c>
    </row>
    <row r="504" spans="3:3" x14ac:dyDescent="0.25">
      <c r="C504" s="238" t="str">
        <f>IF(A504=0,"","Elastic")</f>
        <v/>
      </c>
    </row>
    <row r="505" spans="3:3" x14ac:dyDescent="0.25">
      <c r="C505" s="238" t="str">
        <f>IF(A505=0,"","Elastic")</f>
        <v/>
      </c>
    </row>
    <row r="506" spans="3:3" x14ac:dyDescent="0.25">
      <c r="C506" s="238" t="str">
        <f>IF(A506=0,"","Elastic")</f>
        <v/>
      </c>
    </row>
    <row r="507" spans="3:3" x14ac:dyDescent="0.25">
      <c r="C507" s="238" t="str">
        <f>IF(A507=0,"","Elastic")</f>
        <v/>
      </c>
    </row>
    <row r="508" spans="3:3" x14ac:dyDescent="0.25">
      <c r="C508" s="238" t="str">
        <f>IF(A508=0,"","Elastic")</f>
        <v/>
      </c>
    </row>
    <row r="509" spans="3:3" x14ac:dyDescent="0.25">
      <c r="C509" s="238" t="str">
        <f>IF(A509=0,"","Elastic")</f>
        <v/>
      </c>
    </row>
    <row r="510" spans="3:3" x14ac:dyDescent="0.25">
      <c r="C510" s="238" t="str">
        <f>IF(A510=0,"","Elastic")</f>
        <v/>
      </c>
    </row>
    <row r="511" spans="3:3" x14ac:dyDescent="0.25">
      <c r="C511" s="238" t="str">
        <f>IF(A511=0,"","Elastic")</f>
        <v/>
      </c>
    </row>
    <row r="512" spans="3:3" x14ac:dyDescent="0.25">
      <c r="C512" s="238" t="str">
        <f>IF(A512=0,"","Elastic")</f>
        <v/>
      </c>
    </row>
    <row r="513" spans="3:3" x14ac:dyDescent="0.25">
      <c r="C513" s="238" t="str">
        <f>IF(A513=0,"","Elastic")</f>
        <v/>
      </c>
    </row>
    <row r="514" spans="3:3" x14ac:dyDescent="0.25">
      <c r="C514" s="238" t="str">
        <f>IF(A514=0,"","Elastic")</f>
        <v/>
      </c>
    </row>
    <row r="515" spans="3:3" x14ac:dyDescent="0.25">
      <c r="C515" s="238" t="str">
        <f>IF(A515=0,"","Elastic")</f>
        <v/>
      </c>
    </row>
    <row r="516" spans="3:3" x14ac:dyDescent="0.25">
      <c r="C516" s="238" t="str">
        <f>IF(A516=0,"","Elastic")</f>
        <v/>
      </c>
    </row>
    <row r="517" spans="3:3" x14ac:dyDescent="0.25">
      <c r="C517" s="238" t="str">
        <f>IF(A517=0,"","Elastic")</f>
        <v/>
      </c>
    </row>
    <row r="518" spans="3:3" x14ac:dyDescent="0.25">
      <c r="C518" s="238" t="str">
        <f>IF(A518=0,"","Elastic")</f>
        <v/>
      </c>
    </row>
    <row r="519" spans="3:3" x14ac:dyDescent="0.25">
      <c r="C519" s="238" t="str">
        <f>IF(A519=0,"","Elastic")</f>
        <v/>
      </c>
    </row>
    <row r="520" spans="3:3" x14ac:dyDescent="0.25">
      <c r="C520" s="238" t="str">
        <f>IF(A520=0,"","Elastic")</f>
        <v/>
      </c>
    </row>
    <row r="521" spans="3:3" x14ac:dyDescent="0.25">
      <c r="C521" s="238" t="str">
        <f>IF(A521=0,"","Elastic")</f>
        <v/>
      </c>
    </row>
    <row r="522" spans="3:3" x14ac:dyDescent="0.25">
      <c r="C522" s="238" t="str">
        <f>IF(A522=0,"","Elastic")</f>
        <v/>
      </c>
    </row>
    <row r="523" spans="3:3" x14ac:dyDescent="0.25">
      <c r="C523" s="238" t="str">
        <f>IF(A523=0,"","Elastic")</f>
        <v/>
      </c>
    </row>
    <row r="524" spans="3:3" x14ac:dyDescent="0.25">
      <c r="C524" s="238" t="str">
        <f>IF(A524=0,"","Elastic")</f>
        <v/>
      </c>
    </row>
    <row r="525" spans="3:3" x14ac:dyDescent="0.25">
      <c r="C525" s="238" t="str">
        <f>IF(A525=0,"","Elastic")</f>
        <v/>
      </c>
    </row>
    <row r="526" spans="3:3" x14ac:dyDescent="0.25">
      <c r="C526" s="238" t="str">
        <f>IF(A526=0,"","Elastic")</f>
        <v/>
      </c>
    </row>
    <row r="527" spans="3:3" x14ac:dyDescent="0.25">
      <c r="C527" s="238" t="str">
        <f>IF(A527=0,"","Elastic")</f>
        <v/>
      </c>
    </row>
    <row r="528" spans="3:3" x14ac:dyDescent="0.25">
      <c r="C528" s="238" t="str">
        <f>IF(A528=0,"","Elastic")</f>
        <v/>
      </c>
    </row>
    <row r="529" spans="3:3" x14ac:dyDescent="0.25">
      <c r="C529" s="238" t="str">
        <f>IF(A529=0,"","Elastic")</f>
        <v/>
      </c>
    </row>
    <row r="530" spans="3:3" x14ac:dyDescent="0.25">
      <c r="C530" s="238" t="str">
        <f>IF(A530=0,"","Elastic")</f>
        <v/>
      </c>
    </row>
    <row r="531" spans="3:3" x14ac:dyDescent="0.25">
      <c r="C531" s="238" t="str">
        <f>IF(A531=0,"","Elastic")</f>
        <v/>
      </c>
    </row>
    <row r="532" spans="3:3" x14ac:dyDescent="0.25">
      <c r="C532" s="238" t="str">
        <f>IF(A532=0,"","Elastic")</f>
        <v/>
      </c>
    </row>
    <row r="533" spans="3:3" x14ac:dyDescent="0.25">
      <c r="C533" s="238" t="str">
        <f>IF(A533=0,"","Elastic")</f>
        <v/>
      </c>
    </row>
    <row r="534" spans="3:3" x14ac:dyDescent="0.25">
      <c r="C534" s="238" t="str">
        <f>IF(A534=0,"","Elastic")</f>
        <v/>
      </c>
    </row>
    <row r="535" spans="3:3" x14ac:dyDescent="0.25">
      <c r="C535" s="238" t="str">
        <f>IF(A535=0,"","Elastic")</f>
        <v/>
      </c>
    </row>
    <row r="536" spans="3:3" x14ac:dyDescent="0.25">
      <c r="C536" s="238" t="str">
        <f>IF(A536=0,"","Elastic")</f>
        <v/>
      </c>
    </row>
    <row r="537" spans="3:3" x14ac:dyDescent="0.25">
      <c r="C537" s="238" t="str">
        <f>IF(A537=0,"","Elastic")</f>
        <v/>
      </c>
    </row>
    <row r="538" spans="3:3" x14ac:dyDescent="0.25">
      <c r="C538" s="238" t="str">
        <f>IF(A538=0,"","Elastic")</f>
        <v/>
      </c>
    </row>
    <row r="539" spans="3:3" x14ac:dyDescent="0.25">
      <c r="C539" s="238" t="str">
        <f>IF(A539=0,"","Elastic")</f>
        <v/>
      </c>
    </row>
    <row r="540" spans="3:3" x14ac:dyDescent="0.25">
      <c r="C540" s="238" t="str">
        <f>IF(A540=0,"","Elastic")</f>
        <v/>
      </c>
    </row>
    <row r="541" spans="3:3" x14ac:dyDescent="0.25">
      <c r="C541" s="238" t="str">
        <f>IF(A541=0,"","Elastic")</f>
        <v/>
      </c>
    </row>
    <row r="542" spans="3:3" x14ac:dyDescent="0.25">
      <c r="C542" s="238" t="str">
        <f>IF(A542=0,"","Elastic")</f>
        <v/>
      </c>
    </row>
    <row r="543" spans="3:3" x14ac:dyDescent="0.25">
      <c r="C543" s="238" t="str">
        <f>IF(A543=0,"","Elastic")</f>
        <v/>
      </c>
    </row>
    <row r="544" spans="3:3" x14ac:dyDescent="0.25">
      <c r="C544" s="238" t="str">
        <f>IF(A544=0,"","Elastic")</f>
        <v/>
      </c>
    </row>
    <row r="545" spans="3:3" x14ac:dyDescent="0.25">
      <c r="C545" s="238" t="str">
        <f>IF(A545=0,"","Elastic")</f>
        <v/>
      </c>
    </row>
    <row r="546" spans="3:3" x14ac:dyDescent="0.25">
      <c r="C546" s="238" t="str">
        <f>IF(A546=0,"","Elastic")</f>
        <v/>
      </c>
    </row>
    <row r="547" spans="3:3" x14ac:dyDescent="0.25">
      <c r="C547" s="238" t="str">
        <f>IF(A547=0,"","Elastic")</f>
        <v/>
      </c>
    </row>
    <row r="548" spans="3:3" x14ac:dyDescent="0.25">
      <c r="C548" s="238" t="str">
        <f>IF(A548=0,"","Elastic")</f>
        <v/>
      </c>
    </row>
    <row r="549" spans="3:3" x14ac:dyDescent="0.25">
      <c r="C549" s="238" t="str">
        <f>IF(A549=0,"","Elastic")</f>
        <v/>
      </c>
    </row>
    <row r="550" spans="3:3" x14ac:dyDescent="0.25">
      <c r="C550" s="238" t="str">
        <f>IF(A550=0,"","Elastic")</f>
        <v/>
      </c>
    </row>
    <row r="551" spans="3:3" x14ac:dyDescent="0.25">
      <c r="C551" s="238" t="str">
        <f>IF(A551=0,"","Elastic")</f>
        <v/>
      </c>
    </row>
    <row r="552" spans="3:3" x14ac:dyDescent="0.25">
      <c r="C552" s="238" t="str">
        <f>IF(A552=0,"","Elastic")</f>
        <v/>
      </c>
    </row>
    <row r="553" spans="3:3" x14ac:dyDescent="0.25">
      <c r="C553" s="238" t="str">
        <f>IF(A553=0,"","Elastic")</f>
        <v/>
      </c>
    </row>
    <row r="554" spans="3:3" x14ac:dyDescent="0.25">
      <c r="C554" s="238" t="str">
        <f>IF(A554=0,"","Elastic")</f>
        <v/>
      </c>
    </row>
    <row r="555" spans="3:3" x14ac:dyDescent="0.25">
      <c r="C555" s="238" t="str">
        <f>IF(A555=0,"","Elastic")</f>
        <v/>
      </c>
    </row>
    <row r="556" spans="3:3" x14ac:dyDescent="0.25">
      <c r="C556" s="238" t="str">
        <f>IF(A556=0,"","Elastic")</f>
        <v/>
      </c>
    </row>
    <row r="557" spans="3:3" x14ac:dyDescent="0.25">
      <c r="C557" s="238" t="str">
        <f>IF(A557=0,"","Elastic")</f>
        <v/>
      </c>
    </row>
    <row r="558" spans="3:3" x14ac:dyDescent="0.25">
      <c r="C558" s="238" t="str">
        <f>IF(A558=0,"","Elastic")</f>
        <v/>
      </c>
    </row>
    <row r="559" spans="3:3" x14ac:dyDescent="0.25">
      <c r="C559" s="238" t="str">
        <f>IF(A559=0,"","Elastic")</f>
        <v/>
      </c>
    </row>
    <row r="560" spans="3:3" x14ac:dyDescent="0.25">
      <c r="C560" s="238" t="str">
        <f>IF(A560=0,"","Elastic")</f>
        <v/>
      </c>
    </row>
    <row r="561" spans="3:3" x14ac:dyDescent="0.25">
      <c r="C561" s="238" t="str">
        <f>IF(A561=0,"","Elastic")</f>
        <v/>
      </c>
    </row>
    <row r="562" spans="3:3" x14ac:dyDescent="0.25">
      <c r="C562" s="238" t="str">
        <f>IF(A562=0,"","Elastic")</f>
        <v/>
      </c>
    </row>
    <row r="563" spans="3:3" x14ac:dyDescent="0.25">
      <c r="C563" s="238" t="str">
        <f>IF(A563=0,"","Elastic")</f>
        <v/>
      </c>
    </row>
    <row r="564" spans="3:3" x14ac:dyDescent="0.25">
      <c r="C564" s="238" t="str">
        <f>IF(A564=0,"","Elastic")</f>
        <v/>
      </c>
    </row>
    <row r="565" spans="3:3" x14ac:dyDescent="0.25">
      <c r="C565" s="238" t="str">
        <f>IF(A565=0,"","Elastic")</f>
        <v/>
      </c>
    </row>
    <row r="566" spans="3:3" x14ac:dyDescent="0.25">
      <c r="C566" s="238" t="str">
        <f>IF(A566=0,"","Elastic")</f>
        <v/>
      </c>
    </row>
    <row r="567" spans="3:3" x14ac:dyDescent="0.25">
      <c r="C567" s="238" t="str">
        <f>IF(A567=0,"","Elastic")</f>
        <v/>
      </c>
    </row>
    <row r="568" spans="3:3" x14ac:dyDescent="0.25">
      <c r="C568" s="238" t="str">
        <f>IF(A568=0,"","Elastic")</f>
        <v/>
      </c>
    </row>
    <row r="569" spans="3:3" x14ac:dyDescent="0.25">
      <c r="C569" s="238" t="str">
        <f>IF(A569=0,"","Elastic")</f>
        <v/>
      </c>
    </row>
    <row r="570" spans="3:3" x14ac:dyDescent="0.25">
      <c r="C570" s="238" t="str">
        <f>IF(A570=0,"","Elastic")</f>
        <v/>
      </c>
    </row>
    <row r="571" spans="3:3" x14ac:dyDescent="0.25">
      <c r="C571" s="238" t="str">
        <f>IF(A571=0,"","Elastic")</f>
        <v/>
      </c>
    </row>
    <row r="572" spans="3:3" x14ac:dyDescent="0.25">
      <c r="C572" s="238" t="str">
        <f>IF(A572=0,"","Elastic")</f>
        <v/>
      </c>
    </row>
    <row r="573" spans="3:3" x14ac:dyDescent="0.25">
      <c r="C573" s="238" t="str">
        <f>IF(A573=0,"","Elastic")</f>
        <v/>
      </c>
    </row>
    <row r="574" spans="3:3" x14ac:dyDescent="0.25">
      <c r="C574" s="238" t="str">
        <f>IF(A574=0,"","Elastic")</f>
        <v/>
      </c>
    </row>
    <row r="575" spans="3:3" x14ac:dyDescent="0.25">
      <c r="C575" s="238" t="str">
        <f>IF(A575=0,"","Elastic")</f>
        <v/>
      </c>
    </row>
    <row r="576" spans="3:3" x14ac:dyDescent="0.25">
      <c r="C576" s="238" t="str">
        <f>IF(A576=0,"","Elastic")</f>
        <v/>
      </c>
    </row>
    <row r="577" spans="3:3" x14ac:dyDescent="0.25">
      <c r="C577" s="238" t="str">
        <f>IF(A577=0,"","Elastic")</f>
        <v/>
      </c>
    </row>
    <row r="578" spans="3:3" x14ac:dyDescent="0.25">
      <c r="C578" s="238" t="str">
        <f>IF(A578=0,"","Elastic")</f>
        <v/>
      </c>
    </row>
    <row r="579" spans="3:3" x14ac:dyDescent="0.25">
      <c r="C579" s="238" t="str">
        <f>IF(A579=0,"","Elastic")</f>
        <v/>
      </c>
    </row>
    <row r="580" spans="3:3" x14ac:dyDescent="0.25">
      <c r="C580" s="238" t="str">
        <f>IF(A580=0,"","Elastic")</f>
        <v/>
      </c>
    </row>
    <row r="581" spans="3:3" x14ac:dyDescent="0.25">
      <c r="C581" s="238" t="str">
        <f>IF(A581=0,"","Elastic")</f>
        <v/>
      </c>
    </row>
    <row r="582" spans="3:3" x14ac:dyDescent="0.25">
      <c r="C582" s="238" t="str">
        <f>IF(A582=0,"","Elastic")</f>
        <v/>
      </c>
    </row>
    <row r="583" spans="3:3" x14ac:dyDescent="0.25">
      <c r="C583" s="238" t="str">
        <f>IF(A583=0,"","Elastic")</f>
        <v/>
      </c>
    </row>
    <row r="584" spans="3:3" x14ac:dyDescent="0.25">
      <c r="C584" s="238" t="str">
        <f>IF(A584=0,"","Elastic")</f>
        <v/>
      </c>
    </row>
    <row r="585" spans="3:3" x14ac:dyDescent="0.25">
      <c r="C585" s="238" t="str">
        <f>IF(A585=0,"","Elastic")</f>
        <v/>
      </c>
    </row>
    <row r="586" spans="3:3" x14ac:dyDescent="0.25">
      <c r="C586" s="238" t="str">
        <f>IF(A586=0,"","Elastic")</f>
        <v/>
      </c>
    </row>
    <row r="587" spans="3:3" x14ac:dyDescent="0.25">
      <c r="C587" s="238" t="str">
        <f>IF(A587=0,"","Elastic")</f>
        <v/>
      </c>
    </row>
    <row r="588" spans="3:3" x14ac:dyDescent="0.25">
      <c r="C588" s="238" t="str">
        <f>IF(A588=0,"","Elastic")</f>
        <v/>
      </c>
    </row>
    <row r="589" spans="3:3" x14ac:dyDescent="0.25">
      <c r="C589" s="238" t="str">
        <f>IF(A589=0,"","Elastic")</f>
        <v/>
      </c>
    </row>
    <row r="590" spans="3:3" x14ac:dyDescent="0.25">
      <c r="C590" s="238" t="str">
        <f>IF(A590=0,"","Elastic")</f>
        <v/>
      </c>
    </row>
    <row r="591" spans="3:3" x14ac:dyDescent="0.25">
      <c r="C591" s="238" t="str">
        <f>IF(A591=0,"","Elastic")</f>
        <v/>
      </c>
    </row>
    <row r="592" spans="3:3" x14ac:dyDescent="0.25">
      <c r="C592" s="238" t="str">
        <f>IF(A592=0,"","Elastic")</f>
        <v/>
      </c>
    </row>
    <row r="593" spans="3:3" x14ac:dyDescent="0.25">
      <c r="C593" s="238" t="str">
        <f>IF(A593=0,"","Elastic")</f>
        <v/>
      </c>
    </row>
    <row r="594" spans="3:3" x14ac:dyDescent="0.25">
      <c r="C594" s="238" t="str">
        <f>IF(A594=0,"","Elastic")</f>
        <v/>
      </c>
    </row>
    <row r="595" spans="3:3" x14ac:dyDescent="0.25">
      <c r="C595" s="238" t="str">
        <f>IF(A595=0,"","Elastic")</f>
        <v/>
      </c>
    </row>
    <row r="596" spans="3:3" x14ac:dyDescent="0.25">
      <c r="C596" s="238" t="str">
        <f>IF(A596=0,"","Elastic")</f>
        <v/>
      </c>
    </row>
    <row r="597" spans="3:3" x14ac:dyDescent="0.25">
      <c r="C597" s="238" t="str">
        <f>IF(A597=0,"","Elastic")</f>
        <v/>
      </c>
    </row>
    <row r="598" spans="3:3" x14ac:dyDescent="0.25">
      <c r="C598" s="238" t="str">
        <f>IF(A598=0,"","Elastic")</f>
        <v/>
      </c>
    </row>
    <row r="599" spans="3:3" x14ac:dyDescent="0.25">
      <c r="C599" s="238" t="str">
        <f>IF(A599=0,"","Elastic")</f>
        <v/>
      </c>
    </row>
    <row r="600" spans="3:3" x14ac:dyDescent="0.25">
      <c r="C600" s="238" t="str">
        <f>IF(A600=0,"","Elastic")</f>
        <v/>
      </c>
    </row>
    <row r="601" spans="3:3" x14ac:dyDescent="0.25">
      <c r="C601" s="238" t="str">
        <f>IF(A601=0,"","Elastic")</f>
        <v/>
      </c>
    </row>
    <row r="602" spans="3:3" x14ac:dyDescent="0.25">
      <c r="C602" s="238" t="str">
        <f>IF(A602=0,"","Elastic")</f>
        <v/>
      </c>
    </row>
    <row r="603" spans="3:3" x14ac:dyDescent="0.25">
      <c r="C603" s="238" t="str">
        <f>IF(A603=0,"","Elastic")</f>
        <v/>
      </c>
    </row>
    <row r="604" spans="3:3" x14ac:dyDescent="0.25">
      <c r="C604" s="238" t="str">
        <f>IF(A604=0,"","Elastic")</f>
        <v/>
      </c>
    </row>
    <row r="605" spans="3:3" x14ac:dyDescent="0.25">
      <c r="C605" s="238" t="str">
        <f>IF(A605=0,"","Elastic")</f>
        <v/>
      </c>
    </row>
    <row r="606" spans="3:3" x14ac:dyDescent="0.25">
      <c r="C606" s="238" t="str">
        <f>IF(A606=0,"","Elastic")</f>
        <v/>
      </c>
    </row>
    <row r="607" spans="3:3" x14ac:dyDescent="0.25">
      <c r="C607" s="238" t="str">
        <f>IF(A607=0,"","Elastic")</f>
        <v/>
      </c>
    </row>
    <row r="608" spans="3:3" x14ac:dyDescent="0.25">
      <c r="C608" s="238" t="str">
        <f>IF(A608=0,"","Elastic")</f>
        <v/>
      </c>
    </row>
    <row r="609" spans="3:3" x14ac:dyDescent="0.25">
      <c r="C609" s="238" t="str">
        <f>IF(A609=0,"","Elastic")</f>
        <v/>
      </c>
    </row>
    <row r="610" spans="3:3" x14ac:dyDescent="0.25">
      <c r="C610" s="238" t="str">
        <f>IF(A610=0,"","Elastic")</f>
        <v/>
      </c>
    </row>
    <row r="611" spans="3:3" x14ac:dyDescent="0.25">
      <c r="C611" s="238" t="str">
        <f>IF(A611=0,"","Elastic")</f>
        <v/>
      </c>
    </row>
    <row r="612" spans="3:3" x14ac:dyDescent="0.25">
      <c r="C612" s="238" t="str">
        <f>IF(A612=0,"","Elastic")</f>
        <v/>
      </c>
    </row>
    <row r="613" spans="3:3" x14ac:dyDescent="0.25">
      <c r="C613" s="238" t="str">
        <f>IF(A613=0,"","Elastic")</f>
        <v/>
      </c>
    </row>
    <row r="614" spans="3:3" x14ac:dyDescent="0.25">
      <c r="C614" s="238" t="str">
        <f>IF(A614=0,"","Elastic")</f>
        <v/>
      </c>
    </row>
    <row r="615" spans="3:3" x14ac:dyDescent="0.25">
      <c r="C615" s="238" t="str">
        <f>IF(A615=0,"","Elastic")</f>
        <v/>
      </c>
    </row>
    <row r="616" spans="3:3" x14ac:dyDescent="0.25">
      <c r="C616" s="238" t="str">
        <f>IF(A616=0,"","Elastic")</f>
        <v/>
      </c>
    </row>
    <row r="617" spans="3:3" x14ac:dyDescent="0.25">
      <c r="C617" s="238" t="str">
        <f>IF(A617=0,"","Elastic")</f>
        <v/>
      </c>
    </row>
    <row r="618" spans="3:3" x14ac:dyDescent="0.25">
      <c r="C618" s="238" t="str">
        <f>IF(A618=0,"","Elastic")</f>
        <v/>
      </c>
    </row>
    <row r="619" spans="3:3" x14ac:dyDescent="0.25">
      <c r="C619" s="238" t="str">
        <f>IF(A619=0,"","Elastic")</f>
        <v/>
      </c>
    </row>
    <row r="620" spans="3:3" x14ac:dyDescent="0.25">
      <c r="C620" s="238" t="str">
        <f>IF(A620=0,"","Elastic")</f>
        <v/>
      </c>
    </row>
    <row r="621" spans="3:3" x14ac:dyDescent="0.25">
      <c r="C621" s="238" t="str">
        <f>IF(A621=0,"","Elastic")</f>
        <v/>
      </c>
    </row>
    <row r="622" spans="3:3" x14ac:dyDescent="0.25">
      <c r="C622" s="238" t="str">
        <f>IF(A622=0,"","Elastic")</f>
        <v/>
      </c>
    </row>
    <row r="623" spans="3:3" x14ac:dyDescent="0.25">
      <c r="C623" s="238" t="str">
        <f>IF(A623=0,"","Elastic")</f>
        <v/>
      </c>
    </row>
    <row r="624" spans="3:3" x14ac:dyDescent="0.25">
      <c r="C624" s="238" t="str">
        <f>IF(A624=0,"","Elastic")</f>
        <v/>
      </c>
    </row>
    <row r="625" spans="3:3" x14ac:dyDescent="0.25">
      <c r="C625" s="238" t="str">
        <f>IF(A625=0,"","Elastic")</f>
        <v/>
      </c>
    </row>
    <row r="626" spans="3:3" x14ac:dyDescent="0.25">
      <c r="C626" s="238" t="str">
        <f>IF(A626=0,"","Elastic")</f>
        <v/>
      </c>
    </row>
    <row r="627" spans="3:3" x14ac:dyDescent="0.25">
      <c r="C627" s="238" t="str">
        <f>IF(A627=0,"","Elastic")</f>
        <v/>
      </c>
    </row>
    <row r="628" spans="3:3" x14ac:dyDescent="0.25">
      <c r="C628" s="238" t="str">
        <f>IF(A628=0,"","Elastic")</f>
        <v/>
      </c>
    </row>
    <row r="629" spans="3:3" x14ac:dyDescent="0.25">
      <c r="C629" s="238" t="str">
        <f>IF(A629=0,"","Elastic")</f>
        <v/>
      </c>
    </row>
    <row r="630" spans="3:3" x14ac:dyDescent="0.25">
      <c r="C630" s="238" t="str">
        <f>IF(A630=0,"","Elastic")</f>
        <v/>
      </c>
    </row>
    <row r="631" spans="3:3" x14ac:dyDescent="0.25">
      <c r="C631" s="238" t="str">
        <f>IF(A631=0,"","Elastic")</f>
        <v/>
      </c>
    </row>
    <row r="632" spans="3:3" x14ac:dyDescent="0.25">
      <c r="C632" s="238" t="str">
        <f>IF(A632=0,"","Elastic")</f>
        <v/>
      </c>
    </row>
    <row r="633" spans="3:3" x14ac:dyDescent="0.25">
      <c r="C633" s="238" t="str">
        <f>IF(A633=0,"","Elastic")</f>
        <v/>
      </c>
    </row>
    <row r="634" spans="3:3" x14ac:dyDescent="0.25">
      <c r="C634" s="238" t="str">
        <f>IF(A634=0,"","Elastic")</f>
        <v/>
      </c>
    </row>
    <row r="635" spans="3:3" x14ac:dyDescent="0.25">
      <c r="C635" s="238" t="str">
        <f>IF(A635=0,"","Elastic")</f>
        <v/>
      </c>
    </row>
    <row r="636" spans="3:3" x14ac:dyDescent="0.25">
      <c r="C636" s="238" t="str">
        <f>IF(A636=0,"","Elastic")</f>
        <v/>
      </c>
    </row>
    <row r="637" spans="3:3" x14ac:dyDescent="0.25">
      <c r="C637" s="238" t="str">
        <f>IF(A637=0,"","Elastic")</f>
        <v/>
      </c>
    </row>
    <row r="638" spans="3:3" x14ac:dyDescent="0.25">
      <c r="C638" s="238" t="str">
        <f>IF(A638=0,"","Elastic")</f>
        <v/>
      </c>
    </row>
    <row r="639" spans="3:3" x14ac:dyDescent="0.25">
      <c r="C639" s="238" t="str">
        <f>IF(A639=0,"","Elastic")</f>
        <v/>
      </c>
    </row>
    <row r="640" spans="3:3" x14ac:dyDescent="0.25">
      <c r="C640" s="238" t="str">
        <f>IF(A640=0,"","Elastic")</f>
        <v/>
      </c>
    </row>
    <row r="641" spans="3:3" x14ac:dyDescent="0.25">
      <c r="C641" s="238" t="str">
        <f>IF(A641=0,"","Elastic")</f>
        <v/>
      </c>
    </row>
    <row r="642" spans="3:3" x14ac:dyDescent="0.25">
      <c r="C642" s="238" t="str">
        <f>IF(A642=0,"","Elastic")</f>
        <v/>
      </c>
    </row>
    <row r="643" spans="3:3" x14ac:dyDescent="0.25">
      <c r="C643" s="238" t="str">
        <f>IF(A643=0,"","Elastic")</f>
        <v/>
      </c>
    </row>
    <row r="644" spans="3:3" x14ac:dyDescent="0.25">
      <c r="C644" s="238" t="str">
        <f>IF(A644=0,"","Elastic")</f>
        <v/>
      </c>
    </row>
    <row r="645" spans="3:3" x14ac:dyDescent="0.25">
      <c r="C645" s="238" t="str">
        <f>IF(A645=0,"","Elastic")</f>
        <v/>
      </c>
    </row>
    <row r="646" spans="3:3" x14ac:dyDescent="0.25">
      <c r="C646" s="238" t="str">
        <f>IF(A646=0,"","Elastic")</f>
        <v/>
      </c>
    </row>
    <row r="647" spans="3:3" x14ac:dyDescent="0.25">
      <c r="C647" s="238" t="str">
        <f>IF(A647=0,"","Elastic")</f>
        <v/>
      </c>
    </row>
    <row r="648" spans="3:3" x14ac:dyDescent="0.25">
      <c r="C648" s="238" t="str">
        <f>IF(A648=0,"","Elastic")</f>
        <v/>
      </c>
    </row>
    <row r="649" spans="3:3" x14ac:dyDescent="0.25">
      <c r="C649" s="238" t="str">
        <f>IF(A649=0,"","Elastic")</f>
        <v/>
      </c>
    </row>
    <row r="650" spans="3:3" x14ac:dyDescent="0.25">
      <c r="C650" s="238" t="str">
        <f>IF(A650=0,"","Elastic")</f>
        <v/>
      </c>
    </row>
    <row r="651" spans="3:3" x14ac:dyDescent="0.25">
      <c r="C651" s="238" t="str">
        <f>IF(A651=0,"","Elastic")</f>
        <v/>
      </c>
    </row>
    <row r="652" spans="3:3" x14ac:dyDescent="0.25">
      <c r="C652" s="238" t="str">
        <f>IF(A652=0,"","Elastic")</f>
        <v/>
      </c>
    </row>
    <row r="653" spans="3:3" x14ac:dyDescent="0.25">
      <c r="C653" s="238" t="str">
        <f>IF(A653=0,"","Elastic")</f>
        <v/>
      </c>
    </row>
    <row r="654" spans="3:3" x14ac:dyDescent="0.25">
      <c r="C654" s="238" t="str">
        <f>IF(A654=0,"","Elastic")</f>
        <v/>
      </c>
    </row>
    <row r="655" spans="3:3" x14ac:dyDescent="0.25">
      <c r="C655" s="238" t="str">
        <f>IF(A655=0,"","Elastic")</f>
        <v/>
      </c>
    </row>
    <row r="656" spans="3:3" x14ac:dyDescent="0.25">
      <c r="C656" s="238" t="str">
        <f>IF(A656=0,"","Elastic")</f>
        <v/>
      </c>
    </row>
    <row r="657" spans="3:3" x14ac:dyDescent="0.25">
      <c r="C657" s="238" t="str">
        <f>IF(A657=0,"","Elastic")</f>
        <v/>
      </c>
    </row>
    <row r="658" spans="3:3" x14ac:dyDescent="0.25">
      <c r="C658" s="238" t="str">
        <f>IF(A658=0,"","Elastic")</f>
        <v/>
      </c>
    </row>
    <row r="659" spans="3:3" x14ac:dyDescent="0.25">
      <c r="C659" s="238" t="str">
        <f>IF(A659=0,"","Elastic")</f>
        <v/>
      </c>
    </row>
    <row r="660" spans="3:3" x14ac:dyDescent="0.25">
      <c r="C660" s="238" t="str">
        <f>IF(A660=0,"","Elastic")</f>
        <v/>
      </c>
    </row>
    <row r="661" spans="3:3" x14ac:dyDescent="0.25">
      <c r="C661" s="238" t="str">
        <f>IF(A661=0,"","Elastic")</f>
        <v/>
      </c>
    </row>
    <row r="662" spans="3:3" x14ac:dyDescent="0.25">
      <c r="C662" s="238" t="str">
        <f>IF(A662=0,"","Elastic")</f>
        <v/>
      </c>
    </row>
    <row r="663" spans="3:3" x14ac:dyDescent="0.25">
      <c r="C663" s="238" t="str">
        <f>IF(A663=0,"","Elastic")</f>
        <v/>
      </c>
    </row>
    <row r="664" spans="3:3" x14ac:dyDescent="0.25">
      <c r="C664" s="238" t="str">
        <f>IF(A664=0,"","Elastic")</f>
        <v/>
      </c>
    </row>
    <row r="665" spans="3:3" x14ac:dyDescent="0.25">
      <c r="C665" s="238" t="str">
        <f>IF(A665=0,"","Elastic")</f>
        <v/>
      </c>
    </row>
    <row r="666" spans="3:3" x14ac:dyDescent="0.25">
      <c r="C666" s="238" t="str">
        <f>IF(A666=0,"","Elastic")</f>
        <v/>
      </c>
    </row>
    <row r="667" spans="3:3" x14ac:dyDescent="0.25">
      <c r="C667" s="238" t="str">
        <f>IF(A667=0,"","Elastic")</f>
        <v/>
      </c>
    </row>
    <row r="668" spans="3:3" x14ac:dyDescent="0.25">
      <c r="C668" s="238" t="str">
        <f>IF(A668=0,"","Elastic")</f>
        <v/>
      </c>
    </row>
    <row r="669" spans="3:3" x14ac:dyDescent="0.25">
      <c r="C669" s="238" t="str">
        <f>IF(A669=0,"","Elastic")</f>
        <v/>
      </c>
    </row>
    <row r="670" spans="3:3" x14ac:dyDescent="0.25">
      <c r="C670" s="238" t="str">
        <f>IF(A670=0,"","Elastic")</f>
        <v/>
      </c>
    </row>
    <row r="671" spans="3:3" x14ac:dyDescent="0.25">
      <c r="C671" s="238" t="str">
        <f>IF(A671=0,"","Elastic")</f>
        <v/>
      </c>
    </row>
    <row r="672" spans="3:3" x14ac:dyDescent="0.25">
      <c r="C672" s="238" t="str">
        <f>IF(A672=0,"","Elastic")</f>
        <v/>
      </c>
    </row>
    <row r="673" spans="3:3" x14ac:dyDescent="0.25">
      <c r="C673" s="238" t="str">
        <f>IF(A673=0,"","Elastic")</f>
        <v/>
      </c>
    </row>
    <row r="674" spans="3:3" x14ac:dyDescent="0.25">
      <c r="C674" s="238" t="str">
        <f>IF(A674=0,"","Elastic")</f>
        <v/>
      </c>
    </row>
    <row r="675" spans="3:3" x14ac:dyDescent="0.25">
      <c r="C675" s="238" t="str">
        <f>IF(A675=0,"","Elastic")</f>
        <v/>
      </c>
    </row>
    <row r="676" spans="3:3" x14ac:dyDescent="0.25">
      <c r="C676" s="238" t="str">
        <f>IF(A676=0,"","Elastic")</f>
        <v/>
      </c>
    </row>
    <row r="677" spans="3:3" x14ac:dyDescent="0.25">
      <c r="C677" s="238" t="str">
        <f>IF(A677=0,"","Elastic")</f>
        <v/>
      </c>
    </row>
    <row r="678" spans="3:3" x14ac:dyDescent="0.25">
      <c r="C678" s="238" t="str">
        <f>IF(A678=0,"","Elastic")</f>
        <v/>
      </c>
    </row>
    <row r="679" spans="3:3" x14ac:dyDescent="0.25">
      <c r="C679" s="238" t="str">
        <f>IF(A679=0,"","Elastic")</f>
        <v/>
      </c>
    </row>
    <row r="680" spans="3:3" x14ac:dyDescent="0.25">
      <c r="C680" s="238" t="str">
        <f>IF(A680=0,"","Elastic")</f>
        <v/>
      </c>
    </row>
    <row r="681" spans="3:3" x14ac:dyDescent="0.25">
      <c r="C681" s="238" t="str">
        <f>IF(A681=0,"","Elastic")</f>
        <v/>
      </c>
    </row>
    <row r="682" spans="3:3" x14ac:dyDescent="0.25">
      <c r="C682" s="238" t="str">
        <f>IF(A682=0,"","Elastic")</f>
        <v/>
      </c>
    </row>
    <row r="683" spans="3:3" x14ac:dyDescent="0.25">
      <c r="C683" s="238" t="str">
        <f>IF(A683=0,"","Elastic")</f>
        <v/>
      </c>
    </row>
    <row r="684" spans="3:3" x14ac:dyDescent="0.25">
      <c r="C684" s="238" t="str">
        <f>IF(A684=0,"","Elastic")</f>
        <v/>
      </c>
    </row>
    <row r="685" spans="3:3" x14ac:dyDescent="0.25">
      <c r="C685" s="238" t="str">
        <f>IF(A685=0,"","Elastic")</f>
        <v/>
      </c>
    </row>
    <row r="686" spans="3:3" x14ac:dyDescent="0.25">
      <c r="C686" s="238" t="str">
        <f>IF(A686=0,"","Elastic")</f>
        <v/>
      </c>
    </row>
    <row r="687" spans="3:3" x14ac:dyDescent="0.25">
      <c r="C687" s="238" t="str">
        <f>IF(A687=0,"","Elastic")</f>
        <v/>
      </c>
    </row>
    <row r="688" spans="3:3" x14ac:dyDescent="0.25">
      <c r="C688" s="238" t="str">
        <f>IF(A688=0,"","Elastic")</f>
        <v/>
      </c>
    </row>
    <row r="689" spans="3:3" x14ac:dyDescent="0.25">
      <c r="C689" s="238" t="str">
        <f>IF(A689=0,"","Elastic")</f>
        <v/>
      </c>
    </row>
    <row r="690" spans="3:3" x14ac:dyDescent="0.25">
      <c r="C690" s="238" t="str">
        <f>IF(A690=0,"","Elastic")</f>
        <v/>
      </c>
    </row>
    <row r="691" spans="3:3" x14ac:dyDescent="0.25">
      <c r="C691" s="238" t="str">
        <f>IF(A691=0,"","Elastic")</f>
        <v/>
      </c>
    </row>
    <row r="692" spans="3:3" x14ac:dyDescent="0.25">
      <c r="C692" s="238" t="str">
        <f>IF(A692=0,"","Elastic")</f>
        <v/>
      </c>
    </row>
    <row r="693" spans="3:3" x14ac:dyDescent="0.25">
      <c r="C693" s="238" t="str">
        <f>IF(A693=0,"","Elastic")</f>
        <v/>
      </c>
    </row>
    <row r="694" spans="3:3" x14ac:dyDescent="0.25">
      <c r="C694" s="238" t="str">
        <f>IF(A694=0,"","Elastic")</f>
        <v/>
      </c>
    </row>
    <row r="695" spans="3:3" x14ac:dyDescent="0.25">
      <c r="C695" s="238" t="str">
        <f>IF(A695=0,"","Elastic")</f>
        <v/>
      </c>
    </row>
    <row r="696" spans="3:3" x14ac:dyDescent="0.25">
      <c r="C696" s="238" t="str">
        <f>IF(A696=0,"","Elastic")</f>
        <v/>
      </c>
    </row>
    <row r="697" spans="3:3" x14ac:dyDescent="0.25">
      <c r="C697" s="238" t="str">
        <f>IF(A697=0,"","Elastic")</f>
        <v/>
      </c>
    </row>
    <row r="698" spans="3:3" x14ac:dyDescent="0.25">
      <c r="C698" s="238" t="str">
        <f>IF(A698=0,"","Elastic")</f>
        <v/>
      </c>
    </row>
    <row r="699" spans="3:3" x14ac:dyDescent="0.25">
      <c r="C699" s="238" t="str">
        <f>IF(A699=0,"","Elastic")</f>
        <v/>
      </c>
    </row>
    <row r="700" spans="3:3" x14ac:dyDescent="0.25">
      <c r="C700" s="238" t="str">
        <f>IF(A700=0,"","Elastic")</f>
        <v/>
      </c>
    </row>
    <row r="701" spans="3:3" x14ac:dyDescent="0.25">
      <c r="C701" s="238" t="str">
        <f>IF(A701=0,"","Elastic")</f>
        <v/>
      </c>
    </row>
    <row r="702" spans="3:3" x14ac:dyDescent="0.25">
      <c r="C702" s="238" t="str">
        <f>IF(A702=0,"","Elastic")</f>
        <v/>
      </c>
    </row>
    <row r="703" spans="3:3" x14ac:dyDescent="0.25">
      <c r="C703" s="238" t="str">
        <f>IF(A703=0,"","Elastic")</f>
        <v/>
      </c>
    </row>
    <row r="704" spans="3:3" x14ac:dyDescent="0.25">
      <c r="C704" s="238" t="str">
        <f>IF(A704=0,"","Elastic")</f>
        <v/>
      </c>
    </row>
    <row r="705" spans="3:3" x14ac:dyDescent="0.25">
      <c r="C705" s="238" t="str">
        <f>IF(A705=0,"","Elastic")</f>
        <v/>
      </c>
    </row>
    <row r="706" spans="3:3" x14ac:dyDescent="0.25">
      <c r="C706" s="238" t="str">
        <f>IF(A706=0,"","Elastic")</f>
        <v/>
      </c>
    </row>
    <row r="707" spans="3:3" x14ac:dyDescent="0.25">
      <c r="C707" s="238" t="str">
        <f>IF(A707=0,"","Elastic")</f>
        <v/>
      </c>
    </row>
    <row r="708" spans="3:3" x14ac:dyDescent="0.25">
      <c r="C708" s="238" t="str">
        <f>IF(A708=0,"","Elastic")</f>
        <v/>
      </c>
    </row>
    <row r="709" spans="3:3" x14ac:dyDescent="0.25">
      <c r="C709" s="238" t="str">
        <f>IF(A709=0,"","Elastic")</f>
        <v/>
      </c>
    </row>
    <row r="710" spans="3:3" x14ac:dyDescent="0.25">
      <c r="C710" s="238" t="str">
        <f>IF(A710=0,"","Elastic")</f>
        <v/>
      </c>
    </row>
    <row r="711" spans="3:3" x14ac:dyDescent="0.25">
      <c r="C711" s="238" t="str">
        <f>IF(A711=0,"","Elastic")</f>
        <v/>
      </c>
    </row>
    <row r="712" spans="3:3" x14ac:dyDescent="0.25">
      <c r="C712" s="238" t="str">
        <f>IF(A712=0,"","Elastic")</f>
        <v/>
      </c>
    </row>
    <row r="713" spans="3:3" x14ac:dyDescent="0.25">
      <c r="C713" s="238" t="str">
        <f>IF(A713=0,"","Elastic")</f>
        <v/>
      </c>
    </row>
    <row r="714" spans="3:3" x14ac:dyDescent="0.25">
      <c r="C714" s="238" t="str">
        <f>IF(A714=0,"","Elastic")</f>
        <v/>
      </c>
    </row>
    <row r="715" spans="3:3" x14ac:dyDescent="0.25">
      <c r="C715" s="238" t="str">
        <f>IF(A715=0,"","Elastic")</f>
        <v/>
      </c>
    </row>
    <row r="716" spans="3:3" x14ac:dyDescent="0.25">
      <c r="C716" s="238" t="str">
        <f>IF(A716=0,"","Elastic")</f>
        <v/>
      </c>
    </row>
    <row r="717" spans="3:3" x14ac:dyDescent="0.25">
      <c r="C717" s="238" t="str">
        <f>IF(A717=0,"","Elastic")</f>
        <v/>
      </c>
    </row>
    <row r="718" spans="3:3" x14ac:dyDescent="0.25">
      <c r="C718" s="238" t="str">
        <f>IF(A718=0,"","Elastic")</f>
        <v/>
      </c>
    </row>
    <row r="719" spans="3:3" x14ac:dyDescent="0.25">
      <c r="C719" s="238" t="str">
        <f>IF(A719=0,"","Elastic")</f>
        <v/>
      </c>
    </row>
    <row r="720" spans="3:3" x14ac:dyDescent="0.25">
      <c r="C720" s="238" t="str">
        <f>IF(A720=0,"","Elastic")</f>
        <v/>
      </c>
    </row>
    <row r="721" spans="3:3" x14ac:dyDescent="0.25">
      <c r="C721" s="238" t="str">
        <f>IF(A721=0,"","Elastic")</f>
        <v/>
      </c>
    </row>
    <row r="722" spans="3:3" x14ac:dyDescent="0.25">
      <c r="C722" s="238" t="str">
        <f>IF(A722=0,"","Elastic")</f>
        <v/>
      </c>
    </row>
    <row r="723" spans="3:3" x14ac:dyDescent="0.25">
      <c r="C723" s="238" t="str">
        <f>IF(A723=0,"","Elastic")</f>
        <v/>
      </c>
    </row>
    <row r="724" spans="3:3" x14ac:dyDescent="0.25">
      <c r="C724" s="238" t="str">
        <f>IF(A724=0,"","Elastic")</f>
        <v/>
      </c>
    </row>
    <row r="725" spans="3:3" x14ac:dyDescent="0.25">
      <c r="C725" s="238" t="str">
        <f>IF(A725=0,"","Elastic")</f>
        <v/>
      </c>
    </row>
    <row r="726" spans="3:3" x14ac:dyDescent="0.25">
      <c r="C726" s="238" t="str">
        <f>IF(A726=0,"","Elastic")</f>
        <v/>
      </c>
    </row>
    <row r="727" spans="3:3" x14ac:dyDescent="0.25">
      <c r="C727" s="238" t="str">
        <f>IF(A727=0,"","Elastic")</f>
        <v/>
      </c>
    </row>
    <row r="728" spans="3:3" x14ac:dyDescent="0.25">
      <c r="C728" s="238" t="str">
        <f>IF(A728=0,"","Elastic")</f>
        <v/>
      </c>
    </row>
    <row r="729" spans="3:3" x14ac:dyDescent="0.25">
      <c r="C729" s="238" t="str">
        <f>IF(A729=0,"","Elastic")</f>
        <v/>
      </c>
    </row>
    <row r="730" spans="3:3" x14ac:dyDescent="0.25">
      <c r="C730" s="238" t="str">
        <f>IF(A730=0,"","Elastic")</f>
        <v/>
      </c>
    </row>
    <row r="731" spans="3:3" x14ac:dyDescent="0.25">
      <c r="C731" s="238" t="str">
        <f>IF(A731=0,"","Elastic")</f>
        <v/>
      </c>
    </row>
    <row r="732" spans="3:3" x14ac:dyDescent="0.25">
      <c r="C732" s="238" t="str">
        <f>IF(A732=0,"","Elastic")</f>
        <v/>
      </c>
    </row>
    <row r="733" spans="3:3" x14ac:dyDescent="0.25">
      <c r="C733" s="238" t="str">
        <f>IF(A733=0,"","Elastic")</f>
        <v/>
      </c>
    </row>
    <row r="734" spans="3:3" x14ac:dyDescent="0.25">
      <c r="C734" s="238" t="str">
        <f>IF(A734=0,"","Elastic")</f>
        <v/>
      </c>
    </row>
    <row r="735" spans="3:3" x14ac:dyDescent="0.25">
      <c r="C735" s="238" t="str">
        <f>IF(A735=0,"","Elastic")</f>
        <v/>
      </c>
    </row>
    <row r="736" spans="3:3" x14ac:dyDescent="0.25">
      <c r="C736" s="238" t="str">
        <f>IF(A736=0,"","Elastic")</f>
        <v/>
      </c>
    </row>
    <row r="737" spans="3:3" x14ac:dyDescent="0.25">
      <c r="C737" s="238" t="str">
        <f>IF(A737=0,"","Elastic")</f>
        <v/>
      </c>
    </row>
    <row r="738" spans="3:3" x14ac:dyDescent="0.25">
      <c r="C738" s="238" t="str">
        <f>IF(A738=0,"","Elastic")</f>
        <v/>
      </c>
    </row>
    <row r="739" spans="3:3" x14ac:dyDescent="0.25">
      <c r="C739" s="238" t="str">
        <f>IF(A739=0,"","Elastic")</f>
        <v/>
      </c>
    </row>
    <row r="740" spans="3:3" x14ac:dyDescent="0.25">
      <c r="C740" s="238" t="str">
        <f>IF(A740=0,"","Elastic")</f>
        <v/>
      </c>
    </row>
    <row r="741" spans="3:3" x14ac:dyDescent="0.25">
      <c r="C741" s="238" t="str">
        <f>IF(A741=0,"","Elastic")</f>
        <v/>
      </c>
    </row>
    <row r="742" spans="3:3" x14ac:dyDescent="0.25">
      <c r="C742" s="238" t="str">
        <f>IF(A742=0,"","Elastic")</f>
        <v/>
      </c>
    </row>
    <row r="743" spans="3:3" x14ac:dyDescent="0.25">
      <c r="C743" s="238" t="str">
        <f>IF(A743=0,"","Elastic")</f>
        <v/>
      </c>
    </row>
    <row r="744" spans="3:3" x14ac:dyDescent="0.25">
      <c r="C744" s="238" t="str">
        <f>IF(A744=0,"","Elastic")</f>
        <v/>
      </c>
    </row>
    <row r="745" spans="3:3" x14ac:dyDescent="0.25">
      <c r="C745" s="238" t="str">
        <f>IF(A745=0,"","Elastic")</f>
        <v/>
      </c>
    </row>
    <row r="746" spans="3:3" x14ac:dyDescent="0.25">
      <c r="C746" s="238" t="str">
        <f>IF(A746=0,"","Elastic")</f>
        <v/>
      </c>
    </row>
    <row r="747" spans="3:3" x14ac:dyDescent="0.25">
      <c r="C747" s="238" t="str">
        <f>IF(A747=0,"","Elastic")</f>
        <v/>
      </c>
    </row>
    <row r="748" spans="3:3" x14ac:dyDescent="0.25">
      <c r="C748" s="238" t="str">
        <f>IF(A748=0,"","Elastic")</f>
        <v/>
      </c>
    </row>
    <row r="749" spans="3:3" x14ac:dyDescent="0.25">
      <c r="C749" s="238" t="str">
        <f>IF(A749=0,"","Elastic")</f>
        <v/>
      </c>
    </row>
    <row r="750" spans="3:3" x14ac:dyDescent="0.25">
      <c r="C750" s="238" t="str">
        <f>IF(A750=0,"","Elastic")</f>
        <v/>
      </c>
    </row>
    <row r="751" spans="3:3" x14ac:dyDescent="0.25">
      <c r="C751" s="238" t="str">
        <f>IF(A751=0,"","Elastic")</f>
        <v/>
      </c>
    </row>
    <row r="752" spans="3:3" x14ac:dyDescent="0.25">
      <c r="C752" s="238" t="str">
        <f>IF(A752=0,"","Elastic")</f>
        <v/>
      </c>
    </row>
    <row r="753" spans="3:3" x14ac:dyDescent="0.25">
      <c r="C753" s="238" t="str">
        <f>IF(A753=0,"","Elastic")</f>
        <v/>
      </c>
    </row>
    <row r="754" spans="3:3" x14ac:dyDescent="0.25">
      <c r="C754" s="238" t="str">
        <f>IF(A754=0,"","Elastic")</f>
        <v/>
      </c>
    </row>
    <row r="755" spans="3:3" x14ac:dyDescent="0.25">
      <c r="C755" s="238" t="str">
        <f>IF(A755=0,"","Elastic")</f>
        <v/>
      </c>
    </row>
    <row r="756" spans="3:3" x14ac:dyDescent="0.25">
      <c r="C756" s="238" t="str">
        <f>IF(A756=0,"","Elastic")</f>
        <v/>
      </c>
    </row>
    <row r="757" spans="3:3" x14ac:dyDescent="0.25">
      <c r="C757" s="238" t="str">
        <f>IF(A757=0,"","Elastic")</f>
        <v/>
      </c>
    </row>
    <row r="758" spans="3:3" x14ac:dyDescent="0.25">
      <c r="C758" s="238" t="str">
        <f>IF(A758=0,"","Elastic")</f>
        <v/>
      </c>
    </row>
    <row r="759" spans="3:3" x14ac:dyDescent="0.25">
      <c r="C759" s="238" t="str">
        <f>IF(A759=0,"","Elastic")</f>
        <v/>
      </c>
    </row>
    <row r="760" spans="3:3" x14ac:dyDescent="0.25">
      <c r="C760" s="238" t="str">
        <f>IF(A760=0,"","Elastic")</f>
        <v/>
      </c>
    </row>
    <row r="761" spans="3:3" x14ac:dyDescent="0.25">
      <c r="C761" s="238" t="str">
        <f>IF(A761=0,"","Elastic")</f>
        <v/>
      </c>
    </row>
    <row r="762" spans="3:3" x14ac:dyDescent="0.25">
      <c r="C762" s="238" t="str">
        <f>IF(A762=0,"","Elastic")</f>
        <v/>
      </c>
    </row>
    <row r="763" spans="3:3" x14ac:dyDescent="0.25">
      <c r="C763" s="238" t="str">
        <f>IF(A763=0,"","Elastic")</f>
        <v/>
      </c>
    </row>
    <row r="764" spans="3:3" x14ac:dyDescent="0.25">
      <c r="C764" s="238" t="str">
        <f>IF(A764=0,"","Elastic")</f>
        <v/>
      </c>
    </row>
    <row r="765" spans="3:3" x14ac:dyDescent="0.25">
      <c r="C765" s="238" t="str">
        <f>IF(A765=0,"","Elastic")</f>
        <v/>
      </c>
    </row>
    <row r="766" spans="3:3" x14ac:dyDescent="0.25">
      <c r="C766" s="238" t="str">
        <f>IF(A766=0,"","Elastic")</f>
        <v/>
      </c>
    </row>
    <row r="767" spans="3:3" x14ac:dyDescent="0.25">
      <c r="C767" s="238" t="str">
        <f>IF(A767=0,"","Elastic")</f>
        <v/>
      </c>
    </row>
    <row r="768" spans="3:3" x14ac:dyDescent="0.25">
      <c r="C768" s="238" t="str">
        <f>IF(A768=0,"","Elastic")</f>
        <v/>
      </c>
    </row>
    <row r="769" spans="3:3" x14ac:dyDescent="0.25">
      <c r="C769" s="238" t="str">
        <f>IF(A769=0,"","Elastic")</f>
        <v/>
      </c>
    </row>
    <row r="770" spans="3:3" x14ac:dyDescent="0.25">
      <c r="C770" s="238" t="str">
        <f>IF(A770=0,"","Elastic")</f>
        <v/>
      </c>
    </row>
    <row r="771" spans="3:3" x14ac:dyDescent="0.25">
      <c r="C771" s="238" t="str">
        <f>IF(A771=0,"","Elastic")</f>
        <v/>
      </c>
    </row>
    <row r="772" spans="3:3" x14ac:dyDescent="0.25">
      <c r="C772" s="238" t="str">
        <f>IF(A772=0,"","Elastic")</f>
        <v/>
      </c>
    </row>
    <row r="773" spans="3:3" x14ac:dyDescent="0.25">
      <c r="C773" s="238" t="str">
        <f>IF(A773=0,"","Elastic")</f>
        <v/>
      </c>
    </row>
    <row r="774" spans="3:3" x14ac:dyDescent="0.25">
      <c r="C774" s="238" t="str">
        <f>IF(A774=0,"","Elastic")</f>
        <v/>
      </c>
    </row>
    <row r="775" spans="3:3" x14ac:dyDescent="0.25">
      <c r="C775" s="238" t="str">
        <f>IF(A775=0,"","Elastic")</f>
        <v/>
      </c>
    </row>
    <row r="776" spans="3:3" x14ac:dyDescent="0.25">
      <c r="C776" s="238" t="str">
        <f>IF(A776=0,"","Elastic")</f>
        <v/>
      </c>
    </row>
    <row r="777" spans="3:3" x14ac:dyDescent="0.25">
      <c r="C777" s="238" t="str">
        <f>IF(A777=0,"","Elastic")</f>
        <v/>
      </c>
    </row>
    <row r="778" spans="3:3" x14ac:dyDescent="0.25">
      <c r="C778" s="238" t="str">
        <f>IF(A778=0,"","Elastic")</f>
        <v/>
      </c>
    </row>
    <row r="779" spans="3:3" x14ac:dyDescent="0.25">
      <c r="C779" s="238" t="str">
        <f>IF(A779=0,"","Elastic")</f>
        <v/>
      </c>
    </row>
    <row r="780" spans="3:3" x14ac:dyDescent="0.25">
      <c r="C780" s="238" t="str">
        <f>IF(A780=0,"","Elastic")</f>
        <v/>
      </c>
    </row>
    <row r="781" spans="3:3" x14ac:dyDescent="0.25">
      <c r="C781" s="238" t="str">
        <f>IF(A781=0,"","Elastic")</f>
        <v/>
      </c>
    </row>
    <row r="782" spans="3:3" x14ac:dyDescent="0.25">
      <c r="C782" s="238" t="str">
        <f>IF(A782=0,"","Elastic")</f>
        <v/>
      </c>
    </row>
    <row r="783" spans="3:3" x14ac:dyDescent="0.25">
      <c r="C783" s="238" t="str">
        <f>IF(A783=0,"","Elastic")</f>
        <v/>
      </c>
    </row>
    <row r="784" spans="3:3" x14ac:dyDescent="0.25">
      <c r="C784" s="238" t="str">
        <f>IF(A784=0,"","Elastic")</f>
        <v/>
      </c>
    </row>
    <row r="785" spans="3:3" x14ac:dyDescent="0.25">
      <c r="C785" s="238" t="str">
        <f>IF(A785=0,"","Elastic")</f>
        <v/>
      </c>
    </row>
    <row r="786" spans="3:3" x14ac:dyDescent="0.25">
      <c r="C786" s="238" t="str">
        <f>IF(A786=0,"","Elastic")</f>
        <v/>
      </c>
    </row>
    <row r="787" spans="3:3" x14ac:dyDescent="0.25">
      <c r="C787" s="238" t="str">
        <f>IF(A787=0,"","Elastic")</f>
        <v/>
      </c>
    </row>
    <row r="788" spans="3:3" x14ac:dyDescent="0.25">
      <c r="C788" s="238" t="str">
        <f>IF(A788=0,"","Elastic")</f>
        <v/>
      </c>
    </row>
    <row r="789" spans="3:3" x14ac:dyDescent="0.25">
      <c r="C789" s="238" t="str">
        <f>IF(A789=0,"","Elastic")</f>
        <v/>
      </c>
    </row>
    <row r="790" spans="3:3" x14ac:dyDescent="0.25">
      <c r="C790" s="238" t="str">
        <f>IF(A790=0,"","Elastic")</f>
        <v/>
      </c>
    </row>
    <row r="791" spans="3:3" x14ac:dyDescent="0.25">
      <c r="C791" s="238" t="str">
        <f>IF(A791=0,"","Elastic")</f>
        <v/>
      </c>
    </row>
    <row r="792" spans="3:3" x14ac:dyDescent="0.25">
      <c r="C792" s="238" t="str">
        <f>IF(A792=0,"","Elastic")</f>
        <v/>
      </c>
    </row>
    <row r="793" spans="3:3" x14ac:dyDescent="0.25">
      <c r="C793" s="238" t="str">
        <f>IF(A793=0,"","Elastic")</f>
        <v/>
      </c>
    </row>
    <row r="794" spans="3:3" x14ac:dyDescent="0.25">
      <c r="C794" s="238" t="str">
        <f>IF(A794=0,"","Elastic")</f>
        <v/>
      </c>
    </row>
    <row r="795" spans="3:3" x14ac:dyDescent="0.25">
      <c r="C795" s="238" t="str">
        <f>IF(A795=0,"","Elastic")</f>
        <v/>
      </c>
    </row>
    <row r="796" spans="3:3" x14ac:dyDescent="0.25">
      <c r="C796" s="238" t="str">
        <f>IF(A796=0,"","Elastic")</f>
        <v/>
      </c>
    </row>
    <row r="797" spans="3:3" x14ac:dyDescent="0.25">
      <c r="C797" s="238" t="str">
        <f>IF(A797=0,"","Elastic")</f>
        <v/>
      </c>
    </row>
    <row r="798" spans="3:3" x14ac:dyDescent="0.25">
      <c r="C798" s="238" t="str">
        <f>IF(A798=0,"","Elastic")</f>
        <v/>
      </c>
    </row>
    <row r="799" spans="3:3" x14ac:dyDescent="0.25">
      <c r="C799" s="238" t="str">
        <f>IF(A799=0,"","Elastic")</f>
        <v/>
      </c>
    </row>
    <row r="800" spans="3:3" x14ac:dyDescent="0.25">
      <c r="C800" s="238" t="str">
        <f>IF(A800=0,"","Elastic")</f>
        <v/>
      </c>
    </row>
    <row r="801" spans="3:3" x14ac:dyDescent="0.25">
      <c r="C801" s="238" t="str">
        <f>IF(A801=0,"","Elastic")</f>
        <v/>
      </c>
    </row>
    <row r="802" spans="3:3" x14ac:dyDescent="0.25">
      <c r="C802" s="238" t="str">
        <f>IF(A802=0,"","Elastic")</f>
        <v/>
      </c>
    </row>
    <row r="803" spans="3:3" x14ac:dyDescent="0.25">
      <c r="C803" s="238" t="str">
        <f>IF(A803=0,"","Elastic")</f>
        <v/>
      </c>
    </row>
    <row r="804" spans="3:3" x14ac:dyDescent="0.25">
      <c r="C804" s="238" t="str">
        <f>IF(A804=0,"","Elastic")</f>
        <v/>
      </c>
    </row>
    <row r="805" spans="3:3" x14ac:dyDescent="0.25">
      <c r="C805" s="238" t="str">
        <f>IF(A805=0,"","Elastic")</f>
        <v/>
      </c>
    </row>
    <row r="806" spans="3:3" x14ac:dyDescent="0.25">
      <c r="C806" s="238" t="str">
        <f>IF(A806=0,"","Elastic")</f>
        <v/>
      </c>
    </row>
    <row r="807" spans="3:3" x14ac:dyDescent="0.25">
      <c r="C807" s="238" t="str">
        <f>IF(A807=0,"","Elastic")</f>
        <v/>
      </c>
    </row>
    <row r="808" spans="3:3" x14ac:dyDescent="0.25">
      <c r="C808" s="238" t="str">
        <f>IF(A808=0,"","Elastic")</f>
        <v/>
      </c>
    </row>
    <row r="809" spans="3:3" x14ac:dyDescent="0.25">
      <c r="C809" s="238" t="str">
        <f>IF(A809=0,"","Elastic")</f>
        <v/>
      </c>
    </row>
    <row r="810" spans="3:3" x14ac:dyDescent="0.25">
      <c r="C810" s="238" t="str">
        <f>IF(A810=0,"","Elastic")</f>
        <v/>
      </c>
    </row>
    <row r="811" spans="3:3" x14ac:dyDescent="0.25">
      <c r="C811" s="238" t="str">
        <f>IF(A811=0,"","Elastic")</f>
        <v/>
      </c>
    </row>
    <row r="812" spans="3:3" x14ac:dyDescent="0.25">
      <c r="C812" s="238" t="str">
        <f>IF(A812=0,"","Elastic")</f>
        <v/>
      </c>
    </row>
    <row r="813" spans="3:3" x14ac:dyDescent="0.25">
      <c r="C813" s="238" t="str">
        <f>IF(A813=0,"","Elastic")</f>
        <v/>
      </c>
    </row>
    <row r="814" spans="3:3" x14ac:dyDescent="0.25">
      <c r="C814" s="238" t="str">
        <f>IF(A814=0,"","Elastic")</f>
        <v/>
      </c>
    </row>
    <row r="815" spans="3:3" x14ac:dyDescent="0.25">
      <c r="C815" s="238" t="str">
        <f>IF(A815=0,"","Elastic")</f>
        <v/>
      </c>
    </row>
    <row r="816" spans="3:3" x14ac:dyDescent="0.25">
      <c r="C816" s="238" t="str">
        <f>IF(A816=0,"","Elastic")</f>
        <v/>
      </c>
    </row>
    <row r="817" spans="3:3" x14ac:dyDescent="0.25">
      <c r="C817" s="238" t="str">
        <f>IF(A817=0,"","Elastic")</f>
        <v/>
      </c>
    </row>
    <row r="818" spans="3:3" x14ac:dyDescent="0.25">
      <c r="C818" s="238" t="str">
        <f>IF(A818=0,"","Elastic")</f>
        <v/>
      </c>
    </row>
    <row r="819" spans="3:3" x14ac:dyDescent="0.25">
      <c r="C819" s="238" t="str">
        <f>IF(A819=0,"","Elastic")</f>
        <v/>
      </c>
    </row>
    <row r="820" spans="3:3" x14ac:dyDescent="0.25">
      <c r="C820" s="238" t="str">
        <f>IF(A820=0,"","Elastic")</f>
        <v/>
      </c>
    </row>
    <row r="821" spans="3:3" x14ac:dyDescent="0.25">
      <c r="C821" s="238" t="str">
        <f>IF(A821=0,"","Elastic")</f>
        <v/>
      </c>
    </row>
    <row r="822" spans="3:3" x14ac:dyDescent="0.25">
      <c r="C822" s="238" t="str">
        <f>IF(A822=0,"","Elastic")</f>
        <v/>
      </c>
    </row>
    <row r="823" spans="3:3" x14ac:dyDescent="0.25">
      <c r="C823" s="238" t="str">
        <f>IF(A823=0,"","Elastic")</f>
        <v/>
      </c>
    </row>
    <row r="824" spans="3:3" x14ac:dyDescent="0.25">
      <c r="C824" s="238" t="str">
        <f>IF(A824=0,"","Elastic")</f>
        <v/>
      </c>
    </row>
    <row r="825" spans="3:3" x14ac:dyDescent="0.25">
      <c r="C825" s="238" t="str">
        <f>IF(A825=0,"","Elastic")</f>
        <v/>
      </c>
    </row>
    <row r="826" spans="3:3" x14ac:dyDescent="0.25">
      <c r="C826" s="238" t="str">
        <f>IF(A826=0,"","Elastic")</f>
        <v/>
      </c>
    </row>
    <row r="827" spans="3:3" x14ac:dyDescent="0.25">
      <c r="C827" s="238" t="str">
        <f>IF(A827=0,"","Elastic")</f>
        <v/>
      </c>
    </row>
    <row r="828" spans="3:3" x14ac:dyDescent="0.25">
      <c r="C828" s="238" t="str">
        <f>IF(A828=0,"","Elastic")</f>
        <v/>
      </c>
    </row>
    <row r="829" spans="3:3" x14ac:dyDescent="0.25">
      <c r="C829" s="238" t="str">
        <f>IF(A829=0,"","Elastic")</f>
        <v/>
      </c>
    </row>
    <row r="830" spans="3:3" x14ac:dyDescent="0.25">
      <c r="C830" s="238" t="str">
        <f>IF(A830=0,"","Elastic")</f>
        <v/>
      </c>
    </row>
    <row r="831" spans="3:3" x14ac:dyDescent="0.25">
      <c r="C831" s="238" t="str">
        <f>IF(A831=0,"","Elastic")</f>
        <v/>
      </c>
    </row>
    <row r="832" spans="3:3" x14ac:dyDescent="0.25">
      <c r="C832" s="238" t="str">
        <f>IF(A832=0,"","Elastic")</f>
        <v/>
      </c>
    </row>
    <row r="833" spans="3:3" x14ac:dyDescent="0.25">
      <c r="C833" s="238" t="str">
        <f>IF(A833=0,"","Elastic")</f>
        <v/>
      </c>
    </row>
    <row r="834" spans="3:3" x14ac:dyDescent="0.25">
      <c r="C834" s="238" t="str">
        <f>IF(A834=0,"","Elastic")</f>
        <v/>
      </c>
    </row>
    <row r="835" spans="3:3" x14ac:dyDescent="0.25">
      <c r="C835" s="238" t="str">
        <f>IF(A835=0,"","Elastic")</f>
        <v/>
      </c>
    </row>
    <row r="836" spans="3:3" x14ac:dyDescent="0.25">
      <c r="C836" s="238" t="str">
        <f>IF(A836=0,"","Elastic")</f>
        <v/>
      </c>
    </row>
    <row r="837" spans="3:3" x14ac:dyDescent="0.25">
      <c r="C837" s="238" t="str">
        <f>IF(A837=0,"","Elastic")</f>
        <v/>
      </c>
    </row>
    <row r="838" spans="3:3" x14ac:dyDescent="0.25">
      <c r="C838" s="238" t="str">
        <f>IF(A838=0,"","Elastic")</f>
        <v/>
      </c>
    </row>
    <row r="839" spans="3:3" x14ac:dyDescent="0.25">
      <c r="C839" s="238" t="str">
        <f>IF(A839=0,"","Elastic")</f>
        <v/>
      </c>
    </row>
    <row r="840" spans="3:3" x14ac:dyDescent="0.25">
      <c r="C840" s="238" t="str">
        <f>IF(A840=0,"","Elastic")</f>
        <v/>
      </c>
    </row>
    <row r="841" spans="3:3" x14ac:dyDescent="0.25">
      <c r="C841" s="238" t="str">
        <f>IF(A841=0,"","Elastic")</f>
        <v/>
      </c>
    </row>
    <row r="842" spans="3:3" x14ac:dyDescent="0.25">
      <c r="C842" s="238" t="str">
        <f>IF(A842=0,"","Elastic")</f>
        <v/>
      </c>
    </row>
    <row r="843" spans="3:3" x14ac:dyDescent="0.25">
      <c r="C843" s="238" t="str">
        <f>IF(A843=0,"","Elastic")</f>
        <v/>
      </c>
    </row>
    <row r="844" spans="3:3" x14ac:dyDescent="0.25">
      <c r="C844" s="238" t="str">
        <f>IF(A844=0,"","Elastic")</f>
        <v/>
      </c>
    </row>
    <row r="845" spans="3:3" x14ac:dyDescent="0.25">
      <c r="C845" s="238" t="str">
        <f>IF(A845=0,"","Elastic")</f>
        <v/>
      </c>
    </row>
    <row r="846" spans="3:3" x14ac:dyDescent="0.25">
      <c r="C846" s="238" t="str">
        <f>IF(A846=0,"","Elastic")</f>
        <v/>
      </c>
    </row>
    <row r="847" spans="3:3" x14ac:dyDescent="0.25">
      <c r="C847" s="238" t="str">
        <f>IF(A847=0,"","Elastic")</f>
        <v/>
      </c>
    </row>
    <row r="848" spans="3:3" x14ac:dyDescent="0.25">
      <c r="C848" s="238" t="str">
        <f>IF(A848=0,"","Elastic")</f>
        <v/>
      </c>
    </row>
    <row r="849" spans="3:3" x14ac:dyDescent="0.25">
      <c r="C849" s="238" t="str">
        <f>IF(A849=0,"","Elastic")</f>
        <v/>
      </c>
    </row>
    <row r="850" spans="3:3" x14ac:dyDescent="0.25">
      <c r="C850" s="238" t="str">
        <f>IF(A850=0,"","Elastic")</f>
        <v/>
      </c>
    </row>
    <row r="851" spans="3:3" x14ac:dyDescent="0.25">
      <c r="C851" s="238" t="str">
        <f>IF(A851=0,"","Elastic")</f>
        <v/>
      </c>
    </row>
    <row r="852" spans="3:3" x14ac:dyDescent="0.25">
      <c r="C852" s="238" t="str">
        <f>IF(A852=0,"","Elastic")</f>
        <v/>
      </c>
    </row>
    <row r="853" spans="3:3" x14ac:dyDescent="0.25">
      <c r="C853" s="238" t="str">
        <f>IF(A853=0,"","Elastic")</f>
        <v/>
      </c>
    </row>
    <row r="854" spans="3:3" x14ac:dyDescent="0.25">
      <c r="C854" s="238" t="str">
        <f>IF(A854=0,"","Elastic")</f>
        <v/>
      </c>
    </row>
    <row r="855" spans="3:3" x14ac:dyDescent="0.25">
      <c r="C855" s="238" t="str">
        <f>IF(A855=0,"","Elastic")</f>
        <v/>
      </c>
    </row>
    <row r="856" spans="3:3" x14ac:dyDescent="0.25">
      <c r="C856" s="238" t="str">
        <f>IF(A856=0,"","Elastic")</f>
        <v/>
      </c>
    </row>
    <row r="857" spans="3:3" x14ac:dyDescent="0.25">
      <c r="C857" s="238" t="str">
        <f>IF(A857=0,"","Elastic")</f>
        <v/>
      </c>
    </row>
    <row r="858" spans="3:3" x14ac:dyDescent="0.25">
      <c r="C858" s="238" t="str">
        <f>IF(A858=0,"","Elastic")</f>
        <v/>
      </c>
    </row>
    <row r="859" spans="3:3" x14ac:dyDescent="0.25">
      <c r="C859" s="238" t="str">
        <f>IF(A859=0,"","Elastic")</f>
        <v/>
      </c>
    </row>
    <row r="860" spans="3:3" x14ac:dyDescent="0.25">
      <c r="C860" s="238" t="str">
        <f>IF(A860=0,"","Elastic")</f>
        <v/>
      </c>
    </row>
    <row r="861" spans="3:3" x14ac:dyDescent="0.25">
      <c r="C861" s="238" t="str">
        <f>IF(A861=0,"","Elastic")</f>
        <v/>
      </c>
    </row>
    <row r="862" spans="3:3" x14ac:dyDescent="0.25">
      <c r="C862" s="238" t="str">
        <f>IF(A862=0,"","Elastic")</f>
        <v/>
      </c>
    </row>
    <row r="863" spans="3:3" x14ac:dyDescent="0.25">
      <c r="C863" s="238" t="str">
        <f>IF(A863=0,"","Elastic")</f>
        <v/>
      </c>
    </row>
    <row r="864" spans="3:3" x14ac:dyDescent="0.25">
      <c r="C864" s="238" t="str">
        <f>IF(A864=0,"","Elastic")</f>
        <v/>
      </c>
    </row>
    <row r="865" spans="3:3" x14ac:dyDescent="0.25">
      <c r="C865" s="238" t="str">
        <f>IF(A865=0,"","Elastic")</f>
        <v/>
      </c>
    </row>
    <row r="866" spans="3:3" x14ac:dyDescent="0.25">
      <c r="C866" s="238" t="str">
        <f>IF(A866=0,"","Elastic")</f>
        <v/>
      </c>
    </row>
    <row r="867" spans="3:3" x14ac:dyDescent="0.25">
      <c r="C867" s="238" t="str">
        <f>IF(A867=0,"","Elastic")</f>
        <v/>
      </c>
    </row>
    <row r="868" spans="3:3" x14ac:dyDescent="0.25">
      <c r="C868" s="238" t="str">
        <f>IF(A868=0,"","Elastic")</f>
        <v/>
      </c>
    </row>
    <row r="869" spans="3:3" x14ac:dyDescent="0.25">
      <c r="C869" s="238" t="str">
        <f>IF(A869=0,"","Elastic")</f>
        <v/>
      </c>
    </row>
    <row r="870" spans="3:3" x14ac:dyDescent="0.25">
      <c r="C870" s="238" t="str">
        <f>IF(A870=0,"","Elastic")</f>
        <v/>
      </c>
    </row>
    <row r="871" spans="3:3" x14ac:dyDescent="0.25">
      <c r="C871" s="238" t="str">
        <f>IF(A871=0,"","Elastic")</f>
        <v/>
      </c>
    </row>
    <row r="872" spans="3:3" x14ac:dyDescent="0.25">
      <c r="C872" s="238" t="str">
        <f>IF(A872=0,"","Elastic")</f>
        <v/>
      </c>
    </row>
    <row r="873" spans="3:3" x14ac:dyDescent="0.25">
      <c r="C873" s="238" t="str">
        <f>IF(A873=0,"","Elastic")</f>
        <v/>
      </c>
    </row>
    <row r="874" spans="3:3" x14ac:dyDescent="0.25">
      <c r="C874" s="238" t="str">
        <f>IF(A874=0,"","Elastic")</f>
        <v/>
      </c>
    </row>
    <row r="875" spans="3:3" x14ac:dyDescent="0.25">
      <c r="C875" s="238" t="str">
        <f>IF(A875=0,"","Elastic")</f>
        <v/>
      </c>
    </row>
    <row r="876" spans="3:3" x14ac:dyDescent="0.25">
      <c r="C876" s="238" t="str">
        <f>IF(A876=0,"","Elastic")</f>
        <v/>
      </c>
    </row>
    <row r="877" spans="3:3" x14ac:dyDescent="0.25">
      <c r="C877" s="238" t="str">
        <f>IF(A877=0,"","Elastic")</f>
        <v/>
      </c>
    </row>
    <row r="878" spans="3:3" x14ac:dyDescent="0.25">
      <c r="C878" s="238" t="str">
        <f>IF(A878=0,"","Elastic")</f>
        <v/>
      </c>
    </row>
    <row r="879" spans="3:3" x14ac:dyDescent="0.25">
      <c r="C879" s="238" t="str">
        <f>IF(A879=0,"","Elastic")</f>
        <v/>
      </c>
    </row>
    <row r="880" spans="3:3" x14ac:dyDescent="0.25">
      <c r="C880" s="238" t="str">
        <f>IF(A880=0,"","Elastic")</f>
        <v/>
      </c>
    </row>
    <row r="881" spans="3:3" x14ac:dyDescent="0.25">
      <c r="C881" s="238" t="str">
        <f>IF(A881=0,"","Elastic")</f>
        <v/>
      </c>
    </row>
    <row r="882" spans="3:3" x14ac:dyDescent="0.25">
      <c r="C882" s="238" t="str">
        <f>IF(A882=0,"","Elastic")</f>
        <v/>
      </c>
    </row>
    <row r="883" spans="3:3" x14ac:dyDescent="0.25">
      <c r="C883" s="238" t="str">
        <f>IF(A883=0,"","Elastic")</f>
        <v/>
      </c>
    </row>
    <row r="884" spans="3:3" x14ac:dyDescent="0.25">
      <c r="C884" s="238" t="str">
        <f>IF(A884=0,"","Elastic")</f>
        <v/>
      </c>
    </row>
    <row r="885" spans="3:3" x14ac:dyDescent="0.25">
      <c r="C885" s="238" t="str">
        <f>IF(A885=0,"","Elastic")</f>
        <v/>
      </c>
    </row>
    <row r="886" spans="3:3" x14ac:dyDescent="0.25">
      <c r="C886" s="238" t="str">
        <f>IF(A886=0,"","Elastic")</f>
        <v/>
      </c>
    </row>
    <row r="887" spans="3:3" x14ac:dyDescent="0.25">
      <c r="C887" s="238" t="str">
        <f>IF(A887=0,"","Elastic")</f>
        <v/>
      </c>
    </row>
    <row r="888" spans="3:3" x14ac:dyDescent="0.25">
      <c r="C888" s="238" t="str">
        <f>IF(A888=0,"","Elastic")</f>
        <v/>
      </c>
    </row>
    <row r="889" spans="3:3" x14ac:dyDescent="0.25">
      <c r="C889" s="238" t="str">
        <f>IF(A889=0,"","Elastic")</f>
        <v/>
      </c>
    </row>
    <row r="890" spans="3:3" x14ac:dyDescent="0.25">
      <c r="C890" s="238" t="str">
        <f>IF(A890=0,"","Elastic")</f>
        <v/>
      </c>
    </row>
    <row r="891" spans="3:3" x14ac:dyDescent="0.25">
      <c r="C891" s="238" t="str">
        <f>IF(A891=0,"","Elastic")</f>
        <v/>
      </c>
    </row>
    <row r="892" spans="3:3" x14ac:dyDescent="0.25">
      <c r="C892" s="238" t="str">
        <f>IF(A892=0,"","Elastic")</f>
        <v/>
      </c>
    </row>
    <row r="893" spans="3:3" x14ac:dyDescent="0.25">
      <c r="C893" s="238" t="str">
        <f>IF(A893=0,"","Elastic")</f>
        <v/>
      </c>
    </row>
    <row r="894" spans="3:3" x14ac:dyDescent="0.25">
      <c r="C894" s="238" t="str">
        <f>IF(A894=0,"","Elastic")</f>
        <v/>
      </c>
    </row>
    <row r="895" spans="3:3" x14ac:dyDescent="0.25">
      <c r="C895" s="238" t="str">
        <f>IF(A895=0,"","Elastic")</f>
        <v/>
      </c>
    </row>
    <row r="896" spans="3:3" x14ac:dyDescent="0.25">
      <c r="C896" s="238" t="str">
        <f>IF(A896=0,"","Elastic")</f>
        <v/>
      </c>
    </row>
    <row r="897" spans="3:3" x14ac:dyDescent="0.25">
      <c r="C897" s="238" t="str">
        <f>IF(A897=0,"","Elastic")</f>
        <v/>
      </c>
    </row>
    <row r="898" spans="3:3" x14ac:dyDescent="0.25">
      <c r="C898" s="238" t="str">
        <f>IF(A898=0,"","Elastic")</f>
        <v/>
      </c>
    </row>
    <row r="899" spans="3:3" x14ac:dyDescent="0.25">
      <c r="C899" s="238" t="str">
        <f>IF(A899=0,"","Elastic")</f>
        <v/>
      </c>
    </row>
    <row r="900" spans="3:3" x14ac:dyDescent="0.25">
      <c r="C900" s="238" t="str">
        <f>IF(A900=0,"","Elastic")</f>
        <v/>
      </c>
    </row>
    <row r="901" spans="3:3" x14ac:dyDescent="0.25">
      <c r="C901" s="238" t="str">
        <f>IF(A901=0,"","Elastic")</f>
        <v/>
      </c>
    </row>
    <row r="902" spans="3:3" x14ac:dyDescent="0.25">
      <c r="C902" s="238" t="str">
        <f>IF(A902=0,"","Elastic")</f>
        <v/>
      </c>
    </row>
    <row r="903" spans="3:3" x14ac:dyDescent="0.25">
      <c r="C903" s="238" t="str">
        <f>IF(A903=0,"","Elastic")</f>
        <v/>
      </c>
    </row>
    <row r="904" spans="3:3" x14ac:dyDescent="0.25">
      <c r="C904" s="238" t="str">
        <f>IF(A904=0,"","Elastic")</f>
        <v/>
      </c>
    </row>
    <row r="905" spans="3:3" x14ac:dyDescent="0.25">
      <c r="C905" s="238" t="str">
        <f>IF(A905=0,"","Elastic")</f>
        <v/>
      </c>
    </row>
    <row r="906" spans="3:3" x14ac:dyDescent="0.25">
      <c r="C906" s="238" t="str">
        <f>IF(A906=0,"","Elastic")</f>
        <v/>
      </c>
    </row>
    <row r="907" spans="3:3" x14ac:dyDescent="0.25">
      <c r="C907" s="238" t="str">
        <f>IF(A907=0,"","Elastic")</f>
        <v/>
      </c>
    </row>
    <row r="908" spans="3:3" x14ac:dyDescent="0.25">
      <c r="C908" s="238" t="str">
        <f>IF(A908=0,"","Elastic")</f>
        <v/>
      </c>
    </row>
    <row r="909" spans="3:3" x14ac:dyDescent="0.25">
      <c r="C909" s="238" t="str">
        <f>IF(A909=0,"","Elastic")</f>
        <v/>
      </c>
    </row>
    <row r="910" spans="3:3" x14ac:dyDescent="0.25">
      <c r="C910" s="238" t="str">
        <f>IF(A910=0,"","Elastic")</f>
        <v/>
      </c>
    </row>
    <row r="911" spans="3:3" x14ac:dyDescent="0.25">
      <c r="C911" s="238" t="str">
        <f>IF(A911=0,"","Elastic")</f>
        <v/>
      </c>
    </row>
    <row r="912" spans="3:3" x14ac:dyDescent="0.25">
      <c r="C912" s="238" t="str">
        <f>IF(A912=0,"","Elastic")</f>
        <v/>
      </c>
    </row>
    <row r="913" spans="3:3" x14ac:dyDescent="0.25">
      <c r="C913" s="238" t="str">
        <f>IF(A913=0,"","Elastic")</f>
        <v/>
      </c>
    </row>
    <row r="914" spans="3:3" x14ac:dyDescent="0.25">
      <c r="C914" s="238" t="str">
        <f>IF(A914=0,"","Elastic")</f>
        <v/>
      </c>
    </row>
    <row r="915" spans="3:3" x14ac:dyDescent="0.25">
      <c r="C915" s="238" t="str">
        <f>IF(A915=0,"","Elastic")</f>
        <v/>
      </c>
    </row>
    <row r="916" spans="3:3" x14ac:dyDescent="0.25">
      <c r="C916" s="238" t="str">
        <f>IF(A916=0,"","Elastic")</f>
        <v/>
      </c>
    </row>
    <row r="917" spans="3:3" x14ac:dyDescent="0.25">
      <c r="C917" s="238" t="str">
        <f>IF(A917=0,"","Elastic")</f>
        <v/>
      </c>
    </row>
    <row r="918" spans="3:3" x14ac:dyDescent="0.25">
      <c r="C918" s="238" t="str">
        <f>IF(A918=0,"","Elastic")</f>
        <v/>
      </c>
    </row>
    <row r="919" spans="3:3" x14ac:dyDescent="0.25">
      <c r="C919" s="238" t="str">
        <f>IF(A919=0,"","Elastic")</f>
        <v/>
      </c>
    </row>
    <row r="920" spans="3:3" x14ac:dyDescent="0.25">
      <c r="C920" s="238" t="str">
        <f>IF(A920=0,"","Elastic")</f>
        <v/>
      </c>
    </row>
    <row r="921" spans="3:3" x14ac:dyDescent="0.25">
      <c r="C921" s="238" t="str">
        <f>IF(A921=0,"","Elastic")</f>
        <v/>
      </c>
    </row>
    <row r="922" spans="3:3" x14ac:dyDescent="0.25">
      <c r="C922" s="238" t="str">
        <f>IF(A922=0,"","Elastic")</f>
        <v/>
      </c>
    </row>
    <row r="923" spans="3:3" x14ac:dyDescent="0.25">
      <c r="C923" s="238" t="str">
        <f>IF(A923=0,"","Elastic")</f>
        <v/>
      </c>
    </row>
    <row r="924" spans="3:3" x14ac:dyDescent="0.25">
      <c r="C924" s="238" t="str">
        <f>IF(A924=0,"","Elastic")</f>
        <v/>
      </c>
    </row>
    <row r="925" spans="3:3" x14ac:dyDescent="0.25">
      <c r="C925" s="238" t="str">
        <f>IF(A925=0,"","Elastic")</f>
        <v/>
      </c>
    </row>
    <row r="926" spans="3:3" x14ac:dyDescent="0.25">
      <c r="C926" s="238" t="str">
        <f>IF(A926=0,"","Elastic")</f>
        <v/>
      </c>
    </row>
    <row r="927" spans="3:3" x14ac:dyDescent="0.25">
      <c r="C927" s="238" t="str">
        <f>IF(A927=0,"","Elastic")</f>
        <v/>
      </c>
    </row>
    <row r="928" spans="3:3" x14ac:dyDescent="0.25">
      <c r="C928" s="238" t="str">
        <f>IF(A928=0,"","Elastic")</f>
        <v/>
      </c>
    </row>
    <row r="929" spans="3:3" x14ac:dyDescent="0.25">
      <c r="C929" s="238" t="str">
        <f>IF(A929=0,"","Elastic")</f>
        <v/>
      </c>
    </row>
    <row r="930" spans="3:3" x14ac:dyDescent="0.25">
      <c r="C930" s="238" t="str">
        <f>IF(A930=0,"","Elastic")</f>
        <v/>
      </c>
    </row>
    <row r="931" spans="3:3" x14ac:dyDescent="0.25">
      <c r="C931" s="238" t="str">
        <f>IF(A931=0,"","Elastic")</f>
        <v/>
      </c>
    </row>
    <row r="932" spans="3:3" x14ac:dyDescent="0.25">
      <c r="C932" s="238" t="str">
        <f>IF(A932=0,"","Elastic")</f>
        <v/>
      </c>
    </row>
    <row r="933" spans="3:3" x14ac:dyDescent="0.25">
      <c r="C933" s="238" t="str">
        <f>IF(A933=0,"","Elastic")</f>
        <v/>
      </c>
    </row>
    <row r="934" spans="3:3" x14ac:dyDescent="0.25">
      <c r="C934" s="238" t="str">
        <f>IF(A934=0,"","Elastic")</f>
        <v/>
      </c>
    </row>
    <row r="935" spans="3:3" x14ac:dyDescent="0.25">
      <c r="C935" s="238" t="str">
        <f>IF(A935=0,"","Elastic")</f>
        <v/>
      </c>
    </row>
    <row r="936" spans="3:3" x14ac:dyDescent="0.25">
      <c r="C936" s="238" t="str">
        <f>IF(A936=0,"","Elastic")</f>
        <v/>
      </c>
    </row>
    <row r="937" spans="3:3" x14ac:dyDescent="0.25">
      <c r="C937" s="238" t="str">
        <f>IF(A937=0,"","Elastic")</f>
        <v/>
      </c>
    </row>
    <row r="938" spans="3:3" x14ac:dyDescent="0.25">
      <c r="C938" s="238" t="str">
        <f>IF(A938=0,"","Elastic")</f>
        <v/>
      </c>
    </row>
    <row r="939" spans="3:3" x14ac:dyDescent="0.25">
      <c r="C939" s="238" t="str">
        <f>IF(A939=0,"","Elastic")</f>
        <v/>
      </c>
    </row>
    <row r="940" spans="3:3" x14ac:dyDescent="0.25">
      <c r="C940" s="238" t="str">
        <f>IF(A940=0,"","Elastic")</f>
        <v/>
      </c>
    </row>
    <row r="941" spans="3:3" x14ac:dyDescent="0.25">
      <c r="C941" s="238" t="str">
        <f>IF(A941=0,"","Elastic")</f>
        <v/>
      </c>
    </row>
    <row r="942" spans="3:3" x14ac:dyDescent="0.25">
      <c r="C942" s="238" t="str">
        <f>IF(A942=0,"","Elastic")</f>
        <v/>
      </c>
    </row>
    <row r="943" spans="3:3" x14ac:dyDescent="0.25">
      <c r="C943" s="238" t="str">
        <f>IF(A943=0,"","Elastic")</f>
        <v/>
      </c>
    </row>
    <row r="944" spans="3:3" x14ac:dyDescent="0.25">
      <c r="C944" s="238" t="str">
        <f>IF(A944=0,"","Elastic")</f>
        <v/>
      </c>
    </row>
    <row r="945" spans="3:3" x14ac:dyDescent="0.25">
      <c r="C945" s="238" t="str">
        <f>IF(A945=0,"","Elastic")</f>
        <v/>
      </c>
    </row>
    <row r="946" spans="3:3" x14ac:dyDescent="0.25">
      <c r="C946" s="238" t="str">
        <f>IF(A946=0,"","Elastic")</f>
        <v/>
      </c>
    </row>
    <row r="947" spans="3:3" x14ac:dyDescent="0.25">
      <c r="C947" s="238" t="str">
        <f>IF(A947=0,"","Elastic")</f>
        <v/>
      </c>
    </row>
    <row r="948" spans="3:3" x14ac:dyDescent="0.25">
      <c r="C948" s="238" t="str">
        <f>IF(A948=0,"","Elastic")</f>
        <v/>
      </c>
    </row>
    <row r="949" spans="3:3" x14ac:dyDescent="0.25">
      <c r="C949" s="238" t="str">
        <f>IF(A949=0,"","Elastic")</f>
        <v/>
      </c>
    </row>
    <row r="950" spans="3:3" x14ac:dyDescent="0.25">
      <c r="C950" s="238" t="str">
        <f>IF(A950=0,"","Elastic")</f>
        <v/>
      </c>
    </row>
    <row r="951" spans="3:3" x14ac:dyDescent="0.25">
      <c r="C951" s="238" t="str">
        <f>IF(A951=0,"","Elastic")</f>
        <v/>
      </c>
    </row>
    <row r="952" spans="3:3" x14ac:dyDescent="0.25">
      <c r="C952" s="238" t="str">
        <f>IF(A952=0,"","Elastic")</f>
        <v/>
      </c>
    </row>
    <row r="953" spans="3:3" x14ac:dyDescent="0.25">
      <c r="C953" s="238" t="str">
        <f>IF(A953=0,"","Elastic")</f>
        <v/>
      </c>
    </row>
    <row r="954" spans="3:3" x14ac:dyDescent="0.25">
      <c r="C954" s="238" t="str">
        <f>IF(A954=0,"","Elastic")</f>
        <v/>
      </c>
    </row>
    <row r="955" spans="3:3" x14ac:dyDescent="0.25">
      <c r="C955" s="238" t="str">
        <f>IF(A955=0,"","Elastic")</f>
        <v/>
      </c>
    </row>
    <row r="956" spans="3:3" x14ac:dyDescent="0.25">
      <c r="C956" s="238" t="str">
        <f>IF(A956=0,"","Elastic")</f>
        <v/>
      </c>
    </row>
    <row r="957" spans="3:3" x14ac:dyDescent="0.25">
      <c r="C957" s="238" t="str">
        <f>IF(A957=0,"","Elastic")</f>
        <v/>
      </c>
    </row>
    <row r="958" spans="3:3" x14ac:dyDescent="0.25">
      <c r="C958" s="238" t="str">
        <f>IF(A958=0,"","Elastic")</f>
        <v/>
      </c>
    </row>
    <row r="959" spans="3:3" x14ac:dyDescent="0.25">
      <c r="C959" s="238" t="str">
        <f>IF(A959=0,"","Elastic")</f>
        <v/>
      </c>
    </row>
    <row r="960" spans="3:3" x14ac:dyDescent="0.25">
      <c r="C960" s="238" t="str">
        <f>IF(A960=0,"","Elastic")</f>
        <v/>
      </c>
    </row>
    <row r="961" spans="3:3" x14ac:dyDescent="0.25">
      <c r="C961" s="238" t="str">
        <f>IF(A961=0,"","Elastic")</f>
        <v/>
      </c>
    </row>
    <row r="962" spans="3:3" x14ac:dyDescent="0.25">
      <c r="C962" s="238" t="str">
        <f>IF(A962=0,"","Elastic")</f>
        <v/>
      </c>
    </row>
    <row r="963" spans="3:3" x14ac:dyDescent="0.25">
      <c r="C963" s="238" t="str">
        <f>IF(A963=0,"","Elastic")</f>
        <v/>
      </c>
    </row>
    <row r="964" spans="3:3" x14ac:dyDescent="0.25">
      <c r="C964" s="238" t="str">
        <f>IF(A964=0,"","Elastic")</f>
        <v/>
      </c>
    </row>
    <row r="965" spans="3:3" x14ac:dyDescent="0.25">
      <c r="C965" s="238" t="str">
        <f>IF(A965=0,"","Elastic")</f>
        <v/>
      </c>
    </row>
    <row r="966" spans="3:3" x14ac:dyDescent="0.25">
      <c r="C966" s="238" t="str">
        <f>IF(A966=0,"","Elastic")</f>
        <v/>
      </c>
    </row>
    <row r="967" spans="3:3" x14ac:dyDescent="0.25">
      <c r="C967" s="238" t="str">
        <f>IF(A967=0,"","Elastic")</f>
        <v/>
      </c>
    </row>
    <row r="968" spans="3:3" x14ac:dyDescent="0.25">
      <c r="C968" s="238" t="str">
        <f>IF(A968=0,"","Elastic")</f>
        <v/>
      </c>
    </row>
    <row r="969" spans="3:3" x14ac:dyDescent="0.25">
      <c r="C969" s="238" t="str">
        <f>IF(A969=0,"","Elastic")</f>
        <v/>
      </c>
    </row>
    <row r="970" spans="3:3" x14ac:dyDescent="0.25">
      <c r="C970" s="238" t="str">
        <f>IF(A970=0,"","Elastic")</f>
        <v/>
      </c>
    </row>
    <row r="971" spans="3:3" x14ac:dyDescent="0.25">
      <c r="C971" s="238" t="str">
        <f>IF(A971=0,"","Elastic")</f>
        <v/>
      </c>
    </row>
    <row r="972" spans="3:3" x14ac:dyDescent="0.25">
      <c r="C972" s="238" t="str">
        <f>IF(A972=0,"","Elastic")</f>
        <v/>
      </c>
    </row>
    <row r="973" spans="3:3" x14ac:dyDescent="0.25">
      <c r="C973" s="238" t="str">
        <f>IF(A973=0,"","Elastic")</f>
        <v/>
      </c>
    </row>
    <row r="974" spans="3:3" x14ac:dyDescent="0.25">
      <c r="C974" s="238" t="str">
        <f>IF(A974=0,"","Elastic")</f>
        <v/>
      </c>
    </row>
    <row r="975" spans="3:3" x14ac:dyDescent="0.25">
      <c r="C975" s="238" t="str">
        <f>IF(A975=0,"","Elastic")</f>
        <v/>
      </c>
    </row>
    <row r="976" spans="3:3" x14ac:dyDescent="0.25">
      <c r="C976" s="238" t="str">
        <f>IF(A976=0,"","Elastic")</f>
        <v/>
      </c>
    </row>
    <row r="977" spans="3:3" x14ac:dyDescent="0.25">
      <c r="C977" s="238" t="str">
        <f>IF(A977=0,"","Elastic")</f>
        <v/>
      </c>
    </row>
    <row r="978" spans="3:3" x14ac:dyDescent="0.25">
      <c r="C978" s="238" t="str">
        <f>IF(A978=0,"","Elastic")</f>
        <v/>
      </c>
    </row>
    <row r="979" spans="3:3" x14ac:dyDescent="0.25">
      <c r="C979" s="238" t="str">
        <f>IF(A979=0,"","Elastic")</f>
        <v/>
      </c>
    </row>
    <row r="980" spans="3:3" x14ac:dyDescent="0.25">
      <c r="C980" s="238" t="str">
        <f>IF(A980=0,"","Elastic")</f>
        <v/>
      </c>
    </row>
    <row r="981" spans="3:3" x14ac:dyDescent="0.25">
      <c r="C981" s="238" t="str">
        <f>IF(A981=0,"","Elastic")</f>
        <v/>
      </c>
    </row>
    <row r="982" spans="3:3" x14ac:dyDescent="0.25">
      <c r="C982" s="238" t="str">
        <f>IF(A982=0,"","Elastic")</f>
        <v/>
      </c>
    </row>
    <row r="983" spans="3:3" x14ac:dyDescent="0.25">
      <c r="C983" s="238" t="str">
        <f>IF(A983=0,"","Elastic")</f>
        <v/>
      </c>
    </row>
    <row r="984" spans="3:3" x14ac:dyDescent="0.25">
      <c r="C984" s="238" t="str">
        <f>IF(A984=0,"","Elastic")</f>
        <v/>
      </c>
    </row>
    <row r="985" spans="3:3" x14ac:dyDescent="0.25">
      <c r="C985" s="238" t="str">
        <f>IF(A985=0,"","Elastic")</f>
        <v/>
      </c>
    </row>
    <row r="986" spans="3:3" x14ac:dyDescent="0.25">
      <c r="C986" s="238" t="str">
        <f>IF(A986=0,"","Elastic")</f>
        <v/>
      </c>
    </row>
    <row r="987" spans="3:3" x14ac:dyDescent="0.25">
      <c r="C987" s="238" t="str">
        <f>IF(A987=0,"","Elastic")</f>
        <v/>
      </c>
    </row>
    <row r="988" spans="3:3" x14ac:dyDescent="0.25">
      <c r="C988" s="238" t="str">
        <f>IF(A988=0,"","Elastic")</f>
        <v/>
      </c>
    </row>
    <row r="989" spans="3:3" x14ac:dyDescent="0.25">
      <c r="C989" s="238" t="str">
        <f>IF(A989=0,"","Elastic")</f>
        <v/>
      </c>
    </row>
    <row r="990" spans="3:3" x14ac:dyDescent="0.25">
      <c r="C990" s="238" t="str">
        <f>IF(A990=0,"","Elastic")</f>
        <v/>
      </c>
    </row>
    <row r="991" spans="3:3" x14ac:dyDescent="0.25">
      <c r="C991" s="238" t="str">
        <f>IF(A991=0,"","Elastic")</f>
        <v/>
      </c>
    </row>
    <row r="992" spans="3:3" x14ac:dyDescent="0.25">
      <c r="C992" s="238" t="str">
        <f>IF(A992=0,"","Elastic")</f>
        <v/>
      </c>
    </row>
    <row r="993" spans="3:3" x14ac:dyDescent="0.25">
      <c r="C993" s="238" t="str">
        <f>IF(A993=0,"","Elastic")</f>
        <v/>
      </c>
    </row>
    <row r="994" spans="3:3" x14ac:dyDescent="0.25">
      <c r="C994" s="238" t="str">
        <f>IF(A994=0,"","Elastic")</f>
        <v/>
      </c>
    </row>
    <row r="995" spans="3:3" x14ac:dyDescent="0.25">
      <c r="C995" s="238" t="str">
        <f>IF(A995=0,"","Elastic")</f>
        <v/>
      </c>
    </row>
    <row r="996" spans="3:3" x14ac:dyDescent="0.25">
      <c r="C996" s="238" t="str">
        <f>IF(A996=0,"","Elastic")</f>
        <v/>
      </c>
    </row>
    <row r="997" spans="3:3" x14ac:dyDescent="0.25">
      <c r="C997" s="238" t="str">
        <f>IF(A997=0,"","Elastic")</f>
        <v/>
      </c>
    </row>
    <row r="998" spans="3:3" x14ac:dyDescent="0.25">
      <c r="C998" s="238" t="str">
        <f>IF(A998=0,"","Elastic")</f>
        <v/>
      </c>
    </row>
    <row r="999" spans="3:3" x14ac:dyDescent="0.25">
      <c r="C999" s="238" t="str">
        <f>IF(A999=0,"","Elastic")</f>
        <v/>
      </c>
    </row>
    <row r="1000" spans="3:3" x14ac:dyDescent="0.25">
      <c r="C1000" s="238" t="str">
        <f>IF(A1000=0,"","Elastic")</f>
        <v/>
      </c>
    </row>
    <row r="1001" spans="3:3" x14ac:dyDescent="0.25">
      <c r="C1001" s="238" t="str">
        <f>IF(A1001=0,"","Elastic")</f>
        <v/>
      </c>
    </row>
    <row r="1002" spans="3:3" x14ac:dyDescent="0.25">
      <c r="C1002" s="238" t="str">
        <f>IF(A1002=0,"","Elastic")</f>
        <v/>
      </c>
    </row>
    <row r="1003" spans="3:3" x14ac:dyDescent="0.25">
      <c r="C1003" s="238" t="str">
        <f>IF(A1003=0,"","Elastic")</f>
        <v/>
      </c>
    </row>
    <row r="1004" spans="3:3" x14ac:dyDescent="0.25">
      <c r="C1004" s="238" t="str">
        <f>IF(A1004=0,"","Elastic")</f>
        <v/>
      </c>
    </row>
    <row r="1005" spans="3:3" x14ac:dyDescent="0.25">
      <c r="C1005" s="238" t="str">
        <f>IF(A1005=0,"","Elastic")</f>
        <v/>
      </c>
    </row>
    <row r="1006" spans="3:3" x14ac:dyDescent="0.25">
      <c r="C1006" s="238" t="str">
        <f>IF(A1006=0,"","Elastic")</f>
        <v/>
      </c>
    </row>
    <row r="1007" spans="3:3" x14ac:dyDescent="0.25">
      <c r="C1007" s="238" t="str">
        <f>IF(A1007=0,"","Elastic")</f>
        <v/>
      </c>
    </row>
    <row r="1008" spans="3:3" x14ac:dyDescent="0.25">
      <c r="C1008" s="238" t="str">
        <f>IF(A1008=0,"","Elastic")</f>
        <v/>
      </c>
    </row>
    <row r="1009" spans="3:3" x14ac:dyDescent="0.25">
      <c r="C1009" s="238" t="str">
        <f>IF(A1009=0,"","Elastic")</f>
        <v/>
      </c>
    </row>
    <row r="1010" spans="3:3" x14ac:dyDescent="0.25">
      <c r="C1010" s="238" t="str">
        <f>IF(A1010=0,"","Elastic")</f>
        <v/>
      </c>
    </row>
    <row r="1011" spans="3:3" x14ac:dyDescent="0.25">
      <c r="C1011" s="238" t="str">
        <f>IF(A1011=0,"","Elastic")</f>
        <v/>
      </c>
    </row>
    <row r="1012" spans="3:3" x14ac:dyDescent="0.25">
      <c r="C1012" s="238" t="str">
        <f>IF(A1012=0,"","Elastic")</f>
        <v/>
      </c>
    </row>
    <row r="1013" spans="3:3" x14ac:dyDescent="0.25">
      <c r="C1013" s="238" t="str">
        <f>IF(A1013=0,"","Elastic")</f>
        <v/>
      </c>
    </row>
    <row r="1014" spans="3:3" x14ac:dyDescent="0.25">
      <c r="C1014" s="238" t="str">
        <f>IF(A1014=0,"","Elastic")</f>
        <v/>
      </c>
    </row>
    <row r="1015" spans="3:3" x14ac:dyDescent="0.25">
      <c r="C1015" s="238" t="str">
        <f>IF(A1015=0,"","Elastic")</f>
        <v/>
      </c>
    </row>
    <row r="1016" spans="3:3" x14ac:dyDescent="0.25">
      <c r="C1016" s="238" t="str">
        <f>IF(A1016=0,"","Elastic")</f>
        <v/>
      </c>
    </row>
    <row r="1017" spans="3:3" x14ac:dyDescent="0.25">
      <c r="C1017" s="238" t="str">
        <f>IF(A1017=0,"","Elastic")</f>
        <v/>
      </c>
    </row>
  </sheetData>
  <conditionalFormatting sqref="E18:G1048576 P18:W1048576">
    <cfRule type="expression" dxfId="2" priority="3">
      <formula>OR($C18="Elastic")</formula>
    </cfRule>
  </conditionalFormatting>
  <dataValidations count="7">
    <dataValidation type="textLength" allowBlank="1" showInputMessage="1" showErrorMessage="1" errorTitle="Invalid Input" error="Please enter maximum 32 characters only." sqref="A18:A1048576" xr:uid="{A6951AF9-403B-4235-97E8-ED51DE5D0D5B}">
      <formula1>1</formula1>
      <formula2>32</formula2>
    </dataValidation>
    <dataValidation type="list" showInputMessage="1" showErrorMessage="1" errorTitle="Invalid Input" error="Choose from the list" sqref="B18:B1048576" xr:uid="{4EF50105-085C-447C-A0CE-688E34E28766}">
      <formula1>Sec_Shape</formula1>
    </dataValidation>
    <dataValidation type="list" showInputMessage="1" showErrorMessage="1" errorTitle="Invalid Input" error="Choose from the list" sqref="C18:C1048576" xr:uid="{D70A793A-6AD6-4B04-AE0C-A13C3FB3C5EA}">
      <formula1>Sec_Model</formula1>
    </dataValidation>
    <dataValidation type="decimal" allowBlank="1" showInputMessage="1" showErrorMessage="1" errorTitle="Invalid Input" error="Please enter a float value only." sqref="H18:T1048576" xr:uid="{86CFDFF3-56AA-47EF-8107-3860F2D02E07}">
      <formula1>0</formula1>
      <formula2>1000000000000</formula2>
    </dataValidation>
    <dataValidation type="list" showInputMessage="1" showErrorMessage="1" errorTitle="Invalid Input" error="Choose from the list" sqref="G18:G1048576" xr:uid="{A6F874AE-4C0F-402F-B580-DEC24F8CCDCA}">
      <formula1>Int_Type_Dist</formula1>
    </dataValidation>
    <dataValidation type="whole" allowBlank="1" showInputMessage="1" showErrorMessage="1" errorTitle="Invalid Input" error="Please enter an integer value only." sqref="U18:W1048576" xr:uid="{9E7E1E85-07CA-4166-9E90-B8217F2A4E1E}">
      <formula1>0</formula1>
      <formula2>1000000000000</formula2>
    </dataValidation>
    <dataValidation type="list" showInputMessage="1" showErrorMessage="1" errorTitle="Invalid Input" error="Choose from the list" sqref="D18:F1048576" xr:uid="{A8355B54-42F1-4EFA-9077-D2579C7DD321}">
      <formula1>IF($C18="Elastic",Elastic_Mat_Name,IF($C18="Fiber",Mat_Name,""))</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K1015"/>
  <sheetViews>
    <sheetView topLeftCell="B1" zoomScale="130" zoomScaleNormal="130" workbookViewId="0">
      <selection activeCell="A17" sqref="A17"/>
    </sheetView>
  </sheetViews>
  <sheetFormatPr defaultColWidth="10.85546875" defaultRowHeight="15.75" x14ac:dyDescent="0.25"/>
  <cols>
    <col min="1" max="2" width="20.7109375" style="42" customWidth="1"/>
    <col min="3" max="8" width="20.7109375" style="1" customWidth="1"/>
    <col min="9" max="9" width="20.7109375" style="38" customWidth="1"/>
    <col min="10" max="10" width="20.7109375" style="42" customWidth="1"/>
    <col min="11" max="16384" width="10.85546875" style="3"/>
  </cols>
  <sheetData>
    <row r="1" spans="1:11" x14ac:dyDescent="0.25">
      <c r="A1" s="30" t="s">
        <v>133</v>
      </c>
      <c r="B1" s="142"/>
      <c r="C1" s="36"/>
      <c r="D1" s="36"/>
      <c r="E1" s="36"/>
      <c r="F1" s="36"/>
      <c r="G1" s="36"/>
      <c r="H1" s="36"/>
      <c r="I1" s="36"/>
      <c r="J1" s="36"/>
      <c r="K1" s="37"/>
    </row>
    <row r="2" spans="1:11" x14ac:dyDescent="0.25">
      <c r="A2" s="44" t="s">
        <v>217</v>
      </c>
      <c r="B2" s="143"/>
      <c r="C2" s="38"/>
      <c r="D2" s="38"/>
      <c r="E2" s="38"/>
      <c r="F2" s="38"/>
      <c r="G2" s="38"/>
      <c r="H2" s="38"/>
      <c r="J2" s="38"/>
      <c r="K2" s="39"/>
    </row>
    <row r="3" spans="1:11" x14ac:dyDescent="0.25">
      <c r="A3" s="135" t="s">
        <v>274</v>
      </c>
      <c r="B3" s="143"/>
      <c r="C3" s="38"/>
      <c r="D3" s="38"/>
      <c r="E3" s="38"/>
      <c r="F3" s="38"/>
      <c r="G3" s="38"/>
      <c r="H3" s="38"/>
      <c r="J3" s="38"/>
      <c r="K3" s="39"/>
    </row>
    <row r="4" spans="1:11" x14ac:dyDescent="0.25">
      <c r="A4" s="135" t="s">
        <v>267</v>
      </c>
      <c r="B4" s="143"/>
      <c r="C4" s="38"/>
      <c r="D4" s="38"/>
      <c r="E4" s="38"/>
      <c r="F4" s="38"/>
      <c r="G4" s="38"/>
      <c r="H4" s="38"/>
      <c r="J4" s="38"/>
      <c r="K4" s="39"/>
    </row>
    <row r="5" spans="1:11" x14ac:dyDescent="0.25">
      <c r="A5" s="135" t="s">
        <v>269</v>
      </c>
      <c r="B5" s="143"/>
      <c r="C5" s="38"/>
      <c r="D5" s="38"/>
      <c r="E5" s="38"/>
      <c r="F5" s="38"/>
      <c r="G5" s="38"/>
      <c r="H5" s="38"/>
      <c r="J5" s="38"/>
      <c r="K5" s="39"/>
    </row>
    <row r="6" spans="1:11" x14ac:dyDescent="0.25">
      <c r="A6" s="135" t="s">
        <v>268</v>
      </c>
      <c r="B6" s="143"/>
      <c r="C6" s="38"/>
      <c r="D6" s="38"/>
      <c r="E6" s="38"/>
      <c r="F6" s="38"/>
      <c r="G6" s="38"/>
      <c r="H6" s="38"/>
      <c r="J6" s="38"/>
      <c r="K6" s="39"/>
    </row>
    <row r="7" spans="1:11" x14ac:dyDescent="0.25">
      <c r="A7" s="135" t="s">
        <v>270</v>
      </c>
      <c r="B7" s="143"/>
      <c r="C7" s="38"/>
      <c r="D7" s="38"/>
      <c r="E7" s="38"/>
      <c r="F7" s="38"/>
      <c r="G7" s="38"/>
      <c r="H7" s="38"/>
      <c r="J7" s="38"/>
      <c r="K7" s="39"/>
    </row>
    <row r="8" spans="1:11" x14ac:dyDescent="0.25">
      <c r="A8" s="135" t="s">
        <v>271</v>
      </c>
      <c r="B8" s="143"/>
      <c r="C8" s="38"/>
      <c r="D8" s="38"/>
      <c r="E8" s="38"/>
      <c r="F8" s="38"/>
      <c r="G8" s="38"/>
      <c r="H8" s="38"/>
      <c r="J8" s="38"/>
      <c r="K8" s="39"/>
    </row>
    <row r="9" spans="1:11" x14ac:dyDescent="0.25">
      <c r="A9" s="135" t="s">
        <v>272</v>
      </c>
      <c r="B9" s="143"/>
      <c r="C9" s="38"/>
      <c r="D9" s="38"/>
      <c r="E9" s="38"/>
      <c r="F9" s="38"/>
      <c r="G9" s="38"/>
      <c r="H9" s="38"/>
      <c r="J9" s="38"/>
      <c r="K9" s="39"/>
    </row>
    <row r="10" spans="1:11" x14ac:dyDescent="0.25">
      <c r="A10" s="44" t="s">
        <v>208</v>
      </c>
      <c r="B10" s="143"/>
      <c r="C10" s="38"/>
      <c r="D10" s="38"/>
      <c r="E10" s="38"/>
      <c r="F10" s="38"/>
      <c r="G10" s="38"/>
      <c r="H10" s="38"/>
      <c r="J10" s="38"/>
      <c r="K10" s="39"/>
    </row>
    <row r="11" spans="1:11" x14ac:dyDescent="0.25">
      <c r="A11" s="135" t="s">
        <v>273</v>
      </c>
      <c r="B11" s="143"/>
      <c r="C11" s="38"/>
      <c r="D11" s="38"/>
      <c r="E11" s="38"/>
      <c r="F11" s="38"/>
      <c r="G11" s="38"/>
      <c r="H11" s="38"/>
      <c r="J11" s="38"/>
      <c r="K11" s="39"/>
    </row>
    <row r="12" spans="1:11" x14ac:dyDescent="0.25">
      <c r="A12" s="89" t="s">
        <v>155</v>
      </c>
      <c r="B12" s="143"/>
      <c r="C12" s="38"/>
      <c r="D12" s="38"/>
      <c r="E12" s="38"/>
      <c r="F12" s="38"/>
      <c r="G12" s="38"/>
      <c r="H12" s="38"/>
      <c r="J12" s="38"/>
      <c r="K12" s="39"/>
    </row>
    <row r="13" spans="1:11" x14ac:dyDescent="0.25">
      <c r="A13" s="90" t="s">
        <v>264</v>
      </c>
      <c r="B13" s="144"/>
      <c r="C13" s="40"/>
      <c r="D13" s="40"/>
      <c r="E13" s="40"/>
      <c r="F13" s="40"/>
      <c r="G13" s="40"/>
      <c r="H13" s="40"/>
      <c r="I13" s="40"/>
      <c r="J13" s="40"/>
      <c r="K13" s="41"/>
    </row>
    <row r="14" spans="1:11" x14ac:dyDescent="0.25">
      <c r="A14" s="31"/>
      <c r="B14" s="31"/>
      <c r="I14" s="1"/>
      <c r="J14" s="1"/>
    </row>
    <row r="15" spans="1:11" s="2" customFormat="1" x14ac:dyDescent="0.25">
      <c r="A15" s="28" t="s">
        <v>24</v>
      </c>
      <c r="B15" s="28" t="s">
        <v>34</v>
      </c>
      <c r="C15" s="28" t="s">
        <v>260</v>
      </c>
      <c r="D15" s="28" t="s">
        <v>36</v>
      </c>
      <c r="E15" s="28" t="s">
        <v>37</v>
      </c>
      <c r="F15" s="28" t="s">
        <v>261</v>
      </c>
      <c r="G15" s="28" t="s">
        <v>262</v>
      </c>
      <c r="H15" s="28" t="s">
        <v>263</v>
      </c>
      <c r="I15" s="28" t="s">
        <v>31</v>
      </c>
      <c r="J15" s="28" t="s">
        <v>47</v>
      </c>
    </row>
    <row r="16" spans="1:11" x14ac:dyDescent="0.25">
      <c r="A16" s="195" t="s">
        <v>385</v>
      </c>
      <c r="B16" s="42" t="s">
        <v>370</v>
      </c>
      <c r="H16" s="1" t="s">
        <v>13</v>
      </c>
      <c r="I16" s="38" t="str">
        <f t="shared" ref="I16:I79" si="0">IF(A16=0,"","Aggregator")</f>
        <v>Aggregator</v>
      </c>
      <c r="J16" s="114"/>
    </row>
    <row r="17" spans="1:9" x14ac:dyDescent="0.25">
      <c r="A17" s="127"/>
      <c r="B17" s="127"/>
      <c r="I17" s="38" t="str">
        <f t="shared" si="0"/>
        <v/>
      </c>
    </row>
    <row r="18" spans="1:9" x14ac:dyDescent="0.25">
      <c r="I18" s="38" t="str">
        <f t="shared" si="0"/>
        <v/>
      </c>
    </row>
    <row r="19" spans="1:9" x14ac:dyDescent="0.25">
      <c r="I19" s="38" t="str">
        <f t="shared" si="0"/>
        <v/>
      </c>
    </row>
    <row r="20" spans="1:9" x14ac:dyDescent="0.25">
      <c r="I20" s="38" t="str">
        <f t="shared" si="0"/>
        <v/>
      </c>
    </row>
    <row r="21" spans="1:9" x14ac:dyDescent="0.25">
      <c r="I21" s="38" t="str">
        <f t="shared" si="0"/>
        <v/>
      </c>
    </row>
    <row r="22" spans="1:9" x14ac:dyDescent="0.25">
      <c r="I22" s="38" t="str">
        <f t="shared" si="0"/>
        <v/>
      </c>
    </row>
    <row r="23" spans="1:9" x14ac:dyDescent="0.25">
      <c r="I23" s="38" t="str">
        <f t="shared" si="0"/>
        <v/>
      </c>
    </row>
    <row r="24" spans="1:9" x14ac:dyDescent="0.25">
      <c r="I24" s="38" t="str">
        <f t="shared" si="0"/>
        <v/>
      </c>
    </row>
    <row r="25" spans="1:9" x14ac:dyDescent="0.25">
      <c r="I25" s="38" t="str">
        <f t="shared" si="0"/>
        <v/>
      </c>
    </row>
    <row r="26" spans="1:9" x14ac:dyDescent="0.25">
      <c r="I26" s="38" t="str">
        <f t="shared" si="0"/>
        <v/>
      </c>
    </row>
    <row r="27" spans="1:9" x14ac:dyDescent="0.25">
      <c r="I27" s="38" t="str">
        <f t="shared" si="0"/>
        <v/>
      </c>
    </row>
    <row r="28" spans="1:9" x14ac:dyDescent="0.25">
      <c r="I28" s="38" t="str">
        <f t="shared" si="0"/>
        <v/>
      </c>
    </row>
    <row r="29" spans="1:9" x14ac:dyDescent="0.25">
      <c r="I29" s="38" t="str">
        <f t="shared" si="0"/>
        <v/>
      </c>
    </row>
    <row r="30" spans="1:9" x14ac:dyDescent="0.25">
      <c r="I30" s="38" t="str">
        <f t="shared" si="0"/>
        <v/>
      </c>
    </row>
    <row r="31" spans="1:9" x14ac:dyDescent="0.25">
      <c r="I31" s="38" t="str">
        <f t="shared" si="0"/>
        <v/>
      </c>
    </row>
    <row r="32" spans="1:9" x14ac:dyDescent="0.25">
      <c r="I32" s="38" t="str">
        <f t="shared" si="0"/>
        <v/>
      </c>
    </row>
    <row r="33" spans="9:9" x14ac:dyDescent="0.25">
      <c r="I33" s="38" t="str">
        <f t="shared" si="0"/>
        <v/>
      </c>
    </row>
    <row r="34" spans="9:9" x14ac:dyDescent="0.25">
      <c r="I34" s="38" t="str">
        <f t="shared" si="0"/>
        <v/>
      </c>
    </row>
    <row r="35" spans="9:9" x14ac:dyDescent="0.25">
      <c r="I35" s="38" t="str">
        <f t="shared" si="0"/>
        <v/>
      </c>
    </row>
    <row r="36" spans="9:9" x14ac:dyDescent="0.25">
      <c r="I36" s="38" t="str">
        <f t="shared" si="0"/>
        <v/>
      </c>
    </row>
    <row r="37" spans="9:9" x14ac:dyDescent="0.25">
      <c r="I37" s="38" t="str">
        <f t="shared" si="0"/>
        <v/>
      </c>
    </row>
    <row r="38" spans="9:9" x14ac:dyDescent="0.25">
      <c r="I38" s="38" t="str">
        <f t="shared" si="0"/>
        <v/>
      </c>
    </row>
    <row r="39" spans="9:9" x14ac:dyDescent="0.25">
      <c r="I39" s="38" t="str">
        <f t="shared" si="0"/>
        <v/>
      </c>
    </row>
    <row r="40" spans="9:9" x14ac:dyDescent="0.25">
      <c r="I40" s="38" t="str">
        <f t="shared" si="0"/>
        <v/>
      </c>
    </row>
    <row r="41" spans="9:9" x14ac:dyDescent="0.25">
      <c r="I41" s="38" t="str">
        <f t="shared" si="0"/>
        <v/>
      </c>
    </row>
    <row r="42" spans="9:9" x14ac:dyDescent="0.25">
      <c r="I42" s="38" t="str">
        <f t="shared" si="0"/>
        <v/>
      </c>
    </row>
    <row r="43" spans="9:9" x14ac:dyDescent="0.25">
      <c r="I43" s="38" t="str">
        <f t="shared" si="0"/>
        <v/>
      </c>
    </row>
    <row r="44" spans="9:9" x14ac:dyDescent="0.25">
      <c r="I44" s="38" t="str">
        <f t="shared" si="0"/>
        <v/>
      </c>
    </row>
    <row r="45" spans="9:9" x14ac:dyDescent="0.25">
      <c r="I45" s="38" t="str">
        <f t="shared" si="0"/>
        <v/>
      </c>
    </row>
    <row r="46" spans="9:9" x14ac:dyDescent="0.25">
      <c r="I46" s="38" t="str">
        <f t="shared" si="0"/>
        <v/>
      </c>
    </row>
    <row r="47" spans="9:9" x14ac:dyDescent="0.25">
      <c r="I47" s="38" t="str">
        <f t="shared" si="0"/>
        <v/>
      </c>
    </row>
    <row r="48" spans="9:9" x14ac:dyDescent="0.25">
      <c r="I48" s="38" t="str">
        <f t="shared" si="0"/>
        <v/>
      </c>
    </row>
    <row r="49" spans="9:9" x14ac:dyDescent="0.25">
      <c r="I49" s="38" t="str">
        <f t="shared" si="0"/>
        <v/>
      </c>
    </row>
    <row r="50" spans="9:9" x14ac:dyDescent="0.25">
      <c r="I50" s="38" t="str">
        <f t="shared" si="0"/>
        <v/>
      </c>
    </row>
    <row r="51" spans="9:9" x14ac:dyDescent="0.25">
      <c r="I51" s="38" t="str">
        <f t="shared" si="0"/>
        <v/>
      </c>
    </row>
    <row r="52" spans="9:9" x14ac:dyDescent="0.25">
      <c r="I52" s="38" t="str">
        <f t="shared" si="0"/>
        <v/>
      </c>
    </row>
    <row r="53" spans="9:9" x14ac:dyDescent="0.25">
      <c r="I53" s="38" t="str">
        <f t="shared" si="0"/>
        <v/>
      </c>
    </row>
    <row r="54" spans="9:9" x14ac:dyDescent="0.25">
      <c r="I54" s="38" t="str">
        <f t="shared" si="0"/>
        <v/>
      </c>
    </row>
    <row r="55" spans="9:9" x14ac:dyDescent="0.25">
      <c r="I55" s="38" t="str">
        <f t="shared" si="0"/>
        <v/>
      </c>
    </row>
    <row r="56" spans="9:9" x14ac:dyDescent="0.25">
      <c r="I56" s="38" t="str">
        <f t="shared" si="0"/>
        <v/>
      </c>
    </row>
    <row r="57" spans="9:9" x14ac:dyDescent="0.25">
      <c r="I57" s="38" t="str">
        <f t="shared" si="0"/>
        <v/>
      </c>
    </row>
    <row r="58" spans="9:9" x14ac:dyDescent="0.25">
      <c r="I58" s="38" t="str">
        <f t="shared" si="0"/>
        <v/>
      </c>
    </row>
    <row r="59" spans="9:9" x14ac:dyDescent="0.25">
      <c r="I59" s="38" t="str">
        <f t="shared" si="0"/>
        <v/>
      </c>
    </row>
    <row r="60" spans="9:9" x14ac:dyDescent="0.25">
      <c r="I60" s="38" t="str">
        <f t="shared" si="0"/>
        <v/>
      </c>
    </row>
    <row r="61" spans="9:9" x14ac:dyDescent="0.25">
      <c r="I61" s="38" t="str">
        <f t="shared" si="0"/>
        <v/>
      </c>
    </row>
    <row r="62" spans="9:9" x14ac:dyDescent="0.25">
      <c r="I62" s="38" t="str">
        <f t="shared" si="0"/>
        <v/>
      </c>
    </row>
    <row r="63" spans="9:9" x14ac:dyDescent="0.25">
      <c r="I63" s="38" t="str">
        <f t="shared" si="0"/>
        <v/>
      </c>
    </row>
    <row r="64" spans="9:9" x14ac:dyDescent="0.25">
      <c r="I64" s="38" t="str">
        <f t="shared" si="0"/>
        <v/>
      </c>
    </row>
    <row r="65" spans="9:9" x14ac:dyDescent="0.25">
      <c r="I65" s="38" t="str">
        <f t="shared" si="0"/>
        <v/>
      </c>
    </row>
    <row r="66" spans="9:9" x14ac:dyDescent="0.25">
      <c r="I66" s="38" t="str">
        <f t="shared" si="0"/>
        <v/>
      </c>
    </row>
    <row r="67" spans="9:9" x14ac:dyDescent="0.25">
      <c r="I67" s="38" t="str">
        <f t="shared" si="0"/>
        <v/>
      </c>
    </row>
    <row r="68" spans="9:9" x14ac:dyDescent="0.25">
      <c r="I68" s="38" t="str">
        <f t="shared" si="0"/>
        <v/>
      </c>
    </row>
    <row r="69" spans="9:9" x14ac:dyDescent="0.25">
      <c r="I69" s="38" t="str">
        <f t="shared" si="0"/>
        <v/>
      </c>
    </row>
    <row r="70" spans="9:9" x14ac:dyDescent="0.25">
      <c r="I70" s="38" t="str">
        <f t="shared" si="0"/>
        <v/>
      </c>
    </row>
    <row r="71" spans="9:9" x14ac:dyDescent="0.25">
      <c r="I71" s="38" t="str">
        <f t="shared" si="0"/>
        <v/>
      </c>
    </row>
    <row r="72" spans="9:9" x14ac:dyDescent="0.25">
      <c r="I72" s="38" t="str">
        <f t="shared" si="0"/>
        <v/>
      </c>
    </row>
    <row r="73" spans="9:9" x14ac:dyDescent="0.25">
      <c r="I73" s="38" t="str">
        <f t="shared" si="0"/>
        <v/>
      </c>
    </row>
    <row r="74" spans="9:9" x14ac:dyDescent="0.25">
      <c r="I74" s="38" t="str">
        <f t="shared" si="0"/>
        <v/>
      </c>
    </row>
    <row r="75" spans="9:9" x14ac:dyDescent="0.25">
      <c r="I75" s="38" t="str">
        <f t="shared" si="0"/>
        <v/>
      </c>
    </row>
    <row r="76" spans="9:9" x14ac:dyDescent="0.25">
      <c r="I76" s="38" t="str">
        <f t="shared" si="0"/>
        <v/>
      </c>
    </row>
    <row r="77" spans="9:9" x14ac:dyDescent="0.25">
      <c r="I77" s="38" t="str">
        <f t="shared" si="0"/>
        <v/>
      </c>
    </row>
    <row r="78" spans="9:9" x14ac:dyDescent="0.25">
      <c r="I78" s="38" t="str">
        <f t="shared" si="0"/>
        <v/>
      </c>
    </row>
    <row r="79" spans="9:9" x14ac:dyDescent="0.25">
      <c r="I79" s="38" t="str">
        <f t="shared" si="0"/>
        <v/>
      </c>
    </row>
    <row r="80" spans="9:9" x14ac:dyDescent="0.25">
      <c r="I80" s="38" t="str">
        <f t="shared" ref="I80:I143" si="1">IF(A80=0,"","Aggregator")</f>
        <v/>
      </c>
    </row>
    <row r="81" spans="9:9" x14ac:dyDescent="0.25">
      <c r="I81" s="38" t="str">
        <f t="shared" si="1"/>
        <v/>
      </c>
    </row>
    <row r="82" spans="9:9" x14ac:dyDescent="0.25">
      <c r="I82" s="38" t="str">
        <f t="shared" si="1"/>
        <v/>
      </c>
    </row>
    <row r="83" spans="9:9" x14ac:dyDescent="0.25">
      <c r="I83" s="38" t="str">
        <f t="shared" si="1"/>
        <v/>
      </c>
    </row>
    <row r="84" spans="9:9" x14ac:dyDescent="0.25">
      <c r="I84" s="38" t="str">
        <f t="shared" si="1"/>
        <v/>
      </c>
    </row>
    <row r="85" spans="9:9" x14ac:dyDescent="0.25">
      <c r="I85" s="38" t="str">
        <f t="shared" si="1"/>
        <v/>
      </c>
    </row>
    <row r="86" spans="9:9" x14ac:dyDescent="0.25">
      <c r="I86" s="38" t="str">
        <f t="shared" si="1"/>
        <v/>
      </c>
    </row>
    <row r="87" spans="9:9" x14ac:dyDescent="0.25">
      <c r="I87" s="38" t="str">
        <f t="shared" si="1"/>
        <v/>
      </c>
    </row>
    <row r="88" spans="9:9" x14ac:dyDescent="0.25">
      <c r="I88" s="38" t="str">
        <f t="shared" si="1"/>
        <v/>
      </c>
    </row>
    <row r="89" spans="9:9" x14ac:dyDescent="0.25">
      <c r="I89" s="38" t="str">
        <f t="shared" si="1"/>
        <v/>
      </c>
    </row>
    <row r="90" spans="9:9" x14ac:dyDescent="0.25">
      <c r="I90" s="38" t="str">
        <f t="shared" si="1"/>
        <v/>
      </c>
    </row>
    <row r="91" spans="9:9" x14ac:dyDescent="0.25">
      <c r="I91" s="38" t="str">
        <f t="shared" si="1"/>
        <v/>
      </c>
    </row>
    <row r="92" spans="9:9" x14ac:dyDescent="0.25">
      <c r="I92" s="38" t="str">
        <f t="shared" si="1"/>
        <v/>
      </c>
    </row>
    <row r="93" spans="9:9" x14ac:dyDescent="0.25">
      <c r="I93" s="38" t="str">
        <f t="shared" si="1"/>
        <v/>
      </c>
    </row>
    <row r="94" spans="9:9" x14ac:dyDescent="0.25">
      <c r="I94" s="38" t="str">
        <f t="shared" si="1"/>
        <v/>
      </c>
    </row>
    <row r="95" spans="9:9" x14ac:dyDescent="0.25">
      <c r="I95" s="38" t="str">
        <f t="shared" si="1"/>
        <v/>
      </c>
    </row>
    <row r="96" spans="9:9" x14ac:dyDescent="0.25">
      <c r="I96" s="38" t="str">
        <f t="shared" si="1"/>
        <v/>
      </c>
    </row>
    <row r="97" spans="9:9" x14ac:dyDescent="0.25">
      <c r="I97" s="38" t="str">
        <f t="shared" si="1"/>
        <v/>
      </c>
    </row>
    <row r="98" spans="9:9" x14ac:dyDescent="0.25">
      <c r="I98" s="38" t="str">
        <f t="shared" si="1"/>
        <v/>
      </c>
    </row>
    <row r="99" spans="9:9" x14ac:dyDescent="0.25">
      <c r="I99" s="38" t="str">
        <f t="shared" si="1"/>
        <v/>
      </c>
    </row>
    <row r="100" spans="9:9" x14ac:dyDescent="0.25">
      <c r="I100" s="38" t="str">
        <f t="shared" si="1"/>
        <v/>
      </c>
    </row>
    <row r="101" spans="9:9" x14ac:dyDescent="0.25">
      <c r="I101" s="38" t="str">
        <f t="shared" si="1"/>
        <v/>
      </c>
    </row>
    <row r="102" spans="9:9" x14ac:dyDescent="0.25">
      <c r="I102" s="38" t="str">
        <f t="shared" si="1"/>
        <v/>
      </c>
    </row>
    <row r="103" spans="9:9" x14ac:dyDescent="0.25">
      <c r="I103" s="38" t="str">
        <f t="shared" si="1"/>
        <v/>
      </c>
    </row>
    <row r="104" spans="9:9" x14ac:dyDescent="0.25">
      <c r="I104" s="38" t="str">
        <f t="shared" si="1"/>
        <v/>
      </c>
    </row>
    <row r="105" spans="9:9" x14ac:dyDescent="0.25">
      <c r="I105" s="38" t="str">
        <f t="shared" si="1"/>
        <v/>
      </c>
    </row>
    <row r="106" spans="9:9" x14ac:dyDescent="0.25">
      <c r="I106" s="38" t="str">
        <f t="shared" si="1"/>
        <v/>
      </c>
    </row>
    <row r="107" spans="9:9" x14ac:dyDescent="0.25">
      <c r="I107" s="38" t="str">
        <f t="shared" si="1"/>
        <v/>
      </c>
    </row>
    <row r="108" spans="9:9" x14ac:dyDescent="0.25">
      <c r="I108" s="38" t="str">
        <f t="shared" si="1"/>
        <v/>
      </c>
    </row>
    <row r="109" spans="9:9" x14ac:dyDescent="0.25">
      <c r="I109" s="38" t="str">
        <f t="shared" si="1"/>
        <v/>
      </c>
    </row>
    <row r="110" spans="9:9" x14ac:dyDescent="0.25">
      <c r="I110" s="38" t="str">
        <f t="shared" si="1"/>
        <v/>
      </c>
    </row>
    <row r="111" spans="9:9" x14ac:dyDescent="0.25">
      <c r="I111" s="38" t="str">
        <f t="shared" si="1"/>
        <v/>
      </c>
    </row>
    <row r="112" spans="9:9" x14ac:dyDescent="0.25">
      <c r="I112" s="38" t="str">
        <f t="shared" si="1"/>
        <v/>
      </c>
    </row>
    <row r="113" spans="9:9" x14ac:dyDescent="0.25">
      <c r="I113" s="38" t="str">
        <f t="shared" si="1"/>
        <v/>
      </c>
    </row>
    <row r="114" spans="9:9" x14ac:dyDescent="0.25">
      <c r="I114" s="38" t="str">
        <f t="shared" si="1"/>
        <v/>
      </c>
    </row>
    <row r="115" spans="9:9" x14ac:dyDescent="0.25">
      <c r="I115" s="38" t="str">
        <f t="shared" si="1"/>
        <v/>
      </c>
    </row>
    <row r="116" spans="9:9" x14ac:dyDescent="0.25">
      <c r="I116" s="38" t="str">
        <f t="shared" si="1"/>
        <v/>
      </c>
    </row>
    <row r="117" spans="9:9" x14ac:dyDescent="0.25">
      <c r="I117" s="38" t="str">
        <f t="shared" si="1"/>
        <v/>
      </c>
    </row>
    <row r="118" spans="9:9" x14ac:dyDescent="0.25">
      <c r="I118" s="38" t="str">
        <f t="shared" si="1"/>
        <v/>
      </c>
    </row>
    <row r="119" spans="9:9" x14ac:dyDescent="0.25">
      <c r="I119" s="38" t="str">
        <f t="shared" si="1"/>
        <v/>
      </c>
    </row>
    <row r="120" spans="9:9" x14ac:dyDescent="0.25">
      <c r="I120" s="38" t="str">
        <f t="shared" si="1"/>
        <v/>
      </c>
    </row>
    <row r="121" spans="9:9" x14ac:dyDescent="0.25">
      <c r="I121" s="38" t="str">
        <f t="shared" si="1"/>
        <v/>
      </c>
    </row>
    <row r="122" spans="9:9" x14ac:dyDescent="0.25">
      <c r="I122" s="38" t="str">
        <f t="shared" si="1"/>
        <v/>
      </c>
    </row>
    <row r="123" spans="9:9" x14ac:dyDescent="0.25">
      <c r="I123" s="38" t="str">
        <f t="shared" si="1"/>
        <v/>
      </c>
    </row>
    <row r="124" spans="9:9" x14ac:dyDescent="0.25">
      <c r="I124" s="38" t="str">
        <f t="shared" si="1"/>
        <v/>
      </c>
    </row>
    <row r="125" spans="9:9" x14ac:dyDescent="0.25">
      <c r="I125" s="38" t="str">
        <f t="shared" si="1"/>
        <v/>
      </c>
    </row>
    <row r="126" spans="9:9" x14ac:dyDescent="0.25">
      <c r="I126" s="38" t="str">
        <f t="shared" si="1"/>
        <v/>
      </c>
    </row>
    <row r="127" spans="9:9" x14ac:dyDescent="0.25">
      <c r="I127" s="38" t="str">
        <f t="shared" si="1"/>
        <v/>
      </c>
    </row>
    <row r="128" spans="9:9" x14ac:dyDescent="0.25">
      <c r="I128" s="38" t="str">
        <f t="shared" si="1"/>
        <v/>
      </c>
    </row>
    <row r="129" spans="9:9" x14ac:dyDescent="0.25">
      <c r="I129" s="38" t="str">
        <f t="shared" si="1"/>
        <v/>
      </c>
    </row>
    <row r="130" spans="9:9" x14ac:dyDescent="0.25">
      <c r="I130" s="38" t="str">
        <f t="shared" si="1"/>
        <v/>
      </c>
    </row>
    <row r="131" spans="9:9" x14ac:dyDescent="0.25">
      <c r="I131" s="38" t="str">
        <f t="shared" si="1"/>
        <v/>
      </c>
    </row>
    <row r="132" spans="9:9" x14ac:dyDescent="0.25">
      <c r="I132" s="38" t="str">
        <f t="shared" si="1"/>
        <v/>
      </c>
    </row>
    <row r="133" spans="9:9" x14ac:dyDescent="0.25">
      <c r="I133" s="38" t="str">
        <f t="shared" si="1"/>
        <v/>
      </c>
    </row>
    <row r="134" spans="9:9" x14ac:dyDescent="0.25">
      <c r="I134" s="38" t="str">
        <f t="shared" si="1"/>
        <v/>
      </c>
    </row>
    <row r="135" spans="9:9" x14ac:dyDescent="0.25">
      <c r="I135" s="38" t="str">
        <f t="shared" si="1"/>
        <v/>
      </c>
    </row>
    <row r="136" spans="9:9" x14ac:dyDescent="0.25">
      <c r="I136" s="38" t="str">
        <f t="shared" si="1"/>
        <v/>
      </c>
    </row>
    <row r="137" spans="9:9" x14ac:dyDescent="0.25">
      <c r="I137" s="38" t="str">
        <f t="shared" si="1"/>
        <v/>
      </c>
    </row>
    <row r="138" spans="9:9" x14ac:dyDescent="0.25">
      <c r="I138" s="38" t="str">
        <f t="shared" si="1"/>
        <v/>
      </c>
    </row>
    <row r="139" spans="9:9" x14ac:dyDescent="0.25">
      <c r="I139" s="38" t="str">
        <f t="shared" si="1"/>
        <v/>
      </c>
    </row>
    <row r="140" spans="9:9" x14ac:dyDescent="0.25">
      <c r="I140" s="38" t="str">
        <f t="shared" si="1"/>
        <v/>
      </c>
    </row>
    <row r="141" spans="9:9" x14ac:dyDescent="0.25">
      <c r="I141" s="38" t="str">
        <f t="shared" si="1"/>
        <v/>
      </c>
    </row>
    <row r="142" spans="9:9" x14ac:dyDescent="0.25">
      <c r="I142" s="38" t="str">
        <f t="shared" si="1"/>
        <v/>
      </c>
    </row>
    <row r="143" spans="9:9" x14ac:dyDescent="0.25">
      <c r="I143" s="38" t="str">
        <f t="shared" si="1"/>
        <v/>
      </c>
    </row>
    <row r="144" spans="9:9" x14ac:dyDescent="0.25">
      <c r="I144" s="38" t="str">
        <f t="shared" ref="I144:I207" si="2">IF(A144=0,"","Aggregator")</f>
        <v/>
      </c>
    </row>
    <row r="145" spans="9:9" x14ac:dyDescent="0.25">
      <c r="I145" s="38" t="str">
        <f t="shared" si="2"/>
        <v/>
      </c>
    </row>
    <row r="146" spans="9:9" x14ac:dyDescent="0.25">
      <c r="I146" s="38" t="str">
        <f t="shared" si="2"/>
        <v/>
      </c>
    </row>
    <row r="147" spans="9:9" x14ac:dyDescent="0.25">
      <c r="I147" s="38" t="str">
        <f t="shared" si="2"/>
        <v/>
      </c>
    </row>
    <row r="148" spans="9:9" x14ac:dyDescent="0.25">
      <c r="I148" s="38" t="str">
        <f t="shared" si="2"/>
        <v/>
      </c>
    </row>
    <row r="149" spans="9:9" x14ac:dyDescent="0.25">
      <c r="I149" s="38" t="str">
        <f t="shared" si="2"/>
        <v/>
      </c>
    </row>
    <row r="150" spans="9:9" x14ac:dyDescent="0.25">
      <c r="I150" s="38" t="str">
        <f t="shared" si="2"/>
        <v/>
      </c>
    </row>
    <row r="151" spans="9:9" x14ac:dyDescent="0.25">
      <c r="I151" s="38" t="str">
        <f t="shared" si="2"/>
        <v/>
      </c>
    </row>
    <row r="152" spans="9:9" x14ac:dyDescent="0.25">
      <c r="I152" s="38" t="str">
        <f t="shared" si="2"/>
        <v/>
      </c>
    </row>
    <row r="153" spans="9:9" x14ac:dyDescent="0.25">
      <c r="I153" s="38" t="str">
        <f t="shared" si="2"/>
        <v/>
      </c>
    </row>
    <row r="154" spans="9:9" x14ac:dyDescent="0.25">
      <c r="I154" s="38" t="str">
        <f t="shared" si="2"/>
        <v/>
      </c>
    </row>
    <row r="155" spans="9:9" x14ac:dyDescent="0.25">
      <c r="I155" s="38" t="str">
        <f t="shared" si="2"/>
        <v/>
      </c>
    </row>
    <row r="156" spans="9:9" x14ac:dyDescent="0.25">
      <c r="I156" s="38" t="str">
        <f t="shared" si="2"/>
        <v/>
      </c>
    </row>
    <row r="157" spans="9:9" x14ac:dyDescent="0.25">
      <c r="I157" s="38" t="str">
        <f t="shared" si="2"/>
        <v/>
      </c>
    </row>
    <row r="158" spans="9:9" x14ac:dyDescent="0.25">
      <c r="I158" s="38" t="str">
        <f t="shared" si="2"/>
        <v/>
      </c>
    </row>
    <row r="159" spans="9:9" x14ac:dyDescent="0.25">
      <c r="I159" s="38" t="str">
        <f t="shared" si="2"/>
        <v/>
      </c>
    </row>
    <row r="160" spans="9:9" x14ac:dyDescent="0.25">
      <c r="I160" s="38" t="str">
        <f t="shared" si="2"/>
        <v/>
      </c>
    </row>
    <row r="161" spans="9:9" x14ac:dyDescent="0.25">
      <c r="I161" s="38" t="str">
        <f t="shared" si="2"/>
        <v/>
      </c>
    </row>
    <row r="162" spans="9:9" x14ac:dyDescent="0.25">
      <c r="I162" s="38" t="str">
        <f t="shared" si="2"/>
        <v/>
      </c>
    </row>
    <row r="163" spans="9:9" x14ac:dyDescent="0.25">
      <c r="I163" s="38" t="str">
        <f t="shared" si="2"/>
        <v/>
      </c>
    </row>
    <row r="164" spans="9:9" x14ac:dyDescent="0.25">
      <c r="I164" s="38" t="str">
        <f t="shared" si="2"/>
        <v/>
      </c>
    </row>
    <row r="165" spans="9:9" x14ac:dyDescent="0.25">
      <c r="I165" s="38" t="str">
        <f t="shared" si="2"/>
        <v/>
      </c>
    </row>
    <row r="166" spans="9:9" x14ac:dyDescent="0.25">
      <c r="I166" s="38" t="str">
        <f t="shared" si="2"/>
        <v/>
      </c>
    </row>
    <row r="167" spans="9:9" x14ac:dyDescent="0.25">
      <c r="I167" s="38" t="str">
        <f t="shared" si="2"/>
        <v/>
      </c>
    </row>
    <row r="168" spans="9:9" x14ac:dyDescent="0.25">
      <c r="I168" s="38" t="str">
        <f t="shared" si="2"/>
        <v/>
      </c>
    </row>
    <row r="169" spans="9:9" x14ac:dyDescent="0.25">
      <c r="I169" s="38" t="str">
        <f t="shared" si="2"/>
        <v/>
      </c>
    </row>
    <row r="170" spans="9:9" x14ac:dyDescent="0.25">
      <c r="I170" s="38" t="str">
        <f t="shared" si="2"/>
        <v/>
      </c>
    </row>
    <row r="171" spans="9:9" x14ac:dyDescent="0.25">
      <c r="I171" s="38" t="str">
        <f t="shared" si="2"/>
        <v/>
      </c>
    </row>
    <row r="172" spans="9:9" x14ac:dyDescent="0.25">
      <c r="I172" s="38" t="str">
        <f t="shared" si="2"/>
        <v/>
      </c>
    </row>
    <row r="173" spans="9:9" x14ac:dyDescent="0.25">
      <c r="I173" s="38" t="str">
        <f t="shared" si="2"/>
        <v/>
      </c>
    </row>
    <row r="174" spans="9:9" x14ac:dyDescent="0.25">
      <c r="I174" s="38" t="str">
        <f t="shared" si="2"/>
        <v/>
      </c>
    </row>
    <row r="175" spans="9:9" x14ac:dyDescent="0.25">
      <c r="I175" s="38" t="str">
        <f t="shared" si="2"/>
        <v/>
      </c>
    </row>
    <row r="176" spans="9:9" x14ac:dyDescent="0.25">
      <c r="I176" s="38" t="str">
        <f t="shared" si="2"/>
        <v/>
      </c>
    </row>
    <row r="177" spans="9:9" x14ac:dyDescent="0.25">
      <c r="I177" s="38" t="str">
        <f t="shared" si="2"/>
        <v/>
      </c>
    </row>
    <row r="178" spans="9:9" x14ac:dyDescent="0.25">
      <c r="I178" s="38" t="str">
        <f t="shared" si="2"/>
        <v/>
      </c>
    </row>
    <row r="179" spans="9:9" x14ac:dyDescent="0.25">
      <c r="I179" s="38" t="str">
        <f t="shared" si="2"/>
        <v/>
      </c>
    </row>
    <row r="180" spans="9:9" x14ac:dyDescent="0.25">
      <c r="I180" s="38" t="str">
        <f t="shared" si="2"/>
        <v/>
      </c>
    </row>
    <row r="181" spans="9:9" x14ac:dyDescent="0.25">
      <c r="I181" s="38" t="str">
        <f t="shared" si="2"/>
        <v/>
      </c>
    </row>
    <row r="182" spans="9:9" x14ac:dyDescent="0.25">
      <c r="I182" s="38" t="str">
        <f t="shared" si="2"/>
        <v/>
      </c>
    </row>
    <row r="183" spans="9:9" x14ac:dyDescent="0.25">
      <c r="I183" s="38" t="str">
        <f t="shared" si="2"/>
        <v/>
      </c>
    </row>
    <row r="184" spans="9:9" x14ac:dyDescent="0.25">
      <c r="I184" s="38" t="str">
        <f t="shared" si="2"/>
        <v/>
      </c>
    </row>
    <row r="185" spans="9:9" x14ac:dyDescent="0.25">
      <c r="I185" s="38" t="str">
        <f t="shared" si="2"/>
        <v/>
      </c>
    </row>
    <row r="186" spans="9:9" x14ac:dyDescent="0.25">
      <c r="I186" s="38" t="str">
        <f t="shared" si="2"/>
        <v/>
      </c>
    </row>
    <row r="187" spans="9:9" x14ac:dyDescent="0.25">
      <c r="I187" s="38" t="str">
        <f t="shared" si="2"/>
        <v/>
      </c>
    </row>
    <row r="188" spans="9:9" x14ac:dyDescent="0.25">
      <c r="I188" s="38" t="str">
        <f t="shared" si="2"/>
        <v/>
      </c>
    </row>
    <row r="189" spans="9:9" x14ac:dyDescent="0.25">
      <c r="I189" s="38" t="str">
        <f t="shared" si="2"/>
        <v/>
      </c>
    </row>
    <row r="190" spans="9:9" x14ac:dyDescent="0.25">
      <c r="I190" s="38" t="str">
        <f t="shared" si="2"/>
        <v/>
      </c>
    </row>
    <row r="191" spans="9:9" x14ac:dyDescent="0.25">
      <c r="I191" s="38" t="str">
        <f t="shared" si="2"/>
        <v/>
      </c>
    </row>
    <row r="192" spans="9:9" x14ac:dyDescent="0.25">
      <c r="I192" s="38" t="str">
        <f t="shared" si="2"/>
        <v/>
      </c>
    </row>
    <row r="193" spans="9:9" x14ac:dyDescent="0.25">
      <c r="I193" s="38" t="str">
        <f t="shared" si="2"/>
        <v/>
      </c>
    </row>
    <row r="194" spans="9:9" x14ac:dyDescent="0.25">
      <c r="I194" s="38" t="str">
        <f t="shared" si="2"/>
        <v/>
      </c>
    </row>
    <row r="195" spans="9:9" x14ac:dyDescent="0.25">
      <c r="I195" s="38" t="str">
        <f t="shared" si="2"/>
        <v/>
      </c>
    </row>
    <row r="196" spans="9:9" x14ac:dyDescent="0.25">
      <c r="I196" s="38" t="str">
        <f t="shared" si="2"/>
        <v/>
      </c>
    </row>
    <row r="197" spans="9:9" x14ac:dyDescent="0.25">
      <c r="I197" s="38" t="str">
        <f t="shared" si="2"/>
        <v/>
      </c>
    </row>
    <row r="198" spans="9:9" x14ac:dyDescent="0.25">
      <c r="I198" s="38" t="str">
        <f t="shared" si="2"/>
        <v/>
      </c>
    </row>
    <row r="199" spans="9:9" x14ac:dyDescent="0.25">
      <c r="I199" s="38" t="str">
        <f t="shared" si="2"/>
        <v/>
      </c>
    </row>
    <row r="200" spans="9:9" x14ac:dyDescent="0.25">
      <c r="I200" s="38" t="str">
        <f t="shared" si="2"/>
        <v/>
      </c>
    </row>
    <row r="201" spans="9:9" x14ac:dyDescent="0.25">
      <c r="I201" s="38" t="str">
        <f t="shared" si="2"/>
        <v/>
      </c>
    </row>
    <row r="202" spans="9:9" x14ac:dyDescent="0.25">
      <c r="I202" s="38" t="str">
        <f t="shared" si="2"/>
        <v/>
      </c>
    </row>
    <row r="203" spans="9:9" x14ac:dyDescent="0.25">
      <c r="I203" s="38" t="str">
        <f t="shared" si="2"/>
        <v/>
      </c>
    </row>
    <row r="204" spans="9:9" x14ac:dyDescent="0.25">
      <c r="I204" s="38" t="str">
        <f t="shared" si="2"/>
        <v/>
      </c>
    </row>
    <row r="205" spans="9:9" x14ac:dyDescent="0.25">
      <c r="I205" s="38" t="str">
        <f t="shared" si="2"/>
        <v/>
      </c>
    </row>
    <row r="206" spans="9:9" x14ac:dyDescent="0.25">
      <c r="I206" s="38" t="str">
        <f t="shared" si="2"/>
        <v/>
      </c>
    </row>
    <row r="207" spans="9:9" x14ac:dyDescent="0.25">
      <c r="I207" s="38" t="str">
        <f t="shared" si="2"/>
        <v/>
      </c>
    </row>
    <row r="208" spans="9:9" x14ac:dyDescent="0.25">
      <c r="I208" s="38" t="str">
        <f t="shared" ref="I208:I271" si="3">IF(A208=0,"","Aggregator")</f>
        <v/>
      </c>
    </row>
    <row r="209" spans="9:9" x14ac:dyDescent="0.25">
      <c r="I209" s="38" t="str">
        <f t="shared" si="3"/>
        <v/>
      </c>
    </row>
    <row r="210" spans="9:9" x14ac:dyDescent="0.25">
      <c r="I210" s="38" t="str">
        <f t="shared" si="3"/>
        <v/>
      </c>
    </row>
    <row r="211" spans="9:9" x14ac:dyDescent="0.25">
      <c r="I211" s="38" t="str">
        <f t="shared" si="3"/>
        <v/>
      </c>
    </row>
    <row r="212" spans="9:9" x14ac:dyDescent="0.25">
      <c r="I212" s="38" t="str">
        <f t="shared" si="3"/>
        <v/>
      </c>
    </row>
    <row r="213" spans="9:9" x14ac:dyDescent="0.25">
      <c r="I213" s="38" t="str">
        <f t="shared" si="3"/>
        <v/>
      </c>
    </row>
    <row r="214" spans="9:9" x14ac:dyDescent="0.25">
      <c r="I214" s="38" t="str">
        <f t="shared" si="3"/>
        <v/>
      </c>
    </row>
    <row r="215" spans="9:9" x14ac:dyDescent="0.25">
      <c r="I215" s="38" t="str">
        <f t="shared" si="3"/>
        <v/>
      </c>
    </row>
    <row r="216" spans="9:9" x14ac:dyDescent="0.25">
      <c r="I216" s="38" t="str">
        <f t="shared" si="3"/>
        <v/>
      </c>
    </row>
    <row r="217" spans="9:9" x14ac:dyDescent="0.25">
      <c r="I217" s="38" t="str">
        <f t="shared" si="3"/>
        <v/>
      </c>
    </row>
    <row r="218" spans="9:9" x14ac:dyDescent="0.25">
      <c r="I218" s="38" t="str">
        <f t="shared" si="3"/>
        <v/>
      </c>
    </row>
    <row r="219" spans="9:9" x14ac:dyDescent="0.25">
      <c r="I219" s="38" t="str">
        <f t="shared" si="3"/>
        <v/>
      </c>
    </row>
    <row r="220" spans="9:9" x14ac:dyDescent="0.25">
      <c r="I220" s="38" t="str">
        <f t="shared" si="3"/>
        <v/>
      </c>
    </row>
    <row r="221" spans="9:9" x14ac:dyDescent="0.25">
      <c r="I221" s="38" t="str">
        <f t="shared" si="3"/>
        <v/>
      </c>
    </row>
    <row r="222" spans="9:9" x14ac:dyDescent="0.25">
      <c r="I222" s="38" t="str">
        <f t="shared" si="3"/>
        <v/>
      </c>
    </row>
    <row r="223" spans="9:9" x14ac:dyDescent="0.25">
      <c r="I223" s="38" t="str">
        <f t="shared" si="3"/>
        <v/>
      </c>
    </row>
    <row r="224" spans="9:9" x14ac:dyDescent="0.25">
      <c r="I224" s="38" t="str">
        <f t="shared" si="3"/>
        <v/>
      </c>
    </row>
    <row r="225" spans="9:9" x14ac:dyDescent="0.25">
      <c r="I225" s="38" t="str">
        <f t="shared" si="3"/>
        <v/>
      </c>
    </row>
    <row r="226" spans="9:9" x14ac:dyDescent="0.25">
      <c r="I226" s="38" t="str">
        <f t="shared" si="3"/>
        <v/>
      </c>
    </row>
    <row r="227" spans="9:9" x14ac:dyDescent="0.25">
      <c r="I227" s="38" t="str">
        <f t="shared" si="3"/>
        <v/>
      </c>
    </row>
    <row r="228" spans="9:9" x14ac:dyDescent="0.25">
      <c r="I228" s="38" t="str">
        <f t="shared" si="3"/>
        <v/>
      </c>
    </row>
    <row r="229" spans="9:9" x14ac:dyDescent="0.25">
      <c r="I229" s="38" t="str">
        <f t="shared" si="3"/>
        <v/>
      </c>
    </row>
    <row r="230" spans="9:9" x14ac:dyDescent="0.25">
      <c r="I230" s="38" t="str">
        <f t="shared" si="3"/>
        <v/>
      </c>
    </row>
    <row r="231" spans="9:9" x14ac:dyDescent="0.25">
      <c r="I231" s="38" t="str">
        <f t="shared" si="3"/>
        <v/>
      </c>
    </row>
    <row r="232" spans="9:9" x14ac:dyDescent="0.25">
      <c r="I232" s="38" t="str">
        <f t="shared" si="3"/>
        <v/>
      </c>
    </row>
    <row r="233" spans="9:9" x14ac:dyDescent="0.25">
      <c r="I233" s="38" t="str">
        <f t="shared" si="3"/>
        <v/>
      </c>
    </row>
    <row r="234" spans="9:9" x14ac:dyDescent="0.25">
      <c r="I234" s="38" t="str">
        <f t="shared" si="3"/>
        <v/>
      </c>
    </row>
    <row r="235" spans="9:9" x14ac:dyDescent="0.25">
      <c r="I235" s="38" t="str">
        <f t="shared" si="3"/>
        <v/>
      </c>
    </row>
    <row r="236" spans="9:9" x14ac:dyDescent="0.25">
      <c r="I236" s="38" t="str">
        <f t="shared" si="3"/>
        <v/>
      </c>
    </row>
    <row r="237" spans="9:9" x14ac:dyDescent="0.25">
      <c r="I237" s="38" t="str">
        <f t="shared" si="3"/>
        <v/>
      </c>
    </row>
    <row r="238" spans="9:9" x14ac:dyDescent="0.25">
      <c r="I238" s="38" t="str">
        <f t="shared" si="3"/>
        <v/>
      </c>
    </row>
    <row r="239" spans="9:9" x14ac:dyDescent="0.25">
      <c r="I239" s="38" t="str">
        <f t="shared" si="3"/>
        <v/>
      </c>
    </row>
    <row r="240" spans="9:9" x14ac:dyDescent="0.25">
      <c r="I240" s="38" t="str">
        <f t="shared" si="3"/>
        <v/>
      </c>
    </row>
    <row r="241" spans="9:9" x14ac:dyDescent="0.25">
      <c r="I241" s="38" t="str">
        <f t="shared" si="3"/>
        <v/>
      </c>
    </row>
    <row r="242" spans="9:9" x14ac:dyDescent="0.25">
      <c r="I242" s="38" t="str">
        <f t="shared" si="3"/>
        <v/>
      </c>
    </row>
    <row r="243" spans="9:9" x14ac:dyDescent="0.25">
      <c r="I243" s="38" t="str">
        <f t="shared" si="3"/>
        <v/>
      </c>
    </row>
    <row r="244" spans="9:9" x14ac:dyDescent="0.25">
      <c r="I244" s="38" t="str">
        <f t="shared" si="3"/>
        <v/>
      </c>
    </row>
    <row r="245" spans="9:9" x14ac:dyDescent="0.25">
      <c r="I245" s="38" t="str">
        <f t="shared" si="3"/>
        <v/>
      </c>
    </row>
    <row r="246" spans="9:9" x14ac:dyDescent="0.25">
      <c r="I246" s="38" t="str">
        <f t="shared" si="3"/>
        <v/>
      </c>
    </row>
    <row r="247" spans="9:9" x14ac:dyDescent="0.25">
      <c r="I247" s="38" t="str">
        <f t="shared" si="3"/>
        <v/>
      </c>
    </row>
    <row r="248" spans="9:9" x14ac:dyDescent="0.25">
      <c r="I248" s="38" t="str">
        <f t="shared" si="3"/>
        <v/>
      </c>
    </row>
    <row r="249" spans="9:9" x14ac:dyDescent="0.25">
      <c r="I249" s="38" t="str">
        <f t="shared" si="3"/>
        <v/>
      </c>
    </row>
    <row r="250" spans="9:9" x14ac:dyDescent="0.25">
      <c r="I250" s="38" t="str">
        <f t="shared" si="3"/>
        <v/>
      </c>
    </row>
    <row r="251" spans="9:9" x14ac:dyDescent="0.25">
      <c r="I251" s="38" t="str">
        <f t="shared" si="3"/>
        <v/>
      </c>
    </row>
    <row r="252" spans="9:9" x14ac:dyDescent="0.25">
      <c r="I252" s="38" t="str">
        <f t="shared" si="3"/>
        <v/>
      </c>
    </row>
    <row r="253" spans="9:9" x14ac:dyDescent="0.25">
      <c r="I253" s="38" t="str">
        <f t="shared" si="3"/>
        <v/>
      </c>
    </row>
    <row r="254" spans="9:9" x14ac:dyDescent="0.25">
      <c r="I254" s="38" t="str">
        <f t="shared" si="3"/>
        <v/>
      </c>
    </row>
    <row r="255" spans="9:9" x14ac:dyDescent="0.25">
      <c r="I255" s="38" t="str">
        <f t="shared" si="3"/>
        <v/>
      </c>
    </row>
    <row r="256" spans="9:9" x14ac:dyDescent="0.25">
      <c r="I256" s="38" t="str">
        <f t="shared" si="3"/>
        <v/>
      </c>
    </row>
    <row r="257" spans="9:9" x14ac:dyDescent="0.25">
      <c r="I257" s="38" t="str">
        <f t="shared" si="3"/>
        <v/>
      </c>
    </row>
    <row r="258" spans="9:9" x14ac:dyDescent="0.25">
      <c r="I258" s="38" t="str">
        <f t="shared" si="3"/>
        <v/>
      </c>
    </row>
    <row r="259" spans="9:9" x14ac:dyDescent="0.25">
      <c r="I259" s="38" t="str">
        <f t="shared" si="3"/>
        <v/>
      </c>
    </row>
    <row r="260" spans="9:9" x14ac:dyDescent="0.25">
      <c r="I260" s="38" t="str">
        <f t="shared" si="3"/>
        <v/>
      </c>
    </row>
    <row r="261" spans="9:9" x14ac:dyDescent="0.25">
      <c r="I261" s="38" t="str">
        <f t="shared" si="3"/>
        <v/>
      </c>
    </row>
    <row r="262" spans="9:9" x14ac:dyDescent="0.25">
      <c r="I262" s="38" t="str">
        <f t="shared" si="3"/>
        <v/>
      </c>
    </row>
    <row r="263" spans="9:9" x14ac:dyDescent="0.25">
      <c r="I263" s="38" t="str">
        <f t="shared" si="3"/>
        <v/>
      </c>
    </row>
    <row r="264" spans="9:9" x14ac:dyDescent="0.25">
      <c r="I264" s="38" t="str">
        <f t="shared" si="3"/>
        <v/>
      </c>
    </row>
    <row r="265" spans="9:9" x14ac:dyDescent="0.25">
      <c r="I265" s="38" t="str">
        <f t="shared" si="3"/>
        <v/>
      </c>
    </row>
    <row r="266" spans="9:9" x14ac:dyDescent="0.25">
      <c r="I266" s="38" t="str">
        <f t="shared" si="3"/>
        <v/>
      </c>
    </row>
    <row r="267" spans="9:9" x14ac:dyDescent="0.25">
      <c r="I267" s="38" t="str">
        <f t="shared" si="3"/>
        <v/>
      </c>
    </row>
    <row r="268" spans="9:9" x14ac:dyDescent="0.25">
      <c r="I268" s="38" t="str">
        <f t="shared" si="3"/>
        <v/>
      </c>
    </row>
    <row r="269" spans="9:9" x14ac:dyDescent="0.25">
      <c r="I269" s="38" t="str">
        <f t="shared" si="3"/>
        <v/>
      </c>
    </row>
    <row r="270" spans="9:9" x14ac:dyDescent="0.25">
      <c r="I270" s="38" t="str">
        <f t="shared" si="3"/>
        <v/>
      </c>
    </row>
    <row r="271" spans="9:9" x14ac:dyDescent="0.25">
      <c r="I271" s="38" t="str">
        <f t="shared" si="3"/>
        <v/>
      </c>
    </row>
    <row r="272" spans="9:9" x14ac:dyDescent="0.25">
      <c r="I272" s="38" t="str">
        <f t="shared" ref="I272:I335" si="4">IF(A272=0,"","Aggregator")</f>
        <v/>
      </c>
    </row>
    <row r="273" spans="9:9" x14ac:dyDescent="0.25">
      <c r="I273" s="38" t="str">
        <f t="shared" si="4"/>
        <v/>
      </c>
    </row>
    <row r="274" spans="9:9" x14ac:dyDescent="0.25">
      <c r="I274" s="38" t="str">
        <f t="shared" si="4"/>
        <v/>
      </c>
    </row>
    <row r="275" spans="9:9" x14ac:dyDescent="0.25">
      <c r="I275" s="38" t="str">
        <f t="shared" si="4"/>
        <v/>
      </c>
    </row>
    <row r="276" spans="9:9" x14ac:dyDescent="0.25">
      <c r="I276" s="38" t="str">
        <f t="shared" si="4"/>
        <v/>
      </c>
    </row>
    <row r="277" spans="9:9" x14ac:dyDescent="0.25">
      <c r="I277" s="38" t="str">
        <f t="shared" si="4"/>
        <v/>
      </c>
    </row>
    <row r="278" spans="9:9" x14ac:dyDescent="0.25">
      <c r="I278" s="38" t="str">
        <f t="shared" si="4"/>
        <v/>
      </c>
    </row>
    <row r="279" spans="9:9" x14ac:dyDescent="0.25">
      <c r="I279" s="38" t="str">
        <f t="shared" si="4"/>
        <v/>
      </c>
    </row>
    <row r="280" spans="9:9" x14ac:dyDescent="0.25">
      <c r="I280" s="38" t="str">
        <f t="shared" si="4"/>
        <v/>
      </c>
    </row>
    <row r="281" spans="9:9" x14ac:dyDescent="0.25">
      <c r="I281" s="38" t="str">
        <f t="shared" si="4"/>
        <v/>
      </c>
    </row>
    <row r="282" spans="9:9" x14ac:dyDescent="0.25">
      <c r="I282" s="38" t="str">
        <f t="shared" si="4"/>
        <v/>
      </c>
    </row>
    <row r="283" spans="9:9" x14ac:dyDescent="0.25">
      <c r="I283" s="38" t="str">
        <f t="shared" si="4"/>
        <v/>
      </c>
    </row>
    <row r="284" spans="9:9" x14ac:dyDescent="0.25">
      <c r="I284" s="38" t="str">
        <f t="shared" si="4"/>
        <v/>
      </c>
    </row>
    <row r="285" spans="9:9" x14ac:dyDescent="0.25">
      <c r="I285" s="38" t="str">
        <f t="shared" si="4"/>
        <v/>
      </c>
    </row>
    <row r="286" spans="9:9" x14ac:dyDescent="0.25">
      <c r="I286" s="38" t="str">
        <f t="shared" si="4"/>
        <v/>
      </c>
    </row>
    <row r="287" spans="9:9" x14ac:dyDescent="0.25">
      <c r="I287" s="38" t="str">
        <f t="shared" si="4"/>
        <v/>
      </c>
    </row>
    <row r="288" spans="9:9" x14ac:dyDescent="0.25">
      <c r="I288" s="38" t="str">
        <f t="shared" si="4"/>
        <v/>
      </c>
    </row>
    <row r="289" spans="9:9" x14ac:dyDescent="0.25">
      <c r="I289" s="38" t="str">
        <f t="shared" si="4"/>
        <v/>
      </c>
    </row>
    <row r="290" spans="9:9" x14ac:dyDescent="0.25">
      <c r="I290" s="38" t="str">
        <f t="shared" si="4"/>
        <v/>
      </c>
    </row>
    <row r="291" spans="9:9" x14ac:dyDescent="0.25">
      <c r="I291" s="38" t="str">
        <f t="shared" si="4"/>
        <v/>
      </c>
    </row>
    <row r="292" spans="9:9" x14ac:dyDescent="0.25">
      <c r="I292" s="38" t="str">
        <f t="shared" si="4"/>
        <v/>
      </c>
    </row>
    <row r="293" spans="9:9" x14ac:dyDescent="0.25">
      <c r="I293" s="38" t="str">
        <f t="shared" si="4"/>
        <v/>
      </c>
    </row>
    <row r="294" spans="9:9" x14ac:dyDescent="0.25">
      <c r="I294" s="38" t="str">
        <f t="shared" si="4"/>
        <v/>
      </c>
    </row>
    <row r="295" spans="9:9" x14ac:dyDescent="0.25">
      <c r="I295" s="38" t="str">
        <f t="shared" si="4"/>
        <v/>
      </c>
    </row>
    <row r="296" spans="9:9" x14ac:dyDescent="0.25">
      <c r="I296" s="38" t="str">
        <f t="shared" si="4"/>
        <v/>
      </c>
    </row>
    <row r="297" spans="9:9" x14ac:dyDescent="0.25">
      <c r="I297" s="38" t="str">
        <f t="shared" si="4"/>
        <v/>
      </c>
    </row>
    <row r="298" spans="9:9" x14ac:dyDescent="0.25">
      <c r="I298" s="38" t="str">
        <f t="shared" si="4"/>
        <v/>
      </c>
    </row>
    <row r="299" spans="9:9" x14ac:dyDescent="0.25">
      <c r="I299" s="38" t="str">
        <f t="shared" si="4"/>
        <v/>
      </c>
    </row>
    <row r="300" spans="9:9" x14ac:dyDescent="0.25">
      <c r="I300" s="38" t="str">
        <f t="shared" si="4"/>
        <v/>
      </c>
    </row>
    <row r="301" spans="9:9" x14ac:dyDescent="0.25">
      <c r="I301" s="38" t="str">
        <f t="shared" si="4"/>
        <v/>
      </c>
    </row>
    <row r="302" spans="9:9" x14ac:dyDescent="0.25">
      <c r="I302" s="38" t="str">
        <f t="shared" si="4"/>
        <v/>
      </c>
    </row>
    <row r="303" spans="9:9" x14ac:dyDescent="0.25">
      <c r="I303" s="38" t="str">
        <f t="shared" si="4"/>
        <v/>
      </c>
    </row>
    <row r="304" spans="9:9" x14ac:dyDescent="0.25">
      <c r="I304" s="38" t="str">
        <f t="shared" si="4"/>
        <v/>
      </c>
    </row>
    <row r="305" spans="9:9" x14ac:dyDescent="0.25">
      <c r="I305" s="38" t="str">
        <f t="shared" si="4"/>
        <v/>
      </c>
    </row>
    <row r="306" spans="9:9" x14ac:dyDescent="0.25">
      <c r="I306" s="38" t="str">
        <f t="shared" si="4"/>
        <v/>
      </c>
    </row>
    <row r="307" spans="9:9" x14ac:dyDescent="0.25">
      <c r="I307" s="38" t="str">
        <f t="shared" si="4"/>
        <v/>
      </c>
    </row>
    <row r="308" spans="9:9" x14ac:dyDescent="0.25">
      <c r="I308" s="38" t="str">
        <f t="shared" si="4"/>
        <v/>
      </c>
    </row>
    <row r="309" spans="9:9" x14ac:dyDescent="0.25">
      <c r="I309" s="38" t="str">
        <f t="shared" si="4"/>
        <v/>
      </c>
    </row>
    <row r="310" spans="9:9" x14ac:dyDescent="0.25">
      <c r="I310" s="38" t="str">
        <f t="shared" si="4"/>
        <v/>
      </c>
    </row>
    <row r="311" spans="9:9" x14ac:dyDescent="0.25">
      <c r="I311" s="38" t="str">
        <f t="shared" si="4"/>
        <v/>
      </c>
    </row>
    <row r="312" spans="9:9" x14ac:dyDescent="0.25">
      <c r="I312" s="38" t="str">
        <f t="shared" si="4"/>
        <v/>
      </c>
    </row>
    <row r="313" spans="9:9" x14ac:dyDescent="0.25">
      <c r="I313" s="38" t="str">
        <f t="shared" si="4"/>
        <v/>
      </c>
    </row>
    <row r="314" spans="9:9" x14ac:dyDescent="0.25">
      <c r="I314" s="38" t="str">
        <f t="shared" si="4"/>
        <v/>
      </c>
    </row>
    <row r="315" spans="9:9" x14ac:dyDescent="0.25">
      <c r="I315" s="38" t="str">
        <f t="shared" si="4"/>
        <v/>
      </c>
    </row>
    <row r="316" spans="9:9" x14ac:dyDescent="0.25">
      <c r="I316" s="38" t="str">
        <f t="shared" si="4"/>
        <v/>
      </c>
    </row>
    <row r="317" spans="9:9" x14ac:dyDescent="0.25">
      <c r="I317" s="38" t="str">
        <f t="shared" si="4"/>
        <v/>
      </c>
    </row>
    <row r="318" spans="9:9" x14ac:dyDescent="0.25">
      <c r="I318" s="38" t="str">
        <f t="shared" si="4"/>
        <v/>
      </c>
    </row>
    <row r="319" spans="9:9" x14ac:dyDescent="0.25">
      <c r="I319" s="38" t="str">
        <f t="shared" si="4"/>
        <v/>
      </c>
    </row>
    <row r="320" spans="9:9" x14ac:dyDescent="0.25">
      <c r="I320" s="38" t="str">
        <f t="shared" si="4"/>
        <v/>
      </c>
    </row>
    <row r="321" spans="9:9" x14ac:dyDescent="0.25">
      <c r="I321" s="38" t="str">
        <f t="shared" si="4"/>
        <v/>
      </c>
    </row>
    <row r="322" spans="9:9" x14ac:dyDescent="0.25">
      <c r="I322" s="38" t="str">
        <f t="shared" si="4"/>
        <v/>
      </c>
    </row>
    <row r="323" spans="9:9" x14ac:dyDescent="0.25">
      <c r="I323" s="38" t="str">
        <f t="shared" si="4"/>
        <v/>
      </c>
    </row>
    <row r="324" spans="9:9" x14ac:dyDescent="0.25">
      <c r="I324" s="38" t="str">
        <f t="shared" si="4"/>
        <v/>
      </c>
    </row>
    <row r="325" spans="9:9" x14ac:dyDescent="0.25">
      <c r="I325" s="38" t="str">
        <f t="shared" si="4"/>
        <v/>
      </c>
    </row>
    <row r="326" spans="9:9" x14ac:dyDescent="0.25">
      <c r="I326" s="38" t="str">
        <f t="shared" si="4"/>
        <v/>
      </c>
    </row>
    <row r="327" spans="9:9" x14ac:dyDescent="0.25">
      <c r="I327" s="38" t="str">
        <f t="shared" si="4"/>
        <v/>
      </c>
    </row>
    <row r="328" spans="9:9" x14ac:dyDescent="0.25">
      <c r="I328" s="38" t="str">
        <f t="shared" si="4"/>
        <v/>
      </c>
    </row>
    <row r="329" spans="9:9" x14ac:dyDescent="0.25">
      <c r="I329" s="38" t="str">
        <f t="shared" si="4"/>
        <v/>
      </c>
    </row>
    <row r="330" spans="9:9" x14ac:dyDescent="0.25">
      <c r="I330" s="38" t="str">
        <f t="shared" si="4"/>
        <v/>
      </c>
    </row>
    <row r="331" spans="9:9" x14ac:dyDescent="0.25">
      <c r="I331" s="38" t="str">
        <f t="shared" si="4"/>
        <v/>
      </c>
    </row>
    <row r="332" spans="9:9" x14ac:dyDescent="0.25">
      <c r="I332" s="38" t="str">
        <f t="shared" si="4"/>
        <v/>
      </c>
    </row>
    <row r="333" spans="9:9" x14ac:dyDescent="0.25">
      <c r="I333" s="38" t="str">
        <f t="shared" si="4"/>
        <v/>
      </c>
    </row>
    <row r="334" spans="9:9" x14ac:dyDescent="0.25">
      <c r="I334" s="38" t="str">
        <f t="shared" si="4"/>
        <v/>
      </c>
    </row>
    <row r="335" spans="9:9" x14ac:dyDescent="0.25">
      <c r="I335" s="38" t="str">
        <f t="shared" si="4"/>
        <v/>
      </c>
    </row>
    <row r="336" spans="9:9" x14ac:dyDescent="0.25">
      <c r="I336" s="38" t="str">
        <f t="shared" ref="I336:I399" si="5">IF(A336=0,"","Aggregator")</f>
        <v/>
      </c>
    </row>
    <row r="337" spans="9:9" x14ac:dyDescent="0.25">
      <c r="I337" s="38" t="str">
        <f t="shared" si="5"/>
        <v/>
      </c>
    </row>
    <row r="338" spans="9:9" x14ac:dyDescent="0.25">
      <c r="I338" s="38" t="str">
        <f t="shared" si="5"/>
        <v/>
      </c>
    </row>
    <row r="339" spans="9:9" x14ac:dyDescent="0.25">
      <c r="I339" s="38" t="str">
        <f t="shared" si="5"/>
        <v/>
      </c>
    </row>
    <row r="340" spans="9:9" x14ac:dyDescent="0.25">
      <c r="I340" s="38" t="str">
        <f t="shared" si="5"/>
        <v/>
      </c>
    </row>
    <row r="341" spans="9:9" x14ac:dyDescent="0.25">
      <c r="I341" s="38" t="str">
        <f t="shared" si="5"/>
        <v/>
      </c>
    </row>
    <row r="342" spans="9:9" x14ac:dyDescent="0.25">
      <c r="I342" s="38" t="str">
        <f t="shared" si="5"/>
        <v/>
      </c>
    </row>
    <row r="343" spans="9:9" x14ac:dyDescent="0.25">
      <c r="I343" s="38" t="str">
        <f t="shared" si="5"/>
        <v/>
      </c>
    </row>
    <row r="344" spans="9:9" x14ac:dyDescent="0.25">
      <c r="I344" s="38" t="str">
        <f t="shared" si="5"/>
        <v/>
      </c>
    </row>
    <row r="345" spans="9:9" x14ac:dyDescent="0.25">
      <c r="I345" s="38" t="str">
        <f t="shared" si="5"/>
        <v/>
      </c>
    </row>
    <row r="346" spans="9:9" x14ac:dyDescent="0.25">
      <c r="I346" s="38" t="str">
        <f t="shared" si="5"/>
        <v/>
      </c>
    </row>
    <row r="347" spans="9:9" x14ac:dyDescent="0.25">
      <c r="I347" s="38" t="str">
        <f t="shared" si="5"/>
        <v/>
      </c>
    </row>
    <row r="348" spans="9:9" x14ac:dyDescent="0.25">
      <c r="I348" s="38" t="str">
        <f t="shared" si="5"/>
        <v/>
      </c>
    </row>
    <row r="349" spans="9:9" x14ac:dyDescent="0.25">
      <c r="I349" s="38" t="str">
        <f t="shared" si="5"/>
        <v/>
      </c>
    </row>
    <row r="350" spans="9:9" x14ac:dyDescent="0.25">
      <c r="I350" s="38" t="str">
        <f t="shared" si="5"/>
        <v/>
      </c>
    </row>
    <row r="351" spans="9:9" x14ac:dyDescent="0.25">
      <c r="I351" s="38" t="str">
        <f t="shared" si="5"/>
        <v/>
      </c>
    </row>
    <row r="352" spans="9:9" x14ac:dyDescent="0.25">
      <c r="I352" s="38" t="str">
        <f t="shared" si="5"/>
        <v/>
      </c>
    </row>
    <row r="353" spans="9:9" x14ac:dyDescent="0.25">
      <c r="I353" s="38" t="str">
        <f t="shared" si="5"/>
        <v/>
      </c>
    </row>
    <row r="354" spans="9:9" x14ac:dyDescent="0.25">
      <c r="I354" s="38" t="str">
        <f t="shared" si="5"/>
        <v/>
      </c>
    </row>
    <row r="355" spans="9:9" x14ac:dyDescent="0.25">
      <c r="I355" s="38" t="str">
        <f t="shared" si="5"/>
        <v/>
      </c>
    </row>
    <row r="356" spans="9:9" x14ac:dyDescent="0.25">
      <c r="I356" s="38" t="str">
        <f t="shared" si="5"/>
        <v/>
      </c>
    </row>
    <row r="357" spans="9:9" x14ac:dyDescent="0.25">
      <c r="I357" s="38" t="str">
        <f t="shared" si="5"/>
        <v/>
      </c>
    </row>
    <row r="358" spans="9:9" x14ac:dyDescent="0.25">
      <c r="I358" s="38" t="str">
        <f t="shared" si="5"/>
        <v/>
      </c>
    </row>
    <row r="359" spans="9:9" x14ac:dyDescent="0.25">
      <c r="I359" s="38" t="str">
        <f t="shared" si="5"/>
        <v/>
      </c>
    </row>
    <row r="360" spans="9:9" x14ac:dyDescent="0.25">
      <c r="I360" s="38" t="str">
        <f t="shared" si="5"/>
        <v/>
      </c>
    </row>
    <row r="361" spans="9:9" x14ac:dyDescent="0.25">
      <c r="I361" s="38" t="str">
        <f t="shared" si="5"/>
        <v/>
      </c>
    </row>
    <row r="362" spans="9:9" x14ac:dyDescent="0.25">
      <c r="I362" s="38" t="str">
        <f t="shared" si="5"/>
        <v/>
      </c>
    </row>
    <row r="363" spans="9:9" x14ac:dyDescent="0.25">
      <c r="I363" s="38" t="str">
        <f t="shared" si="5"/>
        <v/>
      </c>
    </row>
    <row r="364" spans="9:9" x14ac:dyDescent="0.25">
      <c r="I364" s="38" t="str">
        <f t="shared" si="5"/>
        <v/>
      </c>
    </row>
    <row r="365" spans="9:9" x14ac:dyDescent="0.25">
      <c r="I365" s="38" t="str">
        <f t="shared" si="5"/>
        <v/>
      </c>
    </row>
    <row r="366" spans="9:9" x14ac:dyDescent="0.25">
      <c r="I366" s="38" t="str">
        <f t="shared" si="5"/>
        <v/>
      </c>
    </row>
    <row r="367" spans="9:9" x14ac:dyDescent="0.25">
      <c r="I367" s="38" t="str">
        <f t="shared" si="5"/>
        <v/>
      </c>
    </row>
    <row r="368" spans="9:9" x14ac:dyDescent="0.25">
      <c r="I368" s="38" t="str">
        <f t="shared" si="5"/>
        <v/>
      </c>
    </row>
    <row r="369" spans="9:9" x14ac:dyDescent="0.25">
      <c r="I369" s="38" t="str">
        <f t="shared" si="5"/>
        <v/>
      </c>
    </row>
    <row r="370" spans="9:9" x14ac:dyDescent="0.25">
      <c r="I370" s="38" t="str">
        <f t="shared" si="5"/>
        <v/>
      </c>
    </row>
    <row r="371" spans="9:9" x14ac:dyDescent="0.25">
      <c r="I371" s="38" t="str">
        <f t="shared" si="5"/>
        <v/>
      </c>
    </row>
    <row r="372" spans="9:9" x14ac:dyDescent="0.25">
      <c r="I372" s="38" t="str">
        <f t="shared" si="5"/>
        <v/>
      </c>
    </row>
    <row r="373" spans="9:9" x14ac:dyDescent="0.25">
      <c r="I373" s="38" t="str">
        <f t="shared" si="5"/>
        <v/>
      </c>
    </row>
    <row r="374" spans="9:9" x14ac:dyDescent="0.25">
      <c r="I374" s="38" t="str">
        <f t="shared" si="5"/>
        <v/>
      </c>
    </row>
    <row r="375" spans="9:9" x14ac:dyDescent="0.25">
      <c r="I375" s="38" t="str">
        <f t="shared" si="5"/>
        <v/>
      </c>
    </row>
    <row r="376" spans="9:9" x14ac:dyDescent="0.25">
      <c r="I376" s="38" t="str">
        <f t="shared" si="5"/>
        <v/>
      </c>
    </row>
    <row r="377" spans="9:9" x14ac:dyDescent="0.25">
      <c r="I377" s="38" t="str">
        <f t="shared" si="5"/>
        <v/>
      </c>
    </row>
    <row r="378" spans="9:9" x14ac:dyDescent="0.25">
      <c r="I378" s="38" t="str">
        <f t="shared" si="5"/>
        <v/>
      </c>
    </row>
    <row r="379" spans="9:9" x14ac:dyDescent="0.25">
      <c r="I379" s="38" t="str">
        <f t="shared" si="5"/>
        <v/>
      </c>
    </row>
    <row r="380" spans="9:9" x14ac:dyDescent="0.25">
      <c r="I380" s="38" t="str">
        <f t="shared" si="5"/>
        <v/>
      </c>
    </row>
    <row r="381" spans="9:9" x14ac:dyDescent="0.25">
      <c r="I381" s="38" t="str">
        <f t="shared" si="5"/>
        <v/>
      </c>
    </row>
    <row r="382" spans="9:9" x14ac:dyDescent="0.25">
      <c r="I382" s="38" t="str">
        <f t="shared" si="5"/>
        <v/>
      </c>
    </row>
    <row r="383" spans="9:9" x14ac:dyDescent="0.25">
      <c r="I383" s="38" t="str">
        <f t="shared" si="5"/>
        <v/>
      </c>
    </row>
    <row r="384" spans="9:9" x14ac:dyDescent="0.25">
      <c r="I384" s="38" t="str">
        <f t="shared" si="5"/>
        <v/>
      </c>
    </row>
    <row r="385" spans="9:9" x14ac:dyDescent="0.25">
      <c r="I385" s="38" t="str">
        <f t="shared" si="5"/>
        <v/>
      </c>
    </row>
    <row r="386" spans="9:9" x14ac:dyDescent="0.25">
      <c r="I386" s="38" t="str">
        <f t="shared" si="5"/>
        <v/>
      </c>
    </row>
    <row r="387" spans="9:9" x14ac:dyDescent="0.25">
      <c r="I387" s="38" t="str">
        <f t="shared" si="5"/>
        <v/>
      </c>
    </row>
    <row r="388" spans="9:9" x14ac:dyDescent="0.25">
      <c r="I388" s="38" t="str">
        <f t="shared" si="5"/>
        <v/>
      </c>
    </row>
    <row r="389" spans="9:9" x14ac:dyDescent="0.25">
      <c r="I389" s="38" t="str">
        <f t="shared" si="5"/>
        <v/>
      </c>
    </row>
    <row r="390" spans="9:9" x14ac:dyDescent="0.25">
      <c r="I390" s="38" t="str">
        <f t="shared" si="5"/>
        <v/>
      </c>
    </row>
    <row r="391" spans="9:9" x14ac:dyDescent="0.25">
      <c r="I391" s="38" t="str">
        <f t="shared" si="5"/>
        <v/>
      </c>
    </row>
    <row r="392" spans="9:9" x14ac:dyDescent="0.25">
      <c r="I392" s="38" t="str">
        <f t="shared" si="5"/>
        <v/>
      </c>
    </row>
    <row r="393" spans="9:9" x14ac:dyDescent="0.25">
      <c r="I393" s="38" t="str">
        <f t="shared" si="5"/>
        <v/>
      </c>
    </row>
    <row r="394" spans="9:9" x14ac:dyDescent="0.25">
      <c r="I394" s="38" t="str">
        <f t="shared" si="5"/>
        <v/>
      </c>
    </row>
    <row r="395" spans="9:9" x14ac:dyDescent="0.25">
      <c r="I395" s="38" t="str">
        <f t="shared" si="5"/>
        <v/>
      </c>
    </row>
    <row r="396" spans="9:9" x14ac:dyDescent="0.25">
      <c r="I396" s="38" t="str">
        <f t="shared" si="5"/>
        <v/>
      </c>
    </row>
    <row r="397" spans="9:9" x14ac:dyDescent="0.25">
      <c r="I397" s="38" t="str">
        <f t="shared" si="5"/>
        <v/>
      </c>
    </row>
    <row r="398" spans="9:9" x14ac:dyDescent="0.25">
      <c r="I398" s="38" t="str">
        <f t="shared" si="5"/>
        <v/>
      </c>
    </row>
    <row r="399" spans="9:9" x14ac:dyDescent="0.25">
      <c r="I399" s="38" t="str">
        <f t="shared" si="5"/>
        <v/>
      </c>
    </row>
    <row r="400" spans="9:9" x14ac:dyDescent="0.25">
      <c r="I400" s="38" t="str">
        <f t="shared" ref="I400:I463" si="6">IF(A400=0,"","Aggregator")</f>
        <v/>
      </c>
    </row>
    <row r="401" spans="9:9" x14ac:dyDescent="0.25">
      <c r="I401" s="38" t="str">
        <f t="shared" si="6"/>
        <v/>
      </c>
    </row>
    <row r="402" spans="9:9" x14ac:dyDescent="0.25">
      <c r="I402" s="38" t="str">
        <f t="shared" si="6"/>
        <v/>
      </c>
    </row>
    <row r="403" spans="9:9" x14ac:dyDescent="0.25">
      <c r="I403" s="38" t="str">
        <f t="shared" si="6"/>
        <v/>
      </c>
    </row>
    <row r="404" spans="9:9" x14ac:dyDescent="0.25">
      <c r="I404" s="38" t="str">
        <f t="shared" si="6"/>
        <v/>
      </c>
    </row>
    <row r="405" spans="9:9" x14ac:dyDescent="0.25">
      <c r="I405" s="38" t="str">
        <f t="shared" si="6"/>
        <v/>
      </c>
    </row>
    <row r="406" spans="9:9" x14ac:dyDescent="0.25">
      <c r="I406" s="38" t="str">
        <f t="shared" si="6"/>
        <v/>
      </c>
    </row>
    <row r="407" spans="9:9" x14ac:dyDescent="0.25">
      <c r="I407" s="38" t="str">
        <f t="shared" si="6"/>
        <v/>
      </c>
    </row>
    <row r="408" spans="9:9" x14ac:dyDescent="0.25">
      <c r="I408" s="38" t="str">
        <f t="shared" si="6"/>
        <v/>
      </c>
    </row>
    <row r="409" spans="9:9" x14ac:dyDescent="0.25">
      <c r="I409" s="38" t="str">
        <f t="shared" si="6"/>
        <v/>
      </c>
    </row>
    <row r="410" spans="9:9" x14ac:dyDescent="0.25">
      <c r="I410" s="38" t="str">
        <f t="shared" si="6"/>
        <v/>
      </c>
    </row>
    <row r="411" spans="9:9" x14ac:dyDescent="0.25">
      <c r="I411" s="38" t="str">
        <f t="shared" si="6"/>
        <v/>
      </c>
    </row>
    <row r="412" spans="9:9" x14ac:dyDescent="0.25">
      <c r="I412" s="38" t="str">
        <f t="shared" si="6"/>
        <v/>
      </c>
    </row>
    <row r="413" spans="9:9" x14ac:dyDescent="0.25">
      <c r="I413" s="38" t="str">
        <f t="shared" si="6"/>
        <v/>
      </c>
    </row>
    <row r="414" spans="9:9" x14ac:dyDescent="0.25">
      <c r="I414" s="38" t="str">
        <f t="shared" si="6"/>
        <v/>
      </c>
    </row>
    <row r="415" spans="9:9" x14ac:dyDescent="0.25">
      <c r="I415" s="38" t="str">
        <f t="shared" si="6"/>
        <v/>
      </c>
    </row>
    <row r="416" spans="9:9" x14ac:dyDescent="0.25">
      <c r="I416" s="38" t="str">
        <f t="shared" si="6"/>
        <v/>
      </c>
    </row>
    <row r="417" spans="9:9" x14ac:dyDescent="0.25">
      <c r="I417" s="38" t="str">
        <f t="shared" si="6"/>
        <v/>
      </c>
    </row>
    <row r="418" spans="9:9" x14ac:dyDescent="0.25">
      <c r="I418" s="38" t="str">
        <f t="shared" si="6"/>
        <v/>
      </c>
    </row>
    <row r="419" spans="9:9" x14ac:dyDescent="0.25">
      <c r="I419" s="38" t="str">
        <f t="shared" si="6"/>
        <v/>
      </c>
    </row>
    <row r="420" spans="9:9" x14ac:dyDescent="0.25">
      <c r="I420" s="38" t="str">
        <f t="shared" si="6"/>
        <v/>
      </c>
    </row>
    <row r="421" spans="9:9" x14ac:dyDescent="0.25">
      <c r="I421" s="38" t="str">
        <f t="shared" si="6"/>
        <v/>
      </c>
    </row>
    <row r="422" spans="9:9" x14ac:dyDescent="0.25">
      <c r="I422" s="38" t="str">
        <f t="shared" si="6"/>
        <v/>
      </c>
    </row>
    <row r="423" spans="9:9" x14ac:dyDescent="0.25">
      <c r="I423" s="38" t="str">
        <f t="shared" si="6"/>
        <v/>
      </c>
    </row>
    <row r="424" spans="9:9" x14ac:dyDescent="0.25">
      <c r="I424" s="38" t="str">
        <f t="shared" si="6"/>
        <v/>
      </c>
    </row>
    <row r="425" spans="9:9" x14ac:dyDescent="0.25">
      <c r="I425" s="38" t="str">
        <f t="shared" si="6"/>
        <v/>
      </c>
    </row>
    <row r="426" spans="9:9" x14ac:dyDescent="0.25">
      <c r="I426" s="38" t="str">
        <f t="shared" si="6"/>
        <v/>
      </c>
    </row>
    <row r="427" spans="9:9" x14ac:dyDescent="0.25">
      <c r="I427" s="38" t="str">
        <f t="shared" si="6"/>
        <v/>
      </c>
    </row>
    <row r="428" spans="9:9" x14ac:dyDescent="0.25">
      <c r="I428" s="38" t="str">
        <f t="shared" si="6"/>
        <v/>
      </c>
    </row>
    <row r="429" spans="9:9" x14ac:dyDescent="0.25">
      <c r="I429" s="38" t="str">
        <f t="shared" si="6"/>
        <v/>
      </c>
    </row>
    <row r="430" spans="9:9" x14ac:dyDescent="0.25">
      <c r="I430" s="38" t="str">
        <f t="shared" si="6"/>
        <v/>
      </c>
    </row>
    <row r="431" spans="9:9" x14ac:dyDescent="0.25">
      <c r="I431" s="38" t="str">
        <f t="shared" si="6"/>
        <v/>
      </c>
    </row>
    <row r="432" spans="9:9" x14ac:dyDescent="0.25">
      <c r="I432" s="38" t="str">
        <f t="shared" si="6"/>
        <v/>
      </c>
    </row>
    <row r="433" spans="9:9" x14ac:dyDescent="0.25">
      <c r="I433" s="38" t="str">
        <f t="shared" si="6"/>
        <v/>
      </c>
    </row>
    <row r="434" spans="9:9" x14ac:dyDescent="0.25">
      <c r="I434" s="38" t="str">
        <f t="shared" si="6"/>
        <v/>
      </c>
    </row>
    <row r="435" spans="9:9" x14ac:dyDescent="0.25">
      <c r="I435" s="38" t="str">
        <f t="shared" si="6"/>
        <v/>
      </c>
    </row>
    <row r="436" spans="9:9" x14ac:dyDescent="0.25">
      <c r="I436" s="38" t="str">
        <f t="shared" si="6"/>
        <v/>
      </c>
    </row>
    <row r="437" spans="9:9" x14ac:dyDescent="0.25">
      <c r="I437" s="38" t="str">
        <f t="shared" si="6"/>
        <v/>
      </c>
    </row>
    <row r="438" spans="9:9" x14ac:dyDescent="0.25">
      <c r="I438" s="38" t="str">
        <f t="shared" si="6"/>
        <v/>
      </c>
    </row>
    <row r="439" spans="9:9" x14ac:dyDescent="0.25">
      <c r="I439" s="38" t="str">
        <f t="shared" si="6"/>
        <v/>
      </c>
    </row>
    <row r="440" spans="9:9" x14ac:dyDescent="0.25">
      <c r="I440" s="38" t="str">
        <f t="shared" si="6"/>
        <v/>
      </c>
    </row>
    <row r="441" spans="9:9" x14ac:dyDescent="0.25">
      <c r="I441" s="38" t="str">
        <f t="shared" si="6"/>
        <v/>
      </c>
    </row>
    <row r="442" spans="9:9" x14ac:dyDescent="0.25">
      <c r="I442" s="38" t="str">
        <f t="shared" si="6"/>
        <v/>
      </c>
    </row>
    <row r="443" spans="9:9" x14ac:dyDescent="0.25">
      <c r="I443" s="38" t="str">
        <f t="shared" si="6"/>
        <v/>
      </c>
    </row>
    <row r="444" spans="9:9" x14ac:dyDescent="0.25">
      <c r="I444" s="38" t="str">
        <f t="shared" si="6"/>
        <v/>
      </c>
    </row>
    <row r="445" spans="9:9" x14ac:dyDescent="0.25">
      <c r="I445" s="38" t="str">
        <f t="shared" si="6"/>
        <v/>
      </c>
    </row>
    <row r="446" spans="9:9" x14ac:dyDescent="0.25">
      <c r="I446" s="38" t="str">
        <f t="shared" si="6"/>
        <v/>
      </c>
    </row>
    <row r="447" spans="9:9" x14ac:dyDescent="0.25">
      <c r="I447" s="38" t="str">
        <f t="shared" si="6"/>
        <v/>
      </c>
    </row>
    <row r="448" spans="9:9" x14ac:dyDescent="0.25">
      <c r="I448" s="38" t="str">
        <f t="shared" si="6"/>
        <v/>
      </c>
    </row>
    <row r="449" spans="9:9" x14ac:dyDescent="0.25">
      <c r="I449" s="38" t="str">
        <f t="shared" si="6"/>
        <v/>
      </c>
    </row>
    <row r="450" spans="9:9" x14ac:dyDescent="0.25">
      <c r="I450" s="38" t="str">
        <f t="shared" si="6"/>
        <v/>
      </c>
    </row>
    <row r="451" spans="9:9" x14ac:dyDescent="0.25">
      <c r="I451" s="38" t="str">
        <f t="shared" si="6"/>
        <v/>
      </c>
    </row>
    <row r="452" spans="9:9" x14ac:dyDescent="0.25">
      <c r="I452" s="38" t="str">
        <f t="shared" si="6"/>
        <v/>
      </c>
    </row>
    <row r="453" spans="9:9" x14ac:dyDescent="0.25">
      <c r="I453" s="38" t="str">
        <f t="shared" si="6"/>
        <v/>
      </c>
    </row>
    <row r="454" spans="9:9" x14ac:dyDescent="0.25">
      <c r="I454" s="38" t="str">
        <f t="shared" si="6"/>
        <v/>
      </c>
    </row>
    <row r="455" spans="9:9" x14ac:dyDescent="0.25">
      <c r="I455" s="38" t="str">
        <f t="shared" si="6"/>
        <v/>
      </c>
    </row>
    <row r="456" spans="9:9" x14ac:dyDescent="0.25">
      <c r="I456" s="38" t="str">
        <f t="shared" si="6"/>
        <v/>
      </c>
    </row>
    <row r="457" spans="9:9" x14ac:dyDescent="0.25">
      <c r="I457" s="38" t="str">
        <f t="shared" si="6"/>
        <v/>
      </c>
    </row>
    <row r="458" spans="9:9" x14ac:dyDescent="0.25">
      <c r="I458" s="38" t="str">
        <f t="shared" si="6"/>
        <v/>
      </c>
    </row>
    <row r="459" spans="9:9" x14ac:dyDescent="0.25">
      <c r="I459" s="38" t="str">
        <f t="shared" si="6"/>
        <v/>
      </c>
    </row>
    <row r="460" spans="9:9" x14ac:dyDescent="0.25">
      <c r="I460" s="38" t="str">
        <f t="shared" si="6"/>
        <v/>
      </c>
    </row>
    <row r="461" spans="9:9" x14ac:dyDescent="0.25">
      <c r="I461" s="38" t="str">
        <f t="shared" si="6"/>
        <v/>
      </c>
    </row>
    <row r="462" spans="9:9" x14ac:dyDescent="0.25">
      <c r="I462" s="38" t="str">
        <f t="shared" si="6"/>
        <v/>
      </c>
    </row>
    <row r="463" spans="9:9" x14ac:dyDescent="0.25">
      <c r="I463" s="38" t="str">
        <f t="shared" si="6"/>
        <v/>
      </c>
    </row>
    <row r="464" spans="9:9" x14ac:dyDescent="0.25">
      <c r="I464" s="38" t="str">
        <f t="shared" ref="I464:I527" si="7">IF(A464=0,"","Aggregator")</f>
        <v/>
      </c>
    </row>
    <row r="465" spans="9:9" x14ac:dyDescent="0.25">
      <c r="I465" s="38" t="str">
        <f t="shared" si="7"/>
        <v/>
      </c>
    </row>
    <row r="466" spans="9:9" x14ac:dyDescent="0.25">
      <c r="I466" s="38" t="str">
        <f t="shared" si="7"/>
        <v/>
      </c>
    </row>
    <row r="467" spans="9:9" x14ac:dyDescent="0.25">
      <c r="I467" s="38" t="str">
        <f t="shared" si="7"/>
        <v/>
      </c>
    </row>
    <row r="468" spans="9:9" x14ac:dyDescent="0.25">
      <c r="I468" s="38" t="str">
        <f t="shared" si="7"/>
        <v/>
      </c>
    </row>
    <row r="469" spans="9:9" x14ac:dyDescent="0.25">
      <c r="I469" s="38" t="str">
        <f t="shared" si="7"/>
        <v/>
      </c>
    </row>
    <row r="470" spans="9:9" x14ac:dyDescent="0.25">
      <c r="I470" s="38" t="str">
        <f t="shared" si="7"/>
        <v/>
      </c>
    </row>
    <row r="471" spans="9:9" x14ac:dyDescent="0.25">
      <c r="I471" s="38" t="str">
        <f t="shared" si="7"/>
        <v/>
      </c>
    </row>
    <row r="472" spans="9:9" x14ac:dyDescent="0.25">
      <c r="I472" s="38" t="str">
        <f t="shared" si="7"/>
        <v/>
      </c>
    </row>
    <row r="473" spans="9:9" x14ac:dyDescent="0.25">
      <c r="I473" s="38" t="str">
        <f t="shared" si="7"/>
        <v/>
      </c>
    </row>
    <row r="474" spans="9:9" x14ac:dyDescent="0.25">
      <c r="I474" s="38" t="str">
        <f t="shared" si="7"/>
        <v/>
      </c>
    </row>
    <row r="475" spans="9:9" x14ac:dyDescent="0.25">
      <c r="I475" s="38" t="str">
        <f t="shared" si="7"/>
        <v/>
      </c>
    </row>
    <row r="476" spans="9:9" x14ac:dyDescent="0.25">
      <c r="I476" s="38" t="str">
        <f t="shared" si="7"/>
        <v/>
      </c>
    </row>
    <row r="477" spans="9:9" x14ac:dyDescent="0.25">
      <c r="I477" s="38" t="str">
        <f t="shared" si="7"/>
        <v/>
      </c>
    </row>
    <row r="478" spans="9:9" x14ac:dyDescent="0.25">
      <c r="I478" s="38" t="str">
        <f t="shared" si="7"/>
        <v/>
      </c>
    </row>
    <row r="479" spans="9:9" x14ac:dyDescent="0.25">
      <c r="I479" s="38" t="str">
        <f t="shared" si="7"/>
        <v/>
      </c>
    </row>
    <row r="480" spans="9:9" x14ac:dyDescent="0.25">
      <c r="I480" s="38" t="str">
        <f t="shared" si="7"/>
        <v/>
      </c>
    </row>
    <row r="481" spans="9:9" x14ac:dyDescent="0.25">
      <c r="I481" s="38" t="str">
        <f t="shared" si="7"/>
        <v/>
      </c>
    </row>
    <row r="482" spans="9:9" x14ac:dyDescent="0.25">
      <c r="I482" s="38" t="str">
        <f t="shared" si="7"/>
        <v/>
      </c>
    </row>
    <row r="483" spans="9:9" x14ac:dyDescent="0.25">
      <c r="I483" s="38" t="str">
        <f t="shared" si="7"/>
        <v/>
      </c>
    </row>
    <row r="484" spans="9:9" x14ac:dyDescent="0.25">
      <c r="I484" s="38" t="str">
        <f t="shared" si="7"/>
        <v/>
      </c>
    </row>
    <row r="485" spans="9:9" x14ac:dyDescent="0.25">
      <c r="I485" s="38" t="str">
        <f t="shared" si="7"/>
        <v/>
      </c>
    </row>
    <row r="486" spans="9:9" x14ac:dyDescent="0.25">
      <c r="I486" s="38" t="str">
        <f t="shared" si="7"/>
        <v/>
      </c>
    </row>
    <row r="487" spans="9:9" x14ac:dyDescent="0.25">
      <c r="I487" s="38" t="str">
        <f t="shared" si="7"/>
        <v/>
      </c>
    </row>
    <row r="488" spans="9:9" x14ac:dyDescent="0.25">
      <c r="I488" s="38" t="str">
        <f t="shared" si="7"/>
        <v/>
      </c>
    </row>
    <row r="489" spans="9:9" x14ac:dyDescent="0.25">
      <c r="I489" s="38" t="str">
        <f t="shared" si="7"/>
        <v/>
      </c>
    </row>
    <row r="490" spans="9:9" x14ac:dyDescent="0.25">
      <c r="I490" s="38" t="str">
        <f t="shared" si="7"/>
        <v/>
      </c>
    </row>
    <row r="491" spans="9:9" x14ac:dyDescent="0.25">
      <c r="I491" s="38" t="str">
        <f t="shared" si="7"/>
        <v/>
      </c>
    </row>
    <row r="492" spans="9:9" x14ac:dyDescent="0.25">
      <c r="I492" s="38" t="str">
        <f t="shared" si="7"/>
        <v/>
      </c>
    </row>
    <row r="493" spans="9:9" x14ac:dyDescent="0.25">
      <c r="I493" s="38" t="str">
        <f t="shared" si="7"/>
        <v/>
      </c>
    </row>
    <row r="494" spans="9:9" x14ac:dyDescent="0.25">
      <c r="I494" s="38" t="str">
        <f t="shared" si="7"/>
        <v/>
      </c>
    </row>
    <row r="495" spans="9:9" x14ac:dyDescent="0.25">
      <c r="I495" s="38" t="str">
        <f t="shared" si="7"/>
        <v/>
      </c>
    </row>
    <row r="496" spans="9:9" x14ac:dyDescent="0.25">
      <c r="I496" s="38" t="str">
        <f t="shared" si="7"/>
        <v/>
      </c>
    </row>
    <row r="497" spans="9:9" x14ac:dyDescent="0.25">
      <c r="I497" s="38" t="str">
        <f t="shared" si="7"/>
        <v/>
      </c>
    </row>
    <row r="498" spans="9:9" x14ac:dyDescent="0.25">
      <c r="I498" s="38" t="str">
        <f t="shared" si="7"/>
        <v/>
      </c>
    </row>
    <row r="499" spans="9:9" x14ac:dyDescent="0.25">
      <c r="I499" s="38" t="str">
        <f t="shared" si="7"/>
        <v/>
      </c>
    </row>
    <row r="500" spans="9:9" x14ac:dyDescent="0.25">
      <c r="I500" s="38" t="str">
        <f t="shared" si="7"/>
        <v/>
      </c>
    </row>
    <row r="501" spans="9:9" x14ac:dyDescent="0.25">
      <c r="I501" s="38" t="str">
        <f t="shared" si="7"/>
        <v/>
      </c>
    </row>
    <row r="502" spans="9:9" x14ac:dyDescent="0.25">
      <c r="I502" s="38" t="str">
        <f t="shared" si="7"/>
        <v/>
      </c>
    </row>
    <row r="503" spans="9:9" x14ac:dyDescent="0.25">
      <c r="I503" s="38" t="str">
        <f t="shared" si="7"/>
        <v/>
      </c>
    </row>
    <row r="504" spans="9:9" x14ac:dyDescent="0.25">
      <c r="I504" s="38" t="str">
        <f t="shared" si="7"/>
        <v/>
      </c>
    </row>
    <row r="505" spans="9:9" x14ac:dyDescent="0.25">
      <c r="I505" s="38" t="str">
        <f t="shared" si="7"/>
        <v/>
      </c>
    </row>
    <row r="506" spans="9:9" x14ac:dyDescent="0.25">
      <c r="I506" s="38" t="str">
        <f t="shared" si="7"/>
        <v/>
      </c>
    </row>
    <row r="507" spans="9:9" x14ac:dyDescent="0.25">
      <c r="I507" s="38" t="str">
        <f t="shared" si="7"/>
        <v/>
      </c>
    </row>
    <row r="508" spans="9:9" x14ac:dyDescent="0.25">
      <c r="I508" s="38" t="str">
        <f t="shared" si="7"/>
        <v/>
      </c>
    </row>
    <row r="509" spans="9:9" x14ac:dyDescent="0.25">
      <c r="I509" s="38" t="str">
        <f t="shared" si="7"/>
        <v/>
      </c>
    </row>
    <row r="510" spans="9:9" x14ac:dyDescent="0.25">
      <c r="I510" s="38" t="str">
        <f t="shared" si="7"/>
        <v/>
      </c>
    </row>
    <row r="511" spans="9:9" x14ac:dyDescent="0.25">
      <c r="I511" s="38" t="str">
        <f t="shared" si="7"/>
        <v/>
      </c>
    </row>
    <row r="512" spans="9:9" x14ac:dyDescent="0.25">
      <c r="I512" s="38" t="str">
        <f t="shared" si="7"/>
        <v/>
      </c>
    </row>
    <row r="513" spans="9:9" x14ac:dyDescent="0.25">
      <c r="I513" s="38" t="str">
        <f t="shared" si="7"/>
        <v/>
      </c>
    </row>
    <row r="514" spans="9:9" x14ac:dyDescent="0.25">
      <c r="I514" s="38" t="str">
        <f t="shared" si="7"/>
        <v/>
      </c>
    </row>
    <row r="515" spans="9:9" x14ac:dyDescent="0.25">
      <c r="I515" s="38" t="str">
        <f t="shared" si="7"/>
        <v/>
      </c>
    </row>
    <row r="516" spans="9:9" x14ac:dyDescent="0.25">
      <c r="I516" s="38" t="str">
        <f t="shared" si="7"/>
        <v/>
      </c>
    </row>
    <row r="517" spans="9:9" x14ac:dyDescent="0.25">
      <c r="I517" s="38" t="str">
        <f t="shared" si="7"/>
        <v/>
      </c>
    </row>
    <row r="518" spans="9:9" x14ac:dyDescent="0.25">
      <c r="I518" s="38" t="str">
        <f t="shared" si="7"/>
        <v/>
      </c>
    </row>
    <row r="519" spans="9:9" x14ac:dyDescent="0.25">
      <c r="I519" s="38" t="str">
        <f t="shared" si="7"/>
        <v/>
      </c>
    </row>
    <row r="520" spans="9:9" x14ac:dyDescent="0.25">
      <c r="I520" s="38" t="str">
        <f t="shared" si="7"/>
        <v/>
      </c>
    </row>
    <row r="521" spans="9:9" x14ac:dyDescent="0.25">
      <c r="I521" s="38" t="str">
        <f t="shared" si="7"/>
        <v/>
      </c>
    </row>
    <row r="522" spans="9:9" x14ac:dyDescent="0.25">
      <c r="I522" s="38" t="str">
        <f t="shared" si="7"/>
        <v/>
      </c>
    </row>
    <row r="523" spans="9:9" x14ac:dyDescent="0.25">
      <c r="I523" s="38" t="str">
        <f t="shared" si="7"/>
        <v/>
      </c>
    </row>
    <row r="524" spans="9:9" x14ac:dyDescent="0.25">
      <c r="I524" s="38" t="str">
        <f t="shared" si="7"/>
        <v/>
      </c>
    </row>
    <row r="525" spans="9:9" x14ac:dyDescent="0.25">
      <c r="I525" s="38" t="str">
        <f t="shared" si="7"/>
        <v/>
      </c>
    </row>
    <row r="526" spans="9:9" x14ac:dyDescent="0.25">
      <c r="I526" s="38" t="str">
        <f t="shared" si="7"/>
        <v/>
      </c>
    </row>
    <row r="527" spans="9:9" x14ac:dyDescent="0.25">
      <c r="I527" s="38" t="str">
        <f t="shared" si="7"/>
        <v/>
      </c>
    </row>
    <row r="528" spans="9:9" x14ac:dyDescent="0.25">
      <c r="I528" s="38" t="str">
        <f t="shared" ref="I528:I591" si="8">IF(A528=0,"","Aggregator")</f>
        <v/>
      </c>
    </row>
    <row r="529" spans="9:9" x14ac:dyDescent="0.25">
      <c r="I529" s="38" t="str">
        <f t="shared" si="8"/>
        <v/>
      </c>
    </row>
    <row r="530" spans="9:9" x14ac:dyDescent="0.25">
      <c r="I530" s="38" t="str">
        <f t="shared" si="8"/>
        <v/>
      </c>
    </row>
    <row r="531" spans="9:9" x14ac:dyDescent="0.25">
      <c r="I531" s="38" t="str">
        <f t="shared" si="8"/>
        <v/>
      </c>
    </row>
    <row r="532" spans="9:9" x14ac:dyDescent="0.25">
      <c r="I532" s="38" t="str">
        <f t="shared" si="8"/>
        <v/>
      </c>
    </row>
    <row r="533" spans="9:9" x14ac:dyDescent="0.25">
      <c r="I533" s="38" t="str">
        <f t="shared" si="8"/>
        <v/>
      </c>
    </row>
    <row r="534" spans="9:9" x14ac:dyDescent="0.25">
      <c r="I534" s="38" t="str">
        <f t="shared" si="8"/>
        <v/>
      </c>
    </row>
    <row r="535" spans="9:9" x14ac:dyDescent="0.25">
      <c r="I535" s="38" t="str">
        <f t="shared" si="8"/>
        <v/>
      </c>
    </row>
    <row r="536" spans="9:9" x14ac:dyDescent="0.25">
      <c r="I536" s="38" t="str">
        <f t="shared" si="8"/>
        <v/>
      </c>
    </row>
    <row r="537" spans="9:9" x14ac:dyDescent="0.25">
      <c r="I537" s="38" t="str">
        <f t="shared" si="8"/>
        <v/>
      </c>
    </row>
    <row r="538" spans="9:9" x14ac:dyDescent="0.25">
      <c r="I538" s="38" t="str">
        <f t="shared" si="8"/>
        <v/>
      </c>
    </row>
    <row r="539" spans="9:9" x14ac:dyDescent="0.25">
      <c r="I539" s="38" t="str">
        <f t="shared" si="8"/>
        <v/>
      </c>
    </row>
    <row r="540" spans="9:9" x14ac:dyDescent="0.25">
      <c r="I540" s="38" t="str">
        <f t="shared" si="8"/>
        <v/>
      </c>
    </row>
    <row r="541" spans="9:9" x14ac:dyDescent="0.25">
      <c r="I541" s="38" t="str">
        <f t="shared" si="8"/>
        <v/>
      </c>
    </row>
    <row r="542" spans="9:9" x14ac:dyDescent="0.25">
      <c r="I542" s="38" t="str">
        <f t="shared" si="8"/>
        <v/>
      </c>
    </row>
    <row r="543" spans="9:9" x14ac:dyDescent="0.25">
      <c r="I543" s="38" t="str">
        <f t="shared" si="8"/>
        <v/>
      </c>
    </row>
    <row r="544" spans="9:9" x14ac:dyDescent="0.25">
      <c r="I544" s="38" t="str">
        <f t="shared" si="8"/>
        <v/>
      </c>
    </row>
    <row r="545" spans="9:9" x14ac:dyDescent="0.25">
      <c r="I545" s="38" t="str">
        <f t="shared" si="8"/>
        <v/>
      </c>
    </row>
    <row r="546" spans="9:9" x14ac:dyDescent="0.25">
      <c r="I546" s="38" t="str">
        <f t="shared" si="8"/>
        <v/>
      </c>
    </row>
    <row r="547" spans="9:9" x14ac:dyDescent="0.25">
      <c r="I547" s="38" t="str">
        <f t="shared" si="8"/>
        <v/>
      </c>
    </row>
    <row r="548" spans="9:9" x14ac:dyDescent="0.25">
      <c r="I548" s="38" t="str">
        <f t="shared" si="8"/>
        <v/>
      </c>
    </row>
    <row r="549" spans="9:9" x14ac:dyDescent="0.25">
      <c r="I549" s="38" t="str">
        <f t="shared" si="8"/>
        <v/>
      </c>
    </row>
    <row r="550" spans="9:9" x14ac:dyDescent="0.25">
      <c r="I550" s="38" t="str">
        <f t="shared" si="8"/>
        <v/>
      </c>
    </row>
    <row r="551" spans="9:9" x14ac:dyDescent="0.25">
      <c r="I551" s="38" t="str">
        <f t="shared" si="8"/>
        <v/>
      </c>
    </row>
    <row r="552" spans="9:9" x14ac:dyDescent="0.25">
      <c r="I552" s="38" t="str">
        <f t="shared" si="8"/>
        <v/>
      </c>
    </row>
    <row r="553" spans="9:9" x14ac:dyDescent="0.25">
      <c r="I553" s="38" t="str">
        <f t="shared" si="8"/>
        <v/>
      </c>
    </row>
    <row r="554" spans="9:9" x14ac:dyDescent="0.25">
      <c r="I554" s="38" t="str">
        <f t="shared" si="8"/>
        <v/>
      </c>
    </row>
    <row r="555" spans="9:9" x14ac:dyDescent="0.25">
      <c r="I555" s="38" t="str">
        <f t="shared" si="8"/>
        <v/>
      </c>
    </row>
    <row r="556" spans="9:9" x14ac:dyDescent="0.25">
      <c r="I556" s="38" t="str">
        <f t="shared" si="8"/>
        <v/>
      </c>
    </row>
    <row r="557" spans="9:9" x14ac:dyDescent="0.25">
      <c r="I557" s="38" t="str">
        <f t="shared" si="8"/>
        <v/>
      </c>
    </row>
    <row r="558" spans="9:9" x14ac:dyDescent="0.25">
      <c r="I558" s="38" t="str">
        <f t="shared" si="8"/>
        <v/>
      </c>
    </row>
    <row r="559" spans="9:9" x14ac:dyDescent="0.25">
      <c r="I559" s="38" t="str">
        <f t="shared" si="8"/>
        <v/>
      </c>
    </row>
    <row r="560" spans="9:9" x14ac:dyDescent="0.25">
      <c r="I560" s="38" t="str">
        <f t="shared" si="8"/>
        <v/>
      </c>
    </row>
    <row r="561" spans="9:9" x14ac:dyDescent="0.25">
      <c r="I561" s="38" t="str">
        <f t="shared" si="8"/>
        <v/>
      </c>
    </row>
    <row r="562" spans="9:9" x14ac:dyDescent="0.25">
      <c r="I562" s="38" t="str">
        <f t="shared" si="8"/>
        <v/>
      </c>
    </row>
    <row r="563" spans="9:9" x14ac:dyDescent="0.25">
      <c r="I563" s="38" t="str">
        <f t="shared" si="8"/>
        <v/>
      </c>
    </row>
    <row r="564" spans="9:9" x14ac:dyDescent="0.25">
      <c r="I564" s="38" t="str">
        <f t="shared" si="8"/>
        <v/>
      </c>
    </row>
    <row r="565" spans="9:9" x14ac:dyDescent="0.25">
      <c r="I565" s="38" t="str">
        <f t="shared" si="8"/>
        <v/>
      </c>
    </row>
    <row r="566" spans="9:9" x14ac:dyDescent="0.25">
      <c r="I566" s="38" t="str">
        <f t="shared" si="8"/>
        <v/>
      </c>
    </row>
    <row r="567" spans="9:9" x14ac:dyDescent="0.25">
      <c r="I567" s="38" t="str">
        <f t="shared" si="8"/>
        <v/>
      </c>
    </row>
    <row r="568" spans="9:9" x14ac:dyDescent="0.25">
      <c r="I568" s="38" t="str">
        <f t="shared" si="8"/>
        <v/>
      </c>
    </row>
    <row r="569" spans="9:9" x14ac:dyDescent="0.25">
      <c r="I569" s="38" t="str">
        <f t="shared" si="8"/>
        <v/>
      </c>
    </row>
    <row r="570" spans="9:9" x14ac:dyDescent="0.25">
      <c r="I570" s="38" t="str">
        <f t="shared" si="8"/>
        <v/>
      </c>
    </row>
    <row r="571" spans="9:9" x14ac:dyDescent="0.25">
      <c r="I571" s="38" t="str">
        <f t="shared" si="8"/>
        <v/>
      </c>
    </row>
    <row r="572" spans="9:9" x14ac:dyDescent="0.25">
      <c r="I572" s="38" t="str">
        <f t="shared" si="8"/>
        <v/>
      </c>
    </row>
    <row r="573" spans="9:9" x14ac:dyDescent="0.25">
      <c r="I573" s="38" t="str">
        <f t="shared" si="8"/>
        <v/>
      </c>
    </row>
    <row r="574" spans="9:9" x14ac:dyDescent="0.25">
      <c r="I574" s="38" t="str">
        <f t="shared" si="8"/>
        <v/>
      </c>
    </row>
    <row r="575" spans="9:9" x14ac:dyDescent="0.25">
      <c r="I575" s="38" t="str">
        <f t="shared" si="8"/>
        <v/>
      </c>
    </row>
    <row r="576" spans="9:9" x14ac:dyDescent="0.25">
      <c r="I576" s="38" t="str">
        <f t="shared" si="8"/>
        <v/>
      </c>
    </row>
    <row r="577" spans="9:9" x14ac:dyDescent="0.25">
      <c r="I577" s="38" t="str">
        <f t="shared" si="8"/>
        <v/>
      </c>
    </row>
    <row r="578" spans="9:9" x14ac:dyDescent="0.25">
      <c r="I578" s="38" t="str">
        <f t="shared" si="8"/>
        <v/>
      </c>
    </row>
    <row r="579" spans="9:9" x14ac:dyDescent="0.25">
      <c r="I579" s="38" t="str">
        <f t="shared" si="8"/>
        <v/>
      </c>
    </row>
    <row r="580" spans="9:9" x14ac:dyDescent="0.25">
      <c r="I580" s="38" t="str">
        <f t="shared" si="8"/>
        <v/>
      </c>
    </row>
    <row r="581" spans="9:9" x14ac:dyDescent="0.25">
      <c r="I581" s="38" t="str">
        <f t="shared" si="8"/>
        <v/>
      </c>
    </row>
    <row r="582" spans="9:9" x14ac:dyDescent="0.25">
      <c r="I582" s="38" t="str">
        <f t="shared" si="8"/>
        <v/>
      </c>
    </row>
    <row r="583" spans="9:9" x14ac:dyDescent="0.25">
      <c r="I583" s="38" t="str">
        <f t="shared" si="8"/>
        <v/>
      </c>
    </row>
    <row r="584" spans="9:9" x14ac:dyDescent="0.25">
      <c r="I584" s="38" t="str">
        <f t="shared" si="8"/>
        <v/>
      </c>
    </row>
    <row r="585" spans="9:9" x14ac:dyDescent="0.25">
      <c r="I585" s="38" t="str">
        <f t="shared" si="8"/>
        <v/>
      </c>
    </row>
    <row r="586" spans="9:9" x14ac:dyDescent="0.25">
      <c r="I586" s="38" t="str">
        <f t="shared" si="8"/>
        <v/>
      </c>
    </row>
    <row r="587" spans="9:9" x14ac:dyDescent="0.25">
      <c r="I587" s="38" t="str">
        <f t="shared" si="8"/>
        <v/>
      </c>
    </row>
    <row r="588" spans="9:9" x14ac:dyDescent="0.25">
      <c r="I588" s="38" t="str">
        <f t="shared" si="8"/>
        <v/>
      </c>
    </row>
    <row r="589" spans="9:9" x14ac:dyDescent="0.25">
      <c r="I589" s="38" t="str">
        <f t="shared" si="8"/>
        <v/>
      </c>
    </row>
    <row r="590" spans="9:9" x14ac:dyDescent="0.25">
      <c r="I590" s="38" t="str">
        <f t="shared" si="8"/>
        <v/>
      </c>
    </row>
    <row r="591" spans="9:9" x14ac:dyDescent="0.25">
      <c r="I591" s="38" t="str">
        <f t="shared" si="8"/>
        <v/>
      </c>
    </row>
    <row r="592" spans="9:9" x14ac:dyDescent="0.25">
      <c r="I592" s="38" t="str">
        <f t="shared" ref="I592:I655" si="9">IF(A592=0,"","Aggregator")</f>
        <v/>
      </c>
    </row>
    <row r="593" spans="9:9" x14ac:dyDescent="0.25">
      <c r="I593" s="38" t="str">
        <f t="shared" si="9"/>
        <v/>
      </c>
    </row>
    <row r="594" spans="9:9" x14ac:dyDescent="0.25">
      <c r="I594" s="38" t="str">
        <f t="shared" si="9"/>
        <v/>
      </c>
    </row>
    <row r="595" spans="9:9" x14ac:dyDescent="0.25">
      <c r="I595" s="38" t="str">
        <f t="shared" si="9"/>
        <v/>
      </c>
    </row>
    <row r="596" spans="9:9" x14ac:dyDescent="0.25">
      <c r="I596" s="38" t="str">
        <f t="shared" si="9"/>
        <v/>
      </c>
    </row>
    <row r="597" spans="9:9" x14ac:dyDescent="0.25">
      <c r="I597" s="38" t="str">
        <f t="shared" si="9"/>
        <v/>
      </c>
    </row>
    <row r="598" spans="9:9" x14ac:dyDescent="0.25">
      <c r="I598" s="38" t="str">
        <f t="shared" si="9"/>
        <v/>
      </c>
    </row>
    <row r="599" spans="9:9" x14ac:dyDescent="0.25">
      <c r="I599" s="38" t="str">
        <f t="shared" si="9"/>
        <v/>
      </c>
    </row>
    <row r="600" spans="9:9" x14ac:dyDescent="0.25">
      <c r="I600" s="38" t="str">
        <f t="shared" si="9"/>
        <v/>
      </c>
    </row>
    <row r="601" spans="9:9" x14ac:dyDescent="0.25">
      <c r="I601" s="38" t="str">
        <f t="shared" si="9"/>
        <v/>
      </c>
    </row>
    <row r="602" spans="9:9" x14ac:dyDescent="0.25">
      <c r="I602" s="38" t="str">
        <f t="shared" si="9"/>
        <v/>
      </c>
    </row>
    <row r="603" spans="9:9" x14ac:dyDescent="0.25">
      <c r="I603" s="38" t="str">
        <f t="shared" si="9"/>
        <v/>
      </c>
    </row>
    <row r="604" spans="9:9" x14ac:dyDescent="0.25">
      <c r="I604" s="38" t="str">
        <f t="shared" si="9"/>
        <v/>
      </c>
    </row>
    <row r="605" spans="9:9" x14ac:dyDescent="0.25">
      <c r="I605" s="38" t="str">
        <f t="shared" si="9"/>
        <v/>
      </c>
    </row>
    <row r="606" spans="9:9" x14ac:dyDescent="0.25">
      <c r="I606" s="38" t="str">
        <f t="shared" si="9"/>
        <v/>
      </c>
    </row>
    <row r="607" spans="9:9" x14ac:dyDescent="0.25">
      <c r="I607" s="38" t="str">
        <f t="shared" si="9"/>
        <v/>
      </c>
    </row>
    <row r="608" spans="9:9" x14ac:dyDescent="0.25">
      <c r="I608" s="38" t="str">
        <f t="shared" si="9"/>
        <v/>
      </c>
    </row>
    <row r="609" spans="9:9" x14ac:dyDescent="0.25">
      <c r="I609" s="38" t="str">
        <f t="shared" si="9"/>
        <v/>
      </c>
    </row>
    <row r="610" spans="9:9" x14ac:dyDescent="0.25">
      <c r="I610" s="38" t="str">
        <f t="shared" si="9"/>
        <v/>
      </c>
    </row>
    <row r="611" spans="9:9" x14ac:dyDescent="0.25">
      <c r="I611" s="38" t="str">
        <f t="shared" si="9"/>
        <v/>
      </c>
    </row>
    <row r="612" spans="9:9" x14ac:dyDescent="0.25">
      <c r="I612" s="38" t="str">
        <f t="shared" si="9"/>
        <v/>
      </c>
    </row>
    <row r="613" spans="9:9" x14ac:dyDescent="0.25">
      <c r="I613" s="38" t="str">
        <f t="shared" si="9"/>
        <v/>
      </c>
    </row>
    <row r="614" spans="9:9" x14ac:dyDescent="0.25">
      <c r="I614" s="38" t="str">
        <f t="shared" si="9"/>
        <v/>
      </c>
    </row>
    <row r="615" spans="9:9" x14ac:dyDescent="0.25">
      <c r="I615" s="38" t="str">
        <f t="shared" si="9"/>
        <v/>
      </c>
    </row>
    <row r="616" spans="9:9" x14ac:dyDescent="0.25">
      <c r="I616" s="38" t="str">
        <f t="shared" si="9"/>
        <v/>
      </c>
    </row>
    <row r="617" spans="9:9" x14ac:dyDescent="0.25">
      <c r="I617" s="38" t="str">
        <f t="shared" si="9"/>
        <v/>
      </c>
    </row>
    <row r="618" spans="9:9" x14ac:dyDescent="0.25">
      <c r="I618" s="38" t="str">
        <f t="shared" si="9"/>
        <v/>
      </c>
    </row>
    <row r="619" spans="9:9" x14ac:dyDescent="0.25">
      <c r="I619" s="38" t="str">
        <f t="shared" si="9"/>
        <v/>
      </c>
    </row>
    <row r="620" spans="9:9" x14ac:dyDescent="0.25">
      <c r="I620" s="38" t="str">
        <f t="shared" si="9"/>
        <v/>
      </c>
    </row>
    <row r="621" spans="9:9" x14ac:dyDescent="0.25">
      <c r="I621" s="38" t="str">
        <f t="shared" si="9"/>
        <v/>
      </c>
    </row>
    <row r="622" spans="9:9" x14ac:dyDescent="0.25">
      <c r="I622" s="38" t="str">
        <f t="shared" si="9"/>
        <v/>
      </c>
    </row>
    <row r="623" spans="9:9" x14ac:dyDescent="0.25">
      <c r="I623" s="38" t="str">
        <f t="shared" si="9"/>
        <v/>
      </c>
    </row>
    <row r="624" spans="9:9" x14ac:dyDescent="0.25">
      <c r="I624" s="38" t="str">
        <f t="shared" si="9"/>
        <v/>
      </c>
    </row>
    <row r="625" spans="9:9" x14ac:dyDescent="0.25">
      <c r="I625" s="38" t="str">
        <f t="shared" si="9"/>
        <v/>
      </c>
    </row>
    <row r="626" spans="9:9" x14ac:dyDescent="0.25">
      <c r="I626" s="38" t="str">
        <f t="shared" si="9"/>
        <v/>
      </c>
    </row>
    <row r="627" spans="9:9" x14ac:dyDescent="0.25">
      <c r="I627" s="38" t="str">
        <f t="shared" si="9"/>
        <v/>
      </c>
    </row>
    <row r="628" spans="9:9" x14ac:dyDescent="0.25">
      <c r="I628" s="38" t="str">
        <f t="shared" si="9"/>
        <v/>
      </c>
    </row>
    <row r="629" spans="9:9" x14ac:dyDescent="0.25">
      <c r="I629" s="38" t="str">
        <f t="shared" si="9"/>
        <v/>
      </c>
    </row>
    <row r="630" spans="9:9" x14ac:dyDescent="0.25">
      <c r="I630" s="38" t="str">
        <f t="shared" si="9"/>
        <v/>
      </c>
    </row>
    <row r="631" spans="9:9" x14ac:dyDescent="0.25">
      <c r="I631" s="38" t="str">
        <f t="shared" si="9"/>
        <v/>
      </c>
    </row>
    <row r="632" spans="9:9" x14ac:dyDescent="0.25">
      <c r="I632" s="38" t="str">
        <f t="shared" si="9"/>
        <v/>
      </c>
    </row>
    <row r="633" spans="9:9" x14ac:dyDescent="0.25">
      <c r="I633" s="38" t="str">
        <f t="shared" si="9"/>
        <v/>
      </c>
    </row>
    <row r="634" spans="9:9" x14ac:dyDescent="0.25">
      <c r="I634" s="38" t="str">
        <f t="shared" si="9"/>
        <v/>
      </c>
    </row>
    <row r="635" spans="9:9" x14ac:dyDescent="0.25">
      <c r="I635" s="38" t="str">
        <f t="shared" si="9"/>
        <v/>
      </c>
    </row>
    <row r="636" spans="9:9" x14ac:dyDescent="0.25">
      <c r="I636" s="38" t="str">
        <f t="shared" si="9"/>
        <v/>
      </c>
    </row>
    <row r="637" spans="9:9" x14ac:dyDescent="0.25">
      <c r="I637" s="38" t="str">
        <f t="shared" si="9"/>
        <v/>
      </c>
    </row>
    <row r="638" spans="9:9" x14ac:dyDescent="0.25">
      <c r="I638" s="38" t="str">
        <f t="shared" si="9"/>
        <v/>
      </c>
    </row>
    <row r="639" spans="9:9" x14ac:dyDescent="0.25">
      <c r="I639" s="38" t="str">
        <f t="shared" si="9"/>
        <v/>
      </c>
    </row>
    <row r="640" spans="9:9" x14ac:dyDescent="0.25">
      <c r="I640" s="38" t="str">
        <f t="shared" si="9"/>
        <v/>
      </c>
    </row>
    <row r="641" spans="9:9" x14ac:dyDescent="0.25">
      <c r="I641" s="38" t="str">
        <f t="shared" si="9"/>
        <v/>
      </c>
    </row>
    <row r="642" spans="9:9" x14ac:dyDescent="0.25">
      <c r="I642" s="38" t="str">
        <f t="shared" si="9"/>
        <v/>
      </c>
    </row>
    <row r="643" spans="9:9" x14ac:dyDescent="0.25">
      <c r="I643" s="38" t="str">
        <f t="shared" si="9"/>
        <v/>
      </c>
    </row>
    <row r="644" spans="9:9" x14ac:dyDescent="0.25">
      <c r="I644" s="38" t="str">
        <f t="shared" si="9"/>
        <v/>
      </c>
    </row>
    <row r="645" spans="9:9" x14ac:dyDescent="0.25">
      <c r="I645" s="38" t="str">
        <f t="shared" si="9"/>
        <v/>
      </c>
    </row>
    <row r="646" spans="9:9" x14ac:dyDescent="0.25">
      <c r="I646" s="38" t="str">
        <f t="shared" si="9"/>
        <v/>
      </c>
    </row>
    <row r="647" spans="9:9" x14ac:dyDescent="0.25">
      <c r="I647" s="38" t="str">
        <f t="shared" si="9"/>
        <v/>
      </c>
    </row>
    <row r="648" spans="9:9" x14ac:dyDescent="0.25">
      <c r="I648" s="38" t="str">
        <f t="shared" si="9"/>
        <v/>
      </c>
    </row>
    <row r="649" spans="9:9" x14ac:dyDescent="0.25">
      <c r="I649" s="38" t="str">
        <f t="shared" si="9"/>
        <v/>
      </c>
    </row>
    <row r="650" spans="9:9" x14ac:dyDescent="0.25">
      <c r="I650" s="38" t="str">
        <f t="shared" si="9"/>
        <v/>
      </c>
    </row>
    <row r="651" spans="9:9" x14ac:dyDescent="0.25">
      <c r="I651" s="38" t="str">
        <f t="shared" si="9"/>
        <v/>
      </c>
    </row>
    <row r="652" spans="9:9" x14ac:dyDescent="0.25">
      <c r="I652" s="38" t="str">
        <f t="shared" si="9"/>
        <v/>
      </c>
    </row>
    <row r="653" spans="9:9" x14ac:dyDescent="0.25">
      <c r="I653" s="38" t="str">
        <f t="shared" si="9"/>
        <v/>
      </c>
    </row>
    <row r="654" spans="9:9" x14ac:dyDescent="0.25">
      <c r="I654" s="38" t="str">
        <f t="shared" si="9"/>
        <v/>
      </c>
    </row>
    <row r="655" spans="9:9" x14ac:dyDescent="0.25">
      <c r="I655" s="38" t="str">
        <f t="shared" si="9"/>
        <v/>
      </c>
    </row>
    <row r="656" spans="9:9" x14ac:dyDescent="0.25">
      <c r="I656" s="38" t="str">
        <f t="shared" ref="I656:I719" si="10">IF(A656=0,"","Aggregator")</f>
        <v/>
      </c>
    </row>
    <row r="657" spans="9:9" x14ac:dyDescent="0.25">
      <c r="I657" s="38" t="str">
        <f t="shared" si="10"/>
        <v/>
      </c>
    </row>
    <row r="658" spans="9:9" x14ac:dyDescent="0.25">
      <c r="I658" s="38" t="str">
        <f t="shared" si="10"/>
        <v/>
      </c>
    </row>
    <row r="659" spans="9:9" x14ac:dyDescent="0.25">
      <c r="I659" s="38" t="str">
        <f t="shared" si="10"/>
        <v/>
      </c>
    </row>
    <row r="660" spans="9:9" x14ac:dyDescent="0.25">
      <c r="I660" s="38" t="str">
        <f t="shared" si="10"/>
        <v/>
      </c>
    </row>
    <row r="661" spans="9:9" x14ac:dyDescent="0.25">
      <c r="I661" s="38" t="str">
        <f t="shared" si="10"/>
        <v/>
      </c>
    </row>
    <row r="662" spans="9:9" x14ac:dyDescent="0.25">
      <c r="I662" s="38" t="str">
        <f t="shared" si="10"/>
        <v/>
      </c>
    </row>
    <row r="663" spans="9:9" x14ac:dyDescent="0.25">
      <c r="I663" s="38" t="str">
        <f t="shared" si="10"/>
        <v/>
      </c>
    </row>
    <row r="664" spans="9:9" x14ac:dyDescent="0.25">
      <c r="I664" s="38" t="str">
        <f t="shared" si="10"/>
        <v/>
      </c>
    </row>
    <row r="665" spans="9:9" x14ac:dyDescent="0.25">
      <c r="I665" s="38" t="str">
        <f t="shared" si="10"/>
        <v/>
      </c>
    </row>
    <row r="666" spans="9:9" x14ac:dyDescent="0.25">
      <c r="I666" s="38" t="str">
        <f t="shared" si="10"/>
        <v/>
      </c>
    </row>
    <row r="667" spans="9:9" x14ac:dyDescent="0.25">
      <c r="I667" s="38" t="str">
        <f t="shared" si="10"/>
        <v/>
      </c>
    </row>
    <row r="668" spans="9:9" x14ac:dyDescent="0.25">
      <c r="I668" s="38" t="str">
        <f t="shared" si="10"/>
        <v/>
      </c>
    </row>
    <row r="669" spans="9:9" x14ac:dyDescent="0.25">
      <c r="I669" s="38" t="str">
        <f t="shared" si="10"/>
        <v/>
      </c>
    </row>
    <row r="670" spans="9:9" x14ac:dyDescent="0.25">
      <c r="I670" s="38" t="str">
        <f t="shared" si="10"/>
        <v/>
      </c>
    </row>
    <row r="671" spans="9:9" x14ac:dyDescent="0.25">
      <c r="I671" s="38" t="str">
        <f t="shared" si="10"/>
        <v/>
      </c>
    </row>
    <row r="672" spans="9:9" x14ac:dyDescent="0.25">
      <c r="I672" s="38" t="str">
        <f t="shared" si="10"/>
        <v/>
      </c>
    </row>
    <row r="673" spans="9:9" x14ac:dyDescent="0.25">
      <c r="I673" s="38" t="str">
        <f t="shared" si="10"/>
        <v/>
      </c>
    </row>
    <row r="674" spans="9:9" x14ac:dyDescent="0.25">
      <c r="I674" s="38" t="str">
        <f t="shared" si="10"/>
        <v/>
      </c>
    </row>
    <row r="675" spans="9:9" x14ac:dyDescent="0.25">
      <c r="I675" s="38" t="str">
        <f t="shared" si="10"/>
        <v/>
      </c>
    </row>
    <row r="676" spans="9:9" x14ac:dyDescent="0.25">
      <c r="I676" s="38" t="str">
        <f t="shared" si="10"/>
        <v/>
      </c>
    </row>
    <row r="677" spans="9:9" x14ac:dyDescent="0.25">
      <c r="I677" s="38" t="str">
        <f t="shared" si="10"/>
        <v/>
      </c>
    </row>
    <row r="678" spans="9:9" x14ac:dyDescent="0.25">
      <c r="I678" s="38" t="str">
        <f t="shared" si="10"/>
        <v/>
      </c>
    </row>
    <row r="679" spans="9:9" x14ac:dyDescent="0.25">
      <c r="I679" s="38" t="str">
        <f t="shared" si="10"/>
        <v/>
      </c>
    </row>
    <row r="680" spans="9:9" x14ac:dyDescent="0.25">
      <c r="I680" s="38" t="str">
        <f t="shared" si="10"/>
        <v/>
      </c>
    </row>
    <row r="681" spans="9:9" x14ac:dyDescent="0.25">
      <c r="I681" s="38" t="str">
        <f t="shared" si="10"/>
        <v/>
      </c>
    </row>
    <row r="682" spans="9:9" x14ac:dyDescent="0.25">
      <c r="I682" s="38" t="str">
        <f t="shared" si="10"/>
        <v/>
      </c>
    </row>
    <row r="683" spans="9:9" x14ac:dyDescent="0.25">
      <c r="I683" s="38" t="str">
        <f t="shared" si="10"/>
        <v/>
      </c>
    </row>
    <row r="684" spans="9:9" x14ac:dyDescent="0.25">
      <c r="I684" s="38" t="str">
        <f t="shared" si="10"/>
        <v/>
      </c>
    </row>
    <row r="685" spans="9:9" x14ac:dyDescent="0.25">
      <c r="I685" s="38" t="str">
        <f t="shared" si="10"/>
        <v/>
      </c>
    </row>
    <row r="686" spans="9:9" x14ac:dyDescent="0.25">
      <c r="I686" s="38" t="str">
        <f t="shared" si="10"/>
        <v/>
      </c>
    </row>
    <row r="687" spans="9:9" x14ac:dyDescent="0.25">
      <c r="I687" s="38" t="str">
        <f t="shared" si="10"/>
        <v/>
      </c>
    </row>
    <row r="688" spans="9:9" x14ac:dyDescent="0.25">
      <c r="I688" s="38" t="str">
        <f t="shared" si="10"/>
        <v/>
      </c>
    </row>
    <row r="689" spans="9:9" x14ac:dyDescent="0.25">
      <c r="I689" s="38" t="str">
        <f t="shared" si="10"/>
        <v/>
      </c>
    </row>
    <row r="690" spans="9:9" x14ac:dyDescent="0.25">
      <c r="I690" s="38" t="str">
        <f t="shared" si="10"/>
        <v/>
      </c>
    </row>
    <row r="691" spans="9:9" x14ac:dyDescent="0.25">
      <c r="I691" s="38" t="str">
        <f t="shared" si="10"/>
        <v/>
      </c>
    </row>
    <row r="692" spans="9:9" x14ac:dyDescent="0.25">
      <c r="I692" s="38" t="str">
        <f t="shared" si="10"/>
        <v/>
      </c>
    </row>
    <row r="693" spans="9:9" x14ac:dyDescent="0.25">
      <c r="I693" s="38" t="str">
        <f t="shared" si="10"/>
        <v/>
      </c>
    </row>
    <row r="694" spans="9:9" x14ac:dyDescent="0.25">
      <c r="I694" s="38" t="str">
        <f t="shared" si="10"/>
        <v/>
      </c>
    </row>
    <row r="695" spans="9:9" x14ac:dyDescent="0.25">
      <c r="I695" s="38" t="str">
        <f t="shared" si="10"/>
        <v/>
      </c>
    </row>
    <row r="696" spans="9:9" x14ac:dyDescent="0.25">
      <c r="I696" s="38" t="str">
        <f t="shared" si="10"/>
        <v/>
      </c>
    </row>
    <row r="697" spans="9:9" x14ac:dyDescent="0.25">
      <c r="I697" s="38" t="str">
        <f t="shared" si="10"/>
        <v/>
      </c>
    </row>
    <row r="698" spans="9:9" x14ac:dyDescent="0.25">
      <c r="I698" s="38" t="str">
        <f t="shared" si="10"/>
        <v/>
      </c>
    </row>
    <row r="699" spans="9:9" x14ac:dyDescent="0.25">
      <c r="I699" s="38" t="str">
        <f t="shared" si="10"/>
        <v/>
      </c>
    </row>
    <row r="700" spans="9:9" x14ac:dyDescent="0.25">
      <c r="I700" s="38" t="str">
        <f t="shared" si="10"/>
        <v/>
      </c>
    </row>
    <row r="701" spans="9:9" x14ac:dyDescent="0.25">
      <c r="I701" s="38" t="str">
        <f t="shared" si="10"/>
        <v/>
      </c>
    </row>
    <row r="702" spans="9:9" x14ac:dyDescent="0.25">
      <c r="I702" s="38" t="str">
        <f t="shared" si="10"/>
        <v/>
      </c>
    </row>
    <row r="703" spans="9:9" x14ac:dyDescent="0.25">
      <c r="I703" s="38" t="str">
        <f t="shared" si="10"/>
        <v/>
      </c>
    </row>
    <row r="704" spans="9:9" x14ac:dyDescent="0.25">
      <c r="I704" s="38" t="str">
        <f t="shared" si="10"/>
        <v/>
      </c>
    </row>
    <row r="705" spans="9:9" x14ac:dyDescent="0.25">
      <c r="I705" s="38" t="str">
        <f t="shared" si="10"/>
        <v/>
      </c>
    </row>
    <row r="706" spans="9:9" x14ac:dyDescent="0.25">
      <c r="I706" s="38" t="str">
        <f t="shared" si="10"/>
        <v/>
      </c>
    </row>
    <row r="707" spans="9:9" x14ac:dyDescent="0.25">
      <c r="I707" s="38" t="str">
        <f t="shared" si="10"/>
        <v/>
      </c>
    </row>
    <row r="708" spans="9:9" x14ac:dyDescent="0.25">
      <c r="I708" s="38" t="str">
        <f t="shared" si="10"/>
        <v/>
      </c>
    </row>
    <row r="709" spans="9:9" x14ac:dyDescent="0.25">
      <c r="I709" s="38" t="str">
        <f t="shared" si="10"/>
        <v/>
      </c>
    </row>
    <row r="710" spans="9:9" x14ac:dyDescent="0.25">
      <c r="I710" s="38" t="str">
        <f t="shared" si="10"/>
        <v/>
      </c>
    </row>
    <row r="711" spans="9:9" x14ac:dyDescent="0.25">
      <c r="I711" s="38" t="str">
        <f t="shared" si="10"/>
        <v/>
      </c>
    </row>
    <row r="712" spans="9:9" x14ac:dyDescent="0.25">
      <c r="I712" s="38" t="str">
        <f t="shared" si="10"/>
        <v/>
      </c>
    </row>
    <row r="713" spans="9:9" x14ac:dyDescent="0.25">
      <c r="I713" s="38" t="str">
        <f t="shared" si="10"/>
        <v/>
      </c>
    </row>
    <row r="714" spans="9:9" x14ac:dyDescent="0.25">
      <c r="I714" s="38" t="str">
        <f t="shared" si="10"/>
        <v/>
      </c>
    </row>
    <row r="715" spans="9:9" x14ac:dyDescent="0.25">
      <c r="I715" s="38" t="str">
        <f t="shared" si="10"/>
        <v/>
      </c>
    </row>
    <row r="716" spans="9:9" x14ac:dyDescent="0.25">
      <c r="I716" s="38" t="str">
        <f t="shared" si="10"/>
        <v/>
      </c>
    </row>
    <row r="717" spans="9:9" x14ac:dyDescent="0.25">
      <c r="I717" s="38" t="str">
        <f t="shared" si="10"/>
        <v/>
      </c>
    </row>
    <row r="718" spans="9:9" x14ac:dyDescent="0.25">
      <c r="I718" s="38" t="str">
        <f t="shared" si="10"/>
        <v/>
      </c>
    </row>
    <row r="719" spans="9:9" x14ac:dyDescent="0.25">
      <c r="I719" s="38" t="str">
        <f t="shared" si="10"/>
        <v/>
      </c>
    </row>
    <row r="720" spans="9:9" x14ac:dyDescent="0.25">
      <c r="I720" s="38" t="str">
        <f t="shared" ref="I720:I783" si="11">IF(A720=0,"","Aggregator")</f>
        <v/>
      </c>
    </row>
    <row r="721" spans="9:9" x14ac:dyDescent="0.25">
      <c r="I721" s="38" t="str">
        <f t="shared" si="11"/>
        <v/>
      </c>
    </row>
    <row r="722" spans="9:9" x14ac:dyDescent="0.25">
      <c r="I722" s="38" t="str">
        <f t="shared" si="11"/>
        <v/>
      </c>
    </row>
    <row r="723" spans="9:9" x14ac:dyDescent="0.25">
      <c r="I723" s="38" t="str">
        <f t="shared" si="11"/>
        <v/>
      </c>
    </row>
    <row r="724" spans="9:9" x14ac:dyDescent="0.25">
      <c r="I724" s="38" t="str">
        <f t="shared" si="11"/>
        <v/>
      </c>
    </row>
    <row r="725" spans="9:9" x14ac:dyDescent="0.25">
      <c r="I725" s="38" t="str">
        <f t="shared" si="11"/>
        <v/>
      </c>
    </row>
    <row r="726" spans="9:9" x14ac:dyDescent="0.25">
      <c r="I726" s="38" t="str">
        <f t="shared" si="11"/>
        <v/>
      </c>
    </row>
    <row r="727" spans="9:9" x14ac:dyDescent="0.25">
      <c r="I727" s="38" t="str">
        <f t="shared" si="11"/>
        <v/>
      </c>
    </row>
    <row r="728" spans="9:9" x14ac:dyDescent="0.25">
      <c r="I728" s="38" t="str">
        <f t="shared" si="11"/>
        <v/>
      </c>
    </row>
    <row r="729" spans="9:9" x14ac:dyDescent="0.25">
      <c r="I729" s="38" t="str">
        <f t="shared" si="11"/>
        <v/>
      </c>
    </row>
    <row r="730" spans="9:9" x14ac:dyDescent="0.25">
      <c r="I730" s="38" t="str">
        <f t="shared" si="11"/>
        <v/>
      </c>
    </row>
    <row r="731" spans="9:9" x14ac:dyDescent="0.25">
      <c r="I731" s="38" t="str">
        <f t="shared" si="11"/>
        <v/>
      </c>
    </row>
    <row r="732" spans="9:9" x14ac:dyDescent="0.25">
      <c r="I732" s="38" t="str">
        <f t="shared" si="11"/>
        <v/>
      </c>
    </row>
    <row r="733" spans="9:9" x14ac:dyDescent="0.25">
      <c r="I733" s="38" t="str">
        <f t="shared" si="11"/>
        <v/>
      </c>
    </row>
    <row r="734" spans="9:9" x14ac:dyDescent="0.25">
      <c r="I734" s="38" t="str">
        <f t="shared" si="11"/>
        <v/>
      </c>
    </row>
    <row r="735" spans="9:9" x14ac:dyDescent="0.25">
      <c r="I735" s="38" t="str">
        <f t="shared" si="11"/>
        <v/>
      </c>
    </row>
    <row r="736" spans="9:9" x14ac:dyDescent="0.25">
      <c r="I736" s="38" t="str">
        <f t="shared" si="11"/>
        <v/>
      </c>
    </row>
    <row r="737" spans="9:9" x14ac:dyDescent="0.25">
      <c r="I737" s="38" t="str">
        <f t="shared" si="11"/>
        <v/>
      </c>
    </row>
    <row r="738" spans="9:9" x14ac:dyDescent="0.25">
      <c r="I738" s="38" t="str">
        <f t="shared" si="11"/>
        <v/>
      </c>
    </row>
    <row r="739" spans="9:9" x14ac:dyDescent="0.25">
      <c r="I739" s="38" t="str">
        <f t="shared" si="11"/>
        <v/>
      </c>
    </row>
    <row r="740" spans="9:9" x14ac:dyDescent="0.25">
      <c r="I740" s="38" t="str">
        <f t="shared" si="11"/>
        <v/>
      </c>
    </row>
    <row r="741" spans="9:9" x14ac:dyDescent="0.25">
      <c r="I741" s="38" t="str">
        <f t="shared" si="11"/>
        <v/>
      </c>
    </row>
    <row r="742" spans="9:9" x14ac:dyDescent="0.25">
      <c r="I742" s="38" t="str">
        <f t="shared" si="11"/>
        <v/>
      </c>
    </row>
    <row r="743" spans="9:9" x14ac:dyDescent="0.25">
      <c r="I743" s="38" t="str">
        <f t="shared" si="11"/>
        <v/>
      </c>
    </row>
    <row r="744" spans="9:9" x14ac:dyDescent="0.25">
      <c r="I744" s="38" t="str">
        <f t="shared" si="11"/>
        <v/>
      </c>
    </row>
    <row r="745" spans="9:9" x14ac:dyDescent="0.25">
      <c r="I745" s="38" t="str">
        <f t="shared" si="11"/>
        <v/>
      </c>
    </row>
    <row r="746" spans="9:9" x14ac:dyDescent="0.25">
      <c r="I746" s="38" t="str">
        <f t="shared" si="11"/>
        <v/>
      </c>
    </row>
    <row r="747" spans="9:9" x14ac:dyDescent="0.25">
      <c r="I747" s="38" t="str">
        <f t="shared" si="11"/>
        <v/>
      </c>
    </row>
    <row r="748" spans="9:9" x14ac:dyDescent="0.25">
      <c r="I748" s="38" t="str">
        <f t="shared" si="11"/>
        <v/>
      </c>
    </row>
    <row r="749" spans="9:9" x14ac:dyDescent="0.25">
      <c r="I749" s="38" t="str">
        <f t="shared" si="11"/>
        <v/>
      </c>
    </row>
    <row r="750" spans="9:9" x14ac:dyDescent="0.25">
      <c r="I750" s="38" t="str">
        <f t="shared" si="11"/>
        <v/>
      </c>
    </row>
    <row r="751" spans="9:9" x14ac:dyDescent="0.25">
      <c r="I751" s="38" t="str">
        <f t="shared" si="11"/>
        <v/>
      </c>
    </row>
    <row r="752" spans="9:9" x14ac:dyDescent="0.25">
      <c r="I752" s="38" t="str">
        <f t="shared" si="11"/>
        <v/>
      </c>
    </row>
    <row r="753" spans="9:9" x14ac:dyDescent="0.25">
      <c r="I753" s="38" t="str">
        <f t="shared" si="11"/>
        <v/>
      </c>
    </row>
    <row r="754" spans="9:9" x14ac:dyDescent="0.25">
      <c r="I754" s="38" t="str">
        <f t="shared" si="11"/>
        <v/>
      </c>
    </row>
    <row r="755" spans="9:9" x14ac:dyDescent="0.25">
      <c r="I755" s="38" t="str">
        <f t="shared" si="11"/>
        <v/>
      </c>
    </row>
    <row r="756" spans="9:9" x14ac:dyDescent="0.25">
      <c r="I756" s="38" t="str">
        <f t="shared" si="11"/>
        <v/>
      </c>
    </row>
    <row r="757" spans="9:9" x14ac:dyDescent="0.25">
      <c r="I757" s="38" t="str">
        <f t="shared" si="11"/>
        <v/>
      </c>
    </row>
    <row r="758" spans="9:9" x14ac:dyDescent="0.25">
      <c r="I758" s="38" t="str">
        <f t="shared" si="11"/>
        <v/>
      </c>
    </row>
    <row r="759" spans="9:9" x14ac:dyDescent="0.25">
      <c r="I759" s="38" t="str">
        <f t="shared" si="11"/>
        <v/>
      </c>
    </row>
    <row r="760" spans="9:9" x14ac:dyDescent="0.25">
      <c r="I760" s="38" t="str">
        <f t="shared" si="11"/>
        <v/>
      </c>
    </row>
    <row r="761" spans="9:9" x14ac:dyDescent="0.25">
      <c r="I761" s="38" t="str">
        <f t="shared" si="11"/>
        <v/>
      </c>
    </row>
    <row r="762" spans="9:9" x14ac:dyDescent="0.25">
      <c r="I762" s="38" t="str">
        <f t="shared" si="11"/>
        <v/>
      </c>
    </row>
    <row r="763" spans="9:9" x14ac:dyDescent="0.25">
      <c r="I763" s="38" t="str">
        <f t="shared" si="11"/>
        <v/>
      </c>
    </row>
    <row r="764" spans="9:9" x14ac:dyDescent="0.25">
      <c r="I764" s="38" t="str">
        <f t="shared" si="11"/>
        <v/>
      </c>
    </row>
    <row r="765" spans="9:9" x14ac:dyDescent="0.25">
      <c r="I765" s="38" t="str">
        <f t="shared" si="11"/>
        <v/>
      </c>
    </row>
    <row r="766" spans="9:9" x14ac:dyDescent="0.25">
      <c r="I766" s="38" t="str">
        <f t="shared" si="11"/>
        <v/>
      </c>
    </row>
    <row r="767" spans="9:9" x14ac:dyDescent="0.25">
      <c r="I767" s="38" t="str">
        <f t="shared" si="11"/>
        <v/>
      </c>
    </row>
    <row r="768" spans="9:9" x14ac:dyDescent="0.25">
      <c r="I768" s="38" t="str">
        <f t="shared" si="11"/>
        <v/>
      </c>
    </row>
    <row r="769" spans="9:9" x14ac:dyDescent="0.25">
      <c r="I769" s="38" t="str">
        <f t="shared" si="11"/>
        <v/>
      </c>
    </row>
    <row r="770" spans="9:9" x14ac:dyDescent="0.25">
      <c r="I770" s="38" t="str">
        <f t="shared" si="11"/>
        <v/>
      </c>
    </row>
    <row r="771" spans="9:9" x14ac:dyDescent="0.25">
      <c r="I771" s="38" t="str">
        <f t="shared" si="11"/>
        <v/>
      </c>
    </row>
    <row r="772" spans="9:9" x14ac:dyDescent="0.25">
      <c r="I772" s="38" t="str">
        <f t="shared" si="11"/>
        <v/>
      </c>
    </row>
    <row r="773" spans="9:9" x14ac:dyDescent="0.25">
      <c r="I773" s="38" t="str">
        <f t="shared" si="11"/>
        <v/>
      </c>
    </row>
    <row r="774" spans="9:9" x14ac:dyDescent="0.25">
      <c r="I774" s="38" t="str">
        <f t="shared" si="11"/>
        <v/>
      </c>
    </row>
    <row r="775" spans="9:9" x14ac:dyDescent="0.25">
      <c r="I775" s="38" t="str">
        <f t="shared" si="11"/>
        <v/>
      </c>
    </row>
    <row r="776" spans="9:9" x14ac:dyDescent="0.25">
      <c r="I776" s="38" t="str">
        <f t="shared" si="11"/>
        <v/>
      </c>
    </row>
    <row r="777" spans="9:9" x14ac:dyDescent="0.25">
      <c r="I777" s="38" t="str">
        <f t="shared" si="11"/>
        <v/>
      </c>
    </row>
    <row r="778" spans="9:9" x14ac:dyDescent="0.25">
      <c r="I778" s="38" t="str">
        <f t="shared" si="11"/>
        <v/>
      </c>
    </row>
    <row r="779" spans="9:9" x14ac:dyDescent="0.25">
      <c r="I779" s="38" t="str">
        <f t="shared" si="11"/>
        <v/>
      </c>
    </row>
    <row r="780" spans="9:9" x14ac:dyDescent="0.25">
      <c r="I780" s="38" t="str">
        <f t="shared" si="11"/>
        <v/>
      </c>
    </row>
    <row r="781" spans="9:9" x14ac:dyDescent="0.25">
      <c r="I781" s="38" t="str">
        <f t="shared" si="11"/>
        <v/>
      </c>
    </row>
    <row r="782" spans="9:9" x14ac:dyDescent="0.25">
      <c r="I782" s="38" t="str">
        <f t="shared" si="11"/>
        <v/>
      </c>
    </row>
    <row r="783" spans="9:9" x14ac:dyDescent="0.25">
      <c r="I783" s="38" t="str">
        <f t="shared" si="11"/>
        <v/>
      </c>
    </row>
    <row r="784" spans="9:9" x14ac:dyDescent="0.25">
      <c r="I784" s="38" t="str">
        <f t="shared" ref="I784:I847" si="12">IF(A784=0,"","Aggregator")</f>
        <v/>
      </c>
    </row>
    <row r="785" spans="9:9" x14ac:dyDescent="0.25">
      <c r="I785" s="38" t="str">
        <f t="shared" si="12"/>
        <v/>
      </c>
    </row>
    <row r="786" spans="9:9" x14ac:dyDescent="0.25">
      <c r="I786" s="38" t="str">
        <f t="shared" si="12"/>
        <v/>
      </c>
    </row>
    <row r="787" spans="9:9" x14ac:dyDescent="0.25">
      <c r="I787" s="38" t="str">
        <f t="shared" si="12"/>
        <v/>
      </c>
    </row>
    <row r="788" spans="9:9" x14ac:dyDescent="0.25">
      <c r="I788" s="38" t="str">
        <f t="shared" si="12"/>
        <v/>
      </c>
    </row>
    <row r="789" spans="9:9" x14ac:dyDescent="0.25">
      <c r="I789" s="38" t="str">
        <f t="shared" si="12"/>
        <v/>
      </c>
    </row>
    <row r="790" spans="9:9" x14ac:dyDescent="0.25">
      <c r="I790" s="38" t="str">
        <f t="shared" si="12"/>
        <v/>
      </c>
    </row>
    <row r="791" spans="9:9" x14ac:dyDescent="0.25">
      <c r="I791" s="38" t="str">
        <f t="shared" si="12"/>
        <v/>
      </c>
    </row>
    <row r="792" spans="9:9" x14ac:dyDescent="0.25">
      <c r="I792" s="38" t="str">
        <f t="shared" si="12"/>
        <v/>
      </c>
    </row>
    <row r="793" spans="9:9" x14ac:dyDescent="0.25">
      <c r="I793" s="38" t="str">
        <f t="shared" si="12"/>
        <v/>
      </c>
    </row>
    <row r="794" spans="9:9" x14ac:dyDescent="0.25">
      <c r="I794" s="38" t="str">
        <f t="shared" si="12"/>
        <v/>
      </c>
    </row>
    <row r="795" spans="9:9" x14ac:dyDescent="0.25">
      <c r="I795" s="38" t="str">
        <f t="shared" si="12"/>
        <v/>
      </c>
    </row>
    <row r="796" spans="9:9" x14ac:dyDescent="0.25">
      <c r="I796" s="38" t="str">
        <f t="shared" si="12"/>
        <v/>
      </c>
    </row>
    <row r="797" spans="9:9" x14ac:dyDescent="0.25">
      <c r="I797" s="38" t="str">
        <f t="shared" si="12"/>
        <v/>
      </c>
    </row>
    <row r="798" spans="9:9" x14ac:dyDescent="0.25">
      <c r="I798" s="38" t="str">
        <f t="shared" si="12"/>
        <v/>
      </c>
    </row>
    <row r="799" spans="9:9" x14ac:dyDescent="0.25">
      <c r="I799" s="38" t="str">
        <f t="shared" si="12"/>
        <v/>
      </c>
    </row>
    <row r="800" spans="9:9" x14ac:dyDescent="0.25">
      <c r="I800" s="38" t="str">
        <f t="shared" si="12"/>
        <v/>
      </c>
    </row>
    <row r="801" spans="9:9" x14ac:dyDescent="0.25">
      <c r="I801" s="38" t="str">
        <f t="shared" si="12"/>
        <v/>
      </c>
    </row>
    <row r="802" spans="9:9" x14ac:dyDescent="0.25">
      <c r="I802" s="38" t="str">
        <f t="shared" si="12"/>
        <v/>
      </c>
    </row>
    <row r="803" spans="9:9" x14ac:dyDescent="0.25">
      <c r="I803" s="38" t="str">
        <f t="shared" si="12"/>
        <v/>
      </c>
    </row>
    <row r="804" spans="9:9" x14ac:dyDescent="0.25">
      <c r="I804" s="38" t="str">
        <f t="shared" si="12"/>
        <v/>
      </c>
    </row>
    <row r="805" spans="9:9" x14ac:dyDescent="0.25">
      <c r="I805" s="38" t="str">
        <f t="shared" si="12"/>
        <v/>
      </c>
    </row>
    <row r="806" spans="9:9" x14ac:dyDescent="0.25">
      <c r="I806" s="38" t="str">
        <f t="shared" si="12"/>
        <v/>
      </c>
    </row>
    <row r="807" spans="9:9" x14ac:dyDescent="0.25">
      <c r="I807" s="38" t="str">
        <f t="shared" si="12"/>
        <v/>
      </c>
    </row>
    <row r="808" spans="9:9" x14ac:dyDescent="0.25">
      <c r="I808" s="38" t="str">
        <f t="shared" si="12"/>
        <v/>
      </c>
    </row>
    <row r="809" spans="9:9" x14ac:dyDescent="0.25">
      <c r="I809" s="38" t="str">
        <f t="shared" si="12"/>
        <v/>
      </c>
    </row>
    <row r="810" spans="9:9" x14ac:dyDescent="0.25">
      <c r="I810" s="38" t="str">
        <f t="shared" si="12"/>
        <v/>
      </c>
    </row>
    <row r="811" spans="9:9" x14ac:dyDescent="0.25">
      <c r="I811" s="38" t="str">
        <f t="shared" si="12"/>
        <v/>
      </c>
    </row>
    <row r="812" spans="9:9" x14ac:dyDescent="0.25">
      <c r="I812" s="38" t="str">
        <f t="shared" si="12"/>
        <v/>
      </c>
    </row>
    <row r="813" spans="9:9" x14ac:dyDescent="0.25">
      <c r="I813" s="38" t="str">
        <f t="shared" si="12"/>
        <v/>
      </c>
    </row>
    <row r="814" spans="9:9" x14ac:dyDescent="0.25">
      <c r="I814" s="38" t="str">
        <f t="shared" si="12"/>
        <v/>
      </c>
    </row>
    <row r="815" spans="9:9" x14ac:dyDescent="0.25">
      <c r="I815" s="38" t="str">
        <f t="shared" si="12"/>
        <v/>
      </c>
    </row>
    <row r="816" spans="9:9" x14ac:dyDescent="0.25">
      <c r="I816" s="38" t="str">
        <f t="shared" si="12"/>
        <v/>
      </c>
    </row>
    <row r="817" spans="9:9" x14ac:dyDescent="0.25">
      <c r="I817" s="38" t="str">
        <f t="shared" si="12"/>
        <v/>
      </c>
    </row>
    <row r="818" spans="9:9" x14ac:dyDescent="0.25">
      <c r="I818" s="38" t="str">
        <f t="shared" si="12"/>
        <v/>
      </c>
    </row>
    <row r="819" spans="9:9" x14ac:dyDescent="0.25">
      <c r="I819" s="38" t="str">
        <f t="shared" si="12"/>
        <v/>
      </c>
    </row>
    <row r="820" spans="9:9" x14ac:dyDescent="0.25">
      <c r="I820" s="38" t="str">
        <f t="shared" si="12"/>
        <v/>
      </c>
    </row>
    <row r="821" spans="9:9" x14ac:dyDescent="0.25">
      <c r="I821" s="38" t="str">
        <f t="shared" si="12"/>
        <v/>
      </c>
    </row>
    <row r="822" spans="9:9" x14ac:dyDescent="0.25">
      <c r="I822" s="38" t="str">
        <f t="shared" si="12"/>
        <v/>
      </c>
    </row>
    <row r="823" spans="9:9" x14ac:dyDescent="0.25">
      <c r="I823" s="38" t="str">
        <f t="shared" si="12"/>
        <v/>
      </c>
    </row>
    <row r="824" spans="9:9" x14ac:dyDescent="0.25">
      <c r="I824" s="38" t="str">
        <f t="shared" si="12"/>
        <v/>
      </c>
    </row>
    <row r="825" spans="9:9" x14ac:dyDescent="0.25">
      <c r="I825" s="38" t="str">
        <f t="shared" si="12"/>
        <v/>
      </c>
    </row>
    <row r="826" spans="9:9" x14ac:dyDescent="0.25">
      <c r="I826" s="38" t="str">
        <f t="shared" si="12"/>
        <v/>
      </c>
    </row>
    <row r="827" spans="9:9" x14ac:dyDescent="0.25">
      <c r="I827" s="38" t="str">
        <f t="shared" si="12"/>
        <v/>
      </c>
    </row>
    <row r="828" spans="9:9" x14ac:dyDescent="0.25">
      <c r="I828" s="38" t="str">
        <f t="shared" si="12"/>
        <v/>
      </c>
    </row>
    <row r="829" spans="9:9" x14ac:dyDescent="0.25">
      <c r="I829" s="38" t="str">
        <f t="shared" si="12"/>
        <v/>
      </c>
    </row>
    <row r="830" spans="9:9" x14ac:dyDescent="0.25">
      <c r="I830" s="38" t="str">
        <f t="shared" si="12"/>
        <v/>
      </c>
    </row>
    <row r="831" spans="9:9" x14ac:dyDescent="0.25">
      <c r="I831" s="38" t="str">
        <f t="shared" si="12"/>
        <v/>
      </c>
    </row>
    <row r="832" spans="9:9" x14ac:dyDescent="0.25">
      <c r="I832" s="38" t="str">
        <f t="shared" si="12"/>
        <v/>
      </c>
    </row>
    <row r="833" spans="9:9" x14ac:dyDescent="0.25">
      <c r="I833" s="38" t="str">
        <f t="shared" si="12"/>
        <v/>
      </c>
    </row>
    <row r="834" spans="9:9" x14ac:dyDescent="0.25">
      <c r="I834" s="38" t="str">
        <f t="shared" si="12"/>
        <v/>
      </c>
    </row>
    <row r="835" spans="9:9" x14ac:dyDescent="0.25">
      <c r="I835" s="38" t="str">
        <f t="shared" si="12"/>
        <v/>
      </c>
    </row>
    <row r="836" spans="9:9" x14ac:dyDescent="0.25">
      <c r="I836" s="38" t="str">
        <f t="shared" si="12"/>
        <v/>
      </c>
    </row>
    <row r="837" spans="9:9" x14ac:dyDescent="0.25">
      <c r="I837" s="38" t="str">
        <f t="shared" si="12"/>
        <v/>
      </c>
    </row>
    <row r="838" spans="9:9" x14ac:dyDescent="0.25">
      <c r="I838" s="38" t="str">
        <f t="shared" si="12"/>
        <v/>
      </c>
    </row>
    <row r="839" spans="9:9" x14ac:dyDescent="0.25">
      <c r="I839" s="38" t="str">
        <f t="shared" si="12"/>
        <v/>
      </c>
    </row>
    <row r="840" spans="9:9" x14ac:dyDescent="0.25">
      <c r="I840" s="38" t="str">
        <f t="shared" si="12"/>
        <v/>
      </c>
    </row>
    <row r="841" spans="9:9" x14ac:dyDescent="0.25">
      <c r="I841" s="38" t="str">
        <f t="shared" si="12"/>
        <v/>
      </c>
    </row>
    <row r="842" spans="9:9" x14ac:dyDescent="0.25">
      <c r="I842" s="38" t="str">
        <f t="shared" si="12"/>
        <v/>
      </c>
    </row>
    <row r="843" spans="9:9" x14ac:dyDescent="0.25">
      <c r="I843" s="38" t="str">
        <f t="shared" si="12"/>
        <v/>
      </c>
    </row>
    <row r="844" spans="9:9" x14ac:dyDescent="0.25">
      <c r="I844" s="38" t="str">
        <f t="shared" si="12"/>
        <v/>
      </c>
    </row>
    <row r="845" spans="9:9" x14ac:dyDescent="0.25">
      <c r="I845" s="38" t="str">
        <f t="shared" si="12"/>
        <v/>
      </c>
    </row>
    <row r="846" spans="9:9" x14ac:dyDescent="0.25">
      <c r="I846" s="38" t="str">
        <f t="shared" si="12"/>
        <v/>
      </c>
    </row>
    <row r="847" spans="9:9" x14ac:dyDescent="0.25">
      <c r="I847" s="38" t="str">
        <f t="shared" si="12"/>
        <v/>
      </c>
    </row>
    <row r="848" spans="9:9" x14ac:dyDescent="0.25">
      <c r="I848" s="38" t="str">
        <f t="shared" ref="I848:I911" si="13">IF(A848=0,"","Aggregator")</f>
        <v/>
      </c>
    </row>
    <row r="849" spans="9:9" x14ac:dyDescent="0.25">
      <c r="I849" s="38" t="str">
        <f t="shared" si="13"/>
        <v/>
      </c>
    </row>
    <row r="850" spans="9:9" x14ac:dyDescent="0.25">
      <c r="I850" s="38" t="str">
        <f t="shared" si="13"/>
        <v/>
      </c>
    </row>
    <row r="851" spans="9:9" x14ac:dyDescent="0.25">
      <c r="I851" s="38" t="str">
        <f t="shared" si="13"/>
        <v/>
      </c>
    </row>
    <row r="852" spans="9:9" x14ac:dyDescent="0.25">
      <c r="I852" s="38" t="str">
        <f t="shared" si="13"/>
        <v/>
      </c>
    </row>
    <row r="853" spans="9:9" x14ac:dyDescent="0.25">
      <c r="I853" s="38" t="str">
        <f t="shared" si="13"/>
        <v/>
      </c>
    </row>
    <row r="854" spans="9:9" x14ac:dyDescent="0.25">
      <c r="I854" s="38" t="str">
        <f t="shared" si="13"/>
        <v/>
      </c>
    </row>
    <row r="855" spans="9:9" x14ac:dyDescent="0.25">
      <c r="I855" s="38" t="str">
        <f t="shared" si="13"/>
        <v/>
      </c>
    </row>
    <row r="856" spans="9:9" x14ac:dyDescent="0.25">
      <c r="I856" s="38" t="str">
        <f t="shared" si="13"/>
        <v/>
      </c>
    </row>
    <row r="857" spans="9:9" x14ac:dyDescent="0.25">
      <c r="I857" s="38" t="str">
        <f t="shared" si="13"/>
        <v/>
      </c>
    </row>
    <row r="858" spans="9:9" x14ac:dyDescent="0.25">
      <c r="I858" s="38" t="str">
        <f t="shared" si="13"/>
        <v/>
      </c>
    </row>
    <row r="859" spans="9:9" x14ac:dyDescent="0.25">
      <c r="I859" s="38" t="str">
        <f t="shared" si="13"/>
        <v/>
      </c>
    </row>
    <row r="860" spans="9:9" x14ac:dyDescent="0.25">
      <c r="I860" s="38" t="str">
        <f t="shared" si="13"/>
        <v/>
      </c>
    </row>
    <row r="861" spans="9:9" x14ac:dyDescent="0.25">
      <c r="I861" s="38" t="str">
        <f t="shared" si="13"/>
        <v/>
      </c>
    </row>
    <row r="862" spans="9:9" x14ac:dyDescent="0.25">
      <c r="I862" s="38" t="str">
        <f t="shared" si="13"/>
        <v/>
      </c>
    </row>
    <row r="863" spans="9:9" x14ac:dyDescent="0.25">
      <c r="I863" s="38" t="str">
        <f t="shared" si="13"/>
        <v/>
      </c>
    </row>
    <row r="864" spans="9:9" x14ac:dyDescent="0.25">
      <c r="I864" s="38" t="str">
        <f t="shared" si="13"/>
        <v/>
      </c>
    </row>
    <row r="865" spans="9:9" x14ac:dyDescent="0.25">
      <c r="I865" s="38" t="str">
        <f t="shared" si="13"/>
        <v/>
      </c>
    </row>
    <row r="866" spans="9:9" x14ac:dyDescent="0.25">
      <c r="I866" s="38" t="str">
        <f t="shared" si="13"/>
        <v/>
      </c>
    </row>
    <row r="867" spans="9:9" x14ac:dyDescent="0.25">
      <c r="I867" s="38" t="str">
        <f t="shared" si="13"/>
        <v/>
      </c>
    </row>
    <row r="868" spans="9:9" x14ac:dyDescent="0.25">
      <c r="I868" s="38" t="str">
        <f t="shared" si="13"/>
        <v/>
      </c>
    </row>
    <row r="869" spans="9:9" x14ac:dyDescent="0.25">
      <c r="I869" s="38" t="str">
        <f t="shared" si="13"/>
        <v/>
      </c>
    </row>
    <row r="870" spans="9:9" x14ac:dyDescent="0.25">
      <c r="I870" s="38" t="str">
        <f t="shared" si="13"/>
        <v/>
      </c>
    </row>
    <row r="871" spans="9:9" x14ac:dyDescent="0.25">
      <c r="I871" s="38" t="str">
        <f t="shared" si="13"/>
        <v/>
      </c>
    </row>
    <row r="872" spans="9:9" x14ac:dyDescent="0.25">
      <c r="I872" s="38" t="str">
        <f t="shared" si="13"/>
        <v/>
      </c>
    </row>
    <row r="873" spans="9:9" x14ac:dyDescent="0.25">
      <c r="I873" s="38" t="str">
        <f t="shared" si="13"/>
        <v/>
      </c>
    </row>
    <row r="874" spans="9:9" x14ac:dyDescent="0.25">
      <c r="I874" s="38" t="str">
        <f t="shared" si="13"/>
        <v/>
      </c>
    </row>
    <row r="875" spans="9:9" x14ac:dyDescent="0.25">
      <c r="I875" s="38" t="str">
        <f t="shared" si="13"/>
        <v/>
      </c>
    </row>
    <row r="876" spans="9:9" x14ac:dyDescent="0.25">
      <c r="I876" s="38" t="str">
        <f t="shared" si="13"/>
        <v/>
      </c>
    </row>
    <row r="877" spans="9:9" x14ac:dyDescent="0.25">
      <c r="I877" s="38" t="str">
        <f t="shared" si="13"/>
        <v/>
      </c>
    </row>
    <row r="878" spans="9:9" x14ac:dyDescent="0.25">
      <c r="I878" s="38" t="str">
        <f t="shared" si="13"/>
        <v/>
      </c>
    </row>
    <row r="879" spans="9:9" x14ac:dyDescent="0.25">
      <c r="I879" s="38" t="str">
        <f t="shared" si="13"/>
        <v/>
      </c>
    </row>
    <row r="880" spans="9:9" x14ac:dyDescent="0.25">
      <c r="I880" s="38" t="str">
        <f t="shared" si="13"/>
        <v/>
      </c>
    </row>
    <row r="881" spans="9:9" x14ac:dyDescent="0.25">
      <c r="I881" s="38" t="str">
        <f t="shared" si="13"/>
        <v/>
      </c>
    </row>
    <row r="882" spans="9:9" x14ac:dyDescent="0.25">
      <c r="I882" s="38" t="str">
        <f t="shared" si="13"/>
        <v/>
      </c>
    </row>
    <row r="883" spans="9:9" x14ac:dyDescent="0.25">
      <c r="I883" s="38" t="str">
        <f t="shared" si="13"/>
        <v/>
      </c>
    </row>
    <row r="884" spans="9:9" x14ac:dyDescent="0.25">
      <c r="I884" s="38" t="str">
        <f t="shared" si="13"/>
        <v/>
      </c>
    </row>
    <row r="885" spans="9:9" x14ac:dyDescent="0.25">
      <c r="I885" s="38" t="str">
        <f t="shared" si="13"/>
        <v/>
      </c>
    </row>
    <row r="886" spans="9:9" x14ac:dyDescent="0.25">
      <c r="I886" s="38" t="str">
        <f t="shared" si="13"/>
        <v/>
      </c>
    </row>
    <row r="887" spans="9:9" x14ac:dyDescent="0.25">
      <c r="I887" s="38" t="str">
        <f t="shared" si="13"/>
        <v/>
      </c>
    </row>
    <row r="888" spans="9:9" x14ac:dyDescent="0.25">
      <c r="I888" s="38" t="str">
        <f t="shared" si="13"/>
        <v/>
      </c>
    </row>
    <row r="889" spans="9:9" x14ac:dyDescent="0.25">
      <c r="I889" s="38" t="str">
        <f t="shared" si="13"/>
        <v/>
      </c>
    </row>
    <row r="890" spans="9:9" x14ac:dyDescent="0.25">
      <c r="I890" s="38" t="str">
        <f t="shared" si="13"/>
        <v/>
      </c>
    </row>
    <row r="891" spans="9:9" x14ac:dyDescent="0.25">
      <c r="I891" s="38" t="str">
        <f t="shared" si="13"/>
        <v/>
      </c>
    </row>
    <row r="892" spans="9:9" x14ac:dyDescent="0.25">
      <c r="I892" s="38" t="str">
        <f t="shared" si="13"/>
        <v/>
      </c>
    </row>
    <row r="893" spans="9:9" x14ac:dyDescent="0.25">
      <c r="I893" s="38" t="str">
        <f t="shared" si="13"/>
        <v/>
      </c>
    </row>
    <row r="894" spans="9:9" x14ac:dyDescent="0.25">
      <c r="I894" s="38" t="str">
        <f t="shared" si="13"/>
        <v/>
      </c>
    </row>
    <row r="895" spans="9:9" x14ac:dyDescent="0.25">
      <c r="I895" s="38" t="str">
        <f t="shared" si="13"/>
        <v/>
      </c>
    </row>
    <row r="896" spans="9:9" x14ac:dyDescent="0.25">
      <c r="I896" s="38" t="str">
        <f t="shared" si="13"/>
        <v/>
      </c>
    </row>
    <row r="897" spans="9:9" x14ac:dyDescent="0.25">
      <c r="I897" s="38" t="str">
        <f t="shared" si="13"/>
        <v/>
      </c>
    </row>
    <row r="898" spans="9:9" x14ac:dyDescent="0.25">
      <c r="I898" s="38" t="str">
        <f t="shared" si="13"/>
        <v/>
      </c>
    </row>
    <row r="899" spans="9:9" x14ac:dyDescent="0.25">
      <c r="I899" s="38" t="str">
        <f t="shared" si="13"/>
        <v/>
      </c>
    </row>
    <row r="900" spans="9:9" x14ac:dyDescent="0.25">
      <c r="I900" s="38" t="str">
        <f t="shared" si="13"/>
        <v/>
      </c>
    </row>
    <row r="901" spans="9:9" x14ac:dyDescent="0.25">
      <c r="I901" s="38" t="str">
        <f t="shared" si="13"/>
        <v/>
      </c>
    </row>
    <row r="902" spans="9:9" x14ac:dyDescent="0.25">
      <c r="I902" s="38" t="str">
        <f t="shared" si="13"/>
        <v/>
      </c>
    </row>
    <row r="903" spans="9:9" x14ac:dyDescent="0.25">
      <c r="I903" s="38" t="str">
        <f t="shared" si="13"/>
        <v/>
      </c>
    </row>
    <row r="904" spans="9:9" x14ac:dyDescent="0.25">
      <c r="I904" s="38" t="str">
        <f t="shared" si="13"/>
        <v/>
      </c>
    </row>
    <row r="905" spans="9:9" x14ac:dyDescent="0.25">
      <c r="I905" s="38" t="str">
        <f t="shared" si="13"/>
        <v/>
      </c>
    </row>
    <row r="906" spans="9:9" x14ac:dyDescent="0.25">
      <c r="I906" s="38" t="str">
        <f t="shared" si="13"/>
        <v/>
      </c>
    </row>
    <row r="907" spans="9:9" x14ac:dyDescent="0.25">
      <c r="I907" s="38" t="str">
        <f t="shared" si="13"/>
        <v/>
      </c>
    </row>
    <row r="908" spans="9:9" x14ac:dyDescent="0.25">
      <c r="I908" s="38" t="str">
        <f t="shared" si="13"/>
        <v/>
      </c>
    </row>
    <row r="909" spans="9:9" x14ac:dyDescent="0.25">
      <c r="I909" s="38" t="str">
        <f t="shared" si="13"/>
        <v/>
      </c>
    </row>
    <row r="910" spans="9:9" x14ac:dyDescent="0.25">
      <c r="I910" s="38" t="str">
        <f t="shared" si="13"/>
        <v/>
      </c>
    </row>
    <row r="911" spans="9:9" x14ac:dyDescent="0.25">
      <c r="I911" s="38" t="str">
        <f t="shared" si="13"/>
        <v/>
      </c>
    </row>
    <row r="912" spans="9:9" x14ac:dyDescent="0.25">
      <c r="I912" s="38" t="str">
        <f t="shared" ref="I912:I975" si="14">IF(A912=0,"","Aggregator")</f>
        <v/>
      </c>
    </row>
    <row r="913" spans="9:9" x14ac:dyDescent="0.25">
      <c r="I913" s="38" t="str">
        <f t="shared" si="14"/>
        <v/>
      </c>
    </row>
    <row r="914" spans="9:9" x14ac:dyDescent="0.25">
      <c r="I914" s="38" t="str">
        <f t="shared" si="14"/>
        <v/>
      </c>
    </row>
    <row r="915" spans="9:9" x14ac:dyDescent="0.25">
      <c r="I915" s="38" t="str">
        <f t="shared" si="14"/>
        <v/>
      </c>
    </row>
    <row r="916" spans="9:9" x14ac:dyDescent="0.25">
      <c r="I916" s="38" t="str">
        <f t="shared" si="14"/>
        <v/>
      </c>
    </row>
    <row r="917" spans="9:9" x14ac:dyDescent="0.25">
      <c r="I917" s="38" t="str">
        <f t="shared" si="14"/>
        <v/>
      </c>
    </row>
    <row r="918" spans="9:9" x14ac:dyDescent="0.25">
      <c r="I918" s="38" t="str">
        <f t="shared" si="14"/>
        <v/>
      </c>
    </row>
    <row r="919" spans="9:9" x14ac:dyDescent="0.25">
      <c r="I919" s="38" t="str">
        <f t="shared" si="14"/>
        <v/>
      </c>
    </row>
    <row r="920" spans="9:9" x14ac:dyDescent="0.25">
      <c r="I920" s="38" t="str">
        <f t="shared" si="14"/>
        <v/>
      </c>
    </row>
    <row r="921" spans="9:9" x14ac:dyDescent="0.25">
      <c r="I921" s="38" t="str">
        <f t="shared" si="14"/>
        <v/>
      </c>
    </row>
    <row r="922" spans="9:9" x14ac:dyDescent="0.25">
      <c r="I922" s="38" t="str">
        <f t="shared" si="14"/>
        <v/>
      </c>
    </row>
    <row r="923" spans="9:9" x14ac:dyDescent="0.25">
      <c r="I923" s="38" t="str">
        <f t="shared" si="14"/>
        <v/>
      </c>
    </row>
    <row r="924" spans="9:9" x14ac:dyDescent="0.25">
      <c r="I924" s="38" t="str">
        <f t="shared" si="14"/>
        <v/>
      </c>
    </row>
    <row r="925" spans="9:9" x14ac:dyDescent="0.25">
      <c r="I925" s="38" t="str">
        <f t="shared" si="14"/>
        <v/>
      </c>
    </row>
    <row r="926" spans="9:9" x14ac:dyDescent="0.25">
      <c r="I926" s="38" t="str">
        <f t="shared" si="14"/>
        <v/>
      </c>
    </row>
    <row r="927" spans="9:9" x14ac:dyDescent="0.25">
      <c r="I927" s="38" t="str">
        <f t="shared" si="14"/>
        <v/>
      </c>
    </row>
    <row r="928" spans="9:9" x14ac:dyDescent="0.25">
      <c r="I928" s="38" t="str">
        <f t="shared" si="14"/>
        <v/>
      </c>
    </row>
    <row r="929" spans="9:9" x14ac:dyDescent="0.25">
      <c r="I929" s="38" t="str">
        <f t="shared" si="14"/>
        <v/>
      </c>
    </row>
    <row r="930" spans="9:9" x14ac:dyDescent="0.25">
      <c r="I930" s="38" t="str">
        <f t="shared" si="14"/>
        <v/>
      </c>
    </row>
    <row r="931" spans="9:9" x14ac:dyDescent="0.25">
      <c r="I931" s="38" t="str">
        <f t="shared" si="14"/>
        <v/>
      </c>
    </row>
    <row r="932" spans="9:9" x14ac:dyDescent="0.25">
      <c r="I932" s="38" t="str">
        <f t="shared" si="14"/>
        <v/>
      </c>
    </row>
    <row r="933" spans="9:9" x14ac:dyDescent="0.25">
      <c r="I933" s="38" t="str">
        <f t="shared" si="14"/>
        <v/>
      </c>
    </row>
    <row r="934" spans="9:9" x14ac:dyDescent="0.25">
      <c r="I934" s="38" t="str">
        <f t="shared" si="14"/>
        <v/>
      </c>
    </row>
    <row r="935" spans="9:9" x14ac:dyDescent="0.25">
      <c r="I935" s="38" t="str">
        <f t="shared" si="14"/>
        <v/>
      </c>
    </row>
    <row r="936" spans="9:9" x14ac:dyDescent="0.25">
      <c r="I936" s="38" t="str">
        <f t="shared" si="14"/>
        <v/>
      </c>
    </row>
    <row r="937" spans="9:9" x14ac:dyDescent="0.25">
      <c r="I937" s="38" t="str">
        <f t="shared" si="14"/>
        <v/>
      </c>
    </row>
    <row r="938" spans="9:9" x14ac:dyDescent="0.25">
      <c r="I938" s="38" t="str">
        <f t="shared" si="14"/>
        <v/>
      </c>
    </row>
    <row r="939" spans="9:9" x14ac:dyDescent="0.25">
      <c r="I939" s="38" t="str">
        <f t="shared" si="14"/>
        <v/>
      </c>
    </row>
    <row r="940" spans="9:9" x14ac:dyDescent="0.25">
      <c r="I940" s="38" t="str">
        <f t="shared" si="14"/>
        <v/>
      </c>
    </row>
    <row r="941" spans="9:9" x14ac:dyDescent="0.25">
      <c r="I941" s="38" t="str">
        <f t="shared" si="14"/>
        <v/>
      </c>
    </row>
    <row r="942" spans="9:9" x14ac:dyDescent="0.25">
      <c r="I942" s="38" t="str">
        <f t="shared" si="14"/>
        <v/>
      </c>
    </row>
    <row r="943" spans="9:9" x14ac:dyDescent="0.25">
      <c r="I943" s="38" t="str">
        <f t="shared" si="14"/>
        <v/>
      </c>
    </row>
    <row r="944" spans="9:9" x14ac:dyDescent="0.25">
      <c r="I944" s="38" t="str">
        <f t="shared" si="14"/>
        <v/>
      </c>
    </row>
    <row r="945" spans="9:9" x14ac:dyDescent="0.25">
      <c r="I945" s="38" t="str">
        <f t="shared" si="14"/>
        <v/>
      </c>
    </row>
    <row r="946" spans="9:9" x14ac:dyDescent="0.25">
      <c r="I946" s="38" t="str">
        <f t="shared" si="14"/>
        <v/>
      </c>
    </row>
    <row r="947" spans="9:9" x14ac:dyDescent="0.25">
      <c r="I947" s="38" t="str">
        <f t="shared" si="14"/>
        <v/>
      </c>
    </row>
    <row r="948" spans="9:9" x14ac:dyDescent="0.25">
      <c r="I948" s="38" t="str">
        <f t="shared" si="14"/>
        <v/>
      </c>
    </row>
    <row r="949" spans="9:9" x14ac:dyDescent="0.25">
      <c r="I949" s="38" t="str">
        <f t="shared" si="14"/>
        <v/>
      </c>
    </row>
    <row r="950" spans="9:9" x14ac:dyDescent="0.25">
      <c r="I950" s="38" t="str">
        <f t="shared" si="14"/>
        <v/>
      </c>
    </row>
    <row r="951" spans="9:9" x14ac:dyDescent="0.25">
      <c r="I951" s="38" t="str">
        <f t="shared" si="14"/>
        <v/>
      </c>
    </row>
    <row r="952" spans="9:9" x14ac:dyDescent="0.25">
      <c r="I952" s="38" t="str">
        <f t="shared" si="14"/>
        <v/>
      </c>
    </row>
    <row r="953" spans="9:9" x14ac:dyDescent="0.25">
      <c r="I953" s="38" t="str">
        <f t="shared" si="14"/>
        <v/>
      </c>
    </row>
    <row r="954" spans="9:9" x14ac:dyDescent="0.25">
      <c r="I954" s="38" t="str">
        <f t="shared" si="14"/>
        <v/>
      </c>
    </row>
    <row r="955" spans="9:9" x14ac:dyDescent="0.25">
      <c r="I955" s="38" t="str">
        <f t="shared" si="14"/>
        <v/>
      </c>
    </row>
    <row r="956" spans="9:9" x14ac:dyDescent="0.25">
      <c r="I956" s="38" t="str">
        <f t="shared" si="14"/>
        <v/>
      </c>
    </row>
    <row r="957" spans="9:9" x14ac:dyDescent="0.25">
      <c r="I957" s="38" t="str">
        <f t="shared" si="14"/>
        <v/>
      </c>
    </row>
    <row r="958" spans="9:9" x14ac:dyDescent="0.25">
      <c r="I958" s="38" t="str">
        <f t="shared" si="14"/>
        <v/>
      </c>
    </row>
    <row r="959" spans="9:9" x14ac:dyDescent="0.25">
      <c r="I959" s="38" t="str">
        <f t="shared" si="14"/>
        <v/>
      </c>
    </row>
    <row r="960" spans="9:9" x14ac:dyDescent="0.25">
      <c r="I960" s="38" t="str">
        <f t="shared" si="14"/>
        <v/>
      </c>
    </row>
    <row r="961" spans="9:9" x14ac:dyDescent="0.25">
      <c r="I961" s="38" t="str">
        <f t="shared" si="14"/>
        <v/>
      </c>
    </row>
    <row r="962" spans="9:9" x14ac:dyDescent="0.25">
      <c r="I962" s="38" t="str">
        <f t="shared" si="14"/>
        <v/>
      </c>
    </row>
    <row r="963" spans="9:9" x14ac:dyDescent="0.25">
      <c r="I963" s="38" t="str">
        <f t="shared" si="14"/>
        <v/>
      </c>
    </row>
    <row r="964" spans="9:9" x14ac:dyDescent="0.25">
      <c r="I964" s="38" t="str">
        <f t="shared" si="14"/>
        <v/>
      </c>
    </row>
    <row r="965" spans="9:9" x14ac:dyDescent="0.25">
      <c r="I965" s="38" t="str">
        <f t="shared" si="14"/>
        <v/>
      </c>
    </row>
    <row r="966" spans="9:9" x14ac:dyDescent="0.25">
      <c r="I966" s="38" t="str">
        <f t="shared" si="14"/>
        <v/>
      </c>
    </row>
    <row r="967" spans="9:9" x14ac:dyDescent="0.25">
      <c r="I967" s="38" t="str">
        <f t="shared" si="14"/>
        <v/>
      </c>
    </row>
    <row r="968" spans="9:9" x14ac:dyDescent="0.25">
      <c r="I968" s="38" t="str">
        <f t="shared" si="14"/>
        <v/>
      </c>
    </row>
    <row r="969" spans="9:9" x14ac:dyDescent="0.25">
      <c r="I969" s="38" t="str">
        <f t="shared" si="14"/>
        <v/>
      </c>
    </row>
    <row r="970" spans="9:9" x14ac:dyDescent="0.25">
      <c r="I970" s="38" t="str">
        <f t="shared" si="14"/>
        <v/>
      </c>
    </row>
    <row r="971" spans="9:9" x14ac:dyDescent="0.25">
      <c r="I971" s="38" t="str">
        <f t="shared" si="14"/>
        <v/>
      </c>
    </row>
    <row r="972" spans="9:9" x14ac:dyDescent="0.25">
      <c r="I972" s="38" t="str">
        <f t="shared" si="14"/>
        <v/>
      </c>
    </row>
    <row r="973" spans="9:9" x14ac:dyDescent="0.25">
      <c r="I973" s="38" t="str">
        <f t="shared" si="14"/>
        <v/>
      </c>
    </row>
    <row r="974" spans="9:9" x14ac:dyDescent="0.25">
      <c r="I974" s="38" t="str">
        <f t="shared" si="14"/>
        <v/>
      </c>
    </row>
    <row r="975" spans="9:9" x14ac:dyDescent="0.25">
      <c r="I975" s="38" t="str">
        <f t="shared" si="14"/>
        <v/>
      </c>
    </row>
    <row r="976" spans="9:9" x14ac:dyDescent="0.25">
      <c r="I976" s="38" t="str">
        <f t="shared" ref="I976:I1015" si="15">IF(A976=0,"","Aggregator")</f>
        <v/>
      </c>
    </row>
    <row r="977" spans="9:9" x14ac:dyDescent="0.25">
      <c r="I977" s="38" t="str">
        <f t="shared" si="15"/>
        <v/>
      </c>
    </row>
    <row r="978" spans="9:9" x14ac:dyDescent="0.25">
      <c r="I978" s="38" t="str">
        <f t="shared" si="15"/>
        <v/>
      </c>
    </row>
    <row r="979" spans="9:9" x14ac:dyDescent="0.25">
      <c r="I979" s="38" t="str">
        <f t="shared" si="15"/>
        <v/>
      </c>
    </row>
    <row r="980" spans="9:9" x14ac:dyDescent="0.25">
      <c r="I980" s="38" t="str">
        <f t="shared" si="15"/>
        <v/>
      </c>
    </row>
    <row r="981" spans="9:9" x14ac:dyDescent="0.25">
      <c r="I981" s="38" t="str">
        <f t="shared" si="15"/>
        <v/>
      </c>
    </row>
    <row r="982" spans="9:9" x14ac:dyDescent="0.25">
      <c r="I982" s="38" t="str">
        <f t="shared" si="15"/>
        <v/>
      </c>
    </row>
    <row r="983" spans="9:9" x14ac:dyDescent="0.25">
      <c r="I983" s="38" t="str">
        <f t="shared" si="15"/>
        <v/>
      </c>
    </row>
    <row r="984" spans="9:9" x14ac:dyDescent="0.25">
      <c r="I984" s="38" t="str">
        <f t="shared" si="15"/>
        <v/>
      </c>
    </row>
    <row r="985" spans="9:9" x14ac:dyDescent="0.25">
      <c r="I985" s="38" t="str">
        <f t="shared" si="15"/>
        <v/>
      </c>
    </row>
    <row r="986" spans="9:9" x14ac:dyDescent="0.25">
      <c r="I986" s="38" t="str">
        <f t="shared" si="15"/>
        <v/>
      </c>
    </row>
    <row r="987" spans="9:9" x14ac:dyDescent="0.25">
      <c r="I987" s="38" t="str">
        <f t="shared" si="15"/>
        <v/>
      </c>
    </row>
    <row r="988" spans="9:9" x14ac:dyDescent="0.25">
      <c r="I988" s="38" t="str">
        <f t="shared" si="15"/>
        <v/>
      </c>
    </row>
    <row r="989" spans="9:9" x14ac:dyDescent="0.25">
      <c r="I989" s="38" t="str">
        <f t="shared" si="15"/>
        <v/>
      </c>
    </row>
    <row r="990" spans="9:9" x14ac:dyDescent="0.25">
      <c r="I990" s="38" t="str">
        <f t="shared" si="15"/>
        <v/>
      </c>
    </row>
    <row r="991" spans="9:9" x14ac:dyDescent="0.25">
      <c r="I991" s="38" t="str">
        <f t="shared" si="15"/>
        <v/>
      </c>
    </row>
    <row r="992" spans="9:9" x14ac:dyDescent="0.25">
      <c r="I992" s="38" t="str">
        <f t="shared" si="15"/>
        <v/>
      </c>
    </row>
    <row r="993" spans="9:9" x14ac:dyDescent="0.25">
      <c r="I993" s="38" t="str">
        <f t="shared" si="15"/>
        <v/>
      </c>
    </row>
    <row r="994" spans="9:9" x14ac:dyDescent="0.25">
      <c r="I994" s="38" t="str">
        <f t="shared" si="15"/>
        <v/>
      </c>
    </row>
    <row r="995" spans="9:9" x14ac:dyDescent="0.25">
      <c r="I995" s="38" t="str">
        <f t="shared" si="15"/>
        <v/>
      </c>
    </row>
    <row r="996" spans="9:9" x14ac:dyDescent="0.25">
      <c r="I996" s="38" t="str">
        <f t="shared" si="15"/>
        <v/>
      </c>
    </row>
    <row r="997" spans="9:9" x14ac:dyDescent="0.25">
      <c r="I997" s="38" t="str">
        <f t="shared" si="15"/>
        <v/>
      </c>
    </row>
    <row r="998" spans="9:9" x14ac:dyDescent="0.25">
      <c r="I998" s="38" t="str">
        <f t="shared" si="15"/>
        <v/>
      </c>
    </row>
    <row r="999" spans="9:9" x14ac:dyDescent="0.25">
      <c r="I999" s="38" t="str">
        <f t="shared" si="15"/>
        <v/>
      </c>
    </row>
    <row r="1000" spans="9:9" x14ac:dyDescent="0.25">
      <c r="I1000" s="38" t="str">
        <f t="shared" si="15"/>
        <v/>
      </c>
    </row>
    <row r="1001" spans="9:9" x14ac:dyDescent="0.25">
      <c r="I1001" s="38" t="str">
        <f t="shared" si="15"/>
        <v/>
      </c>
    </row>
    <row r="1002" spans="9:9" x14ac:dyDescent="0.25">
      <c r="I1002" s="38" t="str">
        <f t="shared" si="15"/>
        <v/>
      </c>
    </row>
    <row r="1003" spans="9:9" x14ac:dyDescent="0.25">
      <c r="I1003" s="38" t="str">
        <f t="shared" si="15"/>
        <v/>
      </c>
    </row>
    <row r="1004" spans="9:9" x14ac:dyDescent="0.25">
      <c r="I1004" s="38" t="str">
        <f t="shared" si="15"/>
        <v/>
      </c>
    </row>
    <row r="1005" spans="9:9" x14ac:dyDescent="0.25">
      <c r="I1005" s="38" t="str">
        <f t="shared" si="15"/>
        <v/>
      </c>
    </row>
    <row r="1006" spans="9:9" x14ac:dyDescent="0.25">
      <c r="I1006" s="38" t="str">
        <f t="shared" si="15"/>
        <v/>
      </c>
    </row>
    <row r="1007" spans="9:9" x14ac:dyDescent="0.25">
      <c r="I1007" s="38" t="str">
        <f t="shared" si="15"/>
        <v/>
      </c>
    </row>
    <row r="1008" spans="9:9" x14ac:dyDescent="0.25">
      <c r="I1008" s="38" t="str">
        <f t="shared" si="15"/>
        <v/>
      </c>
    </row>
    <row r="1009" spans="9:9" x14ac:dyDescent="0.25">
      <c r="I1009" s="38" t="str">
        <f t="shared" si="15"/>
        <v/>
      </c>
    </row>
    <row r="1010" spans="9:9" x14ac:dyDescent="0.25">
      <c r="I1010" s="38" t="str">
        <f t="shared" si="15"/>
        <v/>
      </c>
    </row>
    <row r="1011" spans="9:9" x14ac:dyDescent="0.25">
      <c r="I1011" s="38" t="str">
        <f t="shared" si="15"/>
        <v/>
      </c>
    </row>
    <row r="1012" spans="9:9" x14ac:dyDescent="0.25">
      <c r="I1012" s="38" t="str">
        <f t="shared" si="15"/>
        <v/>
      </c>
    </row>
    <row r="1013" spans="9:9" x14ac:dyDescent="0.25">
      <c r="I1013" s="38" t="str">
        <f t="shared" si="15"/>
        <v/>
      </c>
    </row>
    <row r="1014" spans="9:9" x14ac:dyDescent="0.25">
      <c r="I1014" s="38" t="str">
        <f t="shared" si="15"/>
        <v/>
      </c>
    </row>
    <row r="1015" spans="9:9" x14ac:dyDescent="0.25">
      <c r="I1015" s="38" t="str">
        <f t="shared" si="15"/>
        <v/>
      </c>
    </row>
  </sheetData>
  <dataValidations xWindow="508" yWindow="532" count="3">
    <dataValidation type="textLength" allowBlank="1" showInputMessage="1" showErrorMessage="1" errorTitle="Invalid Input" error="Please enter maximum 32 characters only." sqref="A16:A1048576" xr:uid="{25464784-987A-493D-A952-8894479FDC2D}">
      <formula1>1</formula1>
      <formula2>32</formula2>
    </dataValidation>
    <dataValidation type="list" showInputMessage="1" showErrorMessage="1" errorTitle="Invalid Input" error="Choose from the list" sqref="J16:J1048576 B16:B1048576" xr:uid="{ECB3A9C5-77CD-42C5-9FDA-40FCCF7D8F54}">
      <formula1>Sec_name_wo_agg</formula1>
    </dataValidation>
    <dataValidation type="list" showInputMessage="1" showErrorMessage="1" errorTitle="Invalid Input" error="Choose from the list" sqref="C16:H1048576" xr:uid="{1279244D-7B08-4E62-92C0-7B57EF35D2CB}">
      <formula1>Mat_Name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42" customWidth="1"/>
    <col min="3" max="3" width="10.7109375" style="46" customWidth="1"/>
    <col min="4" max="16384" width="10.85546875" style="3"/>
  </cols>
  <sheetData>
    <row r="1" spans="1:5" x14ac:dyDescent="0.25">
      <c r="A1" s="30" t="s">
        <v>133</v>
      </c>
      <c r="B1" s="36"/>
      <c r="C1" s="43"/>
      <c r="D1" s="124"/>
      <c r="E1" s="37"/>
    </row>
    <row r="2" spans="1:5" x14ac:dyDescent="0.25">
      <c r="A2" s="44" t="s">
        <v>230</v>
      </c>
      <c r="B2" s="38"/>
      <c r="C2" s="51"/>
      <c r="D2" s="123"/>
      <c r="E2" s="39"/>
    </row>
    <row r="3" spans="1:5" x14ac:dyDescent="0.25">
      <c r="A3" s="135" t="s">
        <v>275</v>
      </c>
      <c r="B3" s="38"/>
      <c r="C3" s="51"/>
      <c r="D3" s="123"/>
      <c r="E3" s="39"/>
    </row>
    <row r="4" spans="1:5" x14ac:dyDescent="0.25">
      <c r="A4" s="47" t="str">
        <f>"- t: Slab thickness (Input as float) ("&amp;'User Defined Units'!$B$11&amp;")"</f>
        <v>- t: Slab thickness (Input as float) (m)</v>
      </c>
      <c r="B4" s="40"/>
      <c r="C4" s="45"/>
      <c r="D4" s="125"/>
      <c r="E4" s="41"/>
    </row>
    <row r="5" spans="1:5" x14ac:dyDescent="0.25">
      <c r="A5" s="31"/>
      <c r="B5" s="1"/>
      <c r="C5" s="4"/>
    </row>
    <row r="6" spans="1:5" s="8" customFormat="1" x14ac:dyDescent="0.25">
      <c r="A6" s="29" t="s">
        <v>24</v>
      </c>
      <c r="B6" s="28" t="s">
        <v>260</v>
      </c>
      <c r="C6" s="29" t="s">
        <v>48</v>
      </c>
    </row>
    <row r="7" spans="1:5" x14ac:dyDescent="0.25">
      <c r="A7" s="42" t="s">
        <v>49</v>
      </c>
      <c r="B7" s="42" t="s">
        <v>13</v>
      </c>
      <c r="C7" s="46">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A9" sqref="A9"/>
    </sheetView>
  </sheetViews>
  <sheetFormatPr defaultColWidth="10.85546875" defaultRowHeight="15.75" x14ac:dyDescent="0.25"/>
  <cols>
    <col min="1" max="1" width="15.7109375" style="122" customWidth="1"/>
    <col min="2" max="4" width="10.7109375" style="80" customWidth="1"/>
    <col min="5" max="5" width="10.7109375" style="79" customWidth="1"/>
    <col min="6" max="6" width="10.85546875" style="79" customWidth="1"/>
    <col min="7" max="16384" width="10.85546875" style="68"/>
  </cols>
  <sheetData>
    <row r="1" spans="1:9" x14ac:dyDescent="0.25">
      <c r="A1" s="64" t="s">
        <v>133</v>
      </c>
      <c r="B1" s="65"/>
      <c r="C1" s="65"/>
      <c r="D1" s="65"/>
      <c r="E1" s="66"/>
      <c r="F1" s="66"/>
      <c r="G1" s="66"/>
      <c r="H1" s="66"/>
      <c r="I1" s="67"/>
    </row>
    <row r="2" spans="1:9" x14ac:dyDescent="0.25">
      <c r="A2" s="88" t="s">
        <v>227</v>
      </c>
      <c r="B2" s="129"/>
      <c r="C2" s="129"/>
      <c r="D2" s="129"/>
      <c r="E2" s="130"/>
      <c r="F2" s="130"/>
      <c r="G2" s="130"/>
      <c r="H2" s="130"/>
      <c r="I2" s="70"/>
    </row>
    <row r="3" spans="1:9" x14ac:dyDescent="0.25">
      <c r="A3" s="71" t="str">
        <f>"- X: X coordinate of point objects (Input as Float) ("&amp;'User Defined Units'!$B$11&amp;")"</f>
        <v>- X: X coordinate of point objects (Input as Float) (m)</v>
      </c>
      <c r="B3" s="129"/>
      <c r="C3" s="129"/>
      <c r="D3" s="129"/>
      <c r="E3" s="130"/>
      <c r="F3" s="130"/>
      <c r="G3" s="130"/>
      <c r="H3" s="130"/>
      <c r="I3" s="70"/>
    </row>
    <row r="4" spans="1:9" x14ac:dyDescent="0.25">
      <c r="A4" s="71" t="str">
        <f>"- Y: Y coordinate of point objects (Input as Float) ("&amp;'User Defined Units'!$B$11&amp;")"</f>
        <v>- Y: Y coordinate of point objects (Input as Float) (m)</v>
      </c>
      <c r="B4" s="129"/>
      <c r="C4" s="129"/>
      <c r="D4" s="129"/>
      <c r="E4" s="130"/>
      <c r="F4" s="130"/>
      <c r="G4" s="130"/>
      <c r="H4" s="130"/>
      <c r="I4" s="70"/>
    </row>
    <row r="5" spans="1:9" x14ac:dyDescent="0.25">
      <c r="A5" s="72" t="str">
        <f>"- Z: Z coordinate of point objects (Input as Float) ("&amp;'User Defined Units'!$B$11&amp;")"</f>
        <v>- Z: Z coordinate of point objects (Input as Float) (m)</v>
      </c>
      <c r="B5" s="73"/>
      <c r="C5" s="73"/>
      <c r="D5" s="73"/>
      <c r="E5" s="74"/>
      <c r="F5" s="74"/>
      <c r="G5" s="74"/>
      <c r="H5" s="74"/>
      <c r="I5" s="75"/>
    </row>
    <row r="6" spans="1:9" x14ac:dyDescent="0.25">
      <c r="A6" s="76"/>
      <c r="B6" s="77"/>
      <c r="C6" s="77"/>
      <c r="D6" s="77"/>
      <c r="E6" s="68"/>
      <c r="F6" s="68"/>
    </row>
    <row r="7" spans="1:9" s="10" customFormat="1" x14ac:dyDescent="0.25">
      <c r="A7" s="78" t="s">
        <v>226</v>
      </c>
      <c r="B7" s="14" t="s">
        <v>50</v>
      </c>
      <c r="C7" s="14" t="s">
        <v>51</v>
      </c>
      <c r="D7" s="14" t="s">
        <v>52</v>
      </c>
      <c r="E7" s="138"/>
      <c r="F7" s="79"/>
    </row>
    <row r="8" spans="1:9" x14ac:dyDescent="0.25">
      <c r="A8" s="122">
        <v>1</v>
      </c>
      <c r="B8" s="80">
        <v>0</v>
      </c>
      <c r="C8" s="80">
        <v>0</v>
      </c>
      <c r="D8" s="80">
        <v>0</v>
      </c>
    </row>
    <row r="9" spans="1:9" x14ac:dyDescent="0.25">
      <c r="A9" s="122">
        <v>2</v>
      </c>
      <c r="B9" s="80">
        <v>8</v>
      </c>
      <c r="C9" s="80">
        <v>0</v>
      </c>
      <c r="D9" s="80">
        <v>0</v>
      </c>
    </row>
    <row r="10" spans="1:9" x14ac:dyDescent="0.25">
      <c r="A10" s="120">
        <v>3</v>
      </c>
      <c r="B10" s="80">
        <v>16</v>
      </c>
      <c r="C10" s="80">
        <v>0</v>
      </c>
      <c r="D10" s="80">
        <v>0</v>
      </c>
    </row>
    <row r="11" spans="1:9" x14ac:dyDescent="0.25">
      <c r="A11" s="122">
        <v>4</v>
      </c>
      <c r="B11" s="80">
        <v>24</v>
      </c>
      <c r="C11" s="80">
        <v>0</v>
      </c>
      <c r="D11" s="80">
        <v>0</v>
      </c>
    </row>
    <row r="12" spans="1:9" x14ac:dyDescent="0.25">
      <c r="A12" s="122">
        <v>5</v>
      </c>
      <c r="B12" s="80">
        <v>32</v>
      </c>
      <c r="C12" s="80">
        <v>0</v>
      </c>
      <c r="D12" s="80">
        <v>0</v>
      </c>
    </row>
    <row r="13" spans="1:9" x14ac:dyDescent="0.25">
      <c r="A13" s="122">
        <v>6</v>
      </c>
      <c r="B13" s="80">
        <v>0</v>
      </c>
      <c r="C13" s="80">
        <v>8</v>
      </c>
      <c r="D13" s="80">
        <v>0</v>
      </c>
    </row>
    <row r="14" spans="1:9" x14ac:dyDescent="0.25">
      <c r="A14" s="122">
        <v>7</v>
      </c>
      <c r="B14" s="80">
        <v>8</v>
      </c>
      <c r="C14" s="80">
        <v>8</v>
      </c>
      <c r="D14" s="80">
        <v>0</v>
      </c>
    </row>
    <row r="15" spans="1:9" x14ac:dyDescent="0.25">
      <c r="A15" s="122">
        <v>8</v>
      </c>
      <c r="B15" s="80">
        <v>16</v>
      </c>
      <c r="C15" s="80">
        <v>8</v>
      </c>
      <c r="D15" s="80">
        <v>0</v>
      </c>
    </row>
    <row r="16" spans="1:9" x14ac:dyDescent="0.25">
      <c r="A16" s="122">
        <v>9</v>
      </c>
      <c r="B16" s="80">
        <v>24</v>
      </c>
      <c r="C16" s="80">
        <v>8</v>
      </c>
      <c r="D16" s="80">
        <v>0</v>
      </c>
    </row>
    <row r="17" spans="1:4" x14ac:dyDescent="0.25">
      <c r="A17" s="122">
        <v>10</v>
      </c>
      <c r="B17" s="80">
        <v>32</v>
      </c>
      <c r="C17" s="80">
        <v>8</v>
      </c>
      <c r="D17" s="80">
        <v>0</v>
      </c>
    </row>
    <row r="18" spans="1:4" x14ac:dyDescent="0.25">
      <c r="A18" s="122">
        <v>11</v>
      </c>
      <c r="B18" s="80">
        <v>0</v>
      </c>
      <c r="C18" s="80">
        <v>16</v>
      </c>
      <c r="D18" s="80">
        <v>0</v>
      </c>
    </row>
    <row r="19" spans="1:4" x14ac:dyDescent="0.25">
      <c r="A19" s="122">
        <v>12</v>
      </c>
      <c r="B19" s="80">
        <v>8</v>
      </c>
      <c r="C19" s="80">
        <v>16</v>
      </c>
      <c r="D19" s="80">
        <v>0</v>
      </c>
    </row>
    <row r="20" spans="1:4" x14ac:dyDescent="0.25">
      <c r="A20" s="122">
        <v>13</v>
      </c>
      <c r="B20" s="80">
        <v>16</v>
      </c>
      <c r="C20" s="80">
        <v>16</v>
      </c>
      <c r="D20" s="80">
        <v>0</v>
      </c>
    </row>
    <row r="21" spans="1:4" x14ac:dyDescent="0.25">
      <c r="A21" s="122">
        <v>14</v>
      </c>
      <c r="B21" s="80">
        <v>24</v>
      </c>
      <c r="C21" s="80">
        <v>16</v>
      </c>
      <c r="D21" s="80">
        <v>0</v>
      </c>
    </row>
    <row r="22" spans="1:4" x14ac:dyDescent="0.25">
      <c r="A22" s="122">
        <v>15</v>
      </c>
      <c r="B22" s="80">
        <v>32</v>
      </c>
      <c r="C22" s="80">
        <v>16</v>
      </c>
      <c r="D22" s="80">
        <v>0</v>
      </c>
    </row>
    <row r="23" spans="1:4" x14ac:dyDescent="0.25">
      <c r="A23" s="122">
        <v>16</v>
      </c>
      <c r="B23" s="80">
        <v>0</v>
      </c>
      <c r="C23" s="80">
        <v>24</v>
      </c>
      <c r="D23" s="80">
        <v>0</v>
      </c>
    </row>
    <row r="24" spans="1:4" x14ac:dyDescent="0.25">
      <c r="A24" s="122">
        <v>17</v>
      </c>
      <c r="B24" s="80">
        <v>8</v>
      </c>
      <c r="C24" s="80">
        <v>24</v>
      </c>
      <c r="D24" s="80">
        <v>0</v>
      </c>
    </row>
    <row r="25" spans="1:4" x14ac:dyDescent="0.25">
      <c r="A25" s="122">
        <v>18</v>
      </c>
      <c r="B25" s="80">
        <v>16</v>
      </c>
      <c r="C25" s="80">
        <v>24</v>
      </c>
      <c r="D25" s="80">
        <v>0</v>
      </c>
    </row>
    <row r="26" spans="1:4" x14ac:dyDescent="0.25">
      <c r="A26" s="122">
        <v>19</v>
      </c>
      <c r="B26" s="80">
        <v>24</v>
      </c>
      <c r="C26" s="80">
        <v>24</v>
      </c>
      <c r="D26" s="80">
        <v>0</v>
      </c>
    </row>
    <row r="27" spans="1:4" x14ac:dyDescent="0.25">
      <c r="A27" s="122">
        <v>20</v>
      </c>
      <c r="B27" s="80">
        <v>32</v>
      </c>
      <c r="C27" s="80">
        <v>24</v>
      </c>
      <c r="D27" s="80">
        <v>0</v>
      </c>
    </row>
    <row r="28" spans="1:4" x14ac:dyDescent="0.25">
      <c r="A28" s="122">
        <v>21</v>
      </c>
      <c r="B28" s="80">
        <v>0</v>
      </c>
      <c r="C28" s="80">
        <v>32</v>
      </c>
      <c r="D28" s="80">
        <v>0</v>
      </c>
    </row>
    <row r="29" spans="1:4" x14ac:dyDescent="0.25">
      <c r="A29" s="122">
        <v>22</v>
      </c>
      <c r="B29" s="80">
        <v>8</v>
      </c>
      <c r="C29" s="80">
        <v>32</v>
      </c>
      <c r="D29" s="80">
        <v>0</v>
      </c>
    </row>
    <row r="30" spans="1:4" x14ac:dyDescent="0.25">
      <c r="A30" s="122">
        <v>23</v>
      </c>
      <c r="B30" s="80">
        <v>16</v>
      </c>
      <c r="C30" s="80">
        <v>32</v>
      </c>
      <c r="D30" s="80">
        <v>0</v>
      </c>
    </row>
    <row r="31" spans="1:4" x14ac:dyDescent="0.25">
      <c r="A31" s="122">
        <v>24</v>
      </c>
      <c r="B31" s="80">
        <v>24</v>
      </c>
      <c r="C31" s="80">
        <v>32</v>
      </c>
      <c r="D31" s="80">
        <v>0</v>
      </c>
    </row>
    <row r="32" spans="1:4" x14ac:dyDescent="0.25">
      <c r="A32" s="122">
        <v>25</v>
      </c>
      <c r="B32" s="80">
        <v>32</v>
      </c>
      <c r="C32" s="80">
        <v>32</v>
      </c>
      <c r="D32" s="80">
        <v>0</v>
      </c>
    </row>
    <row r="33" spans="1:4" x14ac:dyDescent="0.25">
      <c r="A33" s="122">
        <v>26</v>
      </c>
      <c r="B33" s="80">
        <v>0</v>
      </c>
      <c r="C33" s="80">
        <v>0</v>
      </c>
      <c r="D33" s="80">
        <v>4</v>
      </c>
    </row>
    <row r="34" spans="1:4" x14ac:dyDescent="0.25">
      <c r="A34" s="122">
        <v>27</v>
      </c>
      <c r="B34" s="80">
        <v>8</v>
      </c>
      <c r="C34" s="80">
        <v>0</v>
      </c>
      <c r="D34" s="80">
        <v>4</v>
      </c>
    </row>
    <row r="35" spans="1:4" x14ac:dyDescent="0.25">
      <c r="A35" s="122">
        <v>28</v>
      </c>
      <c r="B35" s="80">
        <v>16</v>
      </c>
      <c r="C35" s="80">
        <v>0</v>
      </c>
      <c r="D35" s="80">
        <v>4</v>
      </c>
    </row>
    <row r="36" spans="1:4" x14ac:dyDescent="0.25">
      <c r="A36" s="122">
        <v>29</v>
      </c>
      <c r="B36" s="80">
        <v>24</v>
      </c>
      <c r="C36" s="80">
        <v>0</v>
      </c>
      <c r="D36" s="80">
        <v>4</v>
      </c>
    </row>
    <row r="37" spans="1:4" x14ac:dyDescent="0.25">
      <c r="A37" s="122">
        <v>30</v>
      </c>
      <c r="B37" s="80">
        <v>32</v>
      </c>
      <c r="C37" s="80">
        <v>0</v>
      </c>
      <c r="D37" s="80">
        <v>4</v>
      </c>
    </row>
    <row r="38" spans="1:4" x14ac:dyDescent="0.25">
      <c r="A38" s="122">
        <v>31</v>
      </c>
      <c r="B38" s="80">
        <v>0</v>
      </c>
      <c r="C38" s="80">
        <v>8</v>
      </c>
      <c r="D38" s="80">
        <v>4</v>
      </c>
    </row>
    <row r="39" spans="1:4" x14ac:dyDescent="0.25">
      <c r="A39" s="122">
        <v>32</v>
      </c>
      <c r="B39" s="80">
        <v>8</v>
      </c>
      <c r="C39" s="80">
        <v>8</v>
      </c>
      <c r="D39" s="80">
        <v>4</v>
      </c>
    </row>
    <row r="40" spans="1:4" x14ac:dyDescent="0.25">
      <c r="A40" s="122">
        <v>33</v>
      </c>
      <c r="B40" s="80">
        <v>16</v>
      </c>
      <c r="C40" s="80">
        <v>8</v>
      </c>
      <c r="D40" s="80">
        <v>4</v>
      </c>
    </row>
    <row r="41" spans="1:4" x14ac:dyDescent="0.25">
      <c r="A41" s="122">
        <v>34</v>
      </c>
      <c r="B41" s="80">
        <v>24</v>
      </c>
      <c r="C41" s="80">
        <v>8</v>
      </c>
      <c r="D41" s="80">
        <v>4</v>
      </c>
    </row>
    <row r="42" spans="1:4" x14ac:dyDescent="0.25">
      <c r="A42" s="122">
        <v>35</v>
      </c>
      <c r="B42" s="80">
        <v>32</v>
      </c>
      <c r="C42" s="80">
        <v>8</v>
      </c>
      <c r="D42" s="80">
        <v>4</v>
      </c>
    </row>
    <row r="43" spans="1:4" x14ac:dyDescent="0.25">
      <c r="A43" s="122">
        <v>36</v>
      </c>
      <c r="B43" s="80">
        <v>0</v>
      </c>
      <c r="C43" s="80">
        <v>16</v>
      </c>
      <c r="D43" s="80">
        <v>4</v>
      </c>
    </row>
    <row r="44" spans="1:4" x14ac:dyDescent="0.25">
      <c r="A44" s="122">
        <v>37</v>
      </c>
      <c r="B44" s="80">
        <v>8</v>
      </c>
      <c r="C44" s="80">
        <v>16</v>
      </c>
      <c r="D44" s="80">
        <v>4</v>
      </c>
    </row>
    <row r="45" spans="1:4" x14ac:dyDescent="0.25">
      <c r="A45" s="122">
        <v>38</v>
      </c>
      <c r="B45" s="80">
        <v>16</v>
      </c>
      <c r="C45" s="80">
        <v>16</v>
      </c>
      <c r="D45" s="80">
        <v>4</v>
      </c>
    </row>
    <row r="46" spans="1:4" x14ac:dyDescent="0.25">
      <c r="A46" s="122">
        <v>39</v>
      </c>
      <c r="B46" s="80">
        <v>24</v>
      </c>
      <c r="C46" s="80">
        <v>16</v>
      </c>
      <c r="D46" s="80">
        <v>4</v>
      </c>
    </row>
    <row r="47" spans="1:4" x14ac:dyDescent="0.25">
      <c r="A47" s="122">
        <v>40</v>
      </c>
      <c r="B47" s="80">
        <v>32</v>
      </c>
      <c r="C47" s="80">
        <v>16</v>
      </c>
      <c r="D47" s="80">
        <v>4</v>
      </c>
    </row>
    <row r="48" spans="1:4" x14ac:dyDescent="0.25">
      <c r="A48" s="122">
        <v>41</v>
      </c>
      <c r="B48" s="80">
        <v>0</v>
      </c>
      <c r="C48" s="80">
        <v>24</v>
      </c>
      <c r="D48" s="80">
        <v>4</v>
      </c>
    </row>
    <row r="49" spans="1:4" x14ac:dyDescent="0.25">
      <c r="A49" s="122">
        <v>42</v>
      </c>
      <c r="B49" s="80">
        <v>8</v>
      </c>
      <c r="C49" s="80">
        <v>24</v>
      </c>
      <c r="D49" s="80">
        <v>4</v>
      </c>
    </row>
    <row r="50" spans="1:4" x14ac:dyDescent="0.25">
      <c r="A50" s="122">
        <v>43</v>
      </c>
      <c r="B50" s="80">
        <v>16</v>
      </c>
      <c r="C50" s="80">
        <v>24</v>
      </c>
      <c r="D50" s="80">
        <v>4</v>
      </c>
    </row>
    <row r="51" spans="1:4" x14ac:dyDescent="0.25">
      <c r="A51" s="122">
        <v>44</v>
      </c>
      <c r="B51" s="80">
        <v>24</v>
      </c>
      <c r="C51" s="80">
        <v>24</v>
      </c>
      <c r="D51" s="80">
        <v>4</v>
      </c>
    </row>
    <row r="52" spans="1:4" x14ac:dyDescent="0.25">
      <c r="A52" s="122">
        <v>45</v>
      </c>
      <c r="B52" s="80">
        <v>32</v>
      </c>
      <c r="C52" s="80">
        <v>24</v>
      </c>
      <c r="D52" s="80">
        <v>4</v>
      </c>
    </row>
    <row r="53" spans="1:4" x14ac:dyDescent="0.25">
      <c r="A53" s="122">
        <v>46</v>
      </c>
      <c r="B53" s="80">
        <v>0</v>
      </c>
      <c r="C53" s="80">
        <v>32</v>
      </c>
      <c r="D53" s="80">
        <v>4</v>
      </c>
    </row>
    <row r="54" spans="1:4" x14ac:dyDescent="0.25">
      <c r="A54" s="122">
        <v>47</v>
      </c>
      <c r="B54" s="80">
        <v>8</v>
      </c>
      <c r="C54" s="80">
        <v>32</v>
      </c>
      <c r="D54" s="80">
        <v>4</v>
      </c>
    </row>
    <row r="55" spans="1:4" x14ac:dyDescent="0.25">
      <c r="A55" s="122">
        <v>48</v>
      </c>
      <c r="B55" s="80">
        <v>16</v>
      </c>
      <c r="C55" s="80">
        <v>32</v>
      </c>
      <c r="D55" s="80">
        <v>4</v>
      </c>
    </row>
    <row r="56" spans="1:4" x14ac:dyDescent="0.25">
      <c r="A56" s="122">
        <v>49</v>
      </c>
      <c r="B56" s="80">
        <v>24</v>
      </c>
      <c r="C56" s="80">
        <v>32</v>
      </c>
      <c r="D56" s="80">
        <v>4</v>
      </c>
    </row>
    <row r="57" spans="1:4" x14ac:dyDescent="0.25">
      <c r="A57" s="122">
        <v>50</v>
      </c>
      <c r="B57" s="80">
        <v>32</v>
      </c>
      <c r="C57" s="80">
        <v>32</v>
      </c>
      <c r="D57" s="80">
        <v>4</v>
      </c>
    </row>
    <row r="58" spans="1:4" x14ac:dyDescent="0.25">
      <c r="A58" s="122">
        <v>51</v>
      </c>
      <c r="B58" s="80">
        <v>0</v>
      </c>
      <c r="C58" s="80">
        <v>0</v>
      </c>
      <c r="D58" s="80">
        <v>7.5</v>
      </c>
    </row>
    <row r="59" spans="1:4" x14ac:dyDescent="0.25">
      <c r="A59" s="122">
        <v>52</v>
      </c>
      <c r="B59" s="80">
        <v>8</v>
      </c>
      <c r="C59" s="80">
        <v>0</v>
      </c>
      <c r="D59" s="80">
        <v>7.5</v>
      </c>
    </row>
    <row r="60" spans="1:4" x14ac:dyDescent="0.25">
      <c r="A60" s="122">
        <v>53</v>
      </c>
      <c r="B60" s="80">
        <v>16</v>
      </c>
      <c r="C60" s="80">
        <v>0</v>
      </c>
      <c r="D60" s="80">
        <v>7.5</v>
      </c>
    </row>
    <row r="61" spans="1:4" x14ac:dyDescent="0.25">
      <c r="A61" s="122">
        <v>54</v>
      </c>
      <c r="B61" s="80">
        <v>24</v>
      </c>
      <c r="C61" s="80">
        <v>0</v>
      </c>
      <c r="D61" s="80">
        <v>7.5</v>
      </c>
    </row>
    <row r="62" spans="1:4" x14ac:dyDescent="0.25">
      <c r="A62" s="122">
        <v>55</v>
      </c>
      <c r="B62" s="80">
        <v>32</v>
      </c>
      <c r="C62" s="80">
        <v>0</v>
      </c>
      <c r="D62" s="80">
        <v>7.5</v>
      </c>
    </row>
    <row r="63" spans="1:4" x14ac:dyDescent="0.25">
      <c r="A63" s="122">
        <v>56</v>
      </c>
      <c r="B63" s="80">
        <v>0</v>
      </c>
      <c r="C63" s="80">
        <v>8</v>
      </c>
      <c r="D63" s="80">
        <v>7.5</v>
      </c>
    </row>
    <row r="64" spans="1:4" x14ac:dyDescent="0.25">
      <c r="A64" s="122">
        <v>57</v>
      </c>
      <c r="B64" s="80">
        <v>8</v>
      </c>
      <c r="C64" s="80">
        <v>8</v>
      </c>
      <c r="D64" s="80">
        <v>7.5</v>
      </c>
    </row>
    <row r="65" spans="1:4" x14ac:dyDescent="0.25">
      <c r="A65" s="122">
        <v>58</v>
      </c>
      <c r="B65" s="80">
        <v>16</v>
      </c>
      <c r="C65" s="80">
        <v>8</v>
      </c>
      <c r="D65" s="80">
        <v>7.5</v>
      </c>
    </row>
    <row r="66" spans="1:4" x14ac:dyDescent="0.25">
      <c r="A66" s="122">
        <v>59</v>
      </c>
      <c r="B66" s="80">
        <v>24</v>
      </c>
      <c r="C66" s="80">
        <v>8</v>
      </c>
      <c r="D66" s="80">
        <v>7.5</v>
      </c>
    </row>
    <row r="67" spans="1:4" x14ac:dyDescent="0.25">
      <c r="A67" s="122">
        <v>60</v>
      </c>
      <c r="B67" s="80">
        <v>32</v>
      </c>
      <c r="C67" s="80">
        <v>8</v>
      </c>
      <c r="D67" s="80">
        <v>7.5</v>
      </c>
    </row>
    <row r="68" spans="1:4" x14ac:dyDescent="0.25">
      <c r="A68" s="122">
        <v>61</v>
      </c>
      <c r="B68" s="80">
        <v>0</v>
      </c>
      <c r="C68" s="80">
        <v>16</v>
      </c>
      <c r="D68" s="80">
        <v>7.5</v>
      </c>
    </row>
    <row r="69" spans="1:4" x14ac:dyDescent="0.25">
      <c r="A69" s="122">
        <v>62</v>
      </c>
      <c r="B69" s="80">
        <v>8</v>
      </c>
      <c r="C69" s="80">
        <v>16</v>
      </c>
      <c r="D69" s="80">
        <v>7.5</v>
      </c>
    </row>
    <row r="70" spans="1:4" x14ac:dyDescent="0.25">
      <c r="A70" s="122">
        <v>63</v>
      </c>
      <c r="B70" s="80">
        <v>16</v>
      </c>
      <c r="C70" s="80">
        <v>16</v>
      </c>
      <c r="D70" s="80">
        <v>7.5</v>
      </c>
    </row>
    <row r="71" spans="1:4" x14ac:dyDescent="0.25">
      <c r="A71" s="122">
        <v>64</v>
      </c>
      <c r="B71" s="80">
        <v>24</v>
      </c>
      <c r="C71" s="80">
        <v>16</v>
      </c>
      <c r="D71" s="80">
        <v>7.5</v>
      </c>
    </row>
    <row r="72" spans="1:4" x14ac:dyDescent="0.25">
      <c r="A72" s="122">
        <v>65</v>
      </c>
      <c r="B72" s="80">
        <v>32</v>
      </c>
      <c r="C72" s="80">
        <v>16</v>
      </c>
      <c r="D72" s="80">
        <v>7.5</v>
      </c>
    </row>
    <row r="73" spans="1:4" x14ac:dyDescent="0.25">
      <c r="A73" s="122">
        <v>66</v>
      </c>
      <c r="B73" s="80">
        <v>0</v>
      </c>
      <c r="C73" s="80">
        <v>24</v>
      </c>
      <c r="D73" s="80">
        <v>7.5</v>
      </c>
    </row>
    <row r="74" spans="1:4" x14ac:dyDescent="0.25">
      <c r="A74" s="122">
        <v>67</v>
      </c>
      <c r="B74" s="80">
        <v>8</v>
      </c>
      <c r="C74" s="80">
        <v>24</v>
      </c>
      <c r="D74" s="80">
        <v>7.5</v>
      </c>
    </row>
    <row r="75" spans="1:4" x14ac:dyDescent="0.25">
      <c r="A75" s="122">
        <v>68</v>
      </c>
      <c r="B75" s="80">
        <v>16</v>
      </c>
      <c r="C75" s="80">
        <v>24</v>
      </c>
      <c r="D75" s="80">
        <v>7.5</v>
      </c>
    </row>
    <row r="76" spans="1:4" x14ac:dyDescent="0.25">
      <c r="A76" s="122">
        <v>69</v>
      </c>
      <c r="B76" s="80">
        <v>24</v>
      </c>
      <c r="C76" s="80">
        <v>24</v>
      </c>
      <c r="D76" s="80">
        <v>7.5</v>
      </c>
    </row>
    <row r="77" spans="1:4" x14ac:dyDescent="0.25">
      <c r="A77" s="122">
        <v>70</v>
      </c>
      <c r="B77" s="80">
        <v>32</v>
      </c>
      <c r="C77" s="80">
        <v>24</v>
      </c>
      <c r="D77" s="80">
        <v>7.5</v>
      </c>
    </row>
    <row r="78" spans="1:4" x14ac:dyDescent="0.25">
      <c r="A78" s="122">
        <v>71</v>
      </c>
      <c r="B78" s="80">
        <v>0</v>
      </c>
      <c r="C78" s="80">
        <v>32</v>
      </c>
      <c r="D78" s="80">
        <v>7.5</v>
      </c>
    </row>
    <row r="79" spans="1:4" x14ac:dyDescent="0.25">
      <c r="A79" s="122">
        <v>72</v>
      </c>
      <c r="B79" s="80">
        <v>8</v>
      </c>
      <c r="C79" s="80">
        <v>32</v>
      </c>
      <c r="D79" s="80">
        <v>7.5</v>
      </c>
    </row>
    <row r="80" spans="1:4" x14ac:dyDescent="0.25">
      <c r="A80" s="122">
        <v>73</v>
      </c>
      <c r="B80" s="80">
        <v>16</v>
      </c>
      <c r="C80" s="80">
        <v>32</v>
      </c>
      <c r="D80" s="80">
        <v>7.5</v>
      </c>
    </row>
    <row r="81" spans="1:4" x14ac:dyDescent="0.25">
      <c r="A81" s="122">
        <v>74</v>
      </c>
      <c r="B81" s="80">
        <v>24</v>
      </c>
      <c r="C81" s="80">
        <v>32</v>
      </c>
      <c r="D81" s="80">
        <v>7.5</v>
      </c>
    </row>
    <row r="82" spans="1:4" x14ac:dyDescent="0.25">
      <c r="A82" s="122">
        <v>75</v>
      </c>
      <c r="B82" s="80">
        <v>32</v>
      </c>
      <c r="C82" s="80">
        <v>32</v>
      </c>
      <c r="D82" s="80">
        <v>7.5</v>
      </c>
    </row>
    <row r="83" spans="1:4" x14ac:dyDescent="0.25">
      <c r="A83" s="122">
        <v>76</v>
      </c>
      <c r="B83" s="80">
        <v>0</v>
      </c>
      <c r="C83" s="80">
        <v>0</v>
      </c>
      <c r="D83" s="80">
        <v>11</v>
      </c>
    </row>
    <row r="84" spans="1:4" x14ac:dyDescent="0.25">
      <c r="A84" s="122">
        <v>77</v>
      </c>
      <c r="B84" s="80">
        <v>8</v>
      </c>
      <c r="C84" s="80">
        <v>0</v>
      </c>
      <c r="D84" s="80">
        <v>11</v>
      </c>
    </row>
    <row r="85" spans="1:4" x14ac:dyDescent="0.25">
      <c r="A85" s="122">
        <v>78</v>
      </c>
      <c r="B85" s="80">
        <v>16</v>
      </c>
      <c r="C85" s="80">
        <v>0</v>
      </c>
      <c r="D85" s="80">
        <v>11</v>
      </c>
    </row>
    <row r="86" spans="1:4" x14ac:dyDescent="0.25">
      <c r="A86" s="122">
        <v>79</v>
      </c>
      <c r="B86" s="80">
        <v>24</v>
      </c>
      <c r="C86" s="80">
        <v>0</v>
      </c>
      <c r="D86" s="80">
        <v>11</v>
      </c>
    </row>
    <row r="87" spans="1:4" x14ac:dyDescent="0.25">
      <c r="A87" s="122">
        <v>80</v>
      </c>
      <c r="B87" s="80">
        <v>32</v>
      </c>
      <c r="C87" s="80">
        <v>0</v>
      </c>
      <c r="D87" s="80">
        <v>11</v>
      </c>
    </row>
    <row r="88" spans="1:4" x14ac:dyDescent="0.25">
      <c r="A88" s="122">
        <v>81</v>
      </c>
      <c r="B88" s="80">
        <v>0</v>
      </c>
      <c r="C88" s="80">
        <v>8</v>
      </c>
      <c r="D88" s="80">
        <v>11</v>
      </c>
    </row>
    <row r="89" spans="1:4" x14ac:dyDescent="0.25">
      <c r="A89" s="122">
        <v>82</v>
      </c>
      <c r="B89" s="80">
        <v>8</v>
      </c>
      <c r="C89" s="80">
        <v>8</v>
      </c>
      <c r="D89" s="80">
        <v>11</v>
      </c>
    </row>
    <row r="90" spans="1:4" x14ac:dyDescent="0.25">
      <c r="A90" s="122">
        <v>83</v>
      </c>
      <c r="B90" s="80">
        <v>16</v>
      </c>
      <c r="C90" s="80">
        <v>8</v>
      </c>
      <c r="D90" s="80">
        <v>11</v>
      </c>
    </row>
    <row r="91" spans="1:4" x14ac:dyDescent="0.25">
      <c r="A91" s="122">
        <v>84</v>
      </c>
      <c r="B91" s="80">
        <v>24</v>
      </c>
      <c r="C91" s="80">
        <v>8</v>
      </c>
      <c r="D91" s="80">
        <v>11</v>
      </c>
    </row>
    <row r="92" spans="1:4" x14ac:dyDescent="0.25">
      <c r="A92" s="122">
        <v>85</v>
      </c>
      <c r="B92" s="80">
        <v>32</v>
      </c>
      <c r="C92" s="80">
        <v>8</v>
      </c>
      <c r="D92" s="80">
        <v>11</v>
      </c>
    </row>
    <row r="93" spans="1:4" x14ac:dyDescent="0.25">
      <c r="A93" s="122">
        <v>86</v>
      </c>
      <c r="B93" s="80">
        <v>0</v>
      </c>
      <c r="C93" s="80">
        <v>16</v>
      </c>
      <c r="D93" s="80">
        <v>11</v>
      </c>
    </row>
    <row r="94" spans="1:4" x14ac:dyDescent="0.25">
      <c r="A94" s="122">
        <v>87</v>
      </c>
      <c r="B94" s="80">
        <v>8</v>
      </c>
      <c r="C94" s="80">
        <v>16</v>
      </c>
      <c r="D94" s="80">
        <v>11</v>
      </c>
    </row>
    <row r="95" spans="1:4" x14ac:dyDescent="0.25">
      <c r="A95" s="122">
        <v>88</v>
      </c>
      <c r="B95" s="80">
        <v>16</v>
      </c>
      <c r="C95" s="80">
        <v>16</v>
      </c>
      <c r="D95" s="80">
        <v>11</v>
      </c>
    </row>
    <row r="96" spans="1:4" x14ac:dyDescent="0.25">
      <c r="A96" s="122">
        <v>89</v>
      </c>
      <c r="B96" s="80">
        <v>24</v>
      </c>
      <c r="C96" s="80">
        <v>16</v>
      </c>
      <c r="D96" s="80">
        <v>11</v>
      </c>
    </row>
    <row r="97" spans="1:4" x14ac:dyDescent="0.25">
      <c r="A97" s="122">
        <v>90</v>
      </c>
      <c r="B97" s="80">
        <v>32</v>
      </c>
      <c r="C97" s="80">
        <v>16</v>
      </c>
      <c r="D97" s="80">
        <v>11</v>
      </c>
    </row>
    <row r="98" spans="1:4" x14ac:dyDescent="0.25">
      <c r="A98" s="122">
        <v>91</v>
      </c>
      <c r="B98" s="80">
        <v>0</v>
      </c>
      <c r="C98" s="80">
        <v>24</v>
      </c>
      <c r="D98" s="80">
        <v>11</v>
      </c>
    </row>
    <row r="99" spans="1:4" x14ac:dyDescent="0.25">
      <c r="A99" s="122">
        <v>92</v>
      </c>
      <c r="B99" s="80">
        <v>8</v>
      </c>
      <c r="C99" s="80">
        <v>24</v>
      </c>
      <c r="D99" s="80">
        <v>11</v>
      </c>
    </row>
    <row r="100" spans="1:4" x14ac:dyDescent="0.25">
      <c r="A100" s="122">
        <v>93</v>
      </c>
      <c r="B100" s="80">
        <v>16</v>
      </c>
      <c r="C100" s="80">
        <v>24</v>
      </c>
      <c r="D100" s="80">
        <v>11</v>
      </c>
    </row>
    <row r="101" spans="1:4" x14ac:dyDescent="0.25">
      <c r="A101" s="122">
        <v>94</v>
      </c>
      <c r="B101" s="80">
        <v>24</v>
      </c>
      <c r="C101" s="80">
        <v>24</v>
      </c>
      <c r="D101" s="80">
        <v>11</v>
      </c>
    </row>
    <row r="102" spans="1:4" x14ac:dyDescent="0.25">
      <c r="A102" s="122">
        <v>95</v>
      </c>
      <c r="B102" s="80">
        <v>32</v>
      </c>
      <c r="C102" s="80">
        <v>24</v>
      </c>
      <c r="D102" s="80">
        <v>11</v>
      </c>
    </row>
    <row r="103" spans="1:4" x14ac:dyDescent="0.25">
      <c r="A103" s="122">
        <v>96</v>
      </c>
      <c r="B103" s="80">
        <v>0</v>
      </c>
      <c r="C103" s="80">
        <v>32</v>
      </c>
      <c r="D103" s="80">
        <v>11</v>
      </c>
    </row>
    <row r="104" spans="1:4" x14ac:dyDescent="0.25">
      <c r="A104" s="122">
        <v>97</v>
      </c>
      <c r="B104" s="80">
        <v>8</v>
      </c>
      <c r="C104" s="80">
        <v>32</v>
      </c>
      <c r="D104" s="80">
        <v>11</v>
      </c>
    </row>
    <row r="105" spans="1:4" x14ac:dyDescent="0.25">
      <c r="A105" s="122">
        <v>98</v>
      </c>
      <c r="B105" s="80">
        <v>16</v>
      </c>
      <c r="C105" s="80">
        <v>32</v>
      </c>
      <c r="D105" s="80">
        <v>11</v>
      </c>
    </row>
    <row r="106" spans="1:4" x14ac:dyDescent="0.25">
      <c r="A106" s="122">
        <v>99</v>
      </c>
      <c r="B106" s="80">
        <v>24</v>
      </c>
      <c r="C106" s="80">
        <v>32</v>
      </c>
      <c r="D106" s="80">
        <v>11</v>
      </c>
    </row>
    <row r="107" spans="1:4" x14ac:dyDescent="0.25">
      <c r="A107" s="122">
        <v>100</v>
      </c>
      <c r="B107" s="80">
        <v>32</v>
      </c>
      <c r="C107" s="80">
        <v>32</v>
      </c>
      <c r="D107" s="80">
        <v>11</v>
      </c>
    </row>
    <row r="108" spans="1:4" x14ac:dyDescent="0.25">
      <c r="A108" s="122">
        <v>101</v>
      </c>
      <c r="B108" s="80">
        <v>0</v>
      </c>
      <c r="C108" s="80">
        <v>0</v>
      </c>
      <c r="D108" s="80">
        <v>14.5</v>
      </c>
    </row>
    <row r="109" spans="1:4" x14ac:dyDescent="0.25">
      <c r="A109" s="122">
        <v>102</v>
      </c>
      <c r="B109" s="80">
        <v>8</v>
      </c>
      <c r="C109" s="80">
        <v>0</v>
      </c>
      <c r="D109" s="80">
        <v>14.5</v>
      </c>
    </row>
    <row r="110" spans="1:4" x14ac:dyDescent="0.25">
      <c r="A110" s="122">
        <v>103</v>
      </c>
      <c r="B110" s="80">
        <v>16</v>
      </c>
      <c r="C110" s="80">
        <v>0</v>
      </c>
      <c r="D110" s="80">
        <v>14.5</v>
      </c>
    </row>
    <row r="111" spans="1:4" x14ac:dyDescent="0.25">
      <c r="A111" s="122">
        <v>104</v>
      </c>
      <c r="B111" s="80">
        <v>24</v>
      </c>
      <c r="C111" s="80">
        <v>0</v>
      </c>
      <c r="D111" s="80">
        <v>14.5</v>
      </c>
    </row>
    <row r="112" spans="1:4" x14ac:dyDescent="0.25">
      <c r="A112" s="122">
        <v>105</v>
      </c>
      <c r="B112" s="80">
        <v>32</v>
      </c>
      <c r="C112" s="80">
        <v>0</v>
      </c>
      <c r="D112" s="80">
        <v>14.5</v>
      </c>
    </row>
    <row r="113" spans="1:4" x14ac:dyDescent="0.25">
      <c r="A113" s="122">
        <v>106</v>
      </c>
      <c r="B113" s="80">
        <v>0</v>
      </c>
      <c r="C113" s="80">
        <v>8</v>
      </c>
      <c r="D113" s="80">
        <v>14.5</v>
      </c>
    </row>
    <row r="114" spans="1:4" x14ac:dyDescent="0.25">
      <c r="A114" s="122">
        <v>107</v>
      </c>
      <c r="B114" s="80">
        <v>8</v>
      </c>
      <c r="C114" s="80">
        <v>8</v>
      </c>
      <c r="D114" s="80">
        <v>14.5</v>
      </c>
    </row>
    <row r="115" spans="1:4" x14ac:dyDescent="0.25">
      <c r="A115" s="122">
        <v>108</v>
      </c>
      <c r="B115" s="80">
        <v>16</v>
      </c>
      <c r="C115" s="80">
        <v>8</v>
      </c>
      <c r="D115" s="80">
        <v>14.5</v>
      </c>
    </row>
    <row r="116" spans="1:4" x14ac:dyDescent="0.25">
      <c r="A116" s="122">
        <v>109</v>
      </c>
      <c r="B116" s="80">
        <v>24</v>
      </c>
      <c r="C116" s="80">
        <v>8</v>
      </c>
      <c r="D116" s="80">
        <v>14.5</v>
      </c>
    </row>
    <row r="117" spans="1:4" x14ac:dyDescent="0.25">
      <c r="A117" s="122">
        <v>110</v>
      </c>
      <c r="B117" s="80">
        <v>32</v>
      </c>
      <c r="C117" s="80">
        <v>8</v>
      </c>
      <c r="D117" s="80">
        <v>14.5</v>
      </c>
    </row>
    <row r="118" spans="1:4" x14ac:dyDescent="0.25">
      <c r="A118" s="122">
        <v>111</v>
      </c>
      <c r="B118" s="80">
        <v>0</v>
      </c>
      <c r="C118" s="80">
        <v>16</v>
      </c>
      <c r="D118" s="80">
        <v>14.5</v>
      </c>
    </row>
    <row r="119" spans="1:4" x14ac:dyDescent="0.25">
      <c r="A119" s="122">
        <v>112</v>
      </c>
      <c r="B119" s="80">
        <v>8</v>
      </c>
      <c r="C119" s="80">
        <v>16</v>
      </c>
      <c r="D119" s="80">
        <v>14.5</v>
      </c>
    </row>
    <row r="120" spans="1:4" x14ac:dyDescent="0.25">
      <c r="A120" s="122">
        <v>113</v>
      </c>
      <c r="B120" s="80">
        <v>16</v>
      </c>
      <c r="C120" s="80">
        <v>16</v>
      </c>
      <c r="D120" s="80">
        <v>14.5</v>
      </c>
    </row>
    <row r="121" spans="1:4" x14ac:dyDescent="0.25">
      <c r="A121" s="122">
        <v>114</v>
      </c>
      <c r="B121" s="80">
        <v>24</v>
      </c>
      <c r="C121" s="80">
        <v>16</v>
      </c>
      <c r="D121" s="80">
        <v>14.5</v>
      </c>
    </row>
    <row r="122" spans="1:4" x14ac:dyDescent="0.25">
      <c r="A122" s="122">
        <v>115</v>
      </c>
      <c r="B122" s="80">
        <v>32</v>
      </c>
      <c r="C122" s="80">
        <v>16</v>
      </c>
      <c r="D122" s="80">
        <v>14.5</v>
      </c>
    </row>
    <row r="123" spans="1:4" x14ac:dyDescent="0.25">
      <c r="A123" s="122">
        <v>116</v>
      </c>
      <c r="B123" s="80">
        <v>0</v>
      </c>
      <c r="C123" s="80">
        <v>24</v>
      </c>
      <c r="D123" s="80">
        <v>14.5</v>
      </c>
    </row>
    <row r="124" spans="1:4" x14ac:dyDescent="0.25">
      <c r="A124" s="122">
        <v>117</v>
      </c>
      <c r="B124" s="80">
        <v>8</v>
      </c>
      <c r="C124" s="80">
        <v>24</v>
      </c>
      <c r="D124" s="80">
        <v>14.5</v>
      </c>
    </row>
    <row r="125" spans="1:4" x14ac:dyDescent="0.25">
      <c r="A125" s="122">
        <v>118</v>
      </c>
      <c r="B125" s="80">
        <v>16</v>
      </c>
      <c r="C125" s="80">
        <v>24</v>
      </c>
      <c r="D125" s="80">
        <v>14.5</v>
      </c>
    </row>
    <row r="126" spans="1:4" x14ac:dyDescent="0.25">
      <c r="A126" s="122">
        <v>119</v>
      </c>
      <c r="B126" s="80">
        <v>24</v>
      </c>
      <c r="C126" s="80">
        <v>24</v>
      </c>
      <c r="D126" s="80">
        <v>14.5</v>
      </c>
    </row>
    <row r="127" spans="1:4" x14ac:dyDescent="0.25">
      <c r="A127" s="122">
        <v>120</v>
      </c>
      <c r="B127" s="80">
        <v>32</v>
      </c>
      <c r="C127" s="80">
        <v>24</v>
      </c>
      <c r="D127" s="80">
        <v>14.5</v>
      </c>
    </row>
    <row r="128" spans="1:4" x14ac:dyDescent="0.25">
      <c r="A128" s="122">
        <v>121</v>
      </c>
      <c r="B128" s="80">
        <v>0</v>
      </c>
      <c r="C128" s="80">
        <v>32</v>
      </c>
      <c r="D128" s="80">
        <v>14.5</v>
      </c>
    </row>
    <row r="129" spans="1:4" x14ac:dyDescent="0.25">
      <c r="A129" s="122">
        <v>122</v>
      </c>
      <c r="B129" s="80">
        <v>8</v>
      </c>
      <c r="C129" s="80">
        <v>32</v>
      </c>
      <c r="D129" s="80">
        <v>14.5</v>
      </c>
    </row>
    <row r="130" spans="1:4" x14ac:dyDescent="0.25">
      <c r="A130" s="122">
        <v>123</v>
      </c>
      <c r="B130" s="80">
        <v>16</v>
      </c>
      <c r="C130" s="80">
        <v>32</v>
      </c>
      <c r="D130" s="80">
        <v>14.5</v>
      </c>
    </row>
    <row r="131" spans="1:4" x14ac:dyDescent="0.25">
      <c r="A131" s="122">
        <v>124</v>
      </c>
      <c r="B131" s="80">
        <v>24</v>
      </c>
      <c r="C131" s="80">
        <v>32</v>
      </c>
      <c r="D131" s="80">
        <v>14.5</v>
      </c>
    </row>
    <row r="132" spans="1:4" x14ac:dyDescent="0.25">
      <c r="A132" s="122">
        <v>125</v>
      </c>
      <c r="B132" s="80">
        <v>32</v>
      </c>
      <c r="C132" s="80">
        <v>32</v>
      </c>
      <c r="D132" s="80">
        <v>14.5</v>
      </c>
    </row>
  </sheetData>
  <phoneticPr fontId="13"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opLeftCell="A7" zoomScale="130" zoomScaleNormal="130" workbookViewId="0">
      <selection activeCell="H22" sqref="H22"/>
    </sheetView>
  </sheetViews>
  <sheetFormatPr defaultColWidth="10.85546875" defaultRowHeight="15.75" x14ac:dyDescent="0.25"/>
  <cols>
    <col min="1" max="1" width="15.7109375" style="96" customWidth="1"/>
    <col min="2" max="3" width="10.7109375" style="96" customWidth="1"/>
    <col min="4" max="4" width="20.7109375" style="42" customWidth="1"/>
    <col min="5" max="5" width="25.7109375" style="54" customWidth="1"/>
    <col min="6" max="6" width="20.7109375" style="54" customWidth="1"/>
    <col min="7" max="8" width="20.7109375" style="93" customWidth="1"/>
    <col min="9" max="9" width="10.7109375" style="54" customWidth="1"/>
    <col min="10" max="10" width="20.7109375" style="54" customWidth="1"/>
    <col min="11" max="16384" width="10.85546875" style="84"/>
  </cols>
  <sheetData>
    <row r="1" spans="1:10" x14ac:dyDescent="0.25">
      <c r="A1" s="64" t="s">
        <v>133</v>
      </c>
      <c r="B1" s="81"/>
      <c r="C1" s="81"/>
      <c r="D1" s="38"/>
      <c r="E1" s="82"/>
      <c r="F1" s="82"/>
      <c r="G1" s="82"/>
      <c r="H1" s="82"/>
      <c r="I1" s="81"/>
      <c r="J1" s="132"/>
    </row>
    <row r="2" spans="1:10" x14ac:dyDescent="0.25">
      <c r="A2" s="88" t="s">
        <v>228</v>
      </c>
      <c r="B2" s="85"/>
      <c r="C2" s="85"/>
      <c r="D2" s="38"/>
      <c r="E2" s="86"/>
      <c r="F2" s="86"/>
      <c r="G2" s="86"/>
      <c r="H2" s="86"/>
      <c r="I2" s="85"/>
      <c r="J2" s="133"/>
    </row>
    <row r="3" spans="1:10" x14ac:dyDescent="0.25">
      <c r="A3" s="131" t="s">
        <v>278</v>
      </c>
      <c r="B3" s="85"/>
      <c r="C3" s="85"/>
      <c r="D3" s="38"/>
      <c r="E3" s="86"/>
      <c r="F3" s="86"/>
      <c r="G3" s="86"/>
      <c r="H3" s="86"/>
      <c r="I3" s="85"/>
      <c r="J3" s="133"/>
    </row>
    <row r="4" spans="1:10" x14ac:dyDescent="0.25">
      <c r="A4" s="131" t="s">
        <v>279</v>
      </c>
      <c r="B4" s="85"/>
      <c r="C4" s="85"/>
      <c r="D4" s="38"/>
      <c r="E4" s="86"/>
      <c r="F4" s="86"/>
      <c r="G4" s="86"/>
      <c r="H4" s="86"/>
      <c r="I4" s="85"/>
      <c r="J4" s="133"/>
    </row>
    <row r="5" spans="1:10" x14ac:dyDescent="0.25">
      <c r="A5" s="131" t="s">
        <v>209</v>
      </c>
      <c r="B5" s="85"/>
      <c r="C5" s="85"/>
      <c r="D5" s="38"/>
      <c r="E5" s="86"/>
      <c r="F5" s="86"/>
      <c r="G5" s="86"/>
      <c r="H5" s="86"/>
      <c r="I5" s="85"/>
      <c r="J5" s="133"/>
    </row>
    <row r="6" spans="1:10" x14ac:dyDescent="0.25">
      <c r="A6" s="88" t="s">
        <v>160</v>
      </c>
      <c r="B6" s="85"/>
      <c r="C6" s="85"/>
      <c r="D6" s="38"/>
      <c r="E6" s="86"/>
      <c r="F6" s="86"/>
      <c r="G6" s="86"/>
      <c r="H6" s="86"/>
      <c r="I6" s="85"/>
      <c r="J6" s="133"/>
    </row>
    <row r="7" spans="1:10" x14ac:dyDescent="0.25">
      <c r="A7" s="131" t="s">
        <v>277</v>
      </c>
      <c r="B7" s="85"/>
      <c r="C7" s="85"/>
      <c r="D7" s="38"/>
      <c r="E7" s="86"/>
      <c r="F7" s="86"/>
      <c r="G7" s="86"/>
      <c r="H7" s="86"/>
      <c r="I7" s="85"/>
      <c r="J7" s="133"/>
    </row>
    <row r="8" spans="1:10" x14ac:dyDescent="0.25">
      <c r="A8" s="88" t="str">
        <f>"- I-End Offset Length: Offset length at the start (I) of the line object (Input as Float) ("&amp;'User Defined Units'!$B$11&amp;")"</f>
        <v>- I-End Offset Length: Offset length at the start (I) of the line object (Input as Float) (m)</v>
      </c>
      <c r="B8" s="85"/>
      <c r="C8" s="85"/>
      <c r="D8" s="38"/>
      <c r="E8" s="86"/>
      <c r="F8" s="86"/>
      <c r="G8" s="86"/>
      <c r="H8" s="86"/>
      <c r="I8" s="85"/>
      <c r="J8" s="133"/>
    </row>
    <row r="9" spans="1:10" x14ac:dyDescent="0.25">
      <c r="A9" s="88" t="str">
        <f>"-J-End Offset Length: Offset length at the end (J) of the line object (Input as Float) ("&amp;'User Defined Units'!$B$11&amp;")"</f>
        <v>-J-End Offset Length: Offset length at the end (J) of the line object (Input as Float) (m)</v>
      </c>
      <c r="B9" s="85"/>
      <c r="C9" s="85"/>
      <c r="D9" s="38"/>
      <c r="E9" s="86"/>
      <c r="F9" s="86"/>
      <c r="G9" s="86"/>
      <c r="H9" s="86"/>
      <c r="I9" s="85"/>
      <c r="J9" s="133"/>
    </row>
    <row r="10" spans="1:10" x14ac:dyDescent="0.25">
      <c r="A10" s="131" t="s">
        <v>236</v>
      </c>
      <c r="B10" s="85"/>
      <c r="C10" s="85"/>
      <c r="D10" s="38"/>
      <c r="E10" s="86"/>
      <c r="F10" s="86"/>
      <c r="G10" s="86"/>
      <c r="H10" s="86"/>
      <c r="I10" s="85"/>
      <c r="J10" s="133"/>
    </row>
    <row r="11" spans="1:10" x14ac:dyDescent="0.25">
      <c r="A11" s="131" t="s">
        <v>235</v>
      </c>
      <c r="B11" s="85"/>
      <c r="C11" s="85"/>
      <c r="D11" s="38"/>
      <c r="E11" s="86"/>
      <c r="F11" s="86"/>
      <c r="G11" s="86"/>
      <c r="H11" s="86"/>
      <c r="I11" s="85"/>
      <c r="J11" s="133"/>
    </row>
    <row r="12" spans="1:10" x14ac:dyDescent="0.25">
      <c r="A12" s="89" t="s">
        <v>155</v>
      </c>
      <c r="B12" s="85"/>
      <c r="C12" s="85"/>
      <c r="D12" s="38"/>
      <c r="E12" s="86"/>
      <c r="F12" s="86"/>
      <c r="G12" s="86"/>
      <c r="H12" s="86"/>
      <c r="I12" s="85"/>
      <c r="J12" s="133"/>
    </row>
    <row r="13" spans="1:10" x14ac:dyDescent="0.25">
      <c r="A13" s="90" t="s">
        <v>168</v>
      </c>
      <c r="B13" s="91"/>
      <c r="C13" s="92"/>
      <c r="D13" s="40"/>
      <c r="E13" s="92"/>
      <c r="F13" s="92"/>
      <c r="G13" s="92"/>
      <c r="H13" s="92"/>
      <c r="I13" s="137"/>
      <c r="J13" s="134"/>
    </row>
    <row r="14" spans="1:10" x14ac:dyDescent="0.25">
      <c r="A14" s="94"/>
      <c r="B14" s="54"/>
      <c r="C14" s="54"/>
      <c r="D14" s="1"/>
      <c r="E14" s="84"/>
      <c r="F14" s="84"/>
      <c r="G14" s="84"/>
      <c r="H14" s="84"/>
    </row>
    <row r="15" spans="1:10" s="10" customFormat="1" x14ac:dyDescent="0.25">
      <c r="A15" s="78" t="s">
        <v>226</v>
      </c>
      <c r="B15" s="14" t="s">
        <v>138</v>
      </c>
      <c r="C15" s="14" t="s">
        <v>139</v>
      </c>
      <c r="D15" s="28" t="s">
        <v>53</v>
      </c>
      <c r="E15" s="78" t="s">
        <v>158</v>
      </c>
      <c r="F15" s="78" t="s">
        <v>276</v>
      </c>
      <c r="G15" s="95" t="s">
        <v>156</v>
      </c>
      <c r="H15" s="95" t="s">
        <v>157</v>
      </c>
      <c r="I15" s="78" t="s">
        <v>231</v>
      </c>
      <c r="J15" s="78" t="s">
        <v>234</v>
      </c>
    </row>
    <row r="16" spans="1:10" x14ac:dyDescent="0.25">
      <c r="A16" s="96">
        <v>1</v>
      </c>
      <c r="B16" s="96">
        <v>1</v>
      </c>
      <c r="C16" s="96">
        <v>26</v>
      </c>
      <c r="D16" s="42" t="s">
        <v>54</v>
      </c>
      <c r="E16" s="147" t="s">
        <v>159</v>
      </c>
      <c r="F16" s="147">
        <v>1</v>
      </c>
      <c r="G16" s="93">
        <v>0</v>
      </c>
      <c r="H16" s="93">
        <v>0</v>
      </c>
      <c r="I16" s="54" t="s">
        <v>32</v>
      </c>
      <c r="J16" s="54" t="s">
        <v>223</v>
      </c>
    </row>
    <row r="17" spans="1:10" x14ac:dyDescent="0.25">
      <c r="A17" s="96">
        <v>2</v>
      </c>
      <c r="B17" s="96">
        <v>2</v>
      </c>
      <c r="C17" s="96">
        <v>27</v>
      </c>
      <c r="D17" s="42" t="s">
        <v>54</v>
      </c>
      <c r="E17" s="54" t="s">
        <v>159</v>
      </c>
      <c r="F17" s="147">
        <v>1</v>
      </c>
      <c r="G17" s="93">
        <v>0</v>
      </c>
      <c r="H17" s="93">
        <v>0</v>
      </c>
      <c r="I17" s="54" t="s">
        <v>32</v>
      </c>
      <c r="J17" s="54" t="s">
        <v>223</v>
      </c>
    </row>
    <row r="18" spans="1:10" x14ac:dyDescent="0.25">
      <c r="A18" s="96">
        <v>3</v>
      </c>
      <c r="B18" s="96">
        <v>3</v>
      </c>
      <c r="C18" s="96">
        <v>28</v>
      </c>
      <c r="D18" s="42" t="s">
        <v>54</v>
      </c>
      <c r="E18" s="54" t="s">
        <v>159</v>
      </c>
      <c r="F18" s="147">
        <v>1</v>
      </c>
      <c r="G18" s="93">
        <v>0</v>
      </c>
      <c r="H18" s="93">
        <v>0</v>
      </c>
      <c r="I18" s="54" t="s">
        <v>32</v>
      </c>
      <c r="J18" s="54" t="s">
        <v>223</v>
      </c>
    </row>
    <row r="19" spans="1:10" x14ac:dyDescent="0.25">
      <c r="A19" s="96">
        <v>4</v>
      </c>
      <c r="B19" s="96">
        <v>4</v>
      </c>
      <c r="C19" s="96">
        <v>29</v>
      </c>
      <c r="D19" s="42" t="s">
        <v>54</v>
      </c>
      <c r="E19" s="54" t="s">
        <v>159</v>
      </c>
      <c r="F19" s="147">
        <v>1</v>
      </c>
      <c r="G19" s="93">
        <v>0</v>
      </c>
      <c r="H19" s="93">
        <v>0</v>
      </c>
      <c r="I19" s="54" t="s">
        <v>32</v>
      </c>
      <c r="J19" s="54" t="s">
        <v>223</v>
      </c>
    </row>
    <row r="20" spans="1:10" x14ac:dyDescent="0.25">
      <c r="A20" s="96">
        <v>5</v>
      </c>
      <c r="B20" s="96">
        <v>5</v>
      </c>
      <c r="C20" s="96">
        <v>30</v>
      </c>
      <c r="D20" s="42" t="s">
        <v>54</v>
      </c>
      <c r="E20" s="54" t="s">
        <v>159</v>
      </c>
      <c r="F20" s="147">
        <v>1</v>
      </c>
      <c r="G20" s="93">
        <v>0</v>
      </c>
      <c r="H20" s="93">
        <v>0</v>
      </c>
      <c r="I20" s="54" t="s">
        <v>32</v>
      </c>
      <c r="J20" s="54" t="s">
        <v>223</v>
      </c>
    </row>
    <row r="21" spans="1:10" x14ac:dyDescent="0.25">
      <c r="A21" s="96">
        <v>6</v>
      </c>
      <c r="B21" s="96">
        <v>6</v>
      </c>
      <c r="C21" s="96">
        <v>31</v>
      </c>
      <c r="D21" s="42" t="s">
        <v>54</v>
      </c>
      <c r="E21" s="54" t="s">
        <v>159</v>
      </c>
      <c r="F21" s="147">
        <v>1</v>
      </c>
      <c r="G21" s="93">
        <v>0</v>
      </c>
      <c r="H21" s="93">
        <v>0</v>
      </c>
      <c r="I21" s="54" t="s">
        <v>32</v>
      </c>
      <c r="J21" s="54" t="s">
        <v>223</v>
      </c>
    </row>
    <row r="22" spans="1:10" x14ac:dyDescent="0.25">
      <c r="A22" s="96">
        <v>7</v>
      </c>
      <c r="B22" s="96">
        <v>7</v>
      </c>
      <c r="C22" s="96">
        <v>32</v>
      </c>
      <c r="D22" s="42" t="s">
        <v>54</v>
      </c>
      <c r="E22" s="54" t="s">
        <v>159</v>
      </c>
      <c r="F22" s="147">
        <v>1</v>
      </c>
      <c r="G22" s="93">
        <v>0</v>
      </c>
      <c r="H22" s="93">
        <v>0</v>
      </c>
      <c r="I22" s="54" t="s">
        <v>32</v>
      </c>
      <c r="J22" s="54" t="s">
        <v>223</v>
      </c>
    </row>
    <row r="23" spans="1:10" x14ac:dyDescent="0.25">
      <c r="A23" s="96">
        <v>8</v>
      </c>
      <c r="B23" s="96">
        <v>8</v>
      </c>
      <c r="C23" s="96">
        <v>33</v>
      </c>
      <c r="D23" s="42" t="s">
        <v>54</v>
      </c>
      <c r="E23" s="54" t="s">
        <v>159</v>
      </c>
      <c r="F23" s="147">
        <v>1</v>
      </c>
      <c r="G23" s="93">
        <v>0</v>
      </c>
      <c r="H23" s="93">
        <v>0</v>
      </c>
      <c r="I23" s="54" t="s">
        <v>32</v>
      </c>
      <c r="J23" s="54" t="s">
        <v>223</v>
      </c>
    </row>
    <row r="24" spans="1:10" x14ac:dyDescent="0.25">
      <c r="A24" s="96">
        <v>9</v>
      </c>
      <c r="B24" s="96">
        <v>9</v>
      </c>
      <c r="C24" s="96">
        <v>34</v>
      </c>
      <c r="D24" s="42" t="s">
        <v>54</v>
      </c>
      <c r="E24" s="54" t="s">
        <v>159</v>
      </c>
      <c r="F24" s="147">
        <v>1</v>
      </c>
      <c r="G24" s="93">
        <v>0</v>
      </c>
      <c r="H24" s="93">
        <v>0</v>
      </c>
      <c r="I24" s="54" t="s">
        <v>32</v>
      </c>
      <c r="J24" s="54" t="s">
        <v>223</v>
      </c>
    </row>
    <row r="25" spans="1:10" x14ac:dyDescent="0.25">
      <c r="A25" s="96">
        <v>10</v>
      </c>
      <c r="B25" s="96">
        <v>10</v>
      </c>
      <c r="C25" s="96">
        <v>35</v>
      </c>
      <c r="D25" s="42" t="s">
        <v>54</v>
      </c>
      <c r="E25" s="54" t="s">
        <v>159</v>
      </c>
      <c r="F25" s="147">
        <v>1</v>
      </c>
      <c r="G25" s="93">
        <v>0</v>
      </c>
      <c r="H25" s="93">
        <v>0</v>
      </c>
      <c r="I25" s="54" t="s">
        <v>32</v>
      </c>
      <c r="J25" s="54" t="s">
        <v>223</v>
      </c>
    </row>
    <row r="26" spans="1:10" x14ac:dyDescent="0.25">
      <c r="A26" s="96">
        <v>11</v>
      </c>
      <c r="B26" s="96">
        <v>11</v>
      </c>
      <c r="C26" s="96">
        <v>36</v>
      </c>
      <c r="D26" s="42" t="s">
        <v>54</v>
      </c>
      <c r="E26" s="54" t="s">
        <v>159</v>
      </c>
      <c r="F26" s="147">
        <v>1</v>
      </c>
      <c r="G26" s="93">
        <v>0</v>
      </c>
      <c r="H26" s="93">
        <v>0</v>
      </c>
      <c r="I26" s="54" t="s">
        <v>32</v>
      </c>
      <c r="J26" s="54" t="s">
        <v>223</v>
      </c>
    </row>
    <row r="27" spans="1:10" x14ac:dyDescent="0.25">
      <c r="A27" s="96">
        <v>12</v>
      </c>
      <c r="B27" s="96">
        <v>12</v>
      </c>
      <c r="C27" s="96">
        <v>37</v>
      </c>
      <c r="D27" s="42" t="s">
        <v>54</v>
      </c>
      <c r="E27" s="54" t="s">
        <v>159</v>
      </c>
      <c r="F27" s="147">
        <v>1</v>
      </c>
      <c r="G27" s="93">
        <v>0</v>
      </c>
      <c r="H27" s="93">
        <v>0</v>
      </c>
      <c r="I27" s="54" t="s">
        <v>32</v>
      </c>
      <c r="J27" s="54" t="s">
        <v>223</v>
      </c>
    </row>
    <row r="28" spans="1:10" x14ac:dyDescent="0.25">
      <c r="A28" s="96">
        <v>13</v>
      </c>
      <c r="B28" s="96">
        <v>13</v>
      </c>
      <c r="C28" s="96">
        <v>38</v>
      </c>
      <c r="D28" s="42" t="s">
        <v>54</v>
      </c>
      <c r="E28" s="54" t="s">
        <v>159</v>
      </c>
      <c r="F28" s="147">
        <v>1</v>
      </c>
      <c r="G28" s="93">
        <v>0</v>
      </c>
      <c r="H28" s="93">
        <v>0</v>
      </c>
      <c r="I28" s="54" t="s">
        <v>32</v>
      </c>
      <c r="J28" s="54" t="s">
        <v>223</v>
      </c>
    </row>
    <row r="29" spans="1:10" x14ac:dyDescent="0.25">
      <c r="A29" s="96">
        <v>14</v>
      </c>
      <c r="B29" s="96">
        <v>14</v>
      </c>
      <c r="C29" s="96">
        <v>39</v>
      </c>
      <c r="D29" s="42" t="s">
        <v>54</v>
      </c>
      <c r="E29" s="54" t="s">
        <v>159</v>
      </c>
      <c r="F29" s="147">
        <v>1</v>
      </c>
      <c r="G29" s="93">
        <v>0</v>
      </c>
      <c r="H29" s="93">
        <v>0</v>
      </c>
      <c r="I29" s="54" t="s">
        <v>32</v>
      </c>
      <c r="J29" s="54" t="s">
        <v>223</v>
      </c>
    </row>
    <row r="30" spans="1:10" x14ac:dyDescent="0.25">
      <c r="A30" s="96">
        <v>15</v>
      </c>
      <c r="B30" s="96">
        <v>15</v>
      </c>
      <c r="C30" s="96">
        <v>40</v>
      </c>
      <c r="D30" s="42" t="s">
        <v>54</v>
      </c>
      <c r="E30" s="54" t="s">
        <v>159</v>
      </c>
      <c r="F30" s="147">
        <v>1</v>
      </c>
      <c r="G30" s="93">
        <v>0</v>
      </c>
      <c r="H30" s="93">
        <v>0</v>
      </c>
      <c r="I30" s="54" t="s">
        <v>32</v>
      </c>
      <c r="J30" s="54" t="s">
        <v>223</v>
      </c>
    </row>
    <row r="31" spans="1:10" x14ac:dyDescent="0.25">
      <c r="A31" s="96">
        <v>16</v>
      </c>
      <c r="B31" s="96">
        <v>16</v>
      </c>
      <c r="C31" s="96">
        <v>41</v>
      </c>
      <c r="D31" s="42" t="s">
        <v>54</v>
      </c>
      <c r="E31" s="54" t="s">
        <v>159</v>
      </c>
      <c r="F31" s="147">
        <v>1</v>
      </c>
      <c r="G31" s="93">
        <v>0</v>
      </c>
      <c r="H31" s="93">
        <v>0</v>
      </c>
      <c r="I31" s="54" t="s">
        <v>32</v>
      </c>
      <c r="J31" s="54" t="s">
        <v>223</v>
      </c>
    </row>
    <row r="32" spans="1:10" x14ac:dyDescent="0.25">
      <c r="A32" s="96">
        <v>17</v>
      </c>
      <c r="B32" s="96">
        <v>17</v>
      </c>
      <c r="C32" s="96">
        <v>42</v>
      </c>
      <c r="D32" s="42" t="s">
        <v>54</v>
      </c>
      <c r="E32" s="54" t="s">
        <v>159</v>
      </c>
      <c r="F32" s="147">
        <v>1</v>
      </c>
      <c r="G32" s="93">
        <v>0</v>
      </c>
      <c r="H32" s="93">
        <v>0</v>
      </c>
      <c r="I32" s="54" t="s">
        <v>32</v>
      </c>
      <c r="J32" s="54" t="s">
        <v>223</v>
      </c>
    </row>
    <row r="33" spans="1:10" x14ac:dyDescent="0.25">
      <c r="A33" s="96">
        <v>18</v>
      </c>
      <c r="B33" s="96">
        <v>18</v>
      </c>
      <c r="C33" s="96">
        <v>43</v>
      </c>
      <c r="D33" s="42" t="s">
        <v>54</v>
      </c>
      <c r="E33" s="54" t="s">
        <v>159</v>
      </c>
      <c r="F33" s="147">
        <v>1</v>
      </c>
      <c r="G33" s="93">
        <v>0</v>
      </c>
      <c r="H33" s="93">
        <v>0</v>
      </c>
      <c r="I33" s="54" t="s">
        <v>32</v>
      </c>
      <c r="J33" s="54" t="s">
        <v>223</v>
      </c>
    </row>
    <row r="34" spans="1:10" x14ac:dyDescent="0.25">
      <c r="A34" s="96">
        <v>19</v>
      </c>
      <c r="B34" s="96">
        <v>19</v>
      </c>
      <c r="C34" s="96">
        <v>44</v>
      </c>
      <c r="D34" s="42" t="s">
        <v>54</v>
      </c>
      <c r="E34" s="54" t="s">
        <v>159</v>
      </c>
      <c r="F34" s="147">
        <v>1</v>
      </c>
      <c r="G34" s="93">
        <v>0</v>
      </c>
      <c r="H34" s="93">
        <v>0</v>
      </c>
      <c r="I34" s="54" t="s">
        <v>32</v>
      </c>
      <c r="J34" s="54" t="s">
        <v>223</v>
      </c>
    </row>
    <row r="35" spans="1:10" x14ac:dyDescent="0.25">
      <c r="A35" s="96">
        <v>20</v>
      </c>
      <c r="B35" s="96">
        <v>20</v>
      </c>
      <c r="C35" s="96">
        <v>45</v>
      </c>
      <c r="D35" s="42" t="s">
        <v>54</v>
      </c>
      <c r="E35" s="54" t="s">
        <v>159</v>
      </c>
      <c r="F35" s="147">
        <v>1</v>
      </c>
      <c r="G35" s="93">
        <v>0</v>
      </c>
      <c r="H35" s="93">
        <v>0</v>
      </c>
      <c r="I35" s="54" t="s">
        <v>32</v>
      </c>
      <c r="J35" s="54" t="s">
        <v>223</v>
      </c>
    </row>
    <row r="36" spans="1:10" x14ac:dyDescent="0.25">
      <c r="A36" s="96">
        <v>21</v>
      </c>
      <c r="B36" s="96">
        <v>21</v>
      </c>
      <c r="C36" s="96">
        <v>46</v>
      </c>
      <c r="D36" s="42" t="s">
        <v>54</v>
      </c>
      <c r="E36" s="54" t="s">
        <v>159</v>
      </c>
      <c r="F36" s="147">
        <v>1</v>
      </c>
      <c r="G36" s="93">
        <v>0</v>
      </c>
      <c r="H36" s="93">
        <v>0</v>
      </c>
      <c r="I36" s="54" t="s">
        <v>32</v>
      </c>
      <c r="J36" s="54" t="s">
        <v>223</v>
      </c>
    </row>
    <row r="37" spans="1:10" x14ac:dyDescent="0.25">
      <c r="A37" s="96">
        <v>22</v>
      </c>
      <c r="B37" s="96">
        <v>22</v>
      </c>
      <c r="C37" s="96">
        <v>47</v>
      </c>
      <c r="D37" s="42" t="s">
        <v>54</v>
      </c>
      <c r="E37" s="54" t="s">
        <v>159</v>
      </c>
      <c r="F37" s="147">
        <v>1</v>
      </c>
      <c r="G37" s="93">
        <v>0</v>
      </c>
      <c r="H37" s="93">
        <v>0</v>
      </c>
      <c r="I37" s="54" t="s">
        <v>32</v>
      </c>
      <c r="J37" s="54" t="s">
        <v>223</v>
      </c>
    </row>
    <row r="38" spans="1:10" x14ac:dyDescent="0.25">
      <c r="A38" s="96">
        <v>23</v>
      </c>
      <c r="B38" s="96">
        <v>23</v>
      </c>
      <c r="C38" s="96">
        <v>48</v>
      </c>
      <c r="D38" s="42" t="s">
        <v>54</v>
      </c>
      <c r="E38" s="54" t="s">
        <v>159</v>
      </c>
      <c r="F38" s="147">
        <v>1</v>
      </c>
      <c r="G38" s="93">
        <v>0</v>
      </c>
      <c r="H38" s="93">
        <v>0</v>
      </c>
      <c r="I38" s="54" t="s">
        <v>32</v>
      </c>
      <c r="J38" s="54" t="s">
        <v>223</v>
      </c>
    </row>
    <row r="39" spans="1:10" x14ac:dyDescent="0.25">
      <c r="A39" s="96">
        <v>24</v>
      </c>
      <c r="B39" s="96">
        <v>24</v>
      </c>
      <c r="C39" s="96">
        <v>49</v>
      </c>
      <c r="D39" s="42" t="s">
        <v>54</v>
      </c>
      <c r="E39" s="54" t="s">
        <v>159</v>
      </c>
      <c r="F39" s="147">
        <v>1</v>
      </c>
      <c r="G39" s="93">
        <v>0</v>
      </c>
      <c r="H39" s="93">
        <v>0</v>
      </c>
      <c r="I39" s="54" t="s">
        <v>32</v>
      </c>
      <c r="J39" s="54" t="s">
        <v>223</v>
      </c>
    </row>
    <row r="40" spans="1:10" x14ac:dyDescent="0.25">
      <c r="A40" s="96">
        <v>25</v>
      </c>
      <c r="B40" s="96">
        <v>25</v>
      </c>
      <c r="C40" s="96">
        <v>50</v>
      </c>
      <c r="D40" s="42" t="s">
        <v>54</v>
      </c>
      <c r="E40" s="54" t="s">
        <v>159</v>
      </c>
      <c r="F40" s="147">
        <v>1</v>
      </c>
      <c r="G40" s="93">
        <v>0</v>
      </c>
      <c r="H40" s="93">
        <v>0</v>
      </c>
      <c r="I40" s="54" t="s">
        <v>32</v>
      </c>
      <c r="J40" s="54" t="s">
        <v>223</v>
      </c>
    </row>
    <row r="41" spans="1:10" x14ac:dyDescent="0.25">
      <c r="A41" s="96">
        <v>26</v>
      </c>
      <c r="B41" s="96">
        <v>26</v>
      </c>
      <c r="C41" s="96">
        <v>51</v>
      </c>
      <c r="D41" s="42" t="s">
        <v>54</v>
      </c>
      <c r="E41" s="54" t="s">
        <v>159</v>
      </c>
      <c r="F41" s="147">
        <v>1</v>
      </c>
      <c r="G41" s="93">
        <v>0</v>
      </c>
      <c r="H41" s="93">
        <v>0</v>
      </c>
      <c r="I41" s="54" t="s">
        <v>32</v>
      </c>
      <c r="J41" s="54" t="s">
        <v>223</v>
      </c>
    </row>
    <row r="42" spans="1:10" x14ac:dyDescent="0.25">
      <c r="A42" s="96">
        <v>27</v>
      </c>
      <c r="B42" s="96">
        <v>27</v>
      </c>
      <c r="C42" s="96">
        <v>52</v>
      </c>
      <c r="D42" s="42" t="s">
        <v>54</v>
      </c>
      <c r="E42" s="54" t="s">
        <v>159</v>
      </c>
      <c r="F42" s="147">
        <v>1</v>
      </c>
      <c r="G42" s="93">
        <v>0</v>
      </c>
      <c r="H42" s="93">
        <v>0</v>
      </c>
      <c r="I42" s="54" t="s">
        <v>32</v>
      </c>
      <c r="J42" s="54" t="s">
        <v>223</v>
      </c>
    </row>
    <row r="43" spans="1:10" x14ac:dyDescent="0.25">
      <c r="A43" s="96">
        <v>28</v>
      </c>
      <c r="B43" s="96">
        <v>28</v>
      </c>
      <c r="C43" s="96">
        <v>53</v>
      </c>
      <c r="D43" s="42" t="s">
        <v>54</v>
      </c>
      <c r="E43" s="54" t="s">
        <v>159</v>
      </c>
      <c r="F43" s="147">
        <v>1</v>
      </c>
      <c r="G43" s="93">
        <v>0</v>
      </c>
      <c r="H43" s="93">
        <v>0</v>
      </c>
      <c r="I43" s="54" t="s">
        <v>32</v>
      </c>
      <c r="J43" s="54" t="s">
        <v>223</v>
      </c>
    </row>
    <row r="44" spans="1:10" x14ac:dyDescent="0.25">
      <c r="A44" s="96">
        <v>29</v>
      </c>
      <c r="B44" s="96">
        <v>29</v>
      </c>
      <c r="C44" s="96">
        <v>54</v>
      </c>
      <c r="D44" s="42" t="s">
        <v>54</v>
      </c>
      <c r="E44" s="54" t="s">
        <v>159</v>
      </c>
      <c r="F44" s="147">
        <v>1</v>
      </c>
      <c r="G44" s="93">
        <v>0</v>
      </c>
      <c r="H44" s="93">
        <v>0</v>
      </c>
      <c r="I44" s="54" t="s">
        <v>32</v>
      </c>
      <c r="J44" s="54" t="s">
        <v>223</v>
      </c>
    </row>
    <row r="45" spans="1:10" x14ac:dyDescent="0.25">
      <c r="A45" s="96">
        <v>30</v>
      </c>
      <c r="B45" s="96">
        <v>30</v>
      </c>
      <c r="C45" s="96">
        <v>55</v>
      </c>
      <c r="D45" s="42" t="s">
        <v>54</v>
      </c>
      <c r="E45" s="54" t="s">
        <v>159</v>
      </c>
      <c r="F45" s="147">
        <v>1</v>
      </c>
      <c r="G45" s="93">
        <v>0</v>
      </c>
      <c r="H45" s="93">
        <v>0</v>
      </c>
      <c r="I45" s="54" t="s">
        <v>32</v>
      </c>
      <c r="J45" s="54" t="s">
        <v>223</v>
      </c>
    </row>
    <row r="46" spans="1:10" x14ac:dyDescent="0.25">
      <c r="A46" s="96">
        <v>31</v>
      </c>
      <c r="B46" s="96">
        <v>31</v>
      </c>
      <c r="C46" s="96">
        <v>56</v>
      </c>
      <c r="D46" s="42" t="s">
        <v>54</v>
      </c>
      <c r="E46" s="54" t="s">
        <v>159</v>
      </c>
      <c r="F46" s="147">
        <v>1</v>
      </c>
      <c r="G46" s="93">
        <v>0</v>
      </c>
      <c r="H46" s="93">
        <v>0</v>
      </c>
      <c r="I46" s="54" t="s">
        <v>32</v>
      </c>
      <c r="J46" s="54" t="s">
        <v>223</v>
      </c>
    </row>
    <row r="47" spans="1:10" x14ac:dyDescent="0.25">
      <c r="A47" s="96">
        <v>32</v>
      </c>
      <c r="B47" s="96">
        <v>32</v>
      </c>
      <c r="C47" s="96">
        <v>57</v>
      </c>
      <c r="D47" s="42" t="s">
        <v>54</v>
      </c>
      <c r="E47" s="54" t="s">
        <v>159</v>
      </c>
      <c r="F47" s="147">
        <v>1</v>
      </c>
      <c r="G47" s="93">
        <v>0</v>
      </c>
      <c r="H47" s="93">
        <v>0</v>
      </c>
      <c r="I47" s="54" t="s">
        <v>32</v>
      </c>
      <c r="J47" s="54" t="s">
        <v>223</v>
      </c>
    </row>
    <row r="48" spans="1:10" x14ac:dyDescent="0.25">
      <c r="A48" s="96">
        <v>33</v>
      </c>
      <c r="B48" s="96">
        <v>33</v>
      </c>
      <c r="C48" s="96">
        <v>58</v>
      </c>
      <c r="D48" s="42" t="s">
        <v>54</v>
      </c>
      <c r="E48" s="54" t="s">
        <v>159</v>
      </c>
      <c r="F48" s="147">
        <v>1</v>
      </c>
      <c r="G48" s="93">
        <v>0</v>
      </c>
      <c r="H48" s="93">
        <v>0</v>
      </c>
      <c r="I48" s="54" t="s">
        <v>32</v>
      </c>
      <c r="J48" s="54" t="s">
        <v>223</v>
      </c>
    </row>
    <row r="49" spans="1:10" x14ac:dyDescent="0.25">
      <c r="A49" s="96">
        <v>34</v>
      </c>
      <c r="B49" s="96">
        <v>34</v>
      </c>
      <c r="C49" s="96">
        <v>59</v>
      </c>
      <c r="D49" s="42" t="s">
        <v>54</v>
      </c>
      <c r="E49" s="54" t="s">
        <v>159</v>
      </c>
      <c r="F49" s="147">
        <v>1</v>
      </c>
      <c r="G49" s="93">
        <v>0</v>
      </c>
      <c r="H49" s="93">
        <v>0</v>
      </c>
      <c r="I49" s="54" t="s">
        <v>32</v>
      </c>
      <c r="J49" s="54" t="s">
        <v>223</v>
      </c>
    </row>
    <row r="50" spans="1:10" x14ac:dyDescent="0.25">
      <c r="A50" s="96">
        <v>35</v>
      </c>
      <c r="B50" s="96">
        <v>35</v>
      </c>
      <c r="C50" s="96">
        <v>60</v>
      </c>
      <c r="D50" s="42" t="s">
        <v>54</v>
      </c>
      <c r="E50" s="54" t="s">
        <v>159</v>
      </c>
      <c r="F50" s="147">
        <v>1</v>
      </c>
      <c r="G50" s="93">
        <v>0</v>
      </c>
      <c r="H50" s="93">
        <v>0</v>
      </c>
      <c r="I50" s="54" t="s">
        <v>32</v>
      </c>
      <c r="J50" s="54" t="s">
        <v>223</v>
      </c>
    </row>
    <row r="51" spans="1:10" x14ac:dyDescent="0.25">
      <c r="A51" s="96">
        <v>36</v>
      </c>
      <c r="B51" s="96">
        <v>36</v>
      </c>
      <c r="C51" s="96">
        <v>61</v>
      </c>
      <c r="D51" s="42" t="s">
        <v>54</v>
      </c>
      <c r="E51" s="54" t="s">
        <v>159</v>
      </c>
      <c r="F51" s="147">
        <v>1</v>
      </c>
      <c r="G51" s="93">
        <v>0</v>
      </c>
      <c r="H51" s="93">
        <v>0</v>
      </c>
      <c r="I51" s="54" t="s">
        <v>32</v>
      </c>
      <c r="J51" s="54" t="s">
        <v>223</v>
      </c>
    </row>
    <row r="52" spans="1:10" x14ac:dyDescent="0.25">
      <c r="A52" s="96">
        <v>37</v>
      </c>
      <c r="B52" s="96">
        <v>37</v>
      </c>
      <c r="C52" s="96">
        <v>62</v>
      </c>
      <c r="D52" s="42" t="s">
        <v>54</v>
      </c>
      <c r="E52" s="54" t="s">
        <v>159</v>
      </c>
      <c r="F52" s="147">
        <v>1</v>
      </c>
      <c r="G52" s="93">
        <v>0</v>
      </c>
      <c r="H52" s="93">
        <v>0</v>
      </c>
      <c r="I52" s="54" t="s">
        <v>32</v>
      </c>
      <c r="J52" s="54" t="s">
        <v>223</v>
      </c>
    </row>
    <row r="53" spans="1:10" x14ac:dyDescent="0.25">
      <c r="A53" s="96">
        <v>38</v>
      </c>
      <c r="B53" s="96">
        <v>38</v>
      </c>
      <c r="C53" s="96">
        <v>63</v>
      </c>
      <c r="D53" s="42" t="s">
        <v>54</v>
      </c>
      <c r="E53" s="54" t="s">
        <v>159</v>
      </c>
      <c r="F53" s="147">
        <v>1</v>
      </c>
      <c r="G53" s="93">
        <v>0</v>
      </c>
      <c r="H53" s="93">
        <v>0</v>
      </c>
      <c r="I53" s="54" t="s">
        <v>32</v>
      </c>
      <c r="J53" s="54" t="s">
        <v>223</v>
      </c>
    </row>
    <row r="54" spans="1:10" x14ac:dyDescent="0.25">
      <c r="A54" s="96">
        <v>39</v>
      </c>
      <c r="B54" s="96">
        <v>39</v>
      </c>
      <c r="C54" s="96">
        <v>64</v>
      </c>
      <c r="D54" s="42" t="s">
        <v>54</v>
      </c>
      <c r="E54" s="54" t="s">
        <v>159</v>
      </c>
      <c r="F54" s="147">
        <v>1</v>
      </c>
      <c r="G54" s="93">
        <v>0</v>
      </c>
      <c r="H54" s="93">
        <v>0</v>
      </c>
      <c r="I54" s="54" t="s">
        <v>32</v>
      </c>
      <c r="J54" s="54" t="s">
        <v>223</v>
      </c>
    </row>
    <row r="55" spans="1:10" x14ac:dyDescent="0.25">
      <c r="A55" s="96">
        <v>40</v>
      </c>
      <c r="B55" s="96">
        <v>40</v>
      </c>
      <c r="C55" s="96">
        <v>65</v>
      </c>
      <c r="D55" s="42" t="s">
        <v>54</v>
      </c>
      <c r="E55" s="54" t="s">
        <v>159</v>
      </c>
      <c r="F55" s="147">
        <v>1</v>
      </c>
      <c r="G55" s="93">
        <v>0</v>
      </c>
      <c r="H55" s="93">
        <v>0</v>
      </c>
      <c r="I55" s="54" t="s">
        <v>32</v>
      </c>
      <c r="J55" s="54" t="s">
        <v>223</v>
      </c>
    </row>
    <row r="56" spans="1:10" x14ac:dyDescent="0.25">
      <c r="A56" s="96">
        <v>41</v>
      </c>
      <c r="B56" s="96">
        <v>41</v>
      </c>
      <c r="C56" s="96">
        <v>66</v>
      </c>
      <c r="D56" s="42" t="s">
        <v>54</v>
      </c>
      <c r="E56" s="54" t="s">
        <v>159</v>
      </c>
      <c r="F56" s="147">
        <v>1</v>
      </c>
      <c r="G56" s="93">
        <v>0</v>
      </c>
      <c r="H56" s="93">
        <v>0</v>
      </c>
      <c r="I56" s="54" t="s">
        <v>32</v>
      </c>
      <c r="J56" s="54" t="s">
        <v>223</v>
      </c>
    </row>
    <row r="57" spans="1:10" x14ac:dyDescent="0.25">
      <c r="A57" s="96">
        <v>42</v>
      </c>
      <c r="B57" s="96">
        <v>42</v>
      </c>
      <c r="C57" s="96">
        <v>67</v>
      </c>
      <c r="D57" s="42" t="s">
        <v>54</v>
      </c>
      <c r="E57" s="54" t="s">
        <v>159</v>
      </c>
      <c r="F57" s="147">
        <v>1</v>
      </c>
      <c r="G57" s="93">
        <v>0</v>
      </c>
      <c r="H57" s="93">
        <v>0</v>
      </c>
      <c r="I57" s="54" t="s">
        <v>32</v>
      </c>
      <c r="J57" s="54" t="s">
        <v>223</v>
      </c>
    </row>
    <row r="58" spans="1:10" x14ac:dyDescent="0.25">
      <c r="A58" s="96">
        <v>43</v>
      </c>
      <c r="B58" s="96">
        <v>43</v>
      </c>
      <c r="C58" s="96">
        <v>68</v>
      </c>
      <c r="D58" s="42" t="s">
        <v>54</v>
      </c>
      <c r="E58" s="54" t="s">
        <v>159</v>
      </c>
      <c r="F58" s="147">
        <v>1</v>
      </c>
      <c r="G58" s="93">
        <v>0</v>
      </c>
      <c r="H58" s="93">
        <v>0</v>
      </c>
      <c r="I58" s="54" t="s">
        <v>32</v>
      </c>
      <c r="J58" s="54" t="s">
        <v>223</v>
      </c>
    </row>
    <row r="59" spans="1:10" x14ac:dyDescent="0.25">
      <c r="A59" s="96">
        <v>44</v>
      </c>
      <c r="B59" s="96">
        <v>44</v>
      </c>
      <c r="C59" s="96">
        <v>69</v>
      </c>
      <c r="D59" s="42" t="s">
        <v>54</v>
      </c>
      <c r="E59" s="54" t="s">
        <v>159</v>
      </c>
      <c r="F59" s="147">
        <v>1</v>
      </c>
      <c r="G59" s="93">
        <v>0</v>
      </c>
      <c r="H59" s="93">
        <v>0</v>
      </c>
      <c r="I59" s="54" t="s">
        <v>32</v>
      </c>
      <c r="J59" s="54" t="s">
        <v>223</v>
      </c>
    </row>
    <row r="60" spans="1:10" x14ac:dyDescent="0.25">
      <c r="A60" s="96">
        <v>45</v>
      </c>
      <c r="B60" s="96">
        <v>45</v>
      </c>
      <c r="C60" s="96">
        <v>70</v>
      </c>
      <c r="D60" s="42" t="s">
        <v>54</v>
      </c>
      <c r="E60" s="54" t="s">
        <v>159</v>
      </c>
      <c r="F60" s="147">
        <v>1</v>
      </c>
      <c r="G60" s="93">
        <v>0</v>
      </c>
      <c r="H60" s="93">
        <v>0</v>
      </c>
      <c r="I60" s="54" t="s">
        <v>32</v>
      </c>
      <c r="J60" s="54" t="s">
        <v>223</v>
      </c>
    </row>
    <row r="61" spans="1:10" x14ac:dyDescent="0.25">
      <c r="A61" s="96">
        <v>46</v>
      </c>
      <c r="B61" s="96">
        <v>46</v>
      </c>
      <c r="C61" s="96">
        <v>71</v>
      </c>
      <c r="D61" s="42" t="s">
        <v>54</v>
      </c>
      <c r="E61" s="54" t="s">
        <v>159</v>
      </c>
      <c r="F61" s="147">
        <v>1</v>
      </c>
      <c r="G61" s="93">
        <v>0</v>
      </c>
      <c r="H61" s="93">
        <v>0</v>
      </c>
      <c r="I61" s="54" t="s">
        <v>32</v>
      </c>
      <c r="J61" s="54" t="s">
        <v>223</v>
      </c>
    </row>
    <row r="62" spans="1:10" x14ac:dyDescent="0.25">
      <c r="A62" s="96">
        <v>47</v>
      </c>
      <c r="B62" s="96">
        <v>47</v>
      </c>
      <c r="C62" s="96">
        <v>72</v>
      </c>
      <c r="D62" s="42" t="s">
        <v>54</v>
      </c>
      <c r="E62" s="54" t="s">
        <v>159</v>
      </c>
      <c r="F62" s="147">
        <v>1</v>
      </c>
      <c r="G62" s="93">
        <v>0</v>
      </c>
      <c r="H62" s="93">
        <v>0</v>
      </c>
      <c r="I62" s="54" t="s">
        <v>32</v>
      </c>
      <c r="J62" s="54" t="s">
        <v>223</v>
      </c>
    </row>
    <row r="63" spans="1:10" x14ac:dyDescent="0.25">
      <c r="A63" s="96">
        <v>48</v>
      </c>
      <c r="B63" s="96">
        <v>48</v>
      </c>
      <c r="C63" s="96">
        <v>73</v>
      </c>
      <c r="D63" s="42" t="s">
        <v>54</v>
      </c>
      <c r="E63" s="54" t="s">
        <v>159</v>
      </c>
      <c r="F63" s="147">
        <v>1</v>
      </c>
      <c r="G63" s="93">
        <v>0</v>
      </c>
      <c r="H63" s="93">
        <v>0</v>
      </c>
      <c r="I63" s="54" t="s">
        <v>32</v>
      </c>
      <c r="J63" s="54" t="s">
        <v>223</v>
      </c>
    </row>
    <row r="64" spans="1:10" x14ac:dyDescent="0.25">
      <c r="A64" s="96">
        <v>49</v>
      </c>
      <c r="B64" s="96">
        <v>49</v>
      </c>
      <c r="C64" s="96">
        <v>74</v>
      </c>
      <c r="D64" s="42" t="s">
        <v>54</v>
      </c>
      <c r="E64" s="54" t="s">
        <v>159</v>
      </c>
      <c r="F64" s="147">
        <v>1</v>
      </c>
      <c r="G64" s="93">
        <v>0</v>
      </c>
      <c r="H64" s="93">
        <v>0</v>
      </c>
      <c r="I64" s="54" t="s">
        <v>32</v>
      </c>
      <c r="J64" s="54" t="s">
        <v>223</v>
      </c>
    </row>
    <row r="65" spans="1:10" x14ac:dyDescent="0.25">
      <c r="A65" s="96">
        <v>50</v>
      </c>
      <c r="B65" s="96">
        <v>50</v>
      </c>
      <c r="C65" s="96">
        <v>75</v>
      </c>
      <c r="D65" s="42" t="s">
        <v>54</v>
      </c>
      <c r="E65" s="54" t="s">
        <v>159</v>
      </c>
      <c r="F65" s="147">
        <v>1</v>
      </c>
      <c r="G65" s="93">
        <v>0</v>
      </c>
      <c r="H65" s="93">
        <v>0</v>
      </c>
      <c r="I65" s="54" t="s">
        <v>32</v>
      </c>
      <c r="J65" s="54" t="s">
        <v>223</v>
      </c>
    </row>
    <row r="66" spans="1:10" x14ac:dyDescent="0.25">
      <c r="A66" s="96">
        <v>51</v>
      </c>
      <c r="B66" s="96">
        <v>51</v>
      </c>
      <c r="C66" s="96">
        <v>76</v>
      </c>
      <c r="D66" s="42" t="s">
        <v>54</v>
      </c>
      <c r="E66" s="54" t="s">
        <v>159</v>
      </c>
      <c r="F66" s="147">
        <v>1</v>
      </c>
      <c r="G66" s="93">
        <v>0</v>
      </c>
      <c r="H66" s="93">
        <v>0</v>
      </c>
      <c r="I66" s="54" t="s">
        <v>32</v>
      </c>
      <c r="J66" s="54" t="s">
        <v>223</v>
      </c>
    </row>
    <row r="67" spans="1:10" x14ac:dyDescent="0.25">
      <c r="A67" s="96">
        <v>52</v>
      </c>
      <c r="B67" s="96">
        <v>52</v>
      </c>
      <c r="C67" s="96">
        <v>77</v>
      </c>
      <c r="D67" s="42" t="s">
        <v>54</v>
      </c>
      <c r="E67" s="54" t="s">
        <v>159</v>
      </c>
      <c r="F67" s="147">
        <v>1</v>
      </c>
      <c r="G67" s="93">
        <v>0</v>
      </c>
      <c r="H67" s="93">
        <v>0</v>
      </c>
      <c r="I67" s="54" t="s">
        <v>32</v>
      </c>
      <c r="J67" s="54" t="s">
        <v>223</v>
      </c>
    </row>
    <row r="68" spans="1:10" x14ac:dyDescent="0.25">
      <c r="A68" s="96">
        <v>53</v>
      </c>
      <c r="B68" s="96">
        <v>53</v>
      </c>
      <c r="C68" s="96">
        <v>78</v>
      </c>
      <c r="D68" s="42" t="s">
        <v>54</v>
      </c>
      <c r="E68" s="54" t="s">
        <v>159</v>
      </c>
      <c r="F68" s="147">
        <v>1</v>
      </c>
      <c r="G68" s="93">
        <v>0</v>
      </c>
      <c r="H68" s="93">
        <v>0</v>
      </c>
      <c r="I68" s="54" t="s">
        <v>32</v>
      </c>
      <c r="J68" s="54" t="s">
        <v>223</v>
      </c>
    </row>
    <row r="69" spans="1:10" x14ac:dyDescent="0.25">
      <c r="A69" s="96">
        <v>54</v>
      </c>
      <c r="B69" s="96">
        <v>54</v>
      </c>
      <c r="C69" s="96">
        <v>79</v>
      </c>
      <c r="D69" s="42" t="s">
        <v>54</v>
      </c>
      <c r="E69" s="54" t="s">
        <v>159</v>
      </c>
      <c r="F69" s="147">
        <v>1</v>
      </c>
      <c r="G69" s="93">
        <v>0</v>
      </c>
      <c r="H69" s="93">
        <v>0</v>
      </c>
      <c r="I69" s="54" t="s">
        <v>32</v>
      </c>
      <c r="J69" s="54" t="s">
        <v>223</v>
      </c>
    </row>
    <row r="70" spans="1:10" x14ac:dyDescent="0.25">
      <c r="A70" s="96">
        <v>55</v>
      </c>
      <c r="B70" s="96">
        <v>55</v>
      </c>
      <c r="C70" s="96">
        <v>80</v>
      </c>
      <c r="D70" s="42" t="s">
        <v>54</v>
      </c>
      <c r="E70" s="54" t="s">
        <v>159</v>
      </c>
      <c r="F70" s="147">
        <v>1</v>
      </c>
      <c r="G70" s="93">
        <v>0</v>
      </c>
      <c r="H70" s="93">
        <v>0</v>
      </c>
      <c r="I70" s="54" t="s">
        <v>32</v>
      </c>
      <c r="J70" s="54" t="s">
        <v>223</v>
      </c>
    </row>
    <row r="71" spans="1:10" x14ac:dyDescent="0.25">
      <c r="A71" s="96">
        <v>56</v>
      </c>
      <c r="B71" s="96">
        <v>56</v>
      </c>
      <c r="C71" s="96">
        <v>81</v>
      </c>
      <c r="D71" s="42" t="s">
        <v>54</v>
      </c>
      <c r="E71" s="54" t="s">
        <v>159</v>
      </c>
      <c r="F71" s="147">
        <v>1</v>
      </c>
      <c r="G71" s="93">
        <v>0</v>
      </c>
      <c r="H71" s="93">
        <v>0</v>
      </c>
      <c r="I71" s="54" t="s">
        <v>32</v>
      </c>
      <c r="J71" s="54" t="s">
        <v>223</v>
      </c>
    </row>
    <row r="72" spans="1:10" x14ac:dyDescent="0.25">
      <c r="A72" s="96">
        <v>57</v>
      </c>
      <c r="B72" s="96">
        <v>57</v>
      </c>
      <c r="C72" s="96">
        <v>82</v>
      </c>
      <c r="D72" s="42" t="s">
        <v>54</v>
      </c>
      <c r="E72" s="54" t="s">
        <v>159</v>
      </c>
      <c r="F72" s="147">
        <v>1</v>
      </c>
      <c r="G72" s="93">
        <v>0</v>
      </c>
      <c r="H72" s="93">
        <v>0</v>
      </c>
      <c r="I72" s="54" t="s">
        <v>32</v>
      </c>
      <c r="J72" s="54" t="s">
        <v>223</v>
      </c>
    </row>
    <row r="73" spans="1:10" x14ac:dyDescent="0.25">
      <c r="A73" s="96">
        <v>58</v>
      </c>
      <c r="B73" s="96">
        <v>58</v>
      </c>
      <c r="C73" s="96">
        <v>83</v>
      </c>
      <c r="D73" s="42" t="s">
        <v>54</v>
      </c>
      <c r="E73" s="54" t="s">
        <v>159</v>
      </c>
      <c r="F73" s="147">
        <v>1</v>
      </c>
      <c r="G73" s="93">
        <v>0</v>
      </c>
      <c r="H73" s="93">
        <v>0</v>
      </c>
      <c r="I73" s="54" t="s">
        <v>32</v>
      </c>
      <c r="J73" s="54" t="s">
        <v>223</v>
      </c>
    </row>
    <row r="74" spans="1:10" x14ac:dyDescent="0.25">
      <c r="A74" s="96">
        <v>59</v>
      </c>
      <c r="B74" s="96">
        <v>59</v>
      </c>
      <c r="C74" s="96">
        <v>84</v>
      </c>
      <c r="D74" s="42" t="s">
        <v>54</v>
      </c>
      <c r="E74" s="54" t="s">
        <v>159</v>
      </c>
      <c r="F74" s="147">
        <v>1</v>
      </c>
      <c r="G74" s="93">
        <v>0</v>
      </c>
      <c r="H74" s="93">
        <v>0</v>
      </c>
      <c r="I74" s="54" t="s">
        <v>32</v>
      </c>
      <c r="J74" s="54" t="s">
        <v>223</v>
      </c>
    </row>
    <row r="75" spans="1:10" x14ac:dyDescent="0.25">
      <c r="A75" s="96">
        <v>60</v>
      </c>
      <c r="B75" s="96">
        <v>60</v>
      </c>
      <c r="C75" s="96">
        <v>85</v>
      </c>
      <c r="D75" s="42" t="s">
        <v>54</v>
      </c>
      <c r="E75" s="54" t="s">
        <v>159</v>
      </c>
      <c r="F75" s="147">
        <v>1</v>
      </c>
      <c r="G75" s="93">
        <v>0</v>
      </c>
      <c r="H75" s="93">
        <v>0</v>
      </c>
      <c r="I75" s="54" t="s">
        <v>32</v>
      </c>
      <c r="J75" s="54" t="s">
        <v>223</v>
      </c>
    </row>
    <row r="76" spans="1:10" x14ac:dyDescent="0.25">
      <c r="A76" s="96">
        <v>61</v>
      </c>
      <c r="B76" s="96">
        <v>61</v>
      </c>
      <c r="C76" s="96">
        <v>86</v>
      </c>
      <c r="D76" s="42" t="s">
        <v>54</v>
      </c>
      <c r="E76" s="54" t="s">
        <v>159</v>
      </c>
      <c r="F76" s="147">
        <v>1</v>
      </c>
      <c r="G76" s="93">
        <v>0</v>
      </c>
      <c r="H76" s="93">
        <v>0</v>
      </c>
      <c r="I76" s="54" t="s">
        <v>32</v>
      </c>
      <c r="J76" s="54" t="s">
        <v>223</v>
      </c>
    </row>
    <row r="77" spans="1:10" x14ac:dyDescent="0.25">
      <c r="A77" s="96">
        <v>62</v>
      </c>
      <c r="B77" s="96">
        <v>62</v>
      </c>
      <c r="C77" s="96">
        <v>87</v>
      </c>
      <c r="D77" s="42" t="s">
        <v>54</v>
      </c>
      <c r="E77" s="54" t="s">
        <v>159</v>
      </c>
      <c r="F77" s="147">
        <v>1</v>
      </c>
      <c r="G77" s="93">
        <v>0</v>
      </c>
      <c r="H77" s="93">
        <v>0</v>
      </c>
      <c r="I77" s="54" t="s">
        <v>32</v>
      </c>
      <c r="J77" s="54" t="s">
        <v>223</v>
      </c>
    </row>
    <row r="78" spans="1:10" x14ac:dyDescent="0.25">
      <c r="A78" s="96">
        <v>63</v>
      </c>
      <c r="B78" s="96">
        <v>63</v>
      </c>
      <c r="C78" s="96">
        <v>88</v>
      </c>
      <c r="D78" s="42" t="s">
        <v>54</v>
      </c>
      <c r="E78" s="54" t="s">
        <v>159</v>
      </c>
      <c r="F78" s="147">
        <v>1</v>
      </c>
      <c r="G78" s="93">
        <v>0</v>
      </c>
      <c r="H78" s="93">
        <v>0</v>
      </c>
      <c r="I78" s="54" t="s">
        <v>32</v>
      </c>
      <c r="J78" s="54" t="s">
        <v>223</v>
      </c>
    </row>
    <row r="79" spans="1:10" x14ac:dyDescent="0.25">
      <c r="A79" s="96">
        <v>64</v>
      </c>
      <c r="B79" s="96">
        <v>64</v>
      </c>
      <c r="C79" s="96">
        <v>89</v>
      </c>
      <c r="D79" s="42" t="s">
        <v>54</v>
      </c>
      <c r="E79" s="54" t="s">
        <v>159</v>
      </c>
      <c r="F79" s="147">
        <v>1</v>
      </c>
      <c r="G79" s="93">
        <v>0</v>
      </c>
      <c r="H79" s="93">
        <v>0</v>
      </c>
      <c r="I79" s="54" t="s">
        <v>32</v>
      </c>
      <c r="J79" s="54" t="s">
        <v>223</v>
      </c>
    </row>
    <row r="80" spans="1:10" x14ac:dyDescent="0.25">
      <c r="A80" s="96">
        <v>65</v>
      </c>
      <c r="B80" s="96">
        <v>65</v>
      </c>
      <c r="C80" s="96">
        <v>90</v>
      </c>
      <c r="D80" s="42" t="s">
        <v>54</v>
      </c>
      <c r="E80" s="54" t="s">
        <v>159</v>
      </c>
      <c r="F80" s="147">
        <v>1</v>
      </c>
      <c r="G80" s="93">
        <v>0</v>
      </c>
      <c r="H80" s="93">
        <v>0</v>
      </c>
      <c r="I80" s="54" t="s">
        <v>32</v>
      </c>
      <c r="J80" s="54" t="s">
        <v>223</v>
      </c>
    </row>
    <row r="81" spans="1:10" x14ac:dyDescent="0.25">
      <c r="A81" s="96">
        <v>66</v>
      </c>
      <c r="B81" s="96">
        <v>66</v>
      </c>
      <c r="C81" s="96">
        <v>91</v>
      </c>
      <c r="D81" s="42" t="s">
        <v>54</v>
      </c>
      <c r="E81" s="54" t="s">
        <v>159</v>
      </c>
      <c r="F81" s="147">
        <v>1</v>
      </c>
      <c r="G81" s="93">
        <v>0</v>
      </c>
      <c r="H81" s="93">
        <v>0</v>
      </c>
      <c r="I81" s="54" t="s">
        <v>32</v>
      </c>
      <c r="J81" s="54" t="s">
        <v>223</v>
      </c>
    </row>
    <row r="82" spans="1:10" x14ac:dyDescent="0.25">
      <c r="A82" s="96">
        <v>67</v>
      </c>
      <c r="B82" s="96">
        <v>67</v>
      </c>
      <c r="C82" s="96">
        <v>92</v>
      </c>
      <c r="D82" s="42" t="s">
        <v>54</v>
      </c>
      <c r="E82" s="54" t="s">
        <v>159</v>
      </c>
      <c r="F82" s="147">
        <v>1</v>
      </c>
      <c r="G82" s="93">
        <v>0</v>
      </c>
      <c r="H82" s="93">
        <v>0</v>
      </c>
      <c r="I82" s="54" t="s">
        <v>32</v>
      </c>
      <c r="J82" s="54" t="s">
        <v>223</v>
      </c>
    </row>
    <row r="83" spans="1:10" x14ac:dyDescent="0.25">
      <c r="A83" s="96">
        <v>68</v>
      </c>
      <c r="B83" s="96">
        <v>68</v>
      </c>
      <c r="C83" s="96">
        <v>93</v>
      </c>
      <c r="D83" s="42" t="s">
        <v>54</v>
      </c>
      <c r="E83" s="54" t="s">
        <v>159</v>
      </c>
      <c r="F83" s="147">
        <v>1</v>
      </c>
      <c r="G83" s="93">
        <v>0</v>
      </c>
      <c r="H83" s="93">
        <v>0</v>
      </c>
      <c r="I83" s="54" t="s">
        <v>32</v>
      </c>
      <c r="J83" s="54" t="s">
        <v>223</v>
      </c>
    </row>
    <row r="84" spans="1:10" x14ac:dyDescent="0.25">
      <c r="A84" s="96">
        <v>69</v>
      </c>
      <c r="B84" s="96">
        <v>69</v>
      </c>
      <c r="C84" s="96">
        <v>94</v>
      </c>
      <c r="D84" s="42" t="s">
        <v>54</v>
      </c>
      <c r="E84" s="54" t="s">
        <v>159</v>
      </c>
      <c r="F84" s="147">
        <v>1</v>
      </c>
      <c r="G84" s="93">
        <v>0</v>
      </c>
      <c r="H84" s="93">
        <v>0</v>
      </c>
      <c r="I84" s="54" t="s">
        <v>32</v>
      </c>
      <c r="J84" s="54" t="s">
        <v>223</v>
      </c>
    </row>
    <row r="85" spans="1:10" x14ac:dyDescent="0.25">
      <c r="A85" s="96">
        <v>70</v>
      </c>
      <c r="B85" s="96">
        <v>70</v>
      </c>
      <c r="C85" s="96">
        <v>95</v>
      </c>
      <c r="D85" s="42" t="s">
        <v>54</v>
      </c>
      <c r="E85" s="54" t="s">
        <v>159</v>
      </c>
      <c r="F85" s="147">
        <v>1</v>
      </c>
      <c r="G85" s="93">
        <v>0</v>
      </c>
      <c r="H85" s="93">
        <v>0</v>
      </c>
      <c r="I85" s="54" t="s">
        <v>32</v>
      </c>
      <c r="J85" s="54" t="s">
        <v>223</v>
      </c>
    </row>
    <row r="86" spans="1:10" x14ac:dyDescent="0.25">
      <c r="A86" s="96">
        <v>71</v>
      </c>
      <c r="B86" s="96">
        <v>71</v>
      </c>
      <c r="C86" s="96">
        <v>96</v>
      </c>
      <c r="D86" s="42" t="s">
        <v>54</v>
      </c>
      <c r="E86" s="54" t="s">
        <v>159</v>
      </c>
      <c r="F86" s="147">
        <v>1</v>
      </c>
      <c r="G86" s="93">
        <v>0</v>
      </c>
      <c r="H86" s="93">
        <v>0</v>
      </c>
      <c r="I86" s="54" t="s">
        <v>32</v>
      </c>
      <c r="J86" s="54" t="s">
        <v>223</v>
      </c>
    </row>
    <row r="87" spans="1:10" x14ac:dyDescent="0.25">
      <c r="A87" s="96">
        <v>72</v>
      </c>
      <c r="B87" s="96">
        <v>72</v>
      </c>
      <c r="C87" s="96">
        <v>97</v>
      </c>
      <c r="D87" s="42" t="s">
        <v>54</v>
      </c>
      <c r="E87" s="54" t="s">
        <v>159</v>
      </c>
      <c r="F87" s="147">
        <v>1</v>
      </c>
      <c r="G87" s="93">
        <v>0</v>
      </c>
      <c r="H87" s="93">
        <v>0</v>
      </c>
      <c r="I87" s="54" t="s">
        <v>32</v>
      </c>
      <c r="J87" s="54" t="s">
        <v>223</v>
      </c>
    </row>
    <row r="88" spans="1:10" x14ac:dyDescent="0.25">
      <c r="A88" s="96">
        <v>73</v>
      </c>
      <c r="B88" s="96">
        <v>73</v>
      </c>
      <c r="C88" s="96">
        <v>98</v>
      </c>
      <c r="D88" s="42" t="s">
        <v>54</v>
      </c>
      <c r="E88" s="54" t="s">
        <v>159</v>
      </c>
      <c r="F88" s="147">
        <v>1</v>
      </c>
      <c r="G88" s="93">
        <v>0</v>
      </c>
      <c r="H88" s="93">
        <v>0</v>
      </c>
      <c r="I88" s="54" t="s">
        <v>32</v>
      </c>
      <c r="J88" s="54" t="s">
        <v>223</v>
      </c>
    </row>
    <row r="89" spans="1:10" x14ac:dyDescent="0.25">
      <c r="A89" s="96">
        <v>74</v>
      </c>
      <c r="B89" s="96">
        <v>74</v>
      </c>
      <c r="C89" s="96">
        <v>99</v>
      </c>
      <c r="D89" s="42" t="s">
        <v>54</v>
      </c>
      <c r="E89" s="54" t="s">
        <v>159</v>
      </c>
      <c r="F89" s="147">
        <v>1</v>
      </c>
      <c r="G89" s="93">
        <v>0</v>
      </c>
      <c r="H89" s="93">
        <v>0</v>
      </c>
      <c r="I89" s="54" t="s">
        <v>32</v>
      </c>
      <c r="J89" s="54" t="s">
        <v>223</v>
      </c>
    </row>
    <row r="90" spans="1:10" x14ac:dyDescent="0.25">
      <c r="A90" s="96">
        <v>75</v>
      </c>
      <c r="B90" s="96">
        <v>75</v>
      </c>
      <c r="C90" s="96">
        <v>100</v>
      </c>
      <c r="D90" s="42" t="s">
        <v>54</v>
      </c>
      <c r="E90" s="54" t="s">
        <v>159</v>
      </c>
      <c r="F90" s="147">
        <v>1</v>
      </c>
      <c r="G90" s="93">
        <v>0</v>
      </c>
      <c r="H90" s="93">
        <v>0</v>
      </c>
      <c r="I90" s="54" t="s">
        <v>32</v>
      </c>
      <c r="J90" s="54" t="s">
        <v>223</v>
      </c>
    </row>
    <row r="91" spans="1:10" x14ac:dyDescent="0.25">
      <c r="A91" s="96">
        <v>76</v>
      </c>
      <c r="B91" s="96">
        <v>76</v>
      </c>
      <c r="C91" s="96">
        <v>101</v>
      </c>
      <c r="D91" s="42" t="s">
        <v>54</v>
      </c>
      <c r="E91" s="54" t="s">
        <v>159</v>
      </c>
      <c r="F91" s="147">
        <v>1</v>
      </c>
      <c r="G91" s="93">
        <v>0</v>
      </c>
      <c r="H91" s="93">
        <v>0</v>
      </c>
      <c r="I91" s="54" t="s">
        <v>32</v>
      </c>
      <c r="J91" s="54" t="s">
        <v>223</v>
      </c>
    </row>
    <row r="92" spans="1:10" x14ac:dyDescent="0.25">
      <c r="A92" s="96">
        <v>77</v>
      </c>
      <c r="B92" s="96">
        <v>77</v>
      </c>
      <c r="C92" s="96">
        <v>102</v>
      </c>
      <c r="D92" s="42" t="s">
        <v>54</v>
      </c>
      <c r="E92" s="54" t="s">
        <v>159</v>
      </c>
      <c r="F92" s="147">
        <v>1</v>
      </c>
      <c r="G92" s="93">
        <v>0</v>
      </c>
      <c r="H92" s="93">
        <v>0</v>
      </c>
      <c r="I92" s="54" t="s">
        <v>32</v>
      </c>
      <c r="J92" s="54" t="s">
        <v>223</v>
      </c>
    </row>
    <row r="93" spans="1:10" x14ac:dyDescent="0.25">
      <c r="A93" s="96">
        <v>78</v>
      </c>
      <c r="B93" s="96">
        <v>78</v>
      </c>
      <c r="C93" s="96">
        <v>103</v>
      </c>
      <c r="D93" s="42" t="s">
        <v>54</v>
      </c>
      <c r="E93" s="54" t="s">
        <v>159</v>
      </c>
      <c r="F93" s="147">
        <v>1</v>
      </c>
      <c r="G93" s="93">
        <v>0</v>
      </c>
      <c r="H93" s="93">
        <v>0</v>
      </c>
      <c r="I93" s="54" t="s">
        <v>32</v>
      </c>
      <c r="J93" s="54" t="s">
        <v>223</v>
      </c>
    </row>
    <row r="94" spans="1:10" x14ac:dyDescent="0.25">
      <c r="A94" s="96">
        <v>79</v>
      </c>
      <c r="B94" s="96">
        <v>79</v>
      </c>
      <c r="C94" s="96">
        <v>104</v>
      </c>
      <c r="D94" s="42" t="s">
        <v>54</v>
      </c>
      <c r="E94" s="54" t="s">
        <v>159</v>
      </c>
      <c r="F94" s="147">
        <v>1</v>
      </c>
      <c r="G94" s="93">
        <v>0</v>
      </c>
      <c r="H94" s="93">
        <v>0</v>
      </c>
      <c r="I94" s="54" t="s">
        <v>32</v>
      </c>
      <c r="J94" s="54" t="s">
        <v>223</v>
      </c>
    </row>
    <row r="95" spans="1:10" x14ac:dyDescent="0.25">
      <c r="A95" s="96">
        <v>80</v>
      </c>
      <c r="B95" s="96">
        <v>80</v>
      </c>
      <c r="C95" s="96">
        <v>105</v>
      </c>
      <c r="D95" s="42" t="s">
        <v>54</v>
      </c>
      <c r="E95" s="54" t="s">
        <v>159</v>
      </c>
      <c r="F95" s="147">
        <v>1</v>
      </c>
      <c r="G95" s="93">
        <v>0</v>
      </c>
      <c r="H95" s="93">
        <v>0</v>
      </c>
      <c r="I95" s="54" t="s">
        <v>32</v>
      </c>
      <c r="J95" s="54" t="s">
        <v>223</v>
      </c>
    </row>
    <row r="96" spans="1:10" x14ac:dyDescent="0.25">
      <c r="A96" s="96">
        <v>81</v>
      </c>
      <c r="B96" s="96">
        <v>81</v>
      </c>
      <c r="C96" s="96">
        <v>106</v>
      </c>
      <c r="D96" s="42" t="s">
        <v>54</v>
      </c>
      <c r="E96" s="54" t="s">
        <v>159</v>
      </c>
      <c r="F96" s="147">
        <v>1</v>
      </c>
      <c r="G96" s="93">
        <v>0</v>
      </c>
      <c r="H96" s="93">
        <v>0</v>
      </c>
      <c r="I96" s="54" t="s">
        <v>32</v>
      </c>
      <c r="J96" s="54" t="s">
        <v>223</v>
      </c>
    </row>
    <row r="97" spans="1:10" x14ac:dyDescent="0.25">
      <c r="A97" s="96">
        <v>82</v>
      </c>
      <c r="B97" s="96">
        <v>82</v>
      </c>
      <c r="C97" s="96">
        <v>107</v>
      </c>
      <c r="D97" s="42" t="s">
        <v>54</v>
      </c>
      <c r="E97" s="54" t="s">
        <v>159</v>
      </c>
      <c r="F97" s="147">
        <v>1</v>
      </c>
      <c r="G97" s="93">
        <v>0</v>
      </c>
      <c r="H97" s="93">
        <v>0</v>
      </c>
      <c r="I97" s="54" t="s">
        <v>32</v>
      </c>
      <c r="J97" s="54" t="s">
        <v>223</v>
      </c>
    </row>
    <row r="98" spans="1:10" x14ac:dyDescent="0.25">
      <c r="A98" s="96">
        <v>83</v>
      </c>
      <c r="B98" s="96">
        <v>83</v>
      </c>
      <c r="C98" s="96">
        <v>108</v>
      </c>
      <c r="D98" s="42" t="s">
        <v>54</v>
      </c>
      <c r="E98" s="54" t="s">
        <v>159</v>
      </c>
      <c r="F98" s="147">
        <v>1</v>
      </c>
      <c r="G98" s="93">
        <v>0</v>
      </c>
      <c r="H98" s="93">
        <v>0</v>
      </c>
      <c r="I98" s="54" t="s">
        <v>32</v>
      </c>
      <c r="J98" s="54" t="s">
        <v>223</v>
      </c>
    </row>
    <row r="99" spans="1:10" x14ac:dyDescent="0.25">
      <c r="A99" s="96">
        <v>84</v>
      </c>
      <c r="B99" s="96">
        <v>84</v>
      </c>
      <c r="C99" s="96">
        <v>109</v>
      </c>
      <c r="D99" s="42" t="s">
        <v>54</v>
      </c>
      <c r="E99" s="54" t="s">
        <v>159</v>
      </c>
      <c r="F99" s="147">
        <v>1</v>
      </c>
      <c r="G99" s="93">
        <v>0</v>
      </c>
      <c r="H99" s="93">
        <v>0</v>
      </c>
      <c r="I99" s="54" t="s">
        <v>32</v>
      </c>
      <c r="J99" s="54" t="s">
        <v>223</v>
      </c>
    </row>
    <row r="100" spans="1:10" x14ac:dyDescent="0.25">
      <c r="A100" s="96">
        <v>85</v>
      </c>
      <c r="B100" s="96">
        <v>85</v>
      </c>
      <c r="C100" s="96">
        <v>110</v>
      </c>
      <c r="D100" s="42" t="s">
        <v>54</v>
      </c>
      <c r="E100" s="54" t="s">
        <v>159</v>
      </c>
      <c r="F100" s="147">
        <v>1</v>
      </c>
      <c r="G100" s="93">
        <v>0</v>
      </c>
      <c r="H100" s="93">
        <v>0</v>
      </c>
      <c r="I100" s="54" t="s">
        <v>32</v>
      </c>
      <c r="J100" s="54" t="s">
        <v>223</v>
      </c>
    </row>
    <row r="101" spans="1:10" x14ac:dyDescent="0.25">
      <c r="A101" s="96">
        <v>86</v>
      </c>
      <c r="B101" s="96">
        <v>86</v>
      </c>
      <c r="C101" s="96">
        <v>111</v>
      </c>
      <c r="D101" s="42" t="s">
        <v>54</v>
      </c>
      <c r="E101" s="54" t="s">
        <v>159</v>
      </c>
      <c r="F101" s="147">
        <v>1</v>
      </c>
      <c r="G101" s="93">
        <v>0</v>
      </c>
      <c r="H101" s="93">
        <v>0</v>
      </c>
      <c r="I101" s="54" t="s">
        <v>32</v>
      </c>
      <c r="J101" s="54" t="s">
        <v>223</v>
      </c>
    </row>
    <row r="102" spans="1:10" x14ac:dyDescent="0.25">
      <c r="A102" s="96">
        <v>87</v>
      </c>
      <c r="B102" s="96">
        <v>87</v>
      </c>
      <c r="C102" s="96">
        <v>112</v>
      </c>
      <c r="D102" s="42" t="s">
        <v>54</v>
      </c>
      <c r="E102" s="54" t="s">
        <v>159</v>
      </c>
      <c r="F102" s="147">
        <v>1</v>
      </c>
      <c r="G102" s="93">
        <v>0</v>
      </c>
      <c r="H102" s="93">
        <v>0</v>
      </c>
      <c r="I102" s="54" t="s">
        <v>32</v>
      </c>
      <c r="J102" s="54" t="s">
        <v>223</v>
      </c>
    </row>
    <row r="103" spans="1:10" x14ac:dyDescent="0.25">
      <c r="A103" s="96">
        <v>88</v>
      </c>
      <c r="B103" s="96">
        <v>88</v>
      </c>
      <c r="C103" s="96">
        <v>113</v>
      </c>
      <c r="D103" s="42" t="s">
        <v>54</v>
      </c>
      <c r="E103" s="54" t="s">
        <v>159</v>
      </c>
      <c r="F103" s="147">
        <v>1</v>
      </c>
      <c r="G103" s="93">
        <v>0</v>
      </c>
      <c r="H103" s="93">
        <v>0</v>
      </c>
      <c r="I103" s="54" t="s">
        <v>32</v>
      </c>
      <c r="J103" s="54" t="s">
        <v>223</v>
      </c>
    </row>
    <row r="104" spans="1:10" x14ac:dyDescent="0.25">
      <c r="A104" s="96">
        <v>89</v>
      </c>
      <c r="B104" s="96">
        <v>89</v>
      </c>
      <c r="C104" s="96">
        <v>114</v>
      </c>
      <c r="D104" s="42" t="s">
        <v>54</v>
      </c>
      <c r="E104" s="54" t="s">
        <v>159</v>
      </c>
      <c r="F104" s="147">
        <v>1</v>
      </c>
      <c r="G104" s="93">
        <v>0</v>
      </c>
      <c r="H104" s="93">
        <v>0</v>
      </c>
      <c r="I104" s="54" t="s">
        <v>32</v>
      </c>
      <c r="J104" s="54" t="s">
        <v>223</v>
      </c>
    </row>
    <row r="105" spans="1:10" x14ac:dyDescent="0.25">
      <c r="A105" s="96">
        <v>90</v>
      </c>
      <c r="B105" s="96">
        <v>90</v>
      </c>
      <c r="C105" s="96">
        <v>115</v>
      </c>
      <c r="D105" s="42" t="s">
        <v>54</v>
      </c>
      <c r="E105" s="54" t="s">
        <v>159</v>
      </c>
      <c r="F105" s="147">
        <v>1</v>
      </c>
      <c r="G105" s="93">
        <v>0</v>
      </c>
      <c r="H105" s="93">
        <v>0</v>
      </c>
      <c r="I105" s="54" t="s">
        <v>32</v>
      </c>
      <c r="J105" s="54" t="s">
        <v>223</v>
      </c>
    </row>
    <row r="106" spans="1:10" x14ac:dyDescent="0.25">
      <c r="A106" s="96">
        <v>91</v>
      </c>
      <c r="B106" s="96">
        <v>91</v>
      </c>
      <c r="C106" s="96">
        <v>116</v>
      </c>
      <c r="D106" s="42" t="s">
        <v>54</v>
      </c>
      <c r="E106" s="54" t="s">
        <v>159</v>
      </c>
      <c r="F106" s="147">
        <v>1</v>
      </c>
      <c r="G106" s="93">
        <v>0</v>
      </c>
      <c r="H106" s="93">
        <v>0</v>
      </c>
      <c r="I106" s="54" t="s">
        <v>32</v>
      </c>
      <c r="J106" s="54" t="s">
        <v>223</v>
      </c>
    </row>
    <row r="107" spans="1:10" x14ac:dyDescent="0.25">
      <c r="A107" s="96">
        <v>92</v>
      </c>
      <c r="B107" s="96">
        <v>92</v>
      </c>
      <c r="C107" s="96">
        <v>117</v>
      </c>
      <c r="D107" s="42" t="s">
        <v>54</v>
      </c>
      <c r="E107" s="54" t="s">
        <v>159</v>
      </c>
      <c r="F107" s="147">
        <v>1</v>
      </c>
      <c r="G107" s="93">
        <v>0</v>
      </c>
      <c r="H107" s="93">
        <v>0</v>
      </c>
      <c r="I107" s="54" t="s">
        <v>32</v>
      </c>
      <c r="J107" s="54" t="s">
        <v>223</v>
      </c>
    </row>
    <row r="108" spans="1:10" x14ac:dyDescent="0.25">
      <c r="A108" s="96">
        <v>93</v>
      </c>
      <c r="B108" s="96">
        <v>93</v>
      </c>
      <c r="C108" s="96">
        <v>118</v>
      </c>
      <c r="D108" s="42" t="s">
        <v>54</v>
      </c>
      <c r="E108" s="54" t="s">
        <v>159</v>
      </c>
      <c r="F108" s="147">
        <v>1</v>
      </c>
      <c r="G108" s="93">
        <v>0</v>
      </c>
      <c r="H108" s="93">
        <v>0</v>
      </c>
      <c r="I108" s="54" t="s">
        <v>32</v>
      </c>
      <c r="J108" s="54" t="s">
        <v>223</v>
      </c>
    </row>
    <row r="109" spans="1:10" x14ac:dyDescent="0.25">
      <c r="A109" s="96">
        <v>94</v>
      </c>
      <c r="B109" s="96">
        <v>94</v>
      </c>
      <c r="C109" s="96">
        <v>119</v>
      </c>
      <c r="D109" s="42" t="s">
        <v>54</v>
      </c>
      <c r="E109" s="54" t="s">
        <v>159</v>
      </c>
      <c r="F109" s="147">
        <v>1</v>
      </c>
      <c r="G109" s="93">
        <v>0</v>
      </c>
      <c r="H109" s="93">
        <v>0</v>
      </c>
      <c r="I109" s="54" t="s">
        <v>32</v>
      </c>
      <c r="J109" s="54" t="s">
        <v>223</v>
      </c>
    </row>
    <row r="110" spans="1:10" x14ac:dyDescent="0.25">
      <c r="A110" s="96">
        <v>95</v>
      </c>
      <c r="B110" s="96">
        <v>95</v>
      </c>
      <c r="C110" s="96">
        <v>120</v>
      </c>
      <c r="D110" s="42" t="s">
        <v>54</v>
      </c>
      <c r="E110" s="54" t="s">
        <v>159</v>
      </c>
      <c r="F110" s="147">
        <v>1</v>
      </c>
      <c r="G110" s="93">
        <v>0</v>
      </c>
      <c r="H110" s="93">
        <v>0</v>
      </c>
      <c r="I110" s="54" t="s">
        <v>32</v>
      </c>
      <c r="J110" s="54" t="s">
        <v>223</v>
      </c>
    </row>
    <row r="111" spans="1:10" x14ac:dyDescent="0.25">
      <c r="A111" s="96">
        <v>96</v>
      </c>
      <c r="B111" s="96">
        <v>96</v>
      </c>
      <c r="C111" s="96">
        <v>121</v>
      </c>
      <c r="D111" s="42" t="s">
        <v>54</v>
      </c>
      <c r="E111" s="54" t="s">
        <v>159</v>
      </c>
      <c r="F111" s="147">
        <v>1</v>
      </c>
      <c r="G111" s="93">
        <v>0</v>
      </c>
      <c r="H111" s="93">
        <v>0</v>
      </c>
      <c r="I111" s="54" t="s">
        <v>32</v>
      </c>
      <c r="J111" s="54" t="s">
        <v>223</v>
      </c>
    </row>
    <row r="112" spans="1:10" x14ac:dyDescent="0.25">
      <c r="A112" s="96">
        <v>97</v>
      </c>
      <c r="B112" s="96">
        <v>97</v>
      </c>
      <c r="C112" s="96">
        <v>122</v>
      </c>
      <c r="D112" s="42" t="s">
        <v>54</v>
      </c>
      <c r="E112" s="54" t="s">
        <v>159</v>
      </c>
      <c r="F112" s="147">
        <v>1</v>
      </c>
      <c r="G112" s="93">
        <v>0</v>
      </c>
      <c r="H112" s="93">
        <v>0</v>
      </c>
      <c r="I112" s="54" t="s">
        <v>32</v>
      </c>
      <c r="J112" s="54" t="s">
        <v>223</v>
      </c>
    </row>
    <row r="113" spans="1:10" x14ac:dyDescent="0.25">
      <c r="A113" s="96">
        <v>98</v>
      </c>
      <c r="B113" s="96">
        <v>98</v>
      </c>
      <c r="C113" s="96">
        <v>123</v>
      </c>
      <c r="D113" s="42" t="s">
        <v>54</v>
      </c>
      <c r="E113" s="54" t="s">
        <v>159</v>
      </c>
      <c r="F113" s="147">
        <v>1</v>
      </c>
      <c r="G113" s="93">
        <v>0</v>
      </c>
      <c r="H113" s="93">
        <v>0</v>
      </c>
      <c r="I113" s="54" t="s">
        <v>32</v>
      </c>
      <c r="J113" s="54" t="s">
        <v>223</v>
      </c>
    </row>
    <row r="114" spans="1:10" x14ac:dyDescent="0.25">
      <c r="A114" s="96">
        <v>99</v>
      </c>
      <c r="B114" s="96">
        <v>99</v>
      </c>
      <c r="C114" s="96">
        <v>124</v>
      </c>
      <c r="D114" s="42" t="s">
        <v>54</v>
      </c>
      <c r="E114" s="54" t="s">
        <v>159</v>
      </c>
      <c r="F114" s="147">
        <v>1</v>
      </c>
      <c r="G114" s="93">
        <v>0</v>
      </c>
      <c r="H114" s="93">
        <v>0</v>
      </c>
      <c r="I114" s="54" t="s">
        <v>32</v>
      </c>
      <c r="J114" s="54" t="s">
        <v>223</v>
      </c>
    </row>
    <row r="115" spans="1:10" x14ac:dyDescent="0.25">
      <c r="A115" s="96">
        <v>100</v>
      </c>
      <c r="B115" s="96">
        <v>100</v>
      </c>
      <c r="C115" s="96">
        <v>125</v>
      </c>
      <c r="D115" s="42" t="s">
        <v>54</v>
      </c>
      <c r="E115" s="54" t="s">
        <v>159</v>
      </c>
      <c r="F115" s="147">
        <v>1</v>
      </c>
      <c r="G115" s="93">
        <v>0</v>
      </c>
      <c r="H115" s="93">
        <v>0</v>
      </c>
      <c r="I115" s="54" t="s">
        <v>32</v>
      </c>
      <c r="J115" s="54" t="s">
        <v>223</v>
      </c>
    </row>
    <row r="116" spans="1:10" x14ac:dyDescent="0.25">
      <c r="A116" s="96">
        <v>101</v>
      </c>
      <c r="B116" s="96">
        <v>26</v>
      </c>
      <c r="C116" s="96">
        <v>27</v>
      </c>
      <c r="D116" s="42" t="s">
        <v>55</v>
      </c>
      <c r="E116" s="54" t="s">
        <v>159</v>
      </c>
      <c r="F116" s="54">
        <v>0</v>
      </c>
      <c r="G116" s="93">
        <v>0</v>
      </c>
      <c r="H116" s="93">
        <v>0</v>
      </c>
      <c r="I116" s="54" t="s">
        <v>33</v>
      </c>
      <c r="J116" s="54" t="s">
        <v>83</v>
      </c>
    </row>
    <row r="117" spans="1:10" x14ac:dyDescent="0.25">
      <c r="A117" s="96">
        <v>102</v>
      </c>
      <c r="B117" s="96">
        <v>27</v>
      </c>
      <c r="C117" s="96">
        <v>28</v>
      </c>
      <c r="D117" s="42" t="s">
        <v>55</v>
      </c>
      <c r="E117" s="54" t="s">
        <v>159</v>
      </c>
      <c r="F117" s="54">
        <v>0</v>
      </c>
      <c r="G117" s="93">
        <v>0</v>
      </c>
      <c r="H117" s="93">
        <v>0</v>
      </c>
      <c r="I117" s="54" t="s">
        <v>33</v>
      </c>
      <c r="J117" s="54" t="s">
        <v>83</v>
      </c>
    </row>
    <row r="118" spans="1:10" x14ac:dyDescent="0.25">
      <c r="A118" s="96">
        <v>103</v>
      </c>
      <c r="B118" s="96">
        <v>28</v>
      </c>
      <c r="C118" s="96">
        <v>29</v>
      </c>
      <c r="D118" s="42" t="s">
        <v>55</v>
      </c>
      <c r="E118" s="54" t="s">
        <v>159</v>
      </c>
      <c r="F118" s="54">
        <v>0</v>
      </c>
      <c r="G118" s="93">
        <v>0</v>
      </c>
      <c r="H118" s="93">
        <v>0</v>
      </c>
      <c r="I118" s="54" t="s">
        <v>33</v>
      </c>
      <c r="J118" s="54" t="s">
        <v>83</v>
      </c>
    </row>
    <row r="119" spans="1:10" x14ac:dyDescent="0.25">
      <c r="A119" s="96">
        <v>104</v>
      </c>
      <c r="B119" s="96">
        <v>29</v>
      </c>
      <c r="C119" s="96">
        <v>30</v>
      </c>
      <c r="D119" s="42" t="s">
        <v>55</v>
      </c>
      <c r="E119" s="54" t="s">
        <v>159</v>
      </c>
      <c r="F119" s="54">
        <v>0</v>
      </c>
      <c r="G119" s="93">
        <v>0</v>
      </c>
      <c r="H119" s="93">
        <v>0</v>
      </c>
      <c r="I119" s="54" t="s">
        <v>33</v>
      </c>
      <c r="J119" s="54" t="s">
        <v>83</v>
      </c>
    </row>
    <row r="120" spans="1:10" x14ac:dyDescent="0.25">
      <c r="A120" s="96">
        <v>105</v>
      </c>
      <c r="B120" s="96">
        <v>31</v>
      </c>
      <c r="C120" s="96">
        <v>32</v>
      </c>
      <c r="D120" s="42" t="s">
        <v>55</v>
      </c>
      <c r="E120" s="54" t="s">
        <v>159</v>
      </c>
      <c r="F120" s="54">
        <v>0</v>
      </c>
      <c r="G120" s="93">
        <v>0</v>
      </c>
      <c r="H120" s="93">
        <v>0</v>
      </c>
      <c r="I120" s="54" t="s">
        <v>33</v>
      </c>
      <c r="J120" s="54" t="s">
        <v>83</v>
      </c>
    </row>
    <row r="121" spans="1:10" x14ac:dyDescent="0.25">
      <c r="A121" s="96">
        <v>106</v>
      </c>
      <c r="B121" s="96">
        <v>32</v>
      </c>
      <c r="C121" s="96">
        <v>33</v>
      </c>
      <c r="D121" s="42" t="s">
        <v>55</v>
      </c>
      <c r="E121" s="54" t="s">
        <v>159</v>
      </c>
      <c r="F121" s="54">
        <v>0</v>
      </c>
      <c r="G121" s="93">
        <v>0</v>
      </c>
      <c r="H121" s="93">
        <v>0</v>
      </c>
      <c r="I121" s="54" t="s">
        <v>33</v>
      </c>
      <c r="J121" s="54" t="s">
        <v>83</v>
      </c>
    </row>
    <row r="122" spans="1:10" x14ac:dyDescent="0.25">
      <c r="A122" s="96">
        <v>107</v>
      </c>
      <c r="B122" s="96">
        <v>33</v>
      </c>
      <c r="C122" s="96">
        <v>34</v>
      </c>
      <c r="D122" s="42" t="s">
        <v>55</v>
      </c>
      <c r="E122" s="54" t="s">
        <v>159</v>
      </c>
      <c r="F122" s="54">
        <v>0</v>
      </c>
      <c r="G122" s="93">
        <v>0</v>
      </c>
      <c r="H122" s="93">
        <v>0</v>
      </c>
      <c r="I122" s="54" t="s">
        <v>33</v>
      </c>
      <c r="J122" s="54" t="s">
        <v>83</v>
      </c>
    </row>
    <row r="123" spans="1:10" x14ac:dyDescent="0.25">
      <c r="A123" s="96">
        <v>108</v>
      </c>
      <c r="B123" s="96">
        <v>34</v>
      </c>
      <c r="C123" s="96">
        <v>35</v>
      </c>
      <c r="D123" s="42" t="s">
        <v>55</v>
      </c>
      <c r="E123" s="54" t="s">
        <v>159</v>
      </c>
      <c r="F123" s="54">
        <v>0</v>
      </c>
      <c r="G123" s="93">
        <v>0</v>
      </c>
      <c r="H123" s="93">
        <v>0</v>
      </c>
      <c r="I123" s="54" t="s">
        <v>33</v>
      </c>
      <c r="J123" s="54" t="s">
        <v>83</v>
      </c>
    </row>
    <row r="124" spans="1:10" x14ac:dyDescent="0.25">
      <c r="A124" s="96">
        <v>109</v>
      </c>
      <c r="B124" s="96">
        <v>36</v>
      </c>
      <c r="C124" s="96">
        <v>37</v>
      </c>
      <c r="D124" s="42" t="s">
        <v>55</v>
      </c>
      <c r="E124" s="54" t="s">
        <v>159</v>
      </c>
      <c r="F124" s="54">
        <v>0</v>
      </c>
      <c r="G124" s="93">
        <v>0</v>
      </c>
      <c r="H124" s="93">
        <v>0</v>
      </c>
      <c r="I124" s="54" t="s">
        <v>33</v>
      </c>
      <c r="J124" s="54" t="s">
        <v>83</v>
      </c>
    </row>
    <row r="125" spans="1:10" x14ac:dyDescent="0.25">
      <c r="A125" s="96">
        <v>110</v>
      </c>
      <c r="B125" s="96">
        <v>37</v>
      </c>
      <c r="C125" s="96">
        <v>38</v>
      </c>
      <c r="D125" s="42" t="s">
        <v>55</v>
      </c>
      <c r="E125" s="54" t="s">
        <v>159</v>
      </c>
      <c r="F125" s="54">
        <v>0</v>
      </c>
      <c r="G125" s="93">
        <v>0</v>
      </c>
      <c r="H125" s="93">
        <v>0</v>
      </c>
      <c r="I125" s="54" t="s">
        <v>33</v>
      </c>
      <c r="J125" s="54" t="s">
        <v>83</v>
      </c>
    </row>
    <row r="126" spans="1:10" x14ac:dyDescent="0.25">
      <c r="A126" s="96">
        <v>111</v>
      </c>
      <c r="B126" s="96">
        <v>38</v>
      </c>
      <c r="C126" s="96">
        <v>39</v>
      </c>
      <c r="D126" s="42" t="s">
        <v>55</v>
      </c>
      <c r="E126" s="54" t="s">
        <v>159</v>
      </c>
      <c r="F126" s="54">
        <v>0</v>
      </c>
      <c r="G126" s="93">
        <v>0</v>
      </c>
      <c r="H126" s="93">
        <v>0</v>
      </c>
      <c r="I126" s="54" t="s">
        <v>33</v>
      </c>
      <c r="J126" s="54" t="s">
        <v>83</v>
      </c>
    </row>
    <row r="127" spans="1:10" x14ac:dyDescent="0.25">
      <c r="A127" s="96">
        <v>112</v>
      </c>
      <c r="B127" s="96">
        <v>39</v>
      </c>
      <c r="C127" s="96">
        <v>40</v>
      </c>
      <c r="D127" s="42" t="s">
        <v>55</v>
      </c>
      <c r="E127" s="54" t="s">
        <v>159</v>
      </c>
      <c r="F127" s="54">
        <v>0</v>
      </c>
      <c r="G127" s="93">
        <v>0</v>
      </c>
      <c r="H127" s="93">
        <v>0</v>
      </c>
      <c r="I127" s="54" t="s">
        <v>33</v>
      </c>
      <c r="J127" s="54" t="s">
        <v>83</v>
      </c>
    </row>
    <row r="128" spans="1:10" x14ac:dyDescent="0.25">
      <c r="A128" s="96">
        <v>113</v>
      </c>
      <c r="B128" s="96">
        <v>41</v>
      </c>
      <c r="C128" s="96">
        <v>42</v>
      </c>
      <c r="D128" s="42" t="s">
        <v>55</v>
      </c>
      <c r="E128" s="54" t="s">
        <v>159</v>
      </c>
      <c r="F128" s="54">
        <v>0</v>
      </c>
      <c r="G128" s="93">
        <v>0</v>
      </c>
      <c r="H128" s="93">
        <v>0</v>
      </c>
      <c r="I128" s="54" t="s">
        <v>33</v>
      </c>
      <c r="J128" s="54" t="s">
        <v>83</v>
      </c>
    </row>
    <row r="129" spans="1:10" x14ac:dyDescent="0.25">
      <c r="A129" s="96">
        <v>114</v>
      </c>
      <c r="B129" s="96">
        <v>42</v>
      </c>
      <c r="C129" s="96">
        <v>43</v>
      </c>
      <c r="D129" s="42" t="s">
        <v>55</v>
      </c>
      <c r="E129" s="54" t="s">
        <v>159</v>
      </c>
      <c r="F129" s="54">
        <v>0</v>
      </c>
      <c r="G129" s="93">
        <v>0</v>
      </c>
      <c r="H129" s="93">
        <v>0</v>
      </c>
      <c r="I129" s="54" t="s">
        <v>33</v>
      </c>
      <c r="J129" s="54" t="s">
        <v>83</v>
      </c>
    </row>
    <row r="130" spans="1:10" x14ac:dyDescent="0.25">
      <c r="A130" s="96">
        <v>115</v>
      </c>
      <c r="B130" s="96">
        <v>43</v>
      </c>
      <c r="C130" s="96">
        <v>44</v>
      </c>
      <c r="D130" s="42" t="s">
        <v>55</v>
      </c>
      <c r="E130" s="54" t="s">
        <v>159</v>
      </c>
      <c r="F130" s="54">
        <v>0</v>
      </c>
      <c r="G130" s="93">
        <v>0</v>
      </c>
      <c r="H130" s="93">
        <v>0</v>
      </c>
      <c r="I130" s="54" t="s">
        <v>33</v>
      </c>
      <c r="J130" s="54" t="s">
        <v>83</v>
      </c>
    </row>
    <row r="131" spans="1:10" x14ac:dyDescent="0.25">
      <c r="A131" s="96">
        <v>116</v>
      </c>
      <c r="B131" s="96">
        <v>44</v>
      </c>
      <c r="C131" s="96">
        <v>45</v>
      </c>
      <c r="D131" s="42" t="s">
        <v>55</v>
      </c>
      <c r="E131" s="54" t="s">
        <v>159</v>
      </c>
      <c r="F131" s="54">
        <v>0</v>
      </c>
      <c r="G131" s="93">
        <v>0</v>
      </c>
      <c r="H131" s="93">
        <v>0</v>
      </c>
      <c r="I131" s="54" t="s">
        <v>33</v>
      </c>
      <c r="J131" s="54" t="s">
        <v>83</v>
      </c>
    </row>
    <row r="132" spans="1:10" x14ac:dyDescent="0.25">
      <c r="A132" s="96">
        <v>117</v>
      </c>
      <c r="B132" s="96">
        <v>46</v>
      </c>
      <c r="C132" s="96">
        <v>47</v>
      </c>
      <c r="D132" s="42" t="s">
        <v>55</v>
      </c>
      <c r="E132" s="54" t="s">
        <v>159</v>
      </c>
      <c r="F132" s="54">
        <v>0</v>
      </c>
      <c r="G132" s="93">
        <v>0</v>
      </c>
      <c r="H132" s="93">
        <v>0</v>
      </c>
      <c r="I132" s="54" t="s">
        <v>33</v>
      </c>
      <c r="J132" s="54" t="s">
        <v>83</v>
      </c>
    </row>
    <row r="133" spans="1:10" x14ac:dyDescent="0.25">
      <c r="A133" s="96">
        <v>118</v>
      </c>
      <c r="B133" s="96">
        <v>47</v>
      </c>
      <c r="C133" s="96">
        <v>48</v>
      </c>
      <c r="D133" s="42" t="s">
        <v>55</v>
      </c>
      <c r="E133" s="54" t="s">
        <v>159</v>
      </c>
      <c r="F133" s="54">
        <v>0</v>
      </c>
      <c r="G133" s="93">
        <v>0</v>
      </c>
      <c r="H133" s="93">
        <v>0</v>
      </c>
      <c r="I133" s="54" t="s">
        <v>33</v>
      </c>
      <c r="J133" s="54" t="s">
        <v>83</v>
      </c>
    </row>
    <row r="134" spans="1:10" x14ac:dyDescent="0.25">
      <c r="A134" s="96">
        <v>119</v>
      </c>
      <c r="B134" s="96">
        <v>48</v>
      </c>
      <c r="C134" s="96">
        <v>49</v>
      </c>
      <c r="D134" s="42" t="s">
        <v>55</v>
      </c>
      <c r="E134" s="54" t="s">
        <v>159</v>
      </c>
      <c r="F134" s="54">
        <v>0</v>
      </c>
      <c r="G134" s="93">
        <v>0</v>
      </c>
      <c r="H134" s="93">
        <v>0</v>
      </c>
      <c r="I134" s="54" t="s">
        <v>33</v>
      </c>
      <c r="J134" s="54" t="s">
        <v>83</v>
      </c>
    </row>
    <row r="135" spans="1:10" x14ac:dyDescent="0.25">
      <c r="A135" s="96">
        <v>120</v>
      </c>
      <c r="B135" s="96">
        <v>49</v>
      </c>
      <c r="C135" s="96">
        <v>50</v>
      </c>
      <c r="D135" s="42" t="s">
        <v>55</v>
      </c>
      <c r="E135" s="54" t="s">
        <v>159</v>
      </c>
      <c r="F135" s="54">
        <v>0</v>
      </c>
      <c r="G135" s="93">
        <v>0</v>
      </c>
      <c r="H135" s="93">
        <v>0</v>
      </c>
      <c r="I135" s="54" t="s">
        <v>33</v>
      </c>
      <c r="J135" s="54" t="s">
        <v>83</v>
      </c>
    </row>
    <row r="136" spans="1:10" x14ac:dyDescent="0.25">
      <c r="A136" s="96">
        <v>121</v>
      </c>
      <c r="B136" s="96">
        <v>51</v>
      </c>
      <c r="C136" s="96">
        <v>52</v>
      </c>
      <c r="D136" s="42" t="s">
        <v>55</v>
      </c>
      <c r="E136" s="54" t="s">
        <v>159</v>
      </c>
      <c r="F136" s="54">
        <v>0</v>
      </c>
      <c r="G136" s="93">
        <v>0</v>
      </c>
      <c r="H136" s="93">
        <v>0</v>
      </c>
      <c r="I136" s="54" t="s">
        <v>33</v>
      </c>
      <c r="J136" s="54" t="s">
        <v>83</v>
      </c>
    </row>
    <row r="137" spans="1:10" x14ac:dyDescent="0.25">
      <c r="A137" s="96">
        <v>122</v>
      </c>
      <c r="B137" s="96">
        <v>52</v>
      </c>
      <c r="C137" s="96">
        <v>53</v>
      </c>
      <c r="D137" s="42" t="s">
        <v>55</v>
      </c>
      <c r="E137" s="54" t="s">
        <v>159</v>
      </c>
      <c r="F137" s="54">
        <v>0</v>
      </c>
      <c r="G137" s="93">
        <v>0</v>
      </c>
      <c r="H137" s="93">
        <v>0</v>
      </c>
      <c r="I137" s="54" t="s">
        <v>33</v>
      </c>
      <c r="J137" s="54" t="s">
        <v>83</v>
      </c>
    </row>
    <row r="138" spans="1:10" x14ac:dyDescent="0.25">
      <c r="A138" s="96">
        <v>123</v>
      </c>
      <c r="B138" s="96">
        <v>53</v>
      </c>
      <c r="C138" s="96">
        <v>54</v>
      </c>
      <c r="D138" s="42" t="s">
        <v>55</v>
      </c>
      <c r="E138" s="54" t="s">
        <v>159</v>
      </c>
      <c r="F138" s="54">
        <v>0</v>
      </c>
      <c r="G138" s="93">
        <v>0</v>
      </c>
      <c r="H138" s="93">
        <v>0</v>
      </c>
      <c r="I138" s="54" t="s">
        <v>33</v>
      </c>
      <c r="J138" s="54" t="s">
        <v>83</v>
      </c>
    </row>
    <row r="139" spans="1:10" x14ac:dyDescent="0.25">
      <c r="A139" s="96">
        <v>124</v>
      </c>
      <c r="B139" s="96">
        <v>54</v>
      </c>
      <c r="C139" s="96">
        <v>55</v>
      </c>
      <c r="D139" s="42" t="s">
        <v>55</v>
      </c>
      <c r="E139" s="54" t="s">
        <v>159</v>
      </c>
      <c r="F139" s="54">
        <v>0</v>
      </c>
      <c r="G139" s="93">
        <v>0</v>
      </c>
      <c r="H139" s="93">
        <v>0</v>
      </c>
      <c r="I139" s="54" t="s">
        <v>33</v>
      </c>
      <c r="J139" s="54" t="s">
        <v>83</v>
      </c>
    </row>
    <row r="140" spans="1:10" x14ac:dyDescent="0.25">
      <c r="A140" s="96">
        <v>125</v>
      </c>
      <c r="B140" s="96">
        <v>56</v>
      </c>
      <c r="C140" s="96">
        <v>57</v>
      </c>
      <c r="D140" s="42" t="s">
        <v>55</v>
      </c>
      <c r="E140" s="54" t="s">
        <v>159</v>
      </c>
      <c r="F140" s="54">
        <v>0</v>
      </c>
      <c r="G140" s="93">
        <v>0</v>
      </c>
      <c r="H140" s="93">
        <v>0</v>
      </c>
      <c r="I140" s="54" t="s">
        <v>33</v>
      </c>
      <c r="J140" s="54" t="s">
        <v>83</v>
      </c>
    </row>
    <row r="141" spans="1:10" x14ac:dyDescent="0.25">
      <c r="A141" s="96">
        <v>126</v>
      </c>
      <c r="B141" s="96">
        <v>57</v>
      </c>
      <c r="C141" s="96">
        <v>58</v>
      </c>
      <c r="D141" s="42" t="s">
        <v>55</v>
      </c>
      <c r="E141" s="54" t="s">
        <v>159</v>
      </c>
      <c r="F141" s="54">
        <v>0</v>
      </c>
      <c r="G141" s="93">
        <v>0</v>
      </c>
      <c r="H141" s="93">
        <v>0</v>
      </c>
      <c r="I141" s="54" t="s">
        <v>33</v>
      </c>
      <c r="J141" s="54" t="s">
        <v>83</v>
      </c>
    </row>
    <row r="142" spans="1:10" x14ac:dyDescent="0.25">
      <c r="A142" s="96">
        <v>127</v>
      </c>
      <c r="B142" s="96">
        <v>58</v>
      </c>
      <c r="C142" s="96">
        <v>59</v>
      </c>
      <c r="D142" s="42" t="s">
        <v>55</v>
      </c>
      <c r="E142" s="54" t="s">
        <v>159</v>
      </c>
      <c r="F142" s="54">
        <v>0</v>
      </c>
      <c r="G142" s="93">
        <v>0</v>
      </c>
      <c r="H142" s="93">
        <v>0</v>
      </c>
      <c r="I142" s="54" t="s">
        <v>33</v>
      </c>
      <c r="J142" s="54" t="s">
        <v>83</v>
      </c>
    </row>
    <row r="143" spans="1:10" x14ac:dyDescent="0.25">
      <c r="A143" s="96">
        <v>128</v>
      </c>
      <c r="B143" s="96">
        <v>59</v>
      </c>
      <c r="C143" s="96">
        <v>60</v>
      </c>
      <c r="D143" s="42" t="s">
        <v>55</v>
      </c>
      <c r="E143" s="54" t="s">
        <v>159</v>
      </c>
      <c r="F143" s="54">
        <v>0</v>
      </c>
      <c r="G143" s="93">
        <v>0</v>
      </c>
      <c r="H143" s="93">
        <v>0</v>
      </c>
      <c r="I143" s="54" t="s">
        <v>33</v>
      </c>
      <c r="J143" s="54" t="s">
        <v>83</v>
      </c>
    </row>
    <row r="144" spans="1:10" x14ac:dyDescent="0.25">
      <c r="A144" s="96">
        <v>129</v>
      </c>
      <c r="B144" s="96">
        <v>61</v>
      </c>
      <c r="C144" s="96">
        <v>62</v>
      </c>
      <c r="D144" s="42" t="s">
        <v>55</v>
      </c>
      <c r="E144" s="54" t="s">
        <v>159</v>
      </c>
      <c r="F144" s="54">
        <v>0</v>
      </c>
      <c r="G144" s="93">
        <v>0</v>
      </c>
      <c r="H144" s="93">
        <v>0</v>
      </c>
      <c r="I144" s="54" t="s">
        <v>33</v>
      </c>
      <c r="J144" s="54" t="s">
        <v>83</v>
      </c>
    </row>
    <row r="145" spans="1:10" x14ac:dyDescent="0.25">
      <c r="A145" s="96">
        <v>130</v>
      </c>
      <c r="B145" s="96">
        <v>62</v>
      </c>
      <c r="C145" s="96">
        <v>63</v>
      </c>
      <c r="D145" s="42" t="s">
        <v>55</v>
      </c>
      <c r="E145" s="54" t="s">
        <v>159</v>
      </c>
      <c r="F145" s="54">
        <v>0</v>
      </c>
      <c r="G145" s="93">
        <v>0</v>
      </c>
      <c r="H145" s="93">
        <v>0</v>
      </c>
      <c r="I145" s="54" t="s">
        <v>33</v>
      </c>
      <c r="J145" s="54" t="s">
        <v>83</v>
      </c>
    </row>
    <row r="146" spans="1:10" x14ac:dyDescent="0.25">
      <c r="A146" s="96">
        <v>131</v>
      </c>
      <c r="B146" s="96">
        <v>63</v>
      </c>
      <c r="C146" s="96">
        <v>64</v>
      </c>
      <c r="D146" s="42" t="s">
        <v>55</v>
      </c>
      <c r="E146" s="54" t="s">
        <v>159</v>
      </c>
      <c r="F146" s="54">
        <v>0</v>
      </c>
      <c r="G146" s="93">
        <v>0</v>
      </c>
      <c r="H146" s="93">
        <v>0</v>
      </c>
      <c r="I146" s="54" t="s">
        <v>33</v>
      </c>
      <c r="J146" s="54" t="s">
        <v>83</v>
      </c>
    </row>
    <row r="147" spans="1:10" x14ac:dyDescent="0.25">
      <c r="A147" s="96">
        <v>132</v>
      </c>
      <c r="B147" s="96">
        <v>64</v>
      </c>
      <c r="C147" s="96">
        <v>65</v>
      </c>
      <c r="D147" s="42" t="s">
        <v>55</v>
      </c>
      <c r="E147" s="54" t="s">
        <v>159</v>
      </c>
      <c r="F147" s="54">
        <v>0</v>
      </c>
      <c r="G147" s="93">
        <v>0</v>
      </c>
      <c r="H147" s="93">
        <v>0</v>
      </c>
      <c r="I147" s="54" t="s">
        <v>33</v>
      </c>
      <c r="J147" s="54" t="s">
        <v>83</v>
      </c>
    </row>
    <row r="148" spans="1:10" x14ac:dyDescent="0.25">
      <c r="A148" s="96">
        <v>133</v>
      </c>
      <c r="B148" s="96">
        <v>66</v>
      </c>
      <c r="C148" s="96">
        <v>67</v>
      </c>
      <c r="D148" s="42" t="s">
        <v>55</v>
      </c>
      <c r="E148" s="54" t="s">
        <v>159</v>
      </c>
      <c r="F148" s="54">
        <v>0</v>
      </c>
      <c r="G148" s="93">
        <v>0</v>
      </c>
      <c r="H148" s="93">
        <v>0</v>
      </c>
      <c r="I148" s="54" t="s">
        <v>33</v>
      </c>
      <c r="J148" s="54" t="s">
        <v>83</v>
      </c>
    </row>
    <row r="149" spans="1:10" x14ac:dyDescent="0.25">
      <c r="A149" s="96">
        <v>134</v>
      </c>
      <c r="B149" s="96">
        <v>67</v>
      </c>
      <c r="C149" s="96">
        <v>68</v>
      </c>
      <c r="D149" s="42" t="s">
        <v>55</v>
      </c>
      <c r="E149" s="54" t="s">
        <v>159</v>
      </c>
      <c r="F149" s="54">
        <v>0</v>
      </c>
      <c r="G149" s="93">
        <v>0</v>
      </c>
      <c r="H149" s="93">
        <v>0</v>
      </c>
      <c r="I149" s="54" t="s">
        <v>33</v>
      </c>
      <c r="J149" s="54" t="s">
        <v>83</v>
      </c>
    </row>
    <row r="150" spans="1:10" x14ac:dyDescent="0.25">
      <c r="A150" s="96">
        <v>135</v>
      </c>
      <c r="B150" s="96">
        <v>68</v>
      </c>
      <c r="C150" s="96">
        <v>69</v>
      </c>
      <c r="D150" s="42" t="s">
        <v>55</v>
      </c>
      <c r="E150" s="54" t="s">
        <v>159</v>
      </c>
      <c r="F150" s="54">
        <v>0</v>
      </c>
      <c r="G150" s="93">
        <v>0</v>
      </c>
      <c r="H150" s="93">
        <v>0</v>
      </c>
      <c r="I150" s="54" t="s">
        <v>33</v>
      </c>
      <c r="J150" s="54" t="s">
        <v>83</v>
      </c>
    </row>
    <row r="151" spans="1:10" x14ac:dyDescent="0.25">
      <c r="A151" s="96">
        <v>136</v>
      </c>
      <c r="B151" s="96">
        <v>69</v>
      </c>
      <c r="C151" s="96">
        <v>70</v>
      </c>
      <c r="D151" s="42" t="s">
        <v>55</v>
      </c>
      <c r="E151" s="54" t="s">
        <v>159</v>
      </c>
      <c r="F151" s="54">
        <v>0</v>
      </c>
      <c r="G151" s="93">
        <v>0</v>
      </c>
      <c r="H151" s="93">
        <v>0</v>
      </c>
      <c r="I151" s="54" t="s">
        <v>33</v>
      </c>
      <c r="J151" s="54" t="s">
        <v>83</v>
      </c>
    </row>
    <row r="152" spans="1:10" x14ac:dyDescent="0.25">
      <c r="A152" s="96">
        <v>137</v>
      </c>
      <c r="B152" s="96">
        <v>71</v>
      </c>
      <c r="C152" s="96">
        <v>72</v>
      </c>
      <c r="D152" s="42" t="s">
        <v>55</v>
      </c>
      <c r="E152" s="54" t="s">
        <v>159</v>
      </c>
      <c r="F152" s="54">
        <v>0</v>
      </c>
      <c r="G152" s="93">
        <v>0</v>
      </c>
      <c r="H152" s="93">
        <v>0</v>
      </c>
      <c r="I152" s="54" t="s">
        <v>33</v>
      </c>
      <c r="J152" s="54" t="s">
        <v>83</v>
      </c>
    </row>
    <row r="153" spans="1:10" x14ac:dyDescent="0.25">
      <c r="A153" s="96">
        <v>138</v>
      </c>
      <c r="B153" s="96">
        <v>72</v>
      </c>
      <c r="C153" s="96">
        <v>73</v>
      </c>
      <c r="D153" s="42" t="s">
        <v>55</v>
      </c>
      <c r="E153" s="54" t="s">
        <v>159</v>
      </c>
      <c r="F153" s="54">
        <v>0</v>
      </c>
      <c r="G153" s="93">
        <v>0</v>
      </c>
      <c r="H153" s="93">
        <v>0</v>
      </c>
      <c r="I153" s="54" t="s">
        <v>33</v>
      </c>
      <c r="J153" s="54" t="s">
        <v>83</v>
      </c>
    </row>
    <row r="154" spans="1:10" x14ac:dyDescent="0.25">
      <c r="A154" s="96">
        <v>139</v>
      </c>
      <c r="B154" s="96">
        <v>73</v>
      </c>
      <c r="C154" s="96">
        <v>74</v>
      </c>
      <c r="D154" s="42" t="s">
        <v>55</v>
      </c>
      <c r="E154" s="54" t="s">
        <v>159</v>
      </c>
      <c r="F154" s="54">
        <v>0</v>
      </c>
      <c r="G154" s="93">
        <v>0</v>
      </c>
      <c r="H154" s="93">
        <v>0</v>
      </c>
      <c r="I154" s="54" t="s">
        <v>33</v>
      </c>
      <c r="J154" s="54" t="s">
        <v>83</v>
      </c>
    </row>
    <row r="155" spans="1:10" x14ac:dyDescent="0.25">
      <c r="A155" s="96">
        <v>140</v>
      </c>
      <c r="B155" s="96">
        <v>74</v>
      </c>
      <c r="C155" s="96">
        <v>75</v>
      </c>
      <c r="D155" s="42" t="s">
        <v>55</v>
      </c>
      <c r="E155" s="54" t="s">
        <v>159</v>
      </c>
      <c r="F155" s="54">
        <v>0</v>
      </c>
      <c r="G155" s="93">
        <v>0</v>
      </c>
      <c r="H155" s="93">
        <v>0</v>
      </c>
      <c r="I155" s="54" t="s">
        <v>33</v>
      </c>
      <c r="J155" s="54" t="s">
        <v>83</v>
      </c>
    </row>
    <row r="156" spans="1:10" x14ac:dyDescent="0.25">
      <c r="A156" s="96">
        <v>141</v>
      </c>
      <c r="B156" s="96">
        <v>76</v>
      </c>
      <c r="C156" s="96">
        <v>77</v>
      </c>
      <c r="D156" s="42" t="s">
        <v>55</v>
      </c>
      <c r="E156" s="54" t="s">
        <v>159</v>
      </c>
      <c r="F156" s="54">
        <v>0</v>
      </c>
      <c r="G156" s="93">
        <v>0</v>
      </c>
      <c r="H156" s="93">
        <v>0</v>
      </c>
      <c r="I156" s="54" t="s">
        <v>33</v>
      </c>
      <c r="J156" s="54" t="s">
        <v>83</v>
      </c>
    </row>
    <row r="157" spans="1:10" x14ac:dyDescent="0.25">
      <c r="A157" s="96">
        <v>142</v>
      </c>
      <c r="B157" s="96">
        <v>77</v>
      </c>
      <c r="C157" s="96">
        <v>78</v>
      </c>
      <c r="D157" s="42" t="s">
        <v>55</v>
      </c>
      <c r="E157" s="54" t="s">
        <v>159</v>
      </c>
      <c r="F157" s="54">
        <v>0</v>
      </c>
      <c r="G157" s="93">
        <v>0</v>
      </c>
      <c r="H157" s="93">
        <v>0</v>
      </c>
      <c r="I157" s="54" t="s">
        <v>33</v>
      </c>
      <c r="J157" s="54" t="s">
        <v>83</v>
      </c>
    </row>
    <row r="158" spans="1:10" x14ac:dyDescent="0.25">
      <c r="A158" s="96">
        <v>143</v>
      </c>
      <c r="B158" s="96">
        <v>78</v>
      </c>
      <c r="C158" s="96">
        <v>79</v>
      </c>
      <c r="D158" s="42" t="s">
        <v>55</v>
      </c>
      <c r="E158" s="54" t="s">
        <v>159</v>
      </c>
      <c r="F158" s="54">
        <v>0</v>
      </c>
      <c r="G158" s="93">
        <v>0</v>
      </c>
      <c r="H158" s="93">
        <v>0</v>
      </c>
      <c r="I158" s="54" t="s">
        <v>33</v>
      </c>
      <c r="J158" s="54" t="s">
        <v>83</v>
      </c>
    </row>
    <row r="159" spans="1:10" x14ac:dyDescent="0.25">
      <c r="A159" s="96">
        <v>144</v>
      </c>
      <c r="B159" s="96">
        <v>79</v>
      </c>
      <c r="C159" s="96">
        <v>80</v>
      </c>
      <c r="D159" s="42" t="s">
        <v>55</v>
      </c>
      <c r="E159" s="54" t="s">
        <v>159</v>
      </c>
      <c r="F159" s="54">
        <v>0</v>
      </c>
      <c r="G159" s="93">
        <v>0</v>
      </c>
      <c r="H159" s="93">
        <v>0</v>
      </c>
      <c r="I159" s="54" t="s">
        <v>33</v>
      </c>
      <c r="J159" s="54" t="s">
        <v>83</v>
      </c>
    </row>
    <row r="160" spans="1:10" x14ac:dyDescent="0.25">
      <c r="A160" s="96">
        <v>145</v>
      </c>
      <c r="B160" s="96">
        <v>81</v>
      </c>
      <c r="C160" s="96">
        <v>82</v>
      </c>
      <c r="D160" s="42" t="s">
        <v>55</v>
      </c>
      <c r="E160" s="54" t="s">
        <v>159</v>
      </c>
      <c r="F160" s="54">
        <v>0</v>
      </c>
      <c r="G160" s="93">
        <v>0</v>
      </c>
      <c r="H160" s="93">
        <v>0</v>
      </c>
      <c r="I160" s="54" t="s">
        <v>33</v>
      </c>
      <c r="J160" s="54" t="s">
        <v>83</v>
      </c>
    </row>
    <row r="161" spans="1:10" x14ac:dyDescent="0.25">
      <c r="A161" s="96">
        <v>146</v>
      </c>
      <c r="B161" s="96">
        <v>82</v>
      </c>
      <c r="C161" s="96">
        <v>83</v>
      </c>
      <c r="D161" s="42" t="s">
        <v>55</v>
      </c>
      <c r="E161" s="54" t="s">
        <v>159</v>
      </c>
      <c r="F161" s="54">
        <v>0</v>
      </c>
      <c r="G161" s="93">
        <v>0</v>
      </c>
      <c r="H161" s="93">
        <v>0</v>
      </c>
      <c r="I161" s="54" t="s">
        <v>33</v>
      </c>
      <c r="J161" s="54" t="s">
        <v>83</v>
      </c>
    </row>
    <row r="162" spans="1:10" x14ac:dyDescent="0.25">
      <c r="A162" s="96">
        <v>147</v>
      </c>
      <c r="B162" s="96">
        <v>83</v>
      </c>
      <c r="C162" s="96">
        <v>84</v>
      </c>
      <c r="D162" s="42" t="s">
        <v>55</v>
      </c>
      <c r="E162" s="54" t="s">
        <v>159</v>
      </c>
      <c r="F162" s="54">
        <v>0</v>
      </c>
      <c r="G162" s="93">
        <v>0</v>
      </c>
      <c r="H162" s="93">
        <v>0</v>
      </c>
      <c r="I162" s="54" t="s">
        <v>33</v>
      </c>
      <c r="J162" s="54" t="s">
        <v>83</v>
      </c>
    </row>
    <row r="163" spans="1:10" x14ac:dyDescent="0.25">
      <c r="A163" s="96">
        <v>148</v>
      </c>
      <c r="B163" s="96">
        <v>84</v>
      </c>
      <c r="C163" s="96">
        <v>85</v>
      </c>
      <c r="D163" s="42" t="s">
        <v>55</v>
      </c>
      <c r="E163" s="54" t="s">
        <v>159</v>
      </c>
      <c r="F163" s="54">
        <v>0</v>
      </c>
      <c r="G163" s="93">
        <v>0</v>
      </c>
      <c r="H163" s="93">
        <v>0</v>
      </c>
      <c r="I163" s="54" t="s">
        <v>33</v>
      </c>
      <c r="J163" s="54" t="s">
        <v>83</v>
      </c>
    </row>
    <row r="164" spans="1:10" x14ac:dyDescent="0.25">
      <c r="A164" s="96">
        <v>149</v>
      </c>
      <c r="B164" s="96">
        <v>86</v>
      </c>
      <c r="C164" s="96">
        <v>87</v>
      </c>
      <c r="D164" s="42" t="s">
        <v>55</v>
      </c>
      <c r="E164" s="54" t="s">
        <v>159</v>
      </c>
      <c r="F164" s="54">
        <v>0</v>
      </c>
      <c r="G164" s="93">
        <v>0</v>
      </c>
      <c r="H164" s="93">
        <v>0</v>
      </c>
      <c r="I164" s="54" t="s">
        <v>33</v>
      </c>
      <c r="J164" s="54" t="s">
        <v>83</v>
      </c>
    </row>
    <row r="165" spans="1:10" x14ac:dyDescent="0.25">
      <c r="A165" s="96">
        <v>150</v>
      </c>
      <c r="B165" s="96">
        <v>87</v>
      </c>
      <c r="C165" s="96">
        <v>88</v>
      </c>
      <c r="D165" s="42" t="s">
        <v>55</v>
      </c>
      <c r="E165" s="54" t="s">
        <v>159</v>
      </c>
      <c r="F165" s="54">
        <v>0</v>
      </c>
      <c r="G165" s="93">
        <v>0</v>
      </c>
      <c r="H165" s="93">
        <v>0</v>
      </c>
      <c r="I165" s="54" t="s">
        <v>33</v>
      </c>
      <c r="J165" s="54" t="s">
        <v>83</v>
      </c>
    </row>
    <row r="166" spans="1:10" x14ac:dyDescent="0.25">
      <c r="A166" s="96">
        <v>151</v>
      </c>
      <c r="B166" s="96">
        <v>88</v>
      </c>
      <c r="C166" s="96">
        <v>89</v>
      </c>
      <c r="D166" s="42" t="s">
        <v>55</v>
      </c>
      <c r="E166" s="54" t="s">
        <v>159</v>
      </c>
      <c r="F166" s="54">
        <v>0</v>
      </c>
      <c r="G166" s="93">
        <v>0</v>
      </c>
      <c r="H166" s="93">
        <v>0</v>
      </c>
      <c r="I166" s="54" t="s">
        <v>33</v>
      </c>
      <c r="J166" s="54" t="s">
        <v>83</v>
      </c>
    </row>
    <row r="167" spans="1:10" x14ac:dyDescent="0.25">
      <c r="A167" s="96">
        <v>152</v>
      </c>
      <c r="B167" s="96">
        <v>89</v>
      </c>
      <c r="C167" s="96">
        <v>90</v>
      </c>
      <c r="D167" s="42" t="s">
        <v>55</v>
      </c>
      <c r="E167" s="54" t="s">
        <v>159</v>
      </c>
      <c r="F167" s="54">
        <v>0</v>
      </c>
      <c r="G167" s="93">
        <v>0</v>
      </c>
      <c r="H167" s="93">
        <v>0</v>
      </c>
      <c r="I167" s="54" t="s">
        <v>33</v>
      </c>
      <c r="J167" s="54" t="s">
        <v>83</v>
      </c>
    </row>
    <row r="168" spans="1:10" x14ac:dyDescent="0.25">
      <c r="A168" s="96">
        <v>153</v>
      </c>
      <c r="B168" s="96">
        <v>91</v>
      </c>
      <c r="C168" s="96">
        <v>92</v>
      </c>
      <c r="D168" s="42" t="s">
        <v>55</v>
      </c>
      <c r="E168" s="54" t="s">
        <v>159</v>
      </c>
      <c r="F168" s="54">
        <v>0</v>
      </c>
      <c r="G168" s="93">
        <v>0</v>
      </c>
      <c r="H168" s="93">
        <v>0</v>
      </c>
      <c r="I168" s="54" t="s">
        <v>33</v>
      </c>
      <c r="J168" s="54" t="s">
        <v>83</v>
      </c>
    </row>
    <row r="169" spans="1:10" x14ac:dyDescent="0.25">
      <c r="A169" s="96">
        <v>154</v>
      </c>
      <c r="B169" s="96">
        <v>92</v>
      </c>
      <c r="C169" s="96">
        <v>93</v>
      </c>
      <c r="D169" s="42" t="s">
        <v>55</v>
      </c>
      <c r="E169" s="54" t="s">
        <v>159</v>
      </c>
      <c r="F169" s="54">
        <v>0</v>
      </c>
      <c r="G169" s="93">
        <v>0</v>
      </c>
      <c r="H169" s="93">
        <v>0</v>
      </c>
      <c r="I169" s="54" t="s">
        <v>33</v>
      </c>
      <c r="J169" s="54" t="s">
        <v>83</v>
      </c>
    </row>
    <row r="170" spans="1:10" x14ac:dyDescent="0.25">
      <c r="A170" s="96">
        <v>155</v>
      </c>
      <c r="B170" s="96">
        <v>93</v>
      </c>
      <c r="C170" s="96">
        <v>94</v>
      </c>
      <c r="D170" s="42" t="s">
        <v>55</v>
      </c>
      <c r="E170" s="54" t="s">
        <v>159</v>
      </c>
      <c r="F170" s="54">
        <v>0</v>
      </c>
      <c r="G170" s="93">
        <v>0</v>
      </c>
      <c r="H170" s="93">
        <v>0</v>
      </c>
      <c r="I170" s="54" t="s">
        <v>33</v>
      </c>
      <c r="J170" s="54" t="s">
        <v>83</v>
      </c>
    </row>
    <row r="171" spans="1:10" x14ac:dyDescent="0.25">
      <c r="A171" s="96">
        <v>156</v>
      </c>
      <c r="B171" s="96">
        <v>94</v>
      </c>
      <c r="C171" s="96">
        <v>95</v>
      </c>
      <c r="D171" s="42" t="s">
        <v>55</v>
      </c>
      <c r="E171" s="54" t="s">
        <v>159</v>
      </c>
      <c r="F171" s="54">
        <v>0</v>
      </c>
      <c r="G171" s="93">
        <v>0</v>
      </c>
      <c r="H171" s="93">
        <v>0</v>
      </c>
      <c r="I171" s="54" t="s">
        <v>33</v>
      </c>
      <c r="J171" s="54" t="s">
        <v>83</v>
      </c>
    </row>
    <row r="172" spans="1:10" x14ac:dyDescent="0.25">
      <c r="A172" s="96">
        <v>157</v>
      </c>
      <c r="B172" s="96">
        <v>96</v>
      </c>
      <c r="C172" s="96">
        <v>97</v>
      </c>
      <c r="D172" s="42" t="s">
        <v>55</v>
      </c>
      <c r="E172" s="54" t="s">
        <v>159</v>
      </c>
      <c r="F172" s="54">
        <v>0</v>
      </c>
      <c r="G172" s="93">
        <v>0</v>
      </c>
      <c r="H172" s="93">
        <v>0</v>
      </c>
      <c r="I172" s="54" t="s">
        <v>33</v>
      </c>
      <c r="J172" s="54" t="s">
        <v>83</v>
      </c>
    </row>
    <row r="173" spans="1:10" x14ac:dyDescent="0.25">
      <c r="A173" s="96">
        <v>158</v>
      </c>
      <c r="B173" s="96">
        <v>97</v>
      </c>
      <c r="C173" s="96">
        <v>98</v>
      </c>
      <c r="D173" s="42" t="s">
        <v>55</v>
      </c>
      <c r="E173" s="54" t="s">
        <v>159</v>
      </c>
      <c r="F173" s="54">
        <v>0</v>
      </c>
      <c r="G173" s="93">
        <v>0</v>
      </c>
      <c r="H173" s="93">
        <v>0</v>
      </c>
      <c r="I173" s="54" t="s">
        <v>33</v>
      </c>
      <c r="J173" s="54" t="s">
        <v>83</v>
      </c>
    </row>
    <row r="174" spans="1:10" x14ac:dyDescent="0.25">
      <c r="A174" s="96">
        <v>159</v>
      </c>
      <c r="B174" s="96">
        <v>98</v>
      </c>
      <c r="C174" s="96">
        <v>99</v>
      </c>
      <c r="D174" s="42" t="s">
        <v>55</v>
      </c>
      <c r="E174" s="54" t="s">
        <v>159</v>
      </c>
      <c r="F174" s="54">
        <v>0</v>
      </c>
      <c r="G174" s="93">
        <v>0</v>
      </c>
      <c r="H174" s="93">
        <v>0</v>
      </c>
      <c r="I174" s="54" t="s">
        <v>33</v>
      </c>
      <c r="J174" s="54" t="s">
        <v>83</v>
      </c>
    </row>
    <row r="175" spans="1:10" x14ac:dyDescent="0.25">
      <c r="A175" s="96">
        <v>160</v>
      </c>
      <c r="B175" s="96">
        <v>99</v>
      </c>
      <c r="C175" s="96">
        <v>100</v>
      </c>
      <c r="D175" s="42" t="s">
        <v>55</v>
      </c>
      <c r="E175" s="54" t="s">
        <v>159</v>
      </c>
      <c r="F175" s="54">
        <v>0</v>
      </c>
      <c r="G175" s="93">
        <v>0</v>
      </c>
      <c r="H175" s="93">
        <v>0</v>
      </c>
      <c r="I175" s="54" t="s">
        <v>33</v>
      </c>
      <c r="J175" s="54" t="s">
        <v>83</v>
      </c>
    </row>
    <row r="176" spans="1:10" x14ac:dyDescent="0.25">
      <c r="A176" s="96">
        <v>161</v>
      </c>
      <c r="B176" s="96">
        <v>101</v>
      </c>
      <c r="C176" s="96">
        <v>102</v>
      </c>
      <c r="D176" s="42" t="s">
        <v>55</v>
      </c>
      <c r="E176" s="54" t="s">
        <v>159</v>
      </c>
      <c r="F176" s="54">
        <v>0</v>
      </c>
      <c r="G176" s="93">
        <v>0</v>
      </c>
      <c r="H176" s="93">
        <v>0</v>
      </c>
      <c r="I176" s="54" t="s">
        <v>33</v>
      </c>
      <c r="J176" s="54" t="s">
        <v>83</v>
      </c>
    </row>
    <row r="177" spans="1:10" x14ac:dyDescent="0.25">
      <c r="A177" s="96">
        <v>162</v>
      </c>
      <c r="B177" s="96">
        <v>102</v>
      </c>
      <c r="C177" s="96">
        <v>103</v>
      </c>
      <c r="D177" s="42" t="s">
        <v>55</v>
      </c>
      <c r="E177" s="54" t="s">
        <v>159</v>
      </c>
      <c r="F177" s="54">
        <v>0</v>
      </c>
      <c r="G177" s="93">
        <v>0</v>
      </c>
      <c r="H177" s="93">
        <v>0</v>
      </c>
      <c r="I177" s="54" t="s">
        <v>33</v>
      </c>
      <c r="J177" s="54" t="s">
        <v>83</v>
      </c>
    </row>
    <row r="178" spans="1:10" x14ac:dyDescent="0.25">
      <c r="A178" s="96">
        <v>163</v>
      </c>
      <c r="B178" s="96">
        <v>103</v>
      </c>
      <c r="C178" s="96">
        <v>104</v>
      </c>
      <c r="D178" s="42" t="s">
        <v>55</v>
      </c>
      <c r="E178" s="54" t="s">
        <v>159</v>
      </c>
      <c r="F178" s="54">
        <v>0</v>
      </c>
      <c r="G178" s="93">
        <v>0</v>
      </c>
      <c r="H178" s="93">
        <v>0</v>
      </c>
      <c r="I178" s="54" t="s">
        <v>33</v>
      </c>
      <c r="J178" s="54" t="s">
        <v>83</v>
      </c>
    </row>
    <row r="179" spans="1:10" x14ac:dyDescent="0.25">
      <c r="A179" s="96">
        <v>164</v>
      </c>
      <c r="B179" s="96">
        <v>104</v>
      </c>
      <c r="C179" s="96">
        <v>105</v>
      </c>
      <c r="D179" s="42" t="s">
        <v>55</v>
      </c>
      <c r="E179" s="54" t="s">
        <v>159</v>
      </c>
      <c r="F179" s="54">
        <v>0</v>
      </c>
      <c r="G179" s="93">
        <v>0</v>
      </c>
      <c r="H179" s="93">
        <v>0</v>
      </c>
      <c r="I179" s="54" t="s">
        <v>33</v>
      </c>
      <c r="J179" s="54" t="s">
        <v>83</v>
      </c>
    </row>
    <row r="180" spans="1:10" x14ac:dyDescent="0.25">
      <c r="A180" s="96">
        <v>165</v>
      </c>
      <c r="B180" s="96">
        <v>106</v>
      </c>
      <c r="C180" s="96">
        <v>107</v>
      </c>
      <c r="D180" s="42" t="s">
        <v>55</v>
      </c>
      <c r="E180" s="54" t="s">
        <v>159</v>
      </c>
      <c r="F180" s="54">
        <v>0</v>
      </c>
      <c r="G180" s="93">
        <v>0</v>
      </c>
      <c r="H180" s="93">
        <v>0</v>
      </c>
      <c r="I180" s="54" t="s">
        <v>33</v>
      </c>
      <c r="J180" s="54" t="s">
        <v>83</v>
      </c>
    </row>
    <row r="181" spans="1:10" x14ac:dyDescent="0.25">
      <c r="A181" s="96">
        <v>166</v>
      </c>
      <c r="B181" s="96">
        <v>107</v>
      </c>
      <c r="C181" s="96">
        <v>108</v>
      </c>
      <c r="D181" s="42" t="s">
        <v>55</v>
      </c>
      <c r="E181" s="54" t="s">
        <v>159</v>
      </c>
      <c r="F181" s="54">
        <v>0</v>
      </c>
      <c r="G181" s="93">
        <v>0</v>
      </c>
      <c r="H181" s="93">
        <v>0</v>
      </c>
      <c r="I181" s="54" t="s">
        <v>33</v>
      </c>
      <c r="J181" s="54" t="s">
        <v>83</v>
      </c>
    </row>
    <row r="182" spans="1:10" x14ac:dyDescent="0.25">
      <c r="A182" s="96">
        <v>167</v>
      </c>
      <c r="B182" s="96">
        <v>108</v>
      </c>
      <c r="C182" s="96">
        <v>109</v>
      </c>
      <c r="D182" s="42" t="s">
        <v>55</v>
      </c>
      <c r="E182" s="54" t="s">
        <v>159</v>
      </c>
      <c r="F182" s="54">
        <v>0</v>
      </c>
      <c r="G182" s="93">
        <v>0</v>
      </c>
      <c r="H182" s="93">
        <v>0</v>
      </c>
      <c r="I182" s="54" t="s">
        <v>33</v>
      </c>
      <c r="J182" s="54" t="s">
        <v>83</v>
      </c>
    </row>
    <row r="183" spans="1:10" x14ac:dyDescent="0.25">
      <c r="A183" s="96">
        <v>168</v>
      </c>
      <c r="B183" s="96">
        <v>109</v>
      </c>
      <c r="C183" s="96">
        <v>110</v>
      </c>
      <c r="D183" s="42" t="s">
        <v>55</v>
      </c>
      <c r="E183" s="54" t="s">
        <v>159</v>
      </c>
      <c r="F183" s="54">
        <v>0</v>
      </c>
      <c r="G183" s="93">
        <v>0</v>
      </c>
      <c r="H183" s="93">
        <v>0</v>
      </c>
      <c r="I183" s="54" t="s">
        <v>33</v>
      </c>
      <c r="J183" s="54" t="s">
        <v>83</v>
      </c>
    </row>
    <row r="184" spans="1:10" x14ac:dyDescent="0.25">
      <c r="A184" s="96">
        <v>169</v>
      </c>
      <c r="B184" s="96">
        <v>111</v>
      </c>
      <c r="C184" s="96">
        <v>112</v>
      </c>
      <c r="D184" s="42" t="s">
        <v>55</v>
      </c>
      <c r="E184" s="54" t="s">
        <v>159</v>
      </c>
      <c r="F184" s="54">
        <v>0</v>
      </c>
      <c r="G184" s="93">
        <v>0</v>
      </c>
      <c r="H184" s="93">
        <v>0</v>
      </c>
      <c r="I184" s="54" t="s">
        <v>33</v>
      </c>
      <c r="J184" s="54" t="s">
        <v>83</v>
      </c>
    </row>
    <row r="185" spans="1:10" x14ac:dyDescent="0.25">
      <c r="A185" s="96">
        <v>170</v>
      </c>
      <c r="B185" s="96">
        <v>112</v>
      </c>
      <c r="C185" s="96">
        <v>113</v>
      </c>
      <c r="D185" s="42" t="s">
        <v>55</v>
      </c>
      <c r="E185" s="54" t="s">
        <v>159</v>
      </c>
      <c r="F185" s="54">
        <v>0</v>
      </c>
      <c r="G185" s="93">
        <v>0</v>
      </c>
      <c r="H185" s="93">
        <v>0</v>
      </c>
      <c r="I185" s="54" t="s">
        <v>33</v>
      </c>
      <c r="J185" s="54" t="s">
        <v>83</v>
      </c>
    </row>
    <row r="186" spans="1:10" x14ac:dyDescent="0.25">
      <c r="A186" s="96">
        <v>171</v>
      </c>
      <c r="B186" s="96">
        <v>113</v>
      </c>
      <c r="C186" s="96">
        <v>114</v>
      </c>
      <c r="D186" s="42" t="s">
        <v>55</v>
      </c>
      <c r="E186" s="54" t="s">
        <v>159</v>
      </c>
      <c r="F186" s="54">
        <v>0</v>
      </c>
      <c r="G186" s="93">
        <v>0</v>
      </c>
      <c r="H186" s="93">
        <v>0</v>
      </c>
      <c r="I186" s="54" t="s">
        <v>33</v>
      </c>
      <c r="J186" s="54" t="s">
        <v>83</v>
      </c>
    </row>
    <row r="187" spans="1:10" x14ac:dyDescent="0.25">
      <c r="A187" s="96">
        <v>172</v>
      </c>
      <c r="B187" s="96">
        <v>114</v>
      </c>
      <c r="C187" s="96">
        <v>115</v>
      </c>
      <c r="D187" s="42" t="s">
        <v>55</v>
      </c>
      <c r="E187" s="54" t="s">
        <v>159</v>
      </c>
      <c r="F187" s="54">
        <v>0</v>
      </c>
      <c r="G187" s="93">
        <v>0</v>
      </c>
      <c r="H187" s="93">
        <v>0</v>
      </c>
      <c r="I187" s="54" t="s">
        <v>33</v>
      </c>
      <c r="J187" s="54" t="s">
        <v>83</v>
      </c>
    </row>
    <row r="188" spans="1:10" x14ac:dyDescent="0.25">
      <c r="A188" s="96">
        <v>173</v>
      </c>
      <c r="B188" s="96">
        <v>116</v>
      </c>
      <c r="C188" s="96">
        <v>117</v>
      </c>
      <c r="D188" s="42" t="s">
        <v>55</v>
      </c>
      <c r="E188" s="54" t="s">
        <v>159</v>
      </c>
      <c r="F188" s="54">
        <v>0</v>
      </c>
      <c r="G188" s="93">
        <v>0</v>
      </c>
      <c r="H188" s="93">
        <v>0</v>
      </c>
      <c r="I188" s="54" t="s">
        <v>33</v>
      </c>
      <c r="J188" s="54" t="s">
        <v>83</v>
      </c>
    </row>
    <row r="189" spans="1:10" x14ac:dyDescent="0.25">
      <c r="A189" s="96">
        <v>174</v>
      </c>
      <c r="B189" s="96">
        <v>117</v>
      </c>
      <c r="C189" s="96">
        <v>118</v>
      </c>
      <c r="D189" s="42" t="s">
        <v>55</v>
      </c>
      <c r="E189" s="54" t="s">
        <v>159</v>
      </c>
      <c r="F189" s="54">
        <v>0</v>
      </c>
      <c r="G189" s="93">
        <v>0</v>
      </c>
      <c r="H189" s="93">
        <v>0</v>
      </c>
      <c r="I189" s="54" t="s">
        <v>33</v>
      </c>
      <c r="J189" s="54" t="s">
        <v>83</v>
      </c>
    </row>
    <row r="190" spans="1:10" x14ac:dyDescent="0.25">
      <c r="A190" s="96">
        <v>175</v>
      </c>
      <c r="B190" s="96">
        <v>118</v>
      </c>
      <c r="C190" s="96">
        <v>119</v>
      </c>
      <c r="D190" s="42" t="s">
        <v>55</v>
      </c>
      <c r="E190" s="54" t="s">
        <v>159</v>
      </c>
      <c r="F190" s="54">
        <v>0</v>
      </c>
      <c r="G190" s="93">
        <v>0</v>
      </c>
      <c r="H190" s="93">
        <v>0</v>
      </c>
      <c r="I190" s="54" t="s">
        <v>33</v>
      </c>
      <c r="J190" s="54" t="s">
        <v>83</v>
      </c>
    </row>
    <row r="191" spans="1:10" x14ac:dyDescent="0.25">
      <c r="A191" s="96">
        <v>176</v>
      </c>
      <c r="B191" s="96">
        <v>119</v>
      </c>
      <c r="C191" s="96">
        <v>120</v>
      </c>
      <c r="D191" s="42" t="s">
        <v>55</v>
      </c>
      <c r="E191" s="54" t="s">
        <v>159</v>
      </c>
      <c r="F191" s="54">
        <v>0</v>
      </c>
      <c r="G191" s="93">
        <v>0</v>
      </c>
      <c r="H191" s="93">
        <v>0</v>
      </c>
      <c r="I191" s="54" t="s">
        <v>33</v>
      </c>
      <c r="J191" s="54" t="s">
        <v>83</v>
      </c>
    </row>
    <row r="192" spans="1:10" x14ac:dyDescent="0.25">
      <c r="A192" s="96">
        <v>177</v>
      </c>
      <c r="B192" s="96">
        <v>121</v>
      </c>
      <c r="C192" s="96">
        <v>122</v>
      </c>
      <c r="D192" s="42" t="s">
        <v>55</v>
      </c>
      <c r="E192" s="54" t="s">
        <v>159</v>
      </c>
      <c r="F192" s="54">
        <v>0</v>
      </c>
      <c r="G192" s="93">
        <v>0</v>
      </c>
      <c r="H192" s="93">
        <v>0</v>
      </c>
      <c r="I192" s="54" t="s">
        <v>33</v>
      </c>
      <c r="J192" s="54" t="s">
        <v>83</v>
      </c>
    </row>
    <row r="193" spans="1:10" x14ac:dyDescent="0.25">
      <c r="A193" s="96">
        <v>178</v>
      </c>
      <c r="B193" s="96">
        <v>122</v>
      </c>
      <c r="C193" s="96">
        <v>123</v>
      </c>
      <c r="D193" s="42" t="s">
        <v>55</v>
      </c>
      <c r="E193" s="54" t="s">
        <v>159</v>
      </c>
      <c r="F193" s="54">
        <v>0</v>
      </c>
      <c r="G193" s="93">
        <v>0</v>
      </c>
      <c r="H193" s="93">
        <v>0</v>
      </c>
      <c r="I193" s="54" t="s">
        <v>33</v>
      </c>
      <c r="J193" s="54" t="s">
        <v>83</v>
      </c>
    </row>
    <row r="194" spans="1:10" x14ac:dyDescent="0.25">
      <c r="A194" s="96">
        <v>179</v>
      </c>
      <c r="B194" s="96">
        <v>123</v>
      </c>
      <c r="C194" s="96">
        <v>124</v>
      </c>
      <c r="D194" s="42" t="s">
        <v>55</v>
      </c>
      <c r="E194" s="54" t="s">
        <v>159</v>
      </c>
      <c r="F194" s="54">
        <v>0</v>
      </c>
      <c r="G194" s="93">
        <v>0</v>
      </c>
      <c r="H194" s="93">
        <v>0</v>
      </c>
      <c r="I194" s="54" t="s">
        <v>33</v>
      </c>
      <c r="J194" s="54" t="s">
        <v>83</v>
      </c>
    </row>
    <row r="195" spans="1:10" x14ac:dyDescent="0.25">
      <c r="A195" s="96">
        <v>180</v>
      </c>
      <c r="B195" s="96">
        <v>124</v>
      </c>
      <c r="C195" s="96">
        <v>125</v>
      </c>
      <c r="D195" s="42" t="s">
        <v>55</v>
      </c>
      <c r="E195" s="54" t="s">
        <v>159</v>
      </c>
      <c r="F195" s="54">
        <v>0</v>
      </c>
      <c r="G195" s="93">
        <v>0</v>
      </c>
      <c r="H195" s="93">
        <v>0</v>
      </c>
      <c r="I195" s="54" t="s">
        <v>33</v>
      </c>
      <c r="J195" s="54" t="s">
        <v>83</v>
      </c>
    </row>
    <row r="196" spans="1:10" x14ac:dyDescent="0.25">
      <c r="A196" s="96">
        <v>181</v>
      </c>
      <c r="B196" s="96">
        <v>26</v>
      </c>
      <c r="C196" s="96">
        <v>31</v>
      </c>
      <c r="D196" s="42" t="s">
        <v>55</v>
      </c>
      <c r="E196" s="54" t="s">
        <v>159</v>
      </c>
      <c r="F196" s="54">
        <v>0</v>
      </c>
      <c r="G196" s="93">
        <v>0</v>
      </c>
      <c r="H196" s="93">
        <v>0</v>
      </c>
      <c r="I196" s="54" t="s">
        <v>33</v>
      </c>
      <c r="J196" s="54" t="s">
        <v>83</v>
      </c>
    </row>
    <row r="197" spans="1:10" x14ac:dyDescent="0.25">
      <c r="A197" s="96">
        <v>182</v>
      </c>
      <c r="B197" s="96">
        <v>27</v>
      </c>
      <c r="C197" s="96">
        <v>32</v>
      </c>
      <c r="D197" s="42" t="s">
        <v>55</v>
      </c>
      <c r="E197" s="54" t="s">
        <v>159</v>
      </c>
      <c r="F197" s="54">
        <v>0</v>
      </c>
      <c r="G197" s="93">
        <v>0</v>
      </c>
      <c r="H197" s="93">
        <v>0</v>
      </c>
      <c r="I197" s="54" t="s">
        <v>33</v>
      </c>
      <c r="J197" s="54" t="s">
        <v>83</v>
      </c>
    </row>
    <row r="198" spans="1:10" x14ac:dyDescent="0.25">
      <c r="A198" s="96">
        <v>183</v>
      </c>
      <c r="B198" s="96">
        <v>28</v>
      </c>
      <c r="C198" s="96">
        <v>33</v>
      </c>
      <c r="D198" s="42" t="s">
        <v>55</v>
      </c>
      <c r="E198" s="54" t="s">
        <v>159</v>
      </c>
      <c r="F198" s="54">
        <v>0</v>
      </c>
      <c r="G198" s="93">
        <v>0</v>
      </c>
      <c r="H198" s="93">
        <v>0</v>
      </c>
      <c r="I198" s="54" t="s">
        <v>33</v>
      </c>
      <c r="J198" s="54" t="s">
        <v>83</v>
      </c>
    </row>
    <row r="199" spans="1:10" x14ac:dyDescent="0.25">
      <c r="A199" s="96">
        <v>184</v>
      </c>
      <c r="B199" s="96">
        <v>29</v>
      </c>
      <c r="C199" s="96">
        <v>34</v>
      </c>
      <c r="D199" s="42" t="s">
        <v>55</v>
      </c>
      <c r="E199" s="54" t="s">
        <v>159</v>
      </c>
      <c r="F199" s="54">
        <v>0</v>
      </c>
      <c r="G199" s="93">
        <v>0</v>
      </c>
      <c r="H199" s="93">
        <v>0</v>
      </c>
      <c r="I199" s="54" t="s">
        <v>33</v>
      </c>
      <c r="J199" s="54" t="s">
        <v>83</v>
      </c>
    </row>
    <row r="200" spans="1:10" x14ac:dyDescent="0.25">
      <c r="A200" s="96">
        <v>185</v>
      </c>
      <c r="B200" s="96">
        <v>30</v>
      </c>
      <c r="C200" s="96">
        <v>35</v>
      </c>
      <c r="D200" s="42" t="s">
        <v>55</v>
      </c>
      <c r="E200" s="54" t="s">
        <v>159</v>
      </c>
      <c r="F200" s="54">
        <v>0</v>
      </c>
      <c r="G200" s="93">
        <v>0</v>
      </c>
      <c r="H200" s="93">
        <v>0</v>
      </c>
      <c r="I200" s="54" t="s">
        <v>33</v>
      </c>
      <c r="J200" s="54" t="s">
        <v>83</v>
      </c>
    </row>
    <row r="201" spans="1:10" x14ac:dyDescent="0.25">
      <c r="A201" s="96">
        <v>186</v>
      </c>
      <c r="B201" s="96">
        <v>31</v>
      </c>
      <c r="C201" s="96">
        <v>36</v>
      </c>
      <c r="D201" s="42" t="s">
        <v>55</v>
      </c>
      <c r="E201" s="54" t="s">
        <v>159</v>
      </c>
      <c r="F201" s="54">
        <v>0</v>
      </c>
      <c r="G201" s="93">
        <v>0</v>
      </c>
      <c r="H201" s="93">
        <v>0</v>
      </c>
      <c r="I201" s="54" t="s">
        <v>33</v>
      </c>
      <c r="J201" s="54" t="s">
        <v>83</v>
      </c>
    </row>
    <row r="202" spans="1:10" x14ac:dyDescent="0.25">
      <c r="A202" s="96">
        <v>187</v>
      </c>
      <c r="B202" s="96">
        <v>32</v>
      </c>
      <c r="C202" s="96">
        <v>37</v>
      </c>
      <c r="D202" s="42" t="s">
        <v>55</v>
      </c>
      <c r="E202" s="54" t="s">
        <v>159</v>
      </c>
      <c r="F202" s="54">
        <v>0</v>
      </c>
      <c r="G202" s="93">
        <v>0</v>
      </c>
      <c r="H202" s="93">
        <v>0</v>
      </c>
      <c r="I202" s="54" t="s">
        <v>33</v>
      </c>
      <c r="J202" s="54" t="s">
        <v>83</v>
      </c>
    </row>
    <row r="203" spans="1:10" x14ac:dyDescent="0.25">
      <c r="A203" s="96">
        <v>188</v>
      </c>
      <c r="B203" s="96">
        <v>33</v>
      </c>
      <c r="C203" s="96">
        <v>38</v>
      </c>
      <c r="D203" s="42" t="s">
        <v>55</v>
      </c>
      <c r="E203" s="54" t="s">
        <v>159</v>
      </c>
      <c r="F203" s="54">
        <v>0</v>
      </c>
      <c r="G203" s="93">
        <v>0</v>
      </c>
      <c r="H203" s="93">
        <v>0</v>
      </c>
      <c r="I203" s="54" t="s">
        <v>33</v>
      </c>
      <c r="J203" s="54" t="s">
        <v>83</v>
      </c>
    </row>
    <row r="204" spans="1:10" x14ac:dyDescent="0.25">
      <c r="A204" s="96">
        <v>189</v>
      </c>
      <c r="B204" s="96">
        <v>34</v>
      </c>
      <c r="C204" s="96">
        <v>39</v>
      </c>
      <c r="D204" s="42" t="s">
        <v>55</v>
      </c>
      <c r="E204" s="54" t="s">
        <v>159</v>
      </c>
      <c r="F204" s="54">
        <v>0</v>
      </c>
      <c r="G204" s="93">
        <v>0</v>
      </c>
      <c r="H204" s="93">
        <v>0</v>
      </c>
      <c r="I204" s="54" t="s">
        <v>33</v>
      </c>
      <c r="J204" s="54" t="s">
        <v>83</v>
      </c>
    </row>
    <row r="205" spans="1:10" x14ac:dyDescent="0.25">
      <c r="A205" s="96">
        <v>190</v>
      </c>
      <c r="B205" s="96">
        <v>35</v>
      </c>
      <c r="C205" s="96">
        <v>40</v>
      </c>
      <c r="D205" s="42" t="s">
        <v>55</v>
      </c>
      <c r="E205" s="54" t="s">
        <v>159</v>
      </c>
      <c r="F205" s="54">
        <v>0</v>
      </c>
      <c r="G205" s="93">
        <v>0</v>
      </c>
      <c r="H205" s="93">
        <v>0</v>
      </c>
      <c r="I205" s="54" t="s">
        <v>33</v>
      </c>
      <c r="J205" s="54" t="s">
        <v>83</v>
      </c>
    </row>
    <row r="206" spans="1:10" x14ac:dyDescent="0.25">
      <c r="A206" s="96">
        <v>191</v>
      </c>
      <c r="B206" s="96">
        <v>36</v>
      </c>
      <c r="C206" s="96">
        <v>41</v>
      </c>
      <c r="D206" s="42" t="s">
        <v>55</v>
      </c>
      <c r="E206" s="54" t="s">
        <v>159</v>
      </c>
      <c r="F206" s="54">
        <v>0</v>
      </c>
      <c r="G206" s="93">
        <v>0</v>
      </c>
      <c r="H206" s="93">
        <v>0</v>
      </c>
      <c r="I206" s="54" t="s">
        <v>33</v>
      </c>
      <c r="J206" s="54" t="s">
        <v>83</v>
      </c>
    </row>
    <row r="207" spans="1:10" x14ac:dyDescent="0.25">
      <c r="A207" s="96">
        <v>192</v>
      </c>
      <c r="B207" s="96">
        <v>37</v>
      </c>
      <c r="C207" s="96">
        <v>42</v>
      </c>
      <c r="D207" s="42" t="s">
        <v>55</v>
      </c>
      <c r="E207" s="54" t="s">
        <v>159</v>
      </c>
      <c r="F207" s="54">
        <v>0</v>
      </c>
      <c r="G207" s="93">
        <v>0</v>
      </c>
      <c r="H207" s="93">
        <v>0</v>
      </c>
      <c r="I207" s="54" t="s">
        <v>33</v>
      </c>
      <c r="J207" s="54" t="s">
        <v>83</v>
      </c>
    </row>
    <row r="208" spans="1:10" x14ac:dyDescent="0.25">
      <c r="A208" s="96">
        <v>193</v>
      </c>
      <c r="B208" s="96">
        <v>38</v>
      </c>
      <c r="C208" s="96">
        <v>43</v>
      </c>
      <c r="D208" s="42" t="s">
        <v>55</v>
      </c>
      <c r="E208" s="54" t="s">
        <v>159</v>
      </c>
      <c r="F208" s="54">
        <v>0</v>
      </c>
      <c r="G208" s="93">
        <v>0</v>
      </c>
      <c r="H208" s="93">
        <v>0</v>
      </c>
      <c r="I208" s="54" t="s">
        <v>33</v>
      </c>
      <c r="J208" s="54" t="s">
        <v>83</v>
      </c>
    </row>
    <row r="209" spans="1:10" x14ac:dyDescent="0.25">
      <c r="A209" s="96">
        <v>194</v>
      </c>
      <c r="B209" s="96">
        <v>39</v>
      </c>
      <c r="C209" s="96">
        <v>44</v>
      </c>
      <c r="D209" s="42" t="s">
        <v>55</v>
      </c>
      <c r="E209" s="54" t="s">
        <v>159</v>
      </c>
      <c r="F209" s="54">
        <v>0</v>
      </c>
      <c r="G209" s="93">
        <v>0</v>
      </c>
      <c r="H209" s="93">
        <v>0</v>
      </c>
      <c r="I209" s="54" t="s">
        <v>33</v>
      </c>
      <c r="J209" s="54" t="s">
        <v>83</v>
      </c>
    </row>
    <row r="210" spans="1:10" x14ac:dyDescent="0.25">
      <c r="A210" s="96">
        <v>195</v>
      </c>
      <c r="B210" s="96">
        <v>40</v>
      </c>
      <c r="C210" s="96">
        <v>45</v>
      </c>
      <c r="D210" s="42" t="s">
        <v>55</v>
      </c>
      <c r="E210" s="54" t="s">
        <v>159</v>
      </c>
      <c r="F210" s="54">
        <v>0</v>
      </c>
      <c r="G210" s="93">
        <v>0</v>
      </c>
      <c r="H210" s="93">
        <v>0</v>
      </c>
      <c r="I210" s="54" t="s">
        <v>33</v>
      </c>
      <c r="J210" s="54" t="s">
        <v>83</v>
      </c>
    </row>
    <row r="211" spans="1:10" x14ac:dyDescent="0.25">
      <c r="A211" s="96">
        <v>196</v>
      </c>
      <c r="B211" s="96">
        <v>41</v>
      </c>
      <c r="C211" s="96">
        <v>46</v>
      </c>
      <c r="D211" s="42" t="s">
        <v>55</v>
      </c>
      <c r="E211" s="54" t="s">
        <v>159</v>
      </c>
      <c r="F211" s="54">
        <v>0</v>
      </c>
      <c r="G211" s="93">
        <v>0</v>
      </c>
      <c r="H211" s="93">
        <v>0</v>
      </c>
      <c r="I211" s="54" t="s">
        <v>33</v>
      </c>
      <c r="J211" s="54" t="s">
        <v>83</v>
      </c>
    </row>
    <row r="212" spans="1:10" x14ac:dyDescent="0.25">
      <c r="A212" s="96">
        <v>197</v>
      </c>
      <c r="B212" s="96">
        <v>42</v>
      </c>
      <c r="C212" s="96">
        <v>47</v>
      </c>
      <c r="D212" s="42" t="s">
        <v>55</v>
      </c>
      <c r="E212" s="54" t="s">
        <v>159</v>
      </c>
      <c r="F212" s="54">
        <v>0</v>
      </c>
      <c r="G212" s="93">
        <v>0</v>
      </c>
      <c r="H212" s="93">
        <v>0</v>
      </c>
      <c r="I212" s="54" t="s">
        <v>33</v>
      </c>
      <c r="J212" s="54" t="s">
        <v>83</v>
      </c>
    </row>
    <row r="213" spans="1:10" x14ac:dyDescent="0.25">
      <c r="A213" s="96">
        <v>198</v>
      </c>
      <c r="B213" s="96">
        <v>43</v>
      </c>
      <c r="C213" s="96">
        <v>48</v>
      </c>
      <c r="D213" s="42" t="s">
        <v>55</v>
      </c>
      <c r="E213" s="54" t="s">
        <v>159</v>
      </c>
      <c r="F213" s="54">
        <v>0</v>
      </c>
      <c r="G213" s="93">
        <v>0</v>
      </c>
      <c r="H213" s="93">
        <v>0</v>
      </c>
      <c r="I213" s="54" t="s">
        <v>33</v>
      </c>
      <c r="J213" s="54" t="s">
        <v>83</v>
      </c>
    </row>
    <row r="214" spans="1:10" x14ac:dyDescent="0.25">
      <c r="A214" s="96">
        <v>199</v>
      </c>
      <c r="B214" s="96">
        <v>44</v>
      </c>
      <c r="C214" s="96">
        <v>49</v>
      </c>
      <c r="D214" s="42" t="s">
        <v>55</v>
      </c>
      <c r="E214" s="54" t="s">
        <v>159</v>
      </c>
      <c r="F214" s="54">
        <v>0</v>
      </c>
      <c r="G214" s="93">
        <v>0</v>
      </c>
      <c r="H214" s="93">
        <v>0</v>
      </c>
      <c r="I214" s="54" t="s">
        <v>33</v>
      </c>
      <c r="J214" s="54" t="s">
        <v>83</v>
      </c>
    </row>
    <row r="215" spans="1:10" x14ac:dyDescent="0.25">
      <c r="A215" s="96">
        <v>200</v>
      </c>
      <c r="B215" s="96">
        <v>45</v>
      </c>
      <c r="C215" s="96">
        <v>50</v>
      </c>
      <c r="D215" s="42" t="s">
        <v>55</v>
      </c>
      <c r="E215" s="54" t="s">
        <v>159</v>
      </c>
      <c r="F215" s="54">
        <v>0</v>
      </c>
      <c r="G215" s="93">
        <v>0</v>
      </c>
      <c r="H215" s="93">
        <v>0</v>
      </c>
      <c r="I215" s="54" t="s">
        <v>33</v>
      </c>
      <c r="J215" s="54" t="s">
        <v>83</v>
      </c>
    </row>
    <row r="216" spans="1:10" x14ac:dyDescent="0.25">
      <c r="A216" s="96">
        <v>201</v>
      </c>
      <c r="B216" s="96">
        <v>51</v>
      </c>
      <c r="C216" s="96">
        <v>56</v>
      </c>
      <c r="D216" s="42" t="s">
        <v>55</v>
      </c>
      <c r="E216" s="54" t="s">
        <v>159</v>
      </c>
      <c r="F216" s="54">
        <v>0</v>
      </c>
      <c r="G216" s="93">
        <v>0</v>
      </c>
      <c r="H216" s="93">
        <v>0</v>
      </c>
      <c r="I216" s="54" t="s">
        <v>33</v>
      </c>
      <c r="J216" s="54" t="s">
        <v>83</v>
      </c>
    </row>
    <row r="217" spans="1:10" x14ac:dyDescent="0.25">
      <c r="A217" s="96">
        <v>202</v>
      </c>
      <c r="B217" s="96">
        <v>52</v>
      </c>
      <c r="C217" s="96">
        <v>57</v>
      </c>
      <c r="D217" s="42" t="s">
        <v>55</v>
      </c>
      <c r="E217" s="54" t="s">
        <v>159</v>
      </c>
      <c r="F217" s="54">
        <v>0</v>
      </c>
      <c r="G217" s="93">
        <v>0</v>
      </c>
      <c r="H217" s="93">
        <v>0</v>
      </c>
      <c r="I217" s="54" t="s">
        <v>33</v>
      </c>
      <c r="J217" s="54" t="s">
        <v>83</v>
      </c>
    </row>
    <row r="218" spans="1:10" x14ac:dyDescent="0.25">
      <c r="A218" s="96">
        <v>203</v>
      </c>
      <c r="B218" s="96">
        <v>53</v>
      </c>
      <c r="C218" s="96">
        <v>58</v>
      </c>
      <c r="D218" s="42" t="s">
        <v>55</v>
      </c>
      <c r="E218" s="54" t="s">
        <v>159</v>
      </c>
      <c r="F218" s="54">
        <v>0</v>
      </c>
      <c r="G218" s="93">
        <v>0</v>
      </c>
      <c r="H218" s="93">
        <v>0</v>
      </c>
      <c r="I218" s="54" t="s">
        <v>33</v>
      </c>
      <c r="J218" s="54" t="s">
        <v>83</v>
      </c>
    </row>
    <row r="219" spans="1:10" x14ac:dyDescent="0.25">
      <c r="A219" s="96">
        <v>204</v>
      </c>
      <c r="B219" s="96">
        <v>54</v>
      </c>
      <c r="C219" s="96">
        <v>59</v>
      </c>
      <c r="D219" s="42" t="s">
        <v>55</v>
      </c>
      <c r="E219" s="54" t="s">
        <v>159</v>
      </c>
      <c r="F219" s="54">
        <v>0</v>
      </c>
      <c r="G219" s="93">
        <v>0</v>
      </c>
      <c r="H219" s="93">
        <v>0</v>
      </c>
      <c r="I219" s="54" t="s">
        <v>33</v>
      </c>
      <c r="J219" s="54" t="s">
        <v>83</v>
      </c>
    </row>
    <row r="220" spans="1:10" x14ac:dyDescent="0.25">
      <c r="A220" s="96">
        <v>205</v>
      </c>
      <c r="B220" s="96">
        <v>55</v>
      </c>
      <c r="C220" s="96">
        <v>60</v>
      </c>
      <c r="D220" s="42" t="s">
        <v>55</v>
      </c>
      <c r="E220" s="54" t="s">
        <v>159</v>
      </c>
      <c r="F220" s="54">
        <v>0</v>
      </c>
      <c r="G220" s="93">
        <v>0</v>
      </c>
      <c r="H220" s="93">
        <v>0</v>
      </c>
      <c r="I220" s="54" t="s">
        <v>33</v>
      </c>
      <c r="J220" s="54" t="s">
        <v>83</v>
      </c>
    </row>
    <row r="221" spans="1:10" x14ac:dyDescent="0.25">
      <c r="A221" s="96">
        <v>206</v>
      </c>
      <c r="B221" s="96">
        <v>56</v>
      </c>
      <c r="C221" s="96">
        <v>61</v>
      </c>
      <c r="D221" s="42" t="s">
        <v>55</v>
      </c>
      <c r="E221" s="54" t="s">
        <v>159</v>
      </c>
      <c r="F221" s="54">
        <v>0</v>
      </c>
      <c r="G221" s="93">
        <v>0</v>
      </c>
      <c r="H221" s="93">
        <v>0</v>
      </c>
      <c r="I221" s="54" t="s">
        <v>33</v>
      </c>
      <c r="J221" s="54" t="s">
        <v>83</v>
      </c>
    </row>
    <row r="222" spans="1:10" x14ac:dyDescent="0.25">
      <c r="A222" s="96">
        <v>207</v>
      </c>
      <c r="B222" s="96">
        <v>57</v>
      </c>
      <c r="C222" s="96">
        <v>62</v>
      </c>
      <c r="D222" s="42" t="s">
        <v>55</v>
      </c>
      <c r="E222" s="54" t="s">
        <v>159</v>
      </c>
      <c r="F222" s="54">
        <v>0</v>
      </c>
      <c r="G222" s="93">
        <v>0</v>
      </c>
      <c r="H222" s="93">
        <v>0</v>
      </c>
      <c r="I222" s="54" t="s">
        <v>33</v>
      </c>
      <c r="J222" s="54" t="s">
        <v>83</v>
      </c>
    </row>
    <row r="223" spans="1:10" x14ac:dyDescent="0.25">
      <c r="A223" s="96">
        <v>208</v>
      </c>
      <c r="B223" s="96">
        <v>58</v>
      </c>
      <c r="C223" s="96">
        <v>63</v>
      </c>
      <c r="D223" s="42" t="s">
        <v>55</v>
      </c>
      <c r="E223" s="54" t="s">
        <v>159</v>
      </c>
      <c r="F223" s="54">
        <v>0</v>
      </c>
      <c r="G223" s="93">
        <v>0</v>
      </c>
      <c r="H223" s="93">
        <v>0</v>
      </c>
      <c r="I223" s="54" t="s">
        <v>33</v>
      </c>
      <c r="J223" s="54" t="s">
        <v>83</v>
      </c>
    </row>
    <row r="224" spans="1:10" x14ac:dyDescent="0.25">
      <c r="A224" s="96">
        <v>209</v>
      </c>
      <c r="B224" s="96">
        <v>59</v>
      </c>
      <c r="C224" s="96">
        <v>64</v>
      </c>
      <c r="D224" s="42" t="s">
        <v>55</v>
      </c>
      <c r="E224" s="54" t="s">
        <v>159</v>
      </c>
      <c r="F224" s="54">
        <v>0</v>
      </c>
      <c r="G224" s="93">
        <v>0</v>
      </c>
      <c r="H224" s="93">
        <v>0</v>
      </c>
      <c r="I224" s="54" t="s">
        <v>33</v>
      </c>
      <c r="J224" s="54" t="s">
        <v>83</v>
      </c>
    </row>
    <row r="225" spans="1:10" x14ac:dyDescent="0.25">
      <c r="A225" s="96">
        <v>210</v>
      </c>
      <c r="B225" s="96">
        <v>60</v>
      </c>
      <c r="C225" s="96">
        <v>65</v>
      </c>
      <c r="D225" s="42" t="s">
        <v>55</v>
      </c>
      <c r="E225" s="54" t="s">
        <v>159</v>
      </c>
      <c r="F225" s="54">
        <v>0</v>
      </c>
      <c r="G225" s="93">
        <v>0</v>
      </c>
      <c r="H225" s="93">
        <v>0</v>
      </c>
      <c r="I225" s="54" t="s">
        <v>33</v>
      </c>
      <c r="J225" s="54" t="s">
        <v>83</v>
      </c>
    </row>
    <row r="226" spans="1:10" x14ac:dyDescent="0.25">
      <c r="A226" s="96">
        <v>211</v>
      </c>
      <c r="B226" s="96">
        <v>61</v>
      </c>
      <c r="C226" s="96">
        <v>66</v>
      </c>
      <c r="D226" s="42" t="s">
        <v>55</v>
      </c>
      <c r="E226" s="54" t="s">
        <v>159</v>
      </c>
      <c r="F226" s="54">
        <v>0</v>
      </c>
      <c r="G226" s="93">
        <v>0</v>
      </c>
      <c r="H226" s="93">
        <v>0</v>
      </c>
      <c r="I226" s="54" t="s">
        <v>33</v>
      </c>
      <c r="J226" s="54" t="s">
        <v>83</v>
      </c>
    </row>
    <row r="227" spans="1:10" x14ac:dyDescent="0.25">
      <c r="A227" s="96">
        <v>212</v>
      </c>
      <c r="B227" s="96">
        <v>62</v>
      </c>
      <c r="C227" s="96">
        <v>67</v>
      </c>
      <c r="D227" s="42" t="s">
        <v>55</v>
      </c>
      <c r="E227" s="54" t="s">
        <v>159</v>
      </c>
      <c r="F227" s="54">
        <v>0</v>
      </c>
      <c r="G227" s="93">
        <v>0</v>
      </c>
      <c r="H227" s="93">
        <v>0</v>
      </c>
      <c r="I227" s="54" t="s">
        <v>33</v>
      </c>
      <c r="J227" s="54" t="s">
        <v>83</v>
      </c>
    </row>
    <row r="228" spans="1:10" x14ac:dyDescent="0.25">
      <c r="A228" s="96">
        <v>213</v>
      </c>
      <c r="B228" s="96">
        <v>63</v>
      </c>
      <c r="C228" s="96">
        <v>68</v>
      </c>
      <c r="D228" s="42" t="s">
        <v>55</v>
      </c>
      <c r="E228" s="54" t="s">
        <v>159</v>
      </c>
      <c r="F228" s="54">
        <v>0</v>
      </c>
      <c r="G228" s="93">
        <v>0</v>
      </c>
      <c r="H228" s="93">
        <v>0</v>
      </c>
      <c r="I228" s="54" t="s">
        <v>33</v>
      </c>
      <c r="J228" s="54" t="s">
        <v>83</v>
      </c>
    </row>
    <row r="229" spans="1:10" x14ac:dyDescent="0.25">
      <c r="A229" s="96">
        <v>214</v>
      </c>
      <c r="B229" s="96">
        <v>64</v>
      </c>
      <c r="C229" s="96">
        <v>69</v>
      </c>
      <c r="D229" s="42" t="s">
        <v>55</v>
      </c>
      <c r="E229" s="54" t="s">
        <v>159</v>
      </c>
      <c r="F229" s="54">
        <v>0</v>
      </c>
      <c r="G229" s="93">
        <v>0</v>
      </c>
      <c r="H229" s="93">
        <v>0</v>
      </c>
      <c r="I229" s="54" t="s">
        <v>33</v>
      </c>
      <c r="J229" s="54" t="s">
        <v>83</v>
      </c>
    </row>
    <row r="230" spans="1:10" x14ac:dyDescent="0.25">
      <c r="A230" s="96">
        <v>215</v>
      </c>
      <c r="B230" s="96">
        <v>65</v>
      </c>
      <c r="C230" s="96">
        <v>70</v>
      </c>
      <c r="D230" s="42" t="s">
        <v>55</v>
      </c>
      <c r="E230" s="54" t="s">
        <v>159</v>
      </c>
      <c r="F230" s="54">
        <v>0</v>
      </c>
      <c r="G230" s="93">
        <v>0</v>
      </c>
      <c r="H230" s="93">
        <v>0</v>
      </c>
      <c r="I230" s="54" t="s">
        <v>33</v>
      </c>
      <c r="J230" s="54" t="s">
        <v>83</v>
      </c>
    </row>
    <row r="231" spans="1:10" x14ac:dyDescent="0.25">
      <c r="A231" s="96">
        <v>216</v>
      </c>
      <c r="B231" s="96">
        <v>66</v>
      </c>
      <c r="C231" s="96">
        <v>71</v>
      </c>
      <c r="D231" s="42" t="s">
        <v>55</v>
      </c>
      <c r="E231" s="54" t="s">
        <v>159</v>
      </c>
      <c r="F231" s="54">
        <v>0</v>
      </c>
      <c r="G231" s="93">
        <v>0</v>
      </c>
      <c r="H231" s="93">
        <v>0</v>
      </c>
      <c r="I231" s="54" t="s">
        <v>33</v>
      </c>
      <c r="J231" s="54" t="s">
        <v>83</v>
      </c>
    </row>
    <row r="232" spans="1:10" x14ac:dyDescent="0.25">
      <c r="A232" s="96">
        <v>217</v>
      </c>
      <c r="B232" s="96">
        <v>67</v>
      </c>
      <c r="C232" s="96">
        <v>72</v>
      </c>
      <c r="D232" s="42" t="s">
        <v>55</v>
      </c>
      <c r="E232" s="54" t="s">
        <v>159</v>
      </c>
      <c r="F232" s="54">
        <v>0</v>
      </c>
      <c r="G232" s="93">
        <v>0</v>
      </c>
      <c r="H232" s="93">
        <v>0</v>
      </c>
      <c r="I232" s="54" t="s">
        <v>33</v>
      </c>
      <c r="J232" s="54" t="s">
        <v>83</v>
      </c>
    </row>
    <row r="233" spans="1:10" x14ac:dyDescent="0.25">
      <c r="A233" s="96">
        <v>218</v>
      </c>
      <c r="B233" s="96">
        <v>68</v>
      </c>
      <c r="C233" s="96">
        <v>73</v>
      </c>
      <c r="D233" s="42" t="s">
        <v>55</v>
      </c>
      <c r="E233" s="54" t="s">
        <v>159</v>
      </c>
      <c r="F233" s="54">
        <v>0</v>
      </c>
      <c r="G233" s="93">
        <v>0</v>
      </c>
      <c r="H233" s="93">
        <v>0</v>
      </c>
      <c r="I233" s="54" t="s">
        <v>33</v>
      </c>
      <c r="J233" s="54" t="s">
        <v>83</v>
      </c>
    </row>
    <row r="234" spans="1:10" x14ac:dyDescent="0.25">
      <c r="A234" s="96">
        <v>219</v>
      </c>
      <c r="B234" s="96">
        <v>69</v>
      </c>
      <c r="C234" s="96">
        <v>74</v>
      </c>
      <c r="D234" s="42" t="s">
        <v>55</v>
      </c>
      <c r="E234" s="54" t="s">
        <v>159</v>
      </c>
      <c r="F234" s="54">
        <v>0</v>
      </c>
      <c r="G234" s="93">
        <v>0</v>
      </c>
      <c r="H234" s="93">
        <v>0</v>
      </c>
      <c r="I234" s="54" t="s">
        <v>33</v>
      </c>
      <c r="J234" s="54" t="s">
        <v>83</v>
      </c>
    </row>
    <row r="235" spans="1:10" x14ac:dyDescent="0.25">
      <c r="A235" s="96">
        <v>220</v>
      </c>
      <c r="B235" s="96">
        <v>70</v>
      </c>
      <c r="C235" s="96">
        <v>75</v>
      </c>
      <c r="D235" s="42" t="s">
        <v>55</v>
      </c>
      <c r="E235" s="54" t="s">
        <v>159</v>
      </c>
      <c r="F235" s="54">
        <v>0</v>
      </c>
      <c r="G235" s="93">
        <v>0</v>
      </c>
      <c r="H235" s="93">
        <v>0</v>
      </c>
      <c r="I235" s="54" t="s">
        <v>33</v>
      </c>
      <c r="J235" s="54" t="s">
        <v>83</v>
      </c>
    </row>
    <row r="236" spans="1:10" x14ac:dyDescent="0.25">
      <c r="A236" s="96">
        <v>221</v>
      </c>
      <c r="B236" s="96">
        <v>76</v>
      </c>
      <c r="C236" s="96">
        <v>81</v>
      </c>
      <c r="D236" s="42" t="s">
        <v>55</v>
      </c>
      <c r="E236" s="54" t="s">
        <v>159</v>
      </c>
      <c r="F236" s="54">
        <v>0</v>
      </c>
      <c r="G236" s="93">
        <v>0</v>
      </c>
      <c r="H236" s="93">
        <v>0</v>
      </c>
      <c r="I236" s="54" t="s">
        <v>33</v>
      </c>
      <c r="J236" s="54" t="s">
        <v>83</v>
      </c>
    </row>
    <row r="237" spans="1:10" x14ac:dyDescent="0.25">
      <c r="A237" s="96">
        <v>222</v>
      </c>
      <c r="B237" s="96">
        <v>77</v>
      </c>
      <c r="C237" s="96">
        <v>82</v>
      </c>
      <c r="D237" s="42" t="s">
        <v>55</v>
      </c>
      <c r="E237" s="54" t="s">
        <v>159</v>
      </c>
      <c r="F237" s="54">
        <v>0</v>
      </c>
      <c r="G237" s="93">
        <v>0</v>
      </c>
      <c r="H237" s="93">
        <v>0</v>
      </c>
      <c r="I237" s="54" t="s">
        <v>33</v>
      </c>
      <c r="J237" s="54" t="s">
        <v>83</v>
      </c>
    </row>
    <row r="238" spans="1:10" x14ac:dyDescent="0.25">
      <c r="A238" s="96">
        <v>223</v>
      </c>
      <c r="B238" s="96">
        <v>78</v>
      </c>
      <c r="C238" s="96">
        <v>83</v>
      </c>
      <c r="D238" s="42" t="s">
        <v>55</v>
      </c>
      <c r="E238" s="54" t="s">
        <v>159</v>
      </c>
      <c r="F238" s="54">
        <v>0</v>
      </c>
      <c r="G238" s="93">
        <v>0</v>
      </c>
      <c r="H238" s="93">
        <v>0</v>
      </c>
      <c r="I238" s="54" t="s">
        <v>33</v>
      </c>
      <c r="J238" s="54" t="s">
        <v>83</v>
      </c>
    </row>
    <row r="239" spans="1:10" x14ac:dyDescent="0.25">
      <c r="A239" s="96">
        <v>224</v>
      </c>
      <c r="B239" s="96">
        <v>79</v>
      </c>
      <c r="C239" s="96">
        <v>84</v>
      </c>
      <c r="D239" s="42" t="s">
        <v>55</v>
      </c>
      <c r="E239" s="54" t="s">
        <v>159</v>
      </c>
      <c r="F239" s="54">
        <v>0</v>
      </c>
      <c r="G239" s="93">
        <v>0</v>
      </c>
      <c r="H239" s="93">
        <v>0</v>
      </c>
      <c r="I239" s="54" t="s">
        <v>33</v>
      </c>
      <c r="J239" s="54" t="s">
        <v>83</v>
      </c>
    </row>
    <row r="240" spans="1:10" x14ac:dyDescent="0.25">
      <c r="A240" s="96">
        <v>225</v>
      </c>
      <c r="B240" s="96">
        <v>80</v>
      </c>
      <c r="C240" s="96">
        <v>85</v>
      </c>
      <c r="D240" s="42" t="s">
        <v>55</v>
      </c>
      <c r="E240" s="54" t="s">
        <v>159</v>
      </c>
      <c r="F240" s="54">
        <v>0</v>
      </c>
      <c r="G240" s="93">
        <v>0</v>
      </c>
      <c r="H240" s="93">
        <v>0</v>
      </c>
      <c r="I240" s="54" t="s">
        <v>33</v>
      </c>
      <c r="J240" s="54" t="s">
        <v>83</v>
      </c>
    </row>
    <row r="241" spans="1:10" x14ac:dyDescent="0.25">
      <c r="A241" s="96">
        <v>226</v>
      </c>
      <c r="B241" s="96">
        <v>81</v>
      </c>
      <c r="C241" s="96">
        <v>86</v>
      </c>
      <c r="D241" s="42" t="s">
        <v>55</v>
      </c>
      <c r="E241" s="54" t="s">
        <v>159</v>
      </c>
      <c r="F241" s="54">
        <v>0</v>
      </c>
      <c r="G241" s="93">
        <v>0</v>
      </c>
      <c r="H241" s="93">
        <v>0</v>
      </c>
      <c r="I241" s="54" t="s">
        <v>33</v>
      </c>
      <c r="J241" s="54" t="s">
        <v>83</v>
      </c>
    </row>
    <row r="242" spans="1:10" x14ac:dyDescent="0.25">
      <c r="A242" s="96">
        <v>227</v>
      </c>
      <c r="B242" s="96">
        <v>82</v>
      </c>
      <c r="C242" s="96">
        <v>87</v>
      </c>
      <c r="D242" s="42" t="s">
        <v>55</v>
      </c>
      <c r="E242" s="54" t="s">
        <v>159</v>
      </c>
      <c r="F242" s="54">
        <v>0</v>
      </c>
      <c r="G242" s="93">
        <v>0</v>
      </c>
      <c r="H242" s="93">
        <v>0</v>
      </c>
      <c r="I242" s="54" t="s">
        <v>33</v>
      </c>
      <c r="J242" s="54" t="s">
        <v>83</v>
      </c>
    </row>
    <row r="243" spans="1:10" x14ac:dyDescent="0.25">
      <c r="A243" s="96">
        <v>228</v>
      </c>
      <c r="B243" s="96">
        <v>83</v>
      </c>
      <c r="C243" s="96">
        <v>88</v>
      </c>
      <c r="D243" s="42" t="s">
        <v>55</v>
      </c>
      <c r="E243" s="54" t="s">
        <v>159</v>
      </c>
      <c r="F243" s="54">
        <v>0</v>
      </c>
      <c r="G243" s="93">
        <v>0</v>
      </c>
      <c r="H243" s="93">
        <v>0</v>
      </c>
      <c r="I243" s="54" t="s">
        <v>33</v>
      </c>
      <c r="J243" s="54" t="s">
        <v>83</v>
      </c>
    </row>
    <row r="244" spans="1:10" x14ac:dyDescent="0.25">
      <c r="A244" s="96">
        <v>229</v>
      </c>
      <c r="B244" s="96">
        <v>84</v>
      </c>
      <c r="C244" s="96">
        <v>89</v>
      </c>
      <c r="D244" s="42" t="s">
        <v>55</v>
      </c>
      <c r="E244" s="54" t="s">
        <v>159</v>
      </c>
      <c r="F244" s="54">
        <v>0</v>
      </c>
      <c r="G244" s="93">
        <v>0</v>
      </c>
      <c r="H244" s="93">
        <v>0</v>
      </c>
      <c r="I244" s="54" t="s">
        <v>33</v>
      </c>
      <c r="J244" s="54" t="s">
        <v>83</v>
      </c>
    </row>
    <row r="245" spans="1:10" x14ac:dyDescent="0.25">
      <c r="A245" s="96">
        <v>230</v>
      </c>
      <c r="B245" s="96">
        <v>85</v>
      </c>
      <c r="C245" s="96">
        <v>90</v>
      </c>
      <c r="D245" s="42" t="s">
        <v>55</v>
      </c>
      <c r="E245" s="54" t="s">
        <v>159</v>
      </c>
      <c r="F245" s="54">
        <v>0</v>
      </c>
      <c r="G245" s="93">
        <v>0</v>
      </c>
      <c r="H245" s="93">
        <v>0</v>
      </c>
      <c r="I245" s="54" t="s">
        <v>33</v>
      </c>
      <c r="J245" s="54" t="s">
        <v>83</v>
      </c>
    </row>
    <row r="246" spans="1:10" x14ac:dyDescent="0.25">
      <c r="A246" s="96">
        <v>231</v>
      </c>
      <c r="B246" s="96">
        <v>86</v>
      </c>
      <c r="C246" s="96">
        <v>91</v>
      </c>
      <c r="D246" s="42" t="s">
        <v>55</v>
      </c>
      <c r="E246" s="54" t="s">
        <v>159</v>
      </c>
      <c r="F246" s="54">
        <v>0</v>
      </c>
      <c r="G246" s="93">
        <v>0</v>
      </c>
      <c r="H246" s="93">
        <v>0</v>
      </c>
      <c r="I246" s="54" t="s">
        <v>33</v>
      </c>
      <c r="J246" s="54" t="s">
        <v>83</v>
      </c>
    </row>
    <row r="247" spans="1:10" x14ac:dyDescent="0.25">
      <c r="A247" s="96">
        <v>232</v>
      </c>
      <c r="B247" s="96">
        <v>87</v>
      </c>
      <c r="C247" s="96">
        <v>92</v>
      </c>
      <c r="D247" s="42" t="s">
        <v>55</v>
      </c>
      <c r="E247" s="54" t="s">
        <v>159</v>
      </c>
      <c r="F247" s="54">
        <v>0</v>
      </c>
      <c r="G247" s="93">
        <v>0</v>
      </c>
      <c r="H247" s="93">
        <v>0</v>
      </c>
      <c r="I247" s="54" t="s">
        <v>33</v>
      </c>
      <c r="J247" s="54" t="s">
        <v>83</v>
      </c>
    </row>
    <row r="248" spans="1:10" x14ac:dyDescent="0.25">
      <c r="A248" s="96">
        <v>233</v>
      </c>
      <c r="B248" s="96">
        <v>88</v>
      </c>
      <c r="C248" s="96">
        <v>93</v>
      </c>
      <c r="D248" s="42" t="s">
        <v>55</v>
      </c>
      <c r="E248" s="54" t="s">
        <v>159</v>
      </c>
      <c r="F248" s="54">
        <v>0</v>
      </c>
      <c r="G248" s="93">
        <v>0</v>
      </c>
      <c r="H248" s="93">
        <v>0</v>
      </c>
      <c r="I248" s="54" t="s">
        <v>33</v>
      </c>
      <c r="J248" s="54" t="s">
        <v>83</v>
      </c>
    </row>
    <row r="249" spans="1:10" x14ac:dyDescent="0.25">
      <c r="A249" s="96">
        <v>234</v>
      </c>
      <c r="B249" s="96">
        <v>89</v>
      </c>
      <c r="C249" s="96">
        <v>94</v>
      </c>
      <c r="D249" s="42" t="s">
        <v>55</v>
      </c>
      <c r="E249" s="54" t="s">
        <v>159</v>
      </c>
      <c r="F249" s="54">
        <v>0</v>
      </c>
      <c r="G249" s="93">
        <v>0</v>
      </c>
      <c r="H249" s="93">
        <v>0</v>
      </c>
      <c r="I249" s="54" t="s">
        <v>33</v>
      </c>
      <c r="J249" s="54" t="s">
        <v>83</v>
      </c>
    </row>
    <row r="250" spans="1:10" x14ac:dyDescent="0.25">
      <c r="A250" s="96">
        <v>235</v>
      </c>
      <c r="B250" s="96">
        <v>90</v>
      </c>
      <c r="C250" s="96">
        <v>95</v>
      </c>
      <c r="D250" s="42" t="s">
        <v>55</v>
      </c>
      <c r="E250" s="54" t="s">
        <v>159</v>
      </c>
      <c r="F250" s="54">
        <v>0</v>
      </c>
      <c r="G250" s="93">
        <v>0</v>
      </c>
      <c r="H250" s="93">
        <v>0</v>
      </c>
      <c r="I250" s="54" t="s">
        <v>33</v>
      </c>
      <c r="J250" s="54" t="s">
        <v>83</v>
      </c>
    </row>
    <row r="251" spans="1:10" x14ac:dyDescent="0.25">
      <c r="A251" s="96">
        <v>236</v>
      </c>
      <c r="B251" s="96">
        <v>91</v>
      </c>
      <c r="C251" s="96">
        <v>96</v>
      </c>
      <c r="D251" s="42" t="s">
        <v>55</v>
      </c>
      <c r="E251" s="54" t="s">
        <v>159</v>
      </c>
      <c r="F251" s="54">
        <v>0</v>
      </c>
      <c r="G251" s="93">
        <v>0</v>
      </c>
      <c r="H251" s="93">
        <v>0</v>
      </c>
      <c r="I251" s="54" t="s">
        <v>33</v>
      </c>
      <c r="J251" s="54" t="s">
        <v>83</v>
      </c>
    </row>
    <row r="252" spans="1:10" x14ac:dyDescent="0.25">
      <c r="A252" s="96">
        <v>237</v>
      </c>
      <c r="B252" s="96">
        <v>92</v>
      </c>
      <c r="C252" s="96">
        <v>97</v>
      </c>
      <c r="D252" s="42" t="s">
        <v>55</v>
      </c>
      <c r="E252" s="54" t="s">
        <v>159</v>
      </c>
      <c r="F252" s="54">
        <v>0</v>
      </c>
      <c r="G252" s="93">
        <v>0</v>
      </c>
      <c r="H252" s="93">
        <v>0</v>
      </c>
      <c r="I252" s="54" t="s">
        <v>33</v>
      </c>
      <c r="J252" s="54" t="s">
        <v>83</v>
      </c>
    </row>
    <row r="253" spans="1:10" x14ac:dyDescent="0.25">
      <c r="A253" s="96">
        <v>238</v>
      </c>
      <c r="B253" s="96">
        <v>93</v>
      </c>
      <c r="C253" s="96">
        <v>98</v>
      </c>
      <c r="D253" s="42" t="s">
        <v>55</v>
      </c>
      <c r="E253" s="54" t="s">
        <v>159</v>
      </c>
      <c r="F253" s="54">
        <v>0</v>
      </c>
      <c r="G253" s="93">
        <v>0</v>
      </c>
      <c r="H253" s="93">
        <v>0</v>
      </c>
      <c r="I253" s="54" t="s">
        <v>33</v>
      </c>
      <c r="J253" s="54" t="s">
        <v>83</v>
      </c>
    </row>
    <row r="254" spans="1:10" x14ac:dyDescent="0.25">
      <c r="A254" s="96">
        <v>239</v>
      </c>
      <c r="B254" s="96">
        <v>94</v>
      </c>
      <c r="C254" s="96">
        <v>99</v>
      </c>
      <c r="D254" s="42" t="s">
        <v>55</v>
      </c>
      <c r="E254" s="54" t="s">
        <v>159</v>
      </c>
      <c r="F254" s="54">
        <v>0</v>
      </c>
      <c r="G254" s="93">
        <v>0</v>
      </c>
      <c r="H254" s="93">
        <v>0</v>
      </c>
      <c r="I254" s="54" t="s">
        <v>33</v>
      </c>
      <c r="J254" s="54" t="s">
        <v>83</v>
      </c>
    </row>
    <row r="255" spans="1:10" x14ac:dyDescent="0.25">
      <c r="A255" s="96">
        <v>240</v>
      </c>
      <c r="B255" s="96">
        <v>95</v>
      </c>
      <c r="C255" s="96">
        <v>100</v>
      </c>
      <c r="D255" s="42" t="s">
        <v>55</v>
      </c>
      <c r="E255" s="54" t="s">
        <v>159</v>
      </c>
      <c r="F255" s="54">
        <v>0</v>
      </c>
      <c r="G255" s="93">
        <v>0</v>
      </c>
      <c r="H255" s="93">
        <v>0</v>
      </c>
      <c r="I255" s="54" t="s">
        <v>33</v>
      </c>
      <c r="J255" s="54" t="s">
        <v>83</v>
      </c>
    </row>
    <row r="256" spans="1:10" x14ac:dyDescent="0.25">
      <c r="A256" s="96">
        <v>241</v>
      </c>
      <c r="B256" s="96">
        <v>101</v>
      </c>
      <c r="C256" s="96">
        <v>106</v>
      </c>
      <c r="D256" s="42" t="s">
        <v>55</v>
      </c>
      <c r="E256" s="54" t="s">
        <v>159</v>
      </c>
      <c r="F256" s="54">
        <v>0</v>
      </c>
      <c r="G256" s="93">
        <v>0</v>
      </c>
      <c r="H256" s="93">
        <v>0</v>
      </c>
      <c r="I256" s="54" t="s">
        <v>33</v>
      </c>
      <c r="J256" s="54" t="s">
        <v>83</v>
      </c>
    </row>
    <row r="257" spans="1:10" x14ac:dyDescent="0.25">
      <c r="A257" s="96">
        <v>242</v>
      </c>
      <c r="B257" s="96">
        <v>102</v>
      </c>
      <c r="C257" s="96">
        <v>107</v>
      </c>
      <c r="D257" s="42" t="s">
        <v>55</v>
      </c>
      <c r="E257" s="54" t="s">
        <v>159</v>
      </c>
      <c r="F257" s="54">
        <v>0</v>
      </c>
      <c r="G257" s="93">
        <v>0</v>
      </c>
      <c r="H257" s="93">
        <v>0</v>
      </c>
      <c r="I257" s="54" t="s">
        <v>33</v>
      </c>
      <c r="J257" s="54" t="s">
        <v>83</v>
      </c>
    </row>
    <row r="258" spans="1:10" x14ac:dyDescent="0.25">
      <c r="A258" s="96">
        <v>243</v>
      </c>
      <c r="B258" s="96">
        <v>103</v>
      </c>
      <c r="C258" s="96">
        <v>108</v>
      </c>
      <c r="D258" s="42" t="s">
        <v>55</v>
      </c>
      <c r="E258" s="54" t="s">
        <v>159</v>
      </c>
      <c r="F258" s="54">
        <v>0</v>
      </c>
      <c r="G258" s="93">
        <v>0</v>
      </c>
      <c r="H258" s="93">
        <v>0</v>
      </c>
      <c r="I258" s="54" t="s">
        <v>33</v>
      </c>
      <c r="J258" s="54" t="s">
        <v>83</v>
      </c>
    </row>
    <row r="259" spans="1:10" x14ac:dyDescent="0.25">
      <c r="A259" s="96">
        <v>244</v>
      </c>
      <c r="B259" s="96">
        <v>104</v>
      </c>
      <c r="C259" s="96">
        <v>109</v>
      </c>
      <c r="D259" s="42" t="s">
        <v>55</v>
      </c>
      <c r="E259" s="54" t="s">
        <v>159</v>
      </c>
      <c r="F259" s="54">
        <v>0</v>
      </c>
      <c r="G259" s="93">
        <v>0</v>
      </c>
      <c r="H259" s="93">
        <v>0</v>
      </c>
      <c r="I259" s="54" t="s">
        <v>33</v>
      </c>
      <c r="J259" s="54" t="s">
        <v>83</v>
      </c>
    </row>
    <row r="260" spans="1:10" x14ac:dyDescent="0.25">
      <c r="A260" s="96">
        <v>245</v>
      </c>
      <c r="B260" s="96">
        <v>105</v>
      </c>
      <c r="C260" s="96">
        <v>110</v>
      </c>
      <c r="D260" s="42" t="s">
        <v>55</v>
      </c>
      <c r="E260" s="54" t="s">
        <v>159</v>
      </c>
      <c r="F260" s="54">
        <v>0</v>
      </c>
      <c r="G260" s="93">
        <v>0</v>
      </c>
      <c r="H260" s="93">
        <v>0</v>
      </c>
      <c r="I260" s="54" t="s">
        <v>33</v>
      </c>
      <c r="J260" s="54" t="s">
        <v>83</v>
      </c>
    </row>
    <row r="261" spans="1:10" x14ac:dyDescent="0.25">
      <c r="A261" s="96">
        <v>246</v>
      </c>
      <c r="B261" s="96">
        <v>106</v>
      </c>
      <c r="C261" s="96">
        <v>111</v>
      </c>
      <c r="D261" s="42" t="s">
        <v>55</v>
      </c>
      <c r="E261" s="54" t="s">
        <v>159</v>
      </c>
      <c r="F261" s="54">
        <v>0</v>
      </c>
      <c r="G261" s="93">
        <v>0</v>
      </c>
      <c r="H261" s="93">
        <v>0</v>
      </c>
      <c r="I261" s="54" t="s">
        <v>33</v>
      </c>
      <c r="J261" s="54" t="s">
        <v>83</v>
      </c>
    </row>
    <row r="262" spans="1:10" x14ac:dyDescent="0.25">
      <c r="A262" s="96">
        <v>247</v>
      </c>
      <c r="B262" s="96">
        <v>107</v>
      </c>
      <c r="C262" s="96">
        <v>112</v>
      </c>
      <c r="D262" s="42" t="s">
        <v>55</v>
      </c>
      <c r="E262" s="54" t="s">
        <v>159</v>
      </c>
      <c r="F262" s="54">
        <v>0</v>
      </c>
      <c r="G262" s="93">
        <v>0</v>
      </c>
      <c r="H262" s="93">
        <v>0</v>
      </c>
      <c r="I262" s="54" t="s">
        <v>33</v>
      </c>
      <c r="J262" s="54" t="s">
        <v>83</v>
      </c>
    </row>
    <row r="263" spans="1:10" x14ac:dyDescent="0.25">
      <c r="A263" s="96">
        <v>248</v>
      </c>
      <c r="B263" s="96">
        <v>108</v>
      </c>
      <c r="C263" s="96">
        <v>113</v>
      </c>
      <c r="D263" s="42" t="s">
        <v>55</v>
      </c>
      <c r="E263" s="54" t="s">
        <v>159</v>
      </c>
      <c r="F263" s="54">
        <v>0</v>
      </c>
      <c r="G263" s="93">
        <v>0</v>
      </c>
      <c r="H263" s="93">
        <v>0</v>
      </c>
      <c r="I263" s="54" t="s">
        <v>33</v>
      </c>
      <c r="J263" s="54" t="s">
        <v>83</v>
      </c>
    </row>
    <row r="264" spans="1:10" x14ac:dyDescent="0.25">
      <c r="A264" s="96">
        <v>249</v>
      </c>
      <c r="B264" s="96">
        <v>109</v>
      </c>
      <c r="C264" s="96">
        <v>114</v>
      </c>
      <c r="D264" s="42" t="s">
        <v>55</v>
      </c>
      <c r="E264" s="54" t="s">
        <v>159</v>
      </c>
      <c r="F264" s="54">
        <v>0</v>
      </c>
      <c r="G264" s="93">
        <v>0</v>
      </c>
      <c r="H264" s="93">
        <v>0</v>
      </c>
      <c r="I264" s="54" t="s">
        <v>33</v>
      </c>
      <c r="J264" s="54" t="s">
        <v>83</v>
      </c>
    </row>
    <row r="265" spans="1:10" x14ac:dyDescent="0.25">
      <c r="A265" s="96">
        <v>250</v>
      </c>
      <c r="B265" s="96">
        <v>110</v>
      </c>
      <c r="C265" s="96">
        <v>115</v>
      </c>
      <c r="D265" s="42" t="s">
        <v>55</v>
      </c>
      <c r="E265" s="54" t="s">
        <v>159</v>
      </c>
      <c r="F265" s="54">
        <v>0</v>
      </c>
      <c r="G265" s="93">
        <v>0</v>
      </c>
      <c r="H265" s="93">
        <v>0</v>
      </c>
      <c r="I265" s="54" t="s">
        <v>33</v>
      </c>
      <c r="J265" s="54" t="s">
        <v>83</v>
      </c>
    </row>
    <row r="266" spans="1:10" x14ac:dyDescent="0.25">
      <c r="A266" s="96">
        <v>251</v>
      </c>
      <c r="B266" s="96">
        <v>111</v>
      </c>
      <c r="C266" s="96">
        <v>116</v>
      </c>
      <c r="D266" s="42" t="s">
        <v>55</v>
      </c>
      <c r="E266" s="54" t="s">
        <v>159</v>
      </c>
      <c r="F266" s="54">
        <v>0</v>
      </c>
      <c r="G266" s="93">
        <v>0</v>
      </c>
      <c r="H266" s="93">
        <v>0</v>
      </c>
      <c r="I266" s="54" t="s">
        <v>33</v>
      </c>
      <c r="J266" s="54" t="s">
        <v>83</v>
      </c>
    </row>
    <row r="267" spans="1:10" x14ac:dyDescent="0.25">
      <c r="A267" s="96">
        <v>252</v>
      </c>
      <c r="B267" s="96">
        <v>112</v>
      </c>
      <c r="C267" s="96">
        <v>117</v>
      </c>
      <c r="D267" s="42" t="s">
        <v>55</v>
      </c>
      <c r="E267" s="54" t="s">
        <v>159</v>
      </c>
      <c r="F267" s="54">
        <v>0</v>
      </c>
      <c r="G267" s="93">
        <v>0</v>
      </c>
      <c r="H267" s="93">
        <v>0</v>
      </c>
      <c r="I267" s="54" t="s">
        <v>33</v>
      </c>
      <c r="J267" s="54" t="s">
        <v>83</v>
      </c>
    </row>
    <row r="268" spans="1:10" x14ac:dyDescent="0.25">
      <c r="A268" s="96">
        <v>253</v>
      </c>
      <c r="B268" s="96">
        <v>113</v>
      </c>
      <c r="C268" s="96">
        <v>118</v>
      </c>
      <c r="D268" s="42" t="s">
        <v>55</v>
      </c>
      <c r="E268" s="54" t="s">
        <v>159</v>
      </c>
      <c r="F268" s="54">
        <v>0</v>
      </c>
      <c r="G268" s="93">
        <v>0</v>
      </c>
      <c r="H268" s="93">
        <v>0</v>
      </c>
      <c r="I268" s="54" t="s">
        <v>33</v>
      </c>
      <c r="J268" s="54" t="s">
        <v>83</v>
      </c>
    </row>
    <row r="269" spans="1:10" x14ac:dyDescent="0.25">
      <c r="A269" s="96">
        <v>254</v>
      </c>
      <c r="B269" s="96">
        <v>114</v>
      </c>
      <c r="C269" s="96">
        <v>119</v>
      </c>
      <c r="D269" s="42" t="s">
        <v>55</v>
      </c>
      <c r="E269" s="54" t="s">
        <v>159</v>
      </c>
      <c r="F269" s="54">
        <v>0</v>
      </c>
      <c r="G269" s="93">
        <v>0</v>
      </c>
      <c r="H269" s="93">
        <v>0</v>
      </c>
      <c r="I269" s="54" t="s">
        <v>33</v>
      </c>
      <c r="J269" s="54" t="s">
        <v>83</v>
      </c>
    </row>
    <row r="270" spans="1:10" x14ac:dyDescent="0.25">
      <c r="A270" s="96">
        <v>255</v>
      </c>
      <c r="B270" s="96">
        <v>115</v>
      </c>
      <c r="C270" s="96">
        <v>120</v>
      </c>
      <c r="D270" s="42" t="s">
        <v>55</v>
      </c>
      <c r="E270" s="54" t="s">
        <v>159</v>
      </c>
      <c r="F270" s="54">
        <v>0</v>
      </c>
      <c r="G270" s="93">
        <v>0</v>
      </c>
      <c r="H270" s="93">
        <v>0</v>
      </c>
      <c r="I270" s="54" t="s">
        <v>33</v>
      </c>
      <c r="J270" s="54" t="s">
        <v>83</v>
      </c>
    </row>
    <row r="271" spans="1:10" x14ac:dyDescent="0.25">
      <c r="A271" s="96">
        <v>256</v>
      </c>
      <c r="B271" s="96">
        <v>116</v>
      </c>
      <c r="C271" s="96">
        <v>121</v>
      </c>
      <c r="D271" s="42" t="s">
        <v>55</v>
      </c>
      <c r="E271" s="54" t="s">
        <v>159</v>
      </c>
      <c r="F271" s="54">
        <v>0</v>
      </c>
      <c r="G271" s="93">
        <v>0</v>
      </c>
      <c r="H271" s="93">
        <v>0</v>
      </c>
      <c r="I271" s="54" t="s">
        <v>33</v>
      </c>
      <c r="J271" s="54" t="s">
        <v>83</v>
      </c>
    </row>
    <row r="272" spans="1:10" x14ac:dyDescent="0.25">
      <c r="A272" s="96">
        <v>257</v>
      </c>
      <c r="B272" s="96">
        <v>117</v>
      </c>
      <c r="C272" s="96">
        <v>122</v>
      </c>
      <c r="D272" s="42" t="s">
        <v>55</v>
      </c>
      <c r="E272" s="54" t="s">
        <v>159</v>
      </c>
      <c r="F272" s="54">
        <v>0</v>
      </c>
      <c r="G272" s="93">
        <v>0</v>
      </c>
      <c r="H272" s="93">
        <v>0</v>
      </c>
      <c r="I272" s="54" t="s">
        <v>33</v>
      </c>
      <c r="J272" s="54" t="s">
        <v>83</v>
      </c>
    </row>
    <row r="273" spans="1:10" x14ac:dyDescent="0.25">
      <c r="A273" s="96">
        <v>258</v>
      </c>
      <c r="B273" s="96">
        <v>118</v>
      </c>
      <c r="C273" s="96">
        <v>123</v>
      </c>
      <c r="D273" s="42" t="s">
        <v>55</v>
      </c>
      <c r="E273" s="54" t="s">
        <v>159</v>
      </c>
      <c r="F273" s="54">
        <v>0</v>
      </c>
      <c r="G273" s="93">
        <v>0</v>
      </c>
      <c r="H273" s="93">
        <v>0</v>
      </c>
      <c r="I273" s="54" t="s">
        <v>33</v>
      </c>
      <c r="J273" s="54" t="s">
        <v>83</v>
      </c>
    </row>
    <row r="274" spans="1:10" x14ac:dyDescent="0.25">
      <c r="A274" s="96">
        <v>259</v>
      </c>
      <c r="B274" s="96">
        <v>119</v>
      </c>
      <c r="C274" s="96">
        <v>124</v>
      </c>
      <c r="D274" s="42" t="s">
        <v>55</v>
      </c>
      <c r="E274" s="54" t="s">
        <v>159</v>
      </c>
      <c r="F274" s="54">
        <v>0</v>
      </c>
      <c r="G274" s="93">
        <v>0</v>
      </c>
      <c r="H274" s="93">
        <v>0</v>
      </c>
      <c r="I274" s="54" t="s">
        <v>33</v>
      </c>
      <c r="J274" s="54" t="s">
        <v>83</v>
      </c>
    </row>
    <row r="275" spans="1:10" x14ac:dyDescent="0.25">
      <c r="A275" s="96">
        <v>260</v>
      </c>
      <c r="B275" s="96">
        <v>120</v>
      </c>
      <c r="C275" s="96">
        <v>125</v>
      </c>
      <c r="D275" s="42" t="s">
        <v>55</v>
      </c>
      <c r="E275" s="54" t="s">
        <v>159</v>
      </c>
      <c r="F275" s="54">
        <v>0</v>
      </c>
      <c r="G275" s="93">
        <v>0</v>
      </c>
      <c r="H275" s="93">
        <v>0</v>
      </c>
      <c r="I275" s="54" t="s">
        <v>33</v>
      </c>
      <c r="J275" s="54" t="s">
        <v>83</v>
      </c>
    </row>
  </sheetData>
  <phoneticPr fontId="13"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H11" sqref="H11"/>
    </sheetView>
  </sheetViews>
  <sheetFormatPr defaultColWidth="10.85546875" defaultRowHeight="15.75" x14ac:dyDescent="0.25"/>
  <cols>
    <col min="1" max="1" width="15.7109375" style="96" customWidth="1"/>
    <col min="2" max="5" width="10.7109375" style="96" customWidth="1"/>
    <col min="6" max="6" width="20.7109375" style="96" customWidth="1"/>
    <col min="7" max="10" width="10.7109375" style="54" customWidth="1"/>
    <col min="11" max="16384" width="10.85546875" style="84"/>
  </cols>
  <sheetData>
    <row r="1" spans="1:10" x14ac:dyDescent="0.25">
      <c r="A1" s="97" t="s">
        <v>133</v>
      </c>
      <c r="B1" s="81"/>
      <c r="C1" s="81"/>
      <c r="D1" s="81"/>
      <c r="E1" s="81"/>
      <c r="F1" s="81"/>
      <c r="G1" s="82"/>
      <c r="H1" s="82"/>
      <c r="I1" s="82"/>
      <c r="J1" s="83"/>
    </row>
    <row r="2" spans="1:10" x14ac:dyDescent="0.25">
      <c r="A2" s="88" t="s">
        <v>229</v>
      </c>
      <c r="B2" s="85"/>
      <c r="C2" s="85"/>
      <c r="D2" s="85"/>
      <c r="E2" s="85"/>
      <c r="F2" s="85"/>
      <c r="G2" s="86"/>
      <c r="H2" s="86"/>
      <c r="I2" s="86"/>
      <c r="J2" s="87"/>
    </row>
    <row r="3" spans="1:10" x14ac:dyDescent="0.25">
      <c r="A3" s="98" t="s">
        <v>150</v>
      </c>
      <c r="B3" s="85"/>
      <c r="C3" s="85"/>
      <c r="D3" s="85"/>
      <c r="E3" s="85"/>
      <c r="F3" s="85"/>
      <c r="G3" s="86"/>
      <c r="H3" s="86"/>
      <c r="I3" s="86"/>
      <c r="J3" s="87"/>
    </row>
    <row r="4" spans="1:10" x14ac:dyDescent="0.25">
      <c r="A4" s="69" t="s">
        <v>151</v>
      </c>
      <c r="B4" s="85"/>
      <c r="C4" s="85"/>
      <c r="D4" s="85"/>
      <c r="E4" s="85"/>
      <c r="F4" s="85"/>
      <c r="G4" s="86"/>
      <c r="H4" s="86"/>
      <c r="I4" s="86"/>
      <c r="J4" s="87"/>
    </row>
    <row r="5" spans="1:10" x14ac:dyDescent="0.25">
      <c r="A5" s="69" t="s">
        <v>152</v>
      </c>
      <c r="B5" s="85"/>
      <c r="C5" s="85"/>
      <c r="D5" s="85"/>
      <c r="E5" s="85"/>
      <c r="F5" s="85"/>
      <c r="G5" s="86"/>
      <c r="H5" s="86"/>
      <c r="I5" s="86"/>
      <c r="J5" s="87"/>
    </row>
    <row r="6" spans="1:10" x14ac:dyDescent="0.25">
      <c r="A6" s="131" t="s">
        <v>153</v>
      </c>
      <c r="B6" s="85"/>
      <c r="C6" s="85"/>
      <c r="D6" s="85"/>
      <c r="E6" s="85"/>
      <c r="F6" s="85"/>
      <c r="G6" s="86"/>
      <c r="H6" s="86"/>
      <c r="I6" s="86"/>
      <c r="J6" s="87"/>
    </row>
    <row r="7" spans="1:10" x14ac:dyDescent="0.25">
      <c r="A7" s="131" t="s">
        <v>209</v>
      </c>
      <c r="B7" s="85"/>
      <c r="C7" s="85"/>
      <c r="D7" s="85"/>
      <c r="E7" s="85"/>
      <c r="F7" s="85"/>
      <c r="G7" s="86"/>
      <c r="H7" s="86"/>
      <c r="I7" s="86"/>
      <c r="J7" s="87"/>
    </row>
    <row r="8" spans="1:10" x14ac:dyDescent="0.25">
      <c r="A8" s="128" t="s">
        <v>237</v>
      </c>
      <c r="B8" s="91"/>
      <c r="C8" s="91"/>
      <c r="D8" s="91"/>
      <c r="E8" s="91"/>
      <c r="F8" s="91"/>
      <c r="G8" s="99"/>
      <c r="H8" s="99"/>
      <c r="I8" s="99"/>
      <c r="J8" s="100"/>
    </row>
    <row r="9" spans="1:10" x14ac:dyDescent="0.25">
      <c r="A9" s="94"/>
      <c r="B9" s="54"/>
      <c r="C9" s="54"/>
      <c r="D9" s="54"/>
      <c r="E9" s="54"/>
      <c r="F9" s="54"/>
      <c r="G9" s="84"/>
      <c r="H9" s="84"/>
      <c r="I9" s="84"/>
      <c r="J9" s="84"/>
    </row>
    <row r="10" spans="1:10" s="10" customFormat="1" x14ac:dyDescent="0.25">
      <c r="A10" s="78" t="s">
        <v>226</v>
      </c>
      <c r="B10" s="14" t="s">
        <v>128</v>
      </c>
      <c r="C10" s="14" t="s">
        <v>129</v>
      </c>
      <c r="D10" s="14" t="s">
        <v>130</v>
      </c>
      <c r="E10" s="14" t="s">
        <v>131</v>
      </c>
      <c r="F10" s="78" t="s">
        <v>53</v>
      </c>
      <c r="G10" s="78" t="s">
        <v>231</v>
      </c>
      <c r="H10" s="54"/>
      <c r="I10" s="54"/>
      <c r="J10" s="54"/>
    </row>
    <row r="11" spans="1:10" x14ac:dyDescent="0.25">
      <c r="A11" s="96">
        <v>1</v>
      </c>
      <c r="B11" s="96">
        <v>101</v>
      </c>
      <c r="C11" s="96">
        <v>182</v>
      </c>
      <c r="D11" s="96">
        <v>105</v>
      </c>
      <c r="E11" s="96">
        <v>181</v>
      </c>
      <c r="F11" s="96" t="s">
        <v>259</v>
      </c>
      <c r="G11" s="54" t="s">
        <v>49</v>
      </c>
    </row>
    <row r="12" spans="1:10" x14ac:dyDescent="0.25">
      <c r="A12" s="96">
        <v>2</v>
      </c>
      <c r="B12" s="96">
        <v>102</v>
      </c>
      <c r="C12" s="96">
        <v>183</v>
      </c>
      <c r="D12" s="96">
        <v>106</v>
      </c>
      <c r="E12" s="96">
        <v>182</v>
      </c>
      <c r="F12" s="96" t="s">
        <v>259</v>
      </c>
      <c r="G12" s="54" t="s">
        <v>49</v>
      </c>
    </row>
    <row r="13" spans="1:10" x14ac:dyDescent="0.25">
      <c r="A13" s="96">
        <v>3</v>
      </c>
      <c r="B13" s="96">
        <v>103</v>
      </c>
      <c r="C13" s="96">
        <v>184</v>
      </c>
      <c r="D13" s="96">
        <v>107</v>
      </c>
      <c r="E13" s="96">
        <v>183</v>
      </c>
      <c r="F13" s="96" t="s">
        <v>259</v>
      </c>
      <c r="G13" s="54" t="s">
        <v>49</v>
      </c>
    </row>
    <row r="14" spans="1:10" x14ac:dyDescent="0.25">
      <c r="A14" s="96">
        <v>4</v>
      </c>
      <c r="B14" s="96">
        <v>104</v>
      </c>
      <c r="C14" s="96">
        <v>185</v>
      </c>
      <c r="D14" s="96">
        <v>108</v>
      </c>
      <c r="E14" s="96">
        <v>184</v>
      </c>
      <c r="F14" s="96" t="s">
        <v>259</v>
      </c>
      <c r="G14" s="54" t="s">
        <v>49</v>
      </c>
    </row>
    <row r="15" spans="1:10" x14ac:dyDescent="0.25">
      <c r="A15" s="96">
        <v>5</v>
      </c>
      <c r="B15" s="96">
        <v>105</v>
      </c>
      <c r="C15" s="96">
        <v>187</v>
      </c>
      <c r="D15" s="96">
        <v>109</v>
      </c>
      <c r="E15" s="96">
        <v>186</v>
      </c>
      <c r="F15" s="96" t="s">
        <v>259</v>
      </c>
      <c r="G15" s="54" t="s">
        <v>49</v>
      </c>
    </row>
    <row r="16" spans="1:10" x14ac:dyDescent="0.25">
      <c r="A16" s="96">
        <v>6</v>
      </c>
      <c r="B16" s="96">
        <v>106</v>
      </c>
      <c r="C16" s="96">
        <v>188</v>
      </c>
      <c r="D16" s="96">
        <v>110</v>
      </c>
      <c r="E16" s="96">
        <v>187</v>
      </c>
      <c r="F16" s="96" t="s">
        <v>259</v>
      </c>
      <c r="G16" s="54" t="s">
        <v>49</v>
      </c>
    </row>
    <row r="17" spans="1:7" x14ac:dyDescent="0.25">
      <c r="A17" s="96">
        <v>7</v>
      </c>
      <c r="B17" s="96">
        <v>107</v>
      </c>
      <c r="C17" s="96">
        <v>189</v>
      </c>
      <c r="D17" s="96">
        <v>111</v>
      </c>
      <c r="E17" s="96">
        <v>188</v>
      </c>
      <c r="F17" s="96" t="s">
        <v>259</v>
      </c>
      <c r="G17" s="54" t="s">
        <v>49</v>
      </c>
    </row>
    <row r="18" spans="1:7" x14ac:dyDescent="0.25">
      <c r="A18" s="96">
        <v>8</v>
      </c>
      <c r="B18" s="96">
        <v>108</v>
      </c>
      <c r="C18" s="96">
        <v>190</v>
      </c>
      <c r="D18" s="96">
        <v>112</v>
      </c>
      <c r="E18" s="96">
        <v>189</v>
      </c>
      <c r="F18" s="96" t="s">
        <v>259</v>
      </c>
      <c r="G18" s="54" t="s">
        <v>49</v>
      </c>
    </row>
    <row r="19" spans="1:7" x14ac:dyDescent="0.25">
      <c r="A19" s="96">
        <v>9</v>
      </c>
      <c r="B19" s="96">
        <v>109</v>
      </c>
      <c r="C19" s="96">
        <v>192</v>
      </c>
      <c r="D19" s="96">
        <v>113</v>
      </c>
      <c r="E19" s="96">
        <v>191</v>
      </c>
      <c r="F19" s="96" t="s">
        <v>259</v>
      </c>
      <c r="G19" s="54" t="s">
        <v>49</v>
      </c>
    </row>
    <row r="20" spans="1:7" x14ac:dyDescent="0.25">
      <c r="A20" s="96">
        <v>10</v>
      </c>
      <c r="B20" s="96">
        <v>110</v>
      </c>
      <c r="C20" s="96">
        <v>193</v>
      </c>
      <c r="D20" s="96">
        <v>114</v>
      </c>
      <c r="E20" s="96">
        <v>192</v>
      </c>
      <c r="F20" s="96" t="s">
        <v>259</v>
      </c>
      <c r="G20" s="54" t="s">
        <v>49</v>
      </c>
    </row>
    <row r="21" spans="1:7" x14ac:dyDescent="0.25">
      <c r="A21" s="96">
        <v>11</v>
      </c>
      <c r="B21" s="96">
        <v>111</v>
      </c>
      <c r="C21" s="96">
        <v>194</v>
      </c>
      <c r="D21" s="96">
        <v>115</v>
      </c>
      <c r="E21" s="96">
        <v>193</v>
      </c>
      <c r="F21" s="96" t="s">
        <v>259</v>
      </c>
      <c r="G21" s="54" t="s">
        <v>49</v>
      </c>
    </row>
    <row r="22" spans="1:7" x14ac:dyDescent="0.25">
      <c r="A22" s="96">
        <v>12</v>
      </c>
      <c r="B22" s="96">
        <v>112</v>
      </c>
      <c r="C22" s="96">
        <v>195</v>
      </c>
      <c r="D22" s="96">
        <v>116</v>
      </c>
      <c r="E22" s="96">
        <v>194</v>
      </c>
      <c r="F22" s="96" t="s">
        <v>259</v>
      </c>
      <c r="G22" s="54" t="s">
        <v>49</v>
      </c>
    </row>
    <row r="23" spans="1:7" x14ac:dyDescent="0.25">
      <c r="A23" s="96">
        <v>13</v>
      </c>
      <c r="B23" s="96">
        <v>113</v>
      </c>
      <c r="C23" s="96">
        <v>197</v>
      </c>
      <c r="D23" s="96">
        <v>117</v>
      </c>
      <c r="E23" s="96">
        <v>196</v>
      </c>
      <c r="F23" s="96" t="s">
        <v>259</v>
      </c>
      <c r="G23" s="54" t="s">
        <v>49</v>
      </c>
    </row>
    <row r="24" spans="1:7" x14ac:dyDescent="0.25">
      <c r="A24" s="96">
        <v>14</v>
      </c>
      <c r="B24" s="96">
        <v>114</v>
      </c>
      <c r="C24" s="96">
        <v>198</v>
      </c>
      <c r="D24" s="96">
        <v>118</v>
      </c>
      <c r="E24" s="96">
        <v>197</v>
      </c>
      <c r="F24" s="96" t="s">
        <v>259</v>
      </c>
      <c r="G24" s="54" t="s">
        <v>49</v>
      </c>
    </row>
    <row r="25" spans="1:7" x14ac:dyDescent="0.25">
      <c r="A25" s="96">
        <v>15</v>
      </c>
      <c r="B25" s="96">
        <v>115</v>
      </c>
      <c r="C25" s="96">
        <v>199</v>
      </c>
      <c r="D25" s="96">
        <v>119</v>
      </c>
      <c r="E25" s="96">
        <v>198</v>
      </c>
      <c r="F25" s="96" t="s">
        <v>259</v>
      </c>
      <c r="G25" s="54" t="s">
        <v>49</v>
      </c>
    </row>
    <row r="26" spans="1:7" x14ac:dyDescent="0.25">
      <c r="A26" s="96">
        <v>16</v>
      </c>
      <c r="B26" s="96">
        <v>116</v>
      </c>
      <c r="C26" s="96">
        <v>200</v>
      </c>
      <c r="D26" s="96">
        <v>120</v>
      </c>
      <c r="E26" s="96">
        <v>199</v>
      </c>
      <c r="F26" s="96" t="s">
        <v>259</v>
      </c>
      <c r="G26" s="54" t="s">
        <v>49</v>
      </c>
    </row>
    <row r="27" spans="1:7" x14ac:dyDescent="0.25">
      <c r="A27" s="96">
        <v>17</v>
      </c>
      <c r="B27" s="96">
        <v>121</v>
      </c>
      <c r="C27" s="96">
        <v>202</v>
      </c>
      <c r="D27" s="96">
        <v>125</v>
      </c>
      <c r="E27" s="96">
        <v>201</v>
      </c>
      <c r="F27" s="96" t="s">
        <v>259</v>
      </c>
      <c r="G27" s="54" t="s">
        <v>49</v>
      </c>
    </row>
    <row r="28" spans="1:7" x14ac:dyDescent="0.25">
      <c r="A28" s="96">
        <v>18</v>
      </c>
      <c r="B28" s="96">
        <v>122</v>
      </c>
      <c r="C28" s="96">
        <v>203</v>
      </c>
      <c r="D28" s="96">
        <v>126</v>
      </c>
      <c r="E28" s="96">
        <v>202</v>
      </c>
      <c r="F28" s="96" t="s">
        <v>259</v>
      </c>
      <c r="G28" s="54" t="s">
        <v>49</v>
      </c>
    </row>
    <row r="29" spans="1:7" x14ac:dyDescent="0.25">
      <c r="A29" s="96">
        <v>19</v>
      </c>
      <c r="B29" s="96">
        <v>123</v>
      </c>
      <c r="C29" s="96">
        <v>204</v>
      </c>
      <c r="D29" s="96">
        <v>127</v>
      </c>
      <c r="E29" s="96">
        <v>203</v>
      </c>
      <c r="F29" s="96" t="s">
        <v>259</v>
      </c>
      <c r="G29" s="54" t="s">
        <v>49</v>
      </c>
    </row>
    <row r="30" spans="1:7" x14ac:dyDescent="0.25">
      <c r="A30" s="96">
        <v>20</v>
      </c>
      <c r="B30" s="96">
        <v>124</v>
      </c>
      <c r="C30" s="96">
        <v>205</v>
      </c>
      <c r="D30" s="96">
        <v>128</v>
      </c>
      <c r="E30" s="96">
        <v>204</v>
      </c>
      <c r="F30" s="96" t="s">
        <v>259</v>
      </c>
      <c r="G30" s="54" t="s">
        <v>49</v>
      </c>
    </row>
    <row r="31" spans="1:7" x14ac:dyDescent="0.25">
      <c r="A31" s="96">
        <v>21</v>
      </c>
      <c r="B31" s="96">
        <v>125</v>
      </c>
      <c r="C31" s="96">
        <v>207</v>
      </c>
      <c r="D31" s="96">
        <v>129</v>
      </c>
      <c r="E31" s="96">
        <v>206</v>
      </c>
      <c r="F31" s="96" t="s">
        <v>259</v>
      </c>
      <c r="G31" s="54" t="s">
        <v>49</v>
      </c>
    </row>
    <row r="32" spans="1:7" x14ac:dyDescent="0.25">
      <c r="A32" s="96">
        <v>22</v>
      </c>
      <c r="B32" s="96">
        <v>126</v>
      </c>
      <c r="C32" s="96">
        <v>208</v>
      </c>
      <c r="D32" s="96">
        <v>130</v>
      </c>
      <c r="E32" s="96">
        <v>207</v>
      </c>
      <c r="F32" s="96" t="s">
        <v>259</v>
      </c>
      <c r="G32" s="54" t="s">
        <v>49</v>
      </c>
    </row>
    <row r="33" spans="1:7" x14ac:dyDescent="0.25">
      <c r="A33" s="96">
        <v>23</v>
      </c>
      <c r="B33" s="96">
        <v>127</v>
      </c>
      <c r="C33" s="96">
        <v>209</v>
      </c>
      <c r="D33" s="96">
        <v>131</v>
      </c>
      <c r="E33" s="96">
        <v>208</v>
      </c>
      <c r="F33" s="96" t="s">
        <v>259</v>
      </c>
      <c r="G33" s="54" t="s">
        <v>49</v>
      </c>
    </row>
    <row r="34" spans="1:7" x14ac:dyDescent="0.25">
      <c r="A34" s="96">
        <v>24</v>
      </c>
      <c r="B34" s="96">
        <v>128</v>
      </c>
      <c r="C34" s="96">
        <v>210</v>
      </c>
      <c r="D34" s="96">
        <v>132</v>
      </c>
      <c r="E34" s="96">
        <v>209</v>
      </c>
      <c r="F34" s="96" t="s">
        <v>259</v>
      </c>
      <c r="G34" s="54" t="s">
        <v>49</v>
      </c>
    </row>
    <row r="35" spans="1:7" x14ac:dyDescent="0.25">
      <c r="A35" s="96">
        <v>25</v>
      </c>
      <c r="B35" s="96">
        <v>129</v>
      </c>
      <c r="C35" s="96">
        <v>212</v>
      </c>
      <c r="D35" s="96">
        <v>133</v>
      </c>
      <c r="E35" s="96">
        <v>211</v>
      </c>
      <c r="F35" s="96" t="s">
        <v>259</v>
      </c>
      <c r="G35" s="54" t="s">
        <v>49</v>
      </c>
    </row>
    <row r="36" spans="1:7" x14ac:dyDescent="0.25">
      <c r="A36" s="96">
        <v>26</v>
      </c>
      <c r="B36" s="96">
        <v>130</v>
      </c>
      <c r="C36" s="96">
        <v>213</v>
      </c>
      <c r="D36" s="96">
        <v>134</v>
      </c>
      <c r="E36" s="96">
        <v>212</v>
      </c>
      <c r="F36" s="96" t="s">
        <v>259</v>
      </c>
      <c r="G36" s="54" t="s">
        <v>49</v>
      </c>
    </row>
    <row r="37" spans="1:7" x14ac:dyDescent="0.25">
      <c r="A37" s="96">
        <v>27</v>
      </c>
      <c r="B37" s="96">
        <v>131</v>
      </c>
      <c r="C37" s="96">
        <v>214</v>
      </c>
      <c r="D37" s="96">
        <v>135</v>
      </c>
      <c r="E37" s="96">
        <v>213</v>
      </c>
      <c r="F37" s="96" t="s">
        <v>259</v>
      </c>
      <c r="G37" s="54" t="s">
        <v>49</v>
      </c>
    </row>
    <row r="38" spans="1:7" x14ac:dyDescent="0.25">
      <c r="A38" s="96">
        <v>28</v>
      </c>
      <c r="B38" s="96">
        <v>132</v>
      </c>
      <c r="C38" s="96">
        <v>215</v>
      </c>
      <c r="D38" s="96">
        <v>136</v>
      </c>
      <c r="E38" s="96">
        <v>214</v>
      </c>
      <c r="F38" s="96" t="s">
        <v>259</v>
      </c>
      <c r="G38" s="54" t="s">
        <v>49</v>
      </c>
    </row>
    <row r="39" spans="1:7" x14ac:dyDescent="0.25">
      <c r="A39" s="96">
        <v>29</v>
      </c>
      <c r="B39" s="96">
        <v>133</v>
      </c>
      <c r="C39" s="96">
        <v>217</v>
      </c>
      <c r="D39" s="96">
        <v>137</v>
      </c>
      <c r="E39" s="96">
        <v>216</v>
      </c>
      <c r="F39" s="96" t="s">
        <v>259</v>
      </c>
      <c r="G39" s="54" t="s">
        <v>49</v>
      </c>
    </row>
    <row r="40" spans="1:7" x14ac:dyDescent="0.25">
      <c r="A40" s="96">
        <v>30</v>
      </c>
      <c r="B40" s="96">
        <v>134</v>
      </c>
      <c r="C40" s="96">
        <v>218</v>
      </c>
      <c r="D40" s="96">
        <v>138</v>
      </c>
      <c r="E40" s="96">
        <v>217</v>
      </c>
      <c r="F40" s="96" t="s">
        <v>259</v>
      </c>
      <c r="G40" s="54" t="s">
        <v>49</v>
      </c>
    </row>
    <row r="41" spans="1:7" x14ac:dyDescent="0.25">
      <c r="A41" s="96">
        <v>31</v>
      </c>
      <c r="B41" s="96">
        <v>135</v>
      </c>
      <c r="C41" s="96">
        <v>219</v>
      </c>
      <c r="D41" s="96">
        <v>139</v>
      </c>
      <c r="E41" s="96">
        <v>218</v>
      </c>
      <c r="F41" s="96" t="s">
        <v>259</v>
      </c>
      <c r="G41" s="54" t="s">
        <v>49</v>
      </c>
    </row>
    <row r="42" spans="1:7" x14ac:dyDescent="0.25">
      <c r="A42" s="96">
        <v>32</v>
      </c>
      <c r="B42" s="96">
        <v>136</v>
      </c>
      <c r="C42" s="96">
        <v>220</v>
      </c>
      <c r="D42" s="96">
        <v>140</v>
      </c>
      <c r="E42" s="96">
        <v>219</v>
      </c>
      <c r="F42" s="96" t="s">
        <v>259</v>
      </c>
      <c r="G42" s="54" t="s">
        <v>49</v>
      </c>
    </row>
    <row r="43" spans="1:7" x14ac:dyDescent="0.25">
      <c r="A43" s="96">
        <v>33</v>
      </c>
      <c r="B43" s="96">
        <v>141</v>
      </c>
      <c r="C43" s="96">
        <v>222</v>
      </c>
      <c r="D43" s="96">
        <v>145</v>
      </c>
      <c r="E43" s="96">
        <v>221</v>
      </c>
      <c r="F43" s="96" t="s">
        <v>259</v>
      </c>
      <c r="G43" s="54" t="s">
        <v>49</v>
      </c>
    </row>
    <row r="44" spans="1:7" x14ac:dyDescent="0.25">
      <c r="A44" s="96">
        <v>34</v>
      </c>
      <c r="B44" s="96">
        <v>142</v>
      </c>
      <c r="C44" s="96">
        <v>223</v>
      </c>
      <c r="D44" s="96">
        <v>146</v>
      </c>
      <c r="E44" s="96">
        <v>222</v>
      </c>
      <c r="F44" s="96" t="s">
        <v>259</v>
      </c>
      <c r="G44" s="54" t="s">
        <v>49</v>
      </c>
    </row>
    <row r="45" spans="1:7" x14ac:dyDescent="0.25">
      <c r="A45" s="96">
        <v>35</v>
      </c>
      <c r="B45" s="96">
        <v>143</v>
      </c>
      <c r="C45" s="96">
        <v>224</v>
      </c>
      <c r="D45" s="96">
        <v>147</v>
      </c>
      <c r="E45" s="96">
        <v>223</v>
      </c>
      <c r="F45" s="96" t="s">
        <v>259</v>
      </c>
      <c r="G45" s="54" t="s">
        <v>49</v>
      </c>
    </row>
    <row r="46" spans="1:7" x14ac:dyDescent="0.25">
      <c r="A46" s="96">
        <v>36</v>
      </c>
      <c r="B46" s="96">
        <v>144</v>
      </c>
      <c r="C46" s="96">
        <v>225</v>
      </c>
      <c r="D46" s="96">
        <v>148</v>
      </c>
      <c r="E46" s="96">
        <v>224</v>
      </c>
      <c r="F46" s="96" t="s">
        <v>259</v>
      </c>
      <c r="G46" s="54" t="s">
        <v>49</v>
      </c>
    </row>
    <row r="47" spans="1:7" x14ac:dyDescent="0.25">
      <c r="A47" s="96">
        <v>37</v>
      </c>
      <c r="B47" s="96">
        <v>145</v>
      </c>
      <c r="C47" s="96">
        <v>227</v>
      </c>
      <c r="D47" s="96">
        <v>149</v>
      </c>
      <c r="E47" s="96">
        <v>226</v>
      </c>
      <c r="F47" s="96" t="s">
        <v>259</v>
      </c>
      <c r="G47" s="54" t="s">
        <v>49</v>
      </c>
    </row>
    <row r="48" spans="1:7" x14ac:dyDescent="0.25">
      <c r="A48" s="96">
        <v>38</v>
      </c>
      <c r="B48" s="96">
        <v>146</v>
      </c>
      <c r="C48" s="96">
        <v>228</v>
      </c>
      <c r="D48" s="96">
        <v>150</v>
      </c>
      <c r="E48" s="96">
        <v>227</v>
      </c>
      <c r="F48" s="96" t="s">
        <v>259</v>
      </c>
      <c r="G48" s="54" t="s">
        <v>49</v>
      </c>
    </row>
    <row r="49" spans="1:7" x14ac:dyDescent="0.25">
      <c r="A49" s="96">
        <v>39</v>
      </c>
      <c r="B49" s="96">
        <v>147</v>
      </c>
      <c r="C49" s="96">
        <v>229</v>
      </c>
      <c r="D49" s="96">
        <v>151</v>
      </c>
      <c r="E49" s="96">
        <v>228</v>
      </c>
      <c r="F49" s="96" t="s">
        <v>259</v>
      </c>
      <c r="G49" s="54" t="s">
        <v>49</v>
      </c>
    </row>
    <row r="50" spans="1:7" x14ac:dyDescent="0.25">
      <c r="A50" s="96">
        <v>40</v>
      </c>
      <c r="B50" s="96">
        <v>148</v>
      </c>
      <c r="C50" s="96">
        <v>230</v>
      </c>
      <c r="D50" s="96">
        <v>152</v>
      </c>
      <c r="E50" s="96">
        <v>229</v>
      </c>
      <c r="F50" s="96" t="s">
        <v>259</v>
      </c>
      <c r="G50" s="54" t="s">
        <v>49</v>
      </c>
    </row>
    <row r="51" spans="1:7" x14ac:dyDescent="0.25">
      <c r="A51" s="96">
        <v>41</v>
      </c>
      <c r="B51" s="96">
        <v>149</v>
      </c>
      <c r="C51" s="96">
        <v>232</v>
      </c>
      <c r="D51" s="96">
        <v>153</v>
      </c>
      <c r="E51" s="96">
        <v>231</v>
      </c>
      <c r="F51" s="96" t="s">
        <v>259</v>
      </c>
      <c r="G51" s="54" t="s">
        <v>49</v>
      </c>
    </row>
    <row r="52" spans="1:7" x14ac:dyDescent="0.25">
      <c r="A52" s="96">
        <v>42</v>
      </c>
      <c r="B52" s="96">
        <v>150</v>
      </c>
      <c r="C52" s="96">
        <v>233</v>
      </c>
      <c r="D52" s="96">
        <v>154</v>
      </c>
      <c r="E52" s="96">
        <v>232</v>
      </c>
      <c r="F52" s="96" t="s">
        <v>259</v>
      </c>
      <c r="G52" s="54" t="s">
        <v>49</v>
      </c>
    </row>
    <row r="53" spans="1:7" x14ac:dyDescent="0.25">
      <c r="A53" s="96">
        <v>43</v>
      </c>
      <c r="B53" s="96">
        <v>151</v>
      </c>
      <c r="C53" s="96">
        <v>234</v>
      </c>
      <c r="D53" s="96">
        <v>155</v>
      </c>
      <c r="E53" s="96">
        <v>233</v>
      </c>
      <c r="F53" s="96" t="s">
        <v>259</v>
      </c>
      <c r="G53" s="54" t="s">
        <v>49</v>
      </c>
    </row>
    <row r="54" spans="1:7" x14ac:dyDescent="0.25">
      <c r="A54" s="96">
        <v>44</v>
      </c>
      <c r="B54" s="96">
        <v>152</v>
      </c>
      <c r="C54" s="96">
        <v>235</v>
      </c>
      <c r="D54" s="96">
        <v>156</v>
      </c>
      <c r="E54" s="96">
        <v>234</v>
      </c>
      <c r="F54" s="96" t="s">
        <v>259</v>
      </c>
      <c r="G54" s="54" t="s">
        <v>49</v>
      </c>
    </row>
    <row r="55" spans="1:7" x14ac:dyDescent="0.25">
      <c r="A55" s="96">
        <v>45</v>
      </c>
      <c r="B55" s="96">
        <v>153</v>
      </c>
      <c r="C55" s="96">
        <v>237</v>
      </c>
      <c r="D55" s="96">
        <v>157</v>
      </c>
      <c r="E55" s="96">
        <v>236</v>
      </c>
      <c r="F55" s="96" t="s">
        <v>259</v>
      </c>
      <c r="G55" s="54" t="s">
        <v>49</v>
      </c>
    </row>
    <row r="56" spans="1:7" x14ac:dyDescent="0.25">
      <c r="A56" s="96">
        <v>46</v>
      </c>
      <c r="B56" s="96">
        <v>154</v>
      </c>
      <c r="C56" s="96">
        <v>238</v>
      </c>
      <c r="D56" s="96">
        <v>158</v>
      </c>
      <c r="E56" s="96">
        <v>237</v>
      </c>
      <c r="F56" s="96" t="s">
        <v>259</v>
      </c>
      <c r="G56" s="54" t="s">
        <v>49</v>
      </c>
    </row>
    <row r="57" spans="1:7" x14ac:dyDescent="0.25">
      <c r="A57" s="96">
        <v>47</v>
      </c>
      <c r="B57" s="96">
        <v>155</v>
      </c>
      <c r="C57" s="96">
        <v>239</v>
      </c>
      <c r="D57" s="96">
        <v>159</v>
      </c>
      <c r="E57" s="96">
        <v>238</v>
      </c>
      <c r="F57" s="96" t="s">
        <v>259</v>
      </c>
      <c r="G57" s="54" t="s">
        <v>49</v>
      </c>
    </row>
    <row r="58" spans="1:7" x14ac:dyDescent="0.25">
      <c r="A58" s="96">
        <v>48</v>
      </c>
      <c r="B58" s="96">
        <v>156</v>
      </c>
      <c r="C58" s="96">
        <v>240</v>
      </c>
      <c r="D58" s="96">
        <v>160</v>
      </c>
      <c r="E58" s="96">
        <v>239</v>
      </c>
      <c r="F58" s="96" t="s">
        <v>259</v>
      </c>
      <c r="G58" s="54" t="s">
        <v>49</v>
      </c>
    </row>
    <row r="59" spans="1:7" x14ac:dyDescent="0.25">
      <c r="A59" s="96">
        <v>49</v>
      </c>
      <c r="B59" s="96">
        <v>161</v>
      </c>
      <c r="C59" s="96">
        <v>242</v>
      </c>
      <c r="D59" s="96">
        <v>165</v>
      </c>
      <c r="E59" s="96">
        <v>241</v>
      </c>
      <c r="F59" s="96" t="s">
        <v>259</v>
      </c>
      <c r="G59" s="54" t="s">
        <v>49</v>
      </c>
    </row>
    <row r="60" spans="1:7" x14ac:dyDescent="0.25">
      <c r="A60" s="96">
        <v>50</v>
      </c>
      <c r="B60" s="96">
        <v>162</v>
      </c>
      <c r="C60" s="96">
        <v>243</v>
      </c>
      <c r="D60" s="96">
        <v>166</v>
      </c>
      <c r="E60" s="96">
        <v>242</v>
      </c>
      <c r="F60" s="96" t="s">
        <v>259</v>
      </c>
      <c r="G60" s="54" t="s">
        <v>49</v>
      </c>
    </row>
    <row r="61" spans="1:7" x14ac:dyDescent="0.25">
      <c r="A61" s="96">
        <v>51</v>
      </c>
      <c r="B61" s="96">
        <v>163</v>
      </c>
      <c r="C61" s="96">
        <v>244</v>
      </c>
      <c r="D61" s="96">
        <v>167</v>
      </c>
      <c r="E61" s="96">
        <v>243</v>
      </c>
      <c r="F61" s="96" t="s">
        <v>259</v>
      </c>
      <c r="G61" s="54" t="s">
        <v>49</v>
      </c>
    </row>
    <row r="62" spans="1:7" x14ac:dyDescent="0.25">
      <c r="A62" s="96">
        <v>52</v>
      </c>
      <c r="B62" s="96">
        <v>164</v>
      </c>
      <c r="C62" s="96">
        <v>245</v>
      </c>
      <c r="D62" s="96">
        <v>168</v>
      </c>
      <c r="E62" s="96">
        <v>244</v>
      </c>
      <c r="F62" s="96" t="s">
        <v>259</v>
      </c>
      <c r="G62" s="54" t="s">
        <v>49</v>
      </c>
    </row>
    <row r="63" spans="1:7" x14ac:dyDescent="0.25">
      <c r="A63" s="96">
        <v>53</v>
      </c>
      <c r="B63" s="96">
        <v>165</v>
      </c>
      <c r="C63" s="96">
        <v>247</v>
      </c>
      <c r="D63" s="96">
        <v>169</v>
      </c>
      <c r="E63" s="96">
        <v>246</v>
      </c>
      <c r="F63" s="96" t="s">
        <v>259</v>
      </c>
      <c r="G63" s="54" t="s">
        <v>49</v>
      </c>
    </row>
    <row r="64" spans="1:7" x14ac:dyDescent="0.25">
      <c r="A64" s="96">
        <v>54</v>
      </c>
      <c r="B64" s="96">
        <v>166</v>
      </c>
      <c r="C64" s="96">
        <v>248</v>
      </c>
      <c r="D64" s="96">
        <v>170</v>
      </c>
      <c r="E64" s="96">
        <v>247</v>
      </c>
      <c r="F64" s="96" t="s">
        <v>259</v>
      </c>
      <c r="G64" s="54" t="s">
        <v>49</v>
      </c>
    </row>
    <row r="65" spans="1:7" x14ac:dyDescent="0.25">
      <c r="A65" s="96">
        <v>55</v>
      </c>
      <c r="B65" s="96">
        <v>167</v>
      </c>
      <c r="C65" s="96">
        <v>249</v>
      </c>
      <c r="D65" s="96">
        <v>171</v>
      </c>
      <c r="E65" s="96">
        <v>248</v>
      </c>
      <c r="F65" s="96" t="s">
        <v>259</v>
      </c>
      <c r="G65" s="54" t="s">
        <v>49</v>
      </c>
    </row>
    <row r="66" spans="1:7" x14ac:dyDescent="0.25">
      <c r="A66" s="96">
        <v>56</v>
      </c>
      <c r="B66" s="96">
        <v>168</v>
      </c>
      <c r="C66" s="96">
        <v>250</v>
      </c>
      <c r="D66" s="96">
        <v>172</v>
      </c>
      <c r="E66" s="96">
        <v>249</v>
      </c>
      <c r="F66" s="96" t="s">
        <v>259</v>
      </c>
      <c r="G66" s="54" t="s">
        <v>49</v>
      </c>
    </row>
    <row r="67" spans="1:7" x14ac:dyDescent="0.25">
      <c r="A67" s="96">
        <v>57</v>
      </c>
      <c r="B67" s="96">
        <v>169</v>
      </c>
      <c r="C67" s="96">
        <v>252</v>
      </c>
      <c r="D67" s="96">
        <v>173</v>
      </c>
      <c r="E67" s="96">
        <v>251</v>
      </c>
      <c r="F67" s="96" t="s">
        <v>259</v>
      </c>
      <c r="G67" s="54" t="s">
        <v>49</v>
      </c>
    </row>
    <row r="68" spans="1:7" x14ac:dyDescent="0.25">
      <c r="A68" s="96">
        <v>58</v>
      </c>
      <c r="B68" s="96">
        <v>170</v>
      </c>
      <c r="C68" s="96">
        <v>253</v>
      </c>
      <c r="D68" s="96">
        <v>174</v>
      </c>
      <c r="E68" s="96">
        <v>252</v>
      </c>
      <c r="F68" s="96" t="s">
        <v>259</v>
      </c>
      <c r="G68" s="54" t="s">
        <v>49</v>
      </c>
    </row>
    <row r="69" spans="1:7" x14ac:dyDescent="0.25">
      <c r="A69" s="96">
        <v>59</v>
      </c>
      <c r="B69" s="96">
        <v>171</v>
      </c>
      <c r="C69" s="96">
        <v>254</v>
      </c>
      <c r="D69" s="96">
        <v>175</v>
      </c>
      <c r="E69" s="96">
        <v>253</v>
      </c>
      <c r="F69" s="96" t="s">
        <v>259</v>
      </c>
      <c r="G69" s="54" t="s">
        <v>49</v>
      </c>
    </row>
    <row r="70" spans="1:7" x14ac:dyDescent="0.25">
      <c r="A70" s="96">
        <v>60</v>
      </c>
      <c r="B70" s="96">
        <v>172</v>
      </c>
      <c r="C70" s="96">
        <v>255</v>
      </c>
      <c r="D70" s="96">
        <v>176</v>
      </c>
      <c r="E70" s="96">
        <v>254</v>
      </c>
      <c r="F70" s="96" t="s">
        <v>259</v>
      </c>
      <c r="G70" s="54" t="s">
        <v>49</v>
      </c>
    </row>
    <row r="71" spans="1:7" x14ac:dyDescent="0.25">
      <c r="A71" s="96">
        <v>61</v>
      </c>
      <c r="B71" s="96">
        <v>173</v>
      </c>
      <c r="C71" s="96">
        <v>257</v>
      </c>
      <c r="D71" s="96">
        <v>177</v>
      </c>
      <c r="E71" s="96">
        <v>256</v>
      </c>
      <c r="F71" s="96" t="s">
        <v>259</v>
      </c>
      <c r="G71" s="54" t="s">
        <v>49</v>
      </c>
    </row>
    <row r="72" spans="1:7" x14ac:dyDescent="0.25">
      <c r="A72" s="96">
        <v>62</v>
      </c>
      <c r="B72" s="96">
        <v>174</v>
      </c>
      <c r="C72" s="96">
        <v>258</v>
      </c>
      <c r="D72" s="96">
        <v>178</v>
      </c>
      <c r="E72" s="96">
        <v>257</v>
      </c>
      <c r="F72" s="96" t="s">
        <v>259</v>
      </c>
      <c r="G72" s="54" t="s">
        <v>49</v>
      </c>
    </row>
    <row r="73" spans="1:7" x14ac:dyDescent="0.25">
      <c r="A73" s="96">
        <v>63</v>
      </c>
      <c r="B73" s="96">
        <v>175</v>
      </c>
      <c r="C73" s="96">
        <v>259</v>
      </c>
      <c r="D73" s="96">
        <v>179</v>
      </c>
      <c r="E73" s="96">
        <v>258</v>
      </c>
      <c r="F73" s="96" t="s">
        <v>259</v>
      </c>
      <c r="G73" s="54" t="s">
        <v>49</v>
      </c>
    </row>
    <row r="74" spans="1:7" x14ac:dyDescent="0.25">
      <c r="A74" s="96">
        <v>64</v>
      </c>
      <c r="B74" s="96">
        <v>176</v>
      </c>
      <c r="C74" s="96">
        <v>260</v>
      </c>
      <c r="D74" s="96">
        <v>180</v>
      </c>
      <c r="E74" s="96">
        <v>259</v>
      </c>
      <c r="F74" s="96" t="s">
        <v>259</v>
      </c>
      <c r="G74" s="54" t="s">
        <v>49</v>
      </c>
    </row>
  </sheetData>
  <dataConsolidate/>
  <phoneticPr fontId="13"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E26" sqref="E26"/>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0" t="s">
        <v>133</v>
      </c>
      <c r="B1" s="36"/>
      <c r="C1" s="36"/>
      <c r="D1" s="36"/>
      <c r="E1" s="36"/>
      <c r="F1" s="36"/>
      <c r="G1" s="36"/>
      <c r="H1" s="124"/>
      <c r="I1" s="37"/>
    </row>
    <row r="2" spans="1:9" x14ac:dyDescent="0.25">
      <c r="A2" s="135" t="s">
        <v>239</v>
      </c>
      <c r="B2" s="38"/>
      <c r="C2" s="38"/>
      <c r="D2" s="38"/>
      <c r="E2" s="38"/>
      <c r="F2" s="38"/>
      <c r="G2" s="38"/>
      <c r="H2" s="123"/>
      <c r="I2" s="39"/>
    </row>
    <row r="3" spans="1:9" x14ac:dyDescent="0.25">
      <c r="A3" s="135" t="s">
        <v>240</v>
      </c>
      <c r="B3" s="38"/>
      <c r="C3" s="38"/>
      <c r="D3" s="38"/>
      <c r="E3" s="38"/>
      <c r="F3" s="38"/>
      <c r="G3" s="38"/>
      <c r="H3" s="123"/>
      <c r="I3" s="39"/>
    </row>
    <row r="4" spans="1:9" x14ac:dyDescent="0.25">
      <c r="A4" s="135" t="s">
        <v>241</v>
      </c>
      <c r="B4" s="38"/>
      <c r="C4" s="38"/>
      <c r="D4" s="38"/>
      <c r="E4" s="38"/>
      <c r="F4" s="38"/>
      <c r="G4" s="38"/>
      <c r="H4" s="123"/>
      <c r="I4" s="39"/>
    </row>
    <row r="5" spans="1:9" x14ac:dyDescent="0.25">
      <c r="A5" s="135" t="s">
        <v>242</v>
      </c>
      <c r="B5" s="38"/>
      <c r="C5" s="38"/>
      <c r="D5" s="38"/>
      <c r="E5" s="38"/>
      <c r="F5" s="38"/>
      <c r="G5" s="38"/>
      <c r="H5" s="123"/>
      <c r="I5" s="39"/>
    </row>
    <row r="6" spans="1:9" x14ac:dyDescent="0.25">
      <c r="A6" s="135" t="s">
        <v>243</v>
      </c>
      <c r="B6" s="38"/>
      <c r="C6" s="38"/>
      <c r="D6" s="38"/>
      <c r="E6" s="38"/>
      <c r="F6" s="38"/>
      <c r="G6" s="38"/>
      <c r="H6" s="123"/>
      <c r="I6" s="39"/>
    </row>
    <row r="7" spans="1:9" x14ac:dyDescent="0.25">
      <c r="A7" s="135" t="s">
        <v>244</v>
      </c>
      <c r="B7" s="38"/>
      <c r="C7" s="38"/>
      <c r="D7" s="38"/>
      <c r="E7" s="38"/>
      <c r="F7" s="38"/>
      <c r="G7" s="38"/>
      <c r="H7" s="123"/>
      <c r="I7" s="39"/>
    </row>
    <row r="8" spans="1:9" x14ac:dyDescent="0.25">
      <c r="A8" s="136" t="s">
        <v>245</v>
      </c>
      <c r="B8" s="40"/>
      <c r="C8" s="40"/>
      <c r="D8" s="40"/>
      <c r="E8" s="40"/>
      <c r="F8" s="40"/>
      <c r="G8" s="40"/>
      <c r="H8" s="125"/>
      <c r="I8" s="41"/>
    </row>
    <row r="9" spans="1:9" x14ac:dyDescent="0.25">
      <c r="A9" s="31"/>
    </row>
    <row r="10" spans="1:9" s="7" customFormat="1" x14ac:dyDescent="0.25">
      <c r="A10" s="28" t="s">
        <v>238</v>
      </c>
      <c r="B10" s="29" t="s">
        <v>56</v>
      </c>
      <c r="C10" s="29" t="s">
        <v>57</v>
      </c>
      <c r="D10" s="29" t="s">
        <v>58</v>
      </c>
      <c r="E10" s="29" t="s">
        <v>59</v>
      </c>
      <c r="F10" s="29" t="s">
        <v>60</v>
      </c>
      <c r="G10" s="29" t="s">
        <v>61</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1:H11"/>
  <sheetViews>
    <sheetView zoomScale="130" zoomScaleNormal="130" workbookViewId="0">
      <selection activeCell="D19" sqref="D19"/>
    </sheetView>
  </sheetViews>
  <sheetFormatPr defaultColWidth="9.140625" defaultRowHeight="15.75" x14ac:dyDescent="0.25"/>
  <cols>
    <col min="1" max="2" width="15.7109375" style="159" customWidth="1"/>
    <col min="3" max="8" width="10.7109375" style="160" customWidth="1"/>
    <col min="9" max="16384" width="9.140625" style="148"/>
  </cols>
  <sheetData>
    <row r="1" spans="1:8" x14ac:dyDescent="0.25">
      <c r="A1" s="150" t="s">
        <v>133</v>
      </c>
      <c r="B1" s="151"/>
      <c r="C1" s="151"/>
      <c r="D1" s="151"/>
      <c r="E1" s="151"/>
      <c r="F1" s="151"/>
      <c r="G1" s="151"/>
      <c r="H1" s="152"/>
    </row>
    <row r="2" spans="1:8" x14ac:dyDescent="0.25">
      <c r="A2" s="153" t="s">
        <v>290</v>
      </c>
      <c r="B2" s="154"/>
      <c r="C2" s="154"/>
      <c r="D2" s="154"/>
      <c r="E2" s="154"/>
      <c r="F2" s="154"/>
      <c r="G2" s="154"/>
      <c r="H2" s="155"/>
    </row>
    <row r="3" spans="1:8" x14ac:dyDescent="0.25">
      <c r="A3" s="153" t="s">
        <v>291</v>
      </c>
      <c r="B3" s="154"/>
      <c r="C3" s="154"/>
      <c r="D3" s="154"/>
      <c r="E3" s="154"/>
      <c r="F3" s="154"/>
      <c r="G3" s="154"/>
      <c r="H3" s="155"/>
    </row>
    <row r="4" spans="1:8" x14ac:dyDescent="0.25">
      <c r="A4" s="153" t="str">
        <f>"- FX: Force along global X-axis (Input as Float) ("&amp;'User Defined Units'!$B$10&amp;")"</f>
        <v>- FX: Force along global X-axis (Input as Float) (kN)</v>
      </c>
      <c r="B4" s="154"/>
      <c r="C4" s="154"/>
      <c r="D4" s="154"/>
      <c r="E4" s="154"/>
      <c r="F4" s="154"/>
      <c r="G4" s="154"/>
      <c r="H4" s="155"/>
    </row>
    <row r="5" spans="1:8" x14ac:dyDescent="0.25">
      <c r="A5" s="153" t="str">
        <f>"- FY: Force along global Y-axis (Input as Float) ("&amp;'User Defined Units'!$B$10&amp;")"</f>
        <v>- FY: Force along global Y-axis (Input as Float) (kN)</v>
      </c>
      <c r="B5" s="154"/>
      <c r="C5" s="154"/>
      <c r="D5" s="154"/>
      <c r="E5" s="154"/>
      <c r="F5" s="154"/>
      <c r="G5" s="154"/>
      <c r="H5" s="155"/>
    </row>
    <row r="6" spans="1:8" x14ac:dyDescent="0.25">
      <c r="A6" s="153" t="str">
        <f>"- FZ: Force along global Z-axis (Input as Float) ("&amp;'User Defined Units'!$B$10&amp;")"</f>
        <v>- FZ: Force along global Z-axis (Input as Float) (kN)</v>
      </c>
      <c r="B6" s="154"/>
      <c r="C6" s="154"/>
      <c r="D6" s="154"/>
      <c r="E6" s="154"/>
      <c r="F6" s="154"/>
      <c r="G6" s="154"/>
      <c r="H6" s="155"/>
    </row>
    <row r="7" spans="1:8" x14ac:dyDescent="0.25">
      <c r="A7" s="153" t="str">
        <f>"- MX: Moment about global X-axis (Input as Float) ("&amp;'User Defined Units'!$B$10&amp;"-"&amp;'User Defined Units'!$B$11&amp;")"</f>
        <v>- MX: Moment about global X-axis (Input as Float) (kN-m)</v>
      </c>
      <c r="B7" s="154"/>
      <c r="C7" s="154"/>
      <c r="D7" s="154"/>
      <c r="E7" s="154"/>
      <c r="F7" s="154"/>
      <c r="G7" s="154"/>
      <c r="H7" s="155"/>
    </row>
    <row r="8" spans="1:8" x14ac:dyDescent="0.25">
      <c r="A8" s="153" t="str">
        <f>"- MY: Moment about global Y-axis (Input as Float) ("&amp;'User Defined Units'!$B$10&amp;"-"&amp;'User Defined Units'!$B$11&amp;")"</f>
        <v>- MY: Moment about global Y-axis (Input as Float) (kN-m)</v>
      </c>
      <c r="B8" s="154"/>
      <c r="C8" s="154"/>
      <c r="D8" s="154"/>
      <c r="E8" s="154"/>
      <c r="F8" s="154"/>
      <c r="G8" s="154"/>
      <c r="H8" s="155"/>
    </row>
    <row r="9" spans="1:8" x14ac:dyDescent="0.25">
      <c r="A9" s="156" t="str">
        <f>"- MZ: Moment about global Z-axis (Input as Float) ("&amp;'User Defined Units'!$B$10&amp;"-"&amp;'User Defined Units'!$B$11&amp;")"</f>
        <v>- MZ: Moment about global Z-axis (Input as Float) (kN-m)</v>
      </c>
      <c r="B9" s="157"/>
      <c r="C9" s="157"/>
      <c r="D9" s="157"/>
      <c r="E9" s="157"/>
      <c r="F9" s="157"/>
      <c r="G9" s="157"/>
      <c r="H9" s="158"/>
    </row>
    <row r="10" spans="1:8" x14ac:dyDescent="0.25">
      <c r="A10" s="148"/>
      <c r="B10" s="148"/>
      <c r="C10" s="148"/>
      <c r="D10" s="148"/>
      <c r="E10" s="148"/>
      <c r="F10" s="148"/>
      <c r="G10" s="148"/>
      <c r="H10" s="148"/>
    </row>
    <row r="11" spans="1:8" s="139" customFormat="1" x14ac:dyDescent="0.25">
      <c r="A11" s="149" t="s">
        <v>238</v>
      </c>
      <c r="B11" s="149" t="s">
        <v>286</v>
      </c>
      <c r="C11" s="149" t="s">
        <v>280</v>
      </c>
      <c r="D11" s="149" t="s">
        <v>281</v>
      </c>
      <c r="E11" s="149" t="s">
        <v>282</v>
      </c>
      <c r="F11" s="149" t="s">
        <v>283</v>
      </c>
      <c r="G11" s="149" t="s">
        <v>284</v>
      </c>
      <c r="H11" s="149" t="s">
        <v>285</v>
      </c>
    </row>
  </sheetData>
  <dataValidations count="3">
    <dataValidation type="list" showInputMessage="1" showErrorMessage="1" errorTitle="Invalid Input" error="Choose from the list" sqref="A12:A1048576" xr:uid="{EA426CEF-76D2-46B7-BCF5-9565E78F0EB2}">
      <formula1>Point_ID</formula1>
    </dataValidation>
    <dataValidation type="decimal" allowBlank="1" showInputMessage="1" showErrorMessage="1" errorTitle="Invalid Input" error="Please enter a float value only." sqref="C12:H1048576" xr:uid="{FF595AA7-A6E3-4769-9683-1BD41C8B25C0}">
      <formula1>-1000000000000</formula1>
      <formula2>1000000000000</formula2>
    </dataValidation>
    <dataValidation type="list" showInputMessage="1" showErrorMessage="1" errorTitle="Invalid Input" error="Choose from the list" sqref="B12:B1048576" xr:uid="{E93D2070-1536-4868-9F08-ED7C2E7CB253}">
      <formula1>LC_Type</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5CF277-1F6A-492D-8E1A-EC3101EF3425}">
  <dimension ref="A1:K14"/>
  <sheetViews>
    <sheetView zoomScale="130" zoomScaleNormal="130" workbookViewId="0">
      <selection activeCell="I18" sqref="I18"/>
    </sheetView>
  </sheetViews>
  <sheetFormatPr defaultColWidth="9.140625" defaultRowHeight="15.75" x14ac:dyDescent="0.25"/>
  <cols>
    <col min="1" max="3" width="15.7109375" style="159" customWidth="1"/>
    <col min="4" max="11" width="10.7109375" style="160" customWidth="1"/>
    <col min="12" max="16384" width="9.140625" style="148"/>
  </cols>
  <sheetData>
    <row r="1" spans="1:11" x14ac:dyDescent="0.25">
      <c r="A1" s="150" t="s">
        <v>133</v>
      </c>
      <c r="B1" s="151"/>
      <c r="C1" s="151"/>
      <c r="D1" s="151"/>
      <c r="E1" s="151"/>
      <c r="F1" s="151"/>
      <c r="G1" s="151"/>
      <c r="H1" s="151"/>
      <c r="I1" s="151"/>
      <c r="J1" s="151"/>
      <c r="K1" s="152"/>
    </row>
    <row r="2" spans="1:11" x14ac:dyDescent="0.25">
      <c r="A2" s="153" t="s">
        <v>292</v>
      </c>
      <c r="B2" s="154"/>
      <c r="C2" s="154"/>
      <c r="D2" s="154"/>
      <c r="E2" s="154"/>
      <c r="F2" s="154"/>
      <c r="G2" s="154"/>
      <c r="H2" s="154"/>
      <c r="I2" s="154"/>
      <c r="J2" s="154"/>
      <c r="K2" s="155"/>
    </row>
    <row r="3" spans="1:11" x14ac:dyDescent="0.25">
      <c r="A3" s="153" t="s">
        <v>293</v>
      </c>
      <c r="B3" s="154"/>
      <c r="C3" s="154"/>
      <c r="D3" s="154"/>
      <c r="E3" s="154"/>
      <c r="F3" s="154"/>
      <c r="G3" s="154"/>
      <c r="H3" s="154"/>
      <c r="I3" s="154"/>
      <c r="J3" s="154"/>
      <c r="K3" s="155"/>
    </row>
    <row r="4" spans="1:11" x14ac:dyDescent="0.25">
      <c r="A4" s="153" t="s">
        <v>310</v>
      </c>
      <c r="B4" s="154"/>
      <c r="C4" s="154"/>
      <c r="D4" s="154"/>
      <c r="E4" s="154"/>
      <c r="F4" s="154"/>
      <c r="G4" s="154"/>
      <c r="H4" s="154"/>
      <c r="I4" s="154"/>
      <c r="J4" s="154"/>
      <c r="K4" s="155"/>
    </row>
    <row r="5" spans="1:11" x14ac:dyDescent="0.25">
      <c r="A5" s="153" t="str">
        <f>"- Load 1: Value of subjected line point load 1 (Input as Float) ("&amp;'User Defined Units'!$B$10&amp;")"</f>
        <v>- Load 1: Value of subjected line point load 1 (Input as Float) (kN)</v>
      </c>
      <c r="B5" s="154"/>
      <c r="C5" s="154"/>
      <c r="D5" s="154"/>
      <c r="E5" s="154"/>
      <c r="F5" s="154"/>
      <c r="G5" s="154"/>
      <c r="H5" s="154"/>
      <c r="I5" s="154"/>
      <c r="J5" s="154"/>
      <c r="K5" s="155"/>
    </row>
    <row r="6" spans="1:11" x14ac:dyDescent="0.25">
      <c r="A6" s="153" t="str">
        <f>"- Location 1: Location of subjected line point load 1 (Input as Float) ("&amp;'User Defined Units'!$B$11&amp;")"</f>
        <v>- Location 1: Location of subjected line point load 1 (Input as Float) (m)</v>
      </c>
      <c r="B6" s="154"/>
      <c r="C6" s="154"/>
      <c r="D6" s="154"/>
      <c r="E6" s="154"/>
      <c r="F6" s="154"/>
      <c r="G6" s="154"/>
      <c r="H6" s="154"/>
      <c r="I6" s="154"/>
      <c r="J6" s="154"/>
      <c r="K6" s="155"/>
    </row>
    <row r="7" spans="1:11" x14ac:dyDescent="0.25">
      <c r="A7" s="153" t="str">
        <f>"- Load 2: Value of subjected line point load 2 (Input as Float) ("&amp;'User Defined Units'!$B$10&amp;")"</f>
        <v>- Load 2: Value of subjected line point load 2 (Input as Float) (kN)</v>
      </c>
      <c r="B7" s="154"/>
      <c r="C7" s="154"/>
      <c r="D7" s="154"/>
      <c r="E7" s="154"/>
      <c r="F7" s="154"/>
      <c r="G7" s="154"/>
      <c r="H7" s="154"/>
      <c r="I7" s="154"/>
      <c r="J7" s="154"/>
      <c r="K7" s="155"/>
    </row>
    <row r="8" spans="1:11" x14ac:dyDescent="0.25">
      <c r="A8" s="153" t="str">
        <f>"- Location 2: Location of subjected line point load 2 (Input as Float) ("&amp;'User Defined Units'!$B$11&amp;")"</f>
        <v>- Location 2: Location of subjected line point load 2 (Input as Float) (m)</v>
      </c>
      <c r="B8" s="154"/>
      <c r="C8" s="154"/>
      <c r="D8" s="154"/>
      <c r="E8" s="154"/>
      <c r="F8" s="154"/>
      <c r="G8" s="154"/>
      <c r="H8" s="154"/>
      <c r="I8" s="154"/>
      <c r="J8" s="154"/>
      <c r="K8" s="155"/>
    </row>
    <row r="9" spans="1:11" x14ac:dyDescent="0.25">
      <c r="A9" s="153" t="str">
        <f>"- Load 3: Value of subjected line point load 3 (Input as Float) ("&amp;'User Defined Units'!$B$10&amp;")"</f>
        <v>- Load 3: Value of subjected line point load 3 (Input as Float) (kN)</v>
      </c>
      <c r="B9" s="154"/>
      <c r="C9" s="154"/>
      <c r="D9" s="154"/>
      <c r="E9" s="154"/>
      <c r="F9" s="154"/>
      <c r="G9" s="154"/>
      <c r="H9" s="154"/>
      <c r="I9" s="154"/>
      <c r="J9" s="154"/>
      <c r="K9" s="155"/>
    </row>
    <row r="10" spans="1:11" x14ac:dyDescent="0.25">
      <c r="A10" s="153" t="str">
        <f>"- Location 3: Location of subjected line point load 3 (Input as Float) ("&amp;'User Defined Units'!$B$11&amp;")"</f>
        <v>- Location 3: Location of subjected line point load 3 (Input as Float) (m)</v>
      </c>
      <c r="B10" s="154"/>
      <c r="C10" s="154"/>
      <c r="D10" s="154"/>
      <c r="E10" s="154"/>
      <c r="F10" s="154"/>
      <c r="G10" s="154"/>
      <c r="H10" s="154"/>
      <c r="I10" s="154"/>
      <c r="J10" s="154"/>
      <c r="K10" s="155"/>
    </row>
    <row r="11" spans="1:11" x14ac:dyDescent="0.25">
      <c r="A11" s="153" t="str">
        <f>"- Load 4: Value of subjected line point load 4 (Input as Float) ("&amp;'User Defined Units'!$B$10&amp;")"</f>
        <v>- Load 4: Value of subjected line point load 4 (Input as Float) (kN)</v>
      </c>
      <c r="B11" s="154"/>
      <c r="C11" s="154"/>
      <c r="D11" s="154"/>
      <c r="E11" s="154"/>
      <c r="F11" s="154"/>
      <c r="G11" s="154"/>
      <c r="H11" s="154"/>
      <c r="I11" s="154"/>
      <c r="J11" s="154"/>
      <c r="K11" s="155"/>
    </row>
    <row r="12" spans="1:11" x14ac:dyDescent="0.25">
      <c r="A12" s="156" t="str">
        <f>"- Location 4: Location of subjected line point load 4 (Input as Float) ("&amp;'User Defined Units'!$B$11&amp;")"</f>
        <v>- Location 4: Location of subjected line point load 4 (Input as Float) (m)</v>
      </c>
      <c r="B12" s="157"/>
      <c r="C12" s="157"/>
      <c r="D12" s="157"/>
      <c r="E12" s="157"/>
      <c r="F12" s="157"/>
      <c r="G12" s="157"/>
      <c r="H12" s="157"/>
      <c r="I12" s="157"/>
      <c r="J12" s="157"/>
      <c r="K12" s="158"/>
    </row>
    <row r="13" spans="1:11" x14ac:dyDescent="0.25">
      <c r="A13" s="148"/>
      <c r="B13" s="148"/>
      <c r="C13" s="148"/>
      <c r="D13" s="148"/>
      <c r="E13" s="148"/>
      <c r="F13" s="148"/>
      <c r="G13" s="148"/>
      <c r="H13" s="148"/>
      <c r="I13" s="148"/>
      <c r="J13" s="148"/>
      <c r="K13" s="148"/>
    </row>
    <row r="14" spans="1:11" s="139" customFormat="1" x14ac:dyDescent="0.25">
      <c r="A14" s="149" t="s">
        <v>287</v>
      </c>
      <c r="B14" s="149" t="s">
        <v>286</v>
      </c>
      <c r="C14" s="149" t="s">
        <v>289</v>
      </c>
      <c r="D14" s="149" t="s">
        <v>299</v>
      </c>
      <c r="E14" s="149" t="s">
        <v>303</v>
      </c>
      <c r="F14" s="149" t="s">
        <v>300</v>
      </c>
      <c r="G14" s="149" t="s">
        <v>304</v>
      </c>
      <c r="H14" s="149" t="s">
        <v>301</v>
      </c>
      <c r="I14" s="149" t="s">
        <v>305</v>
      </c>
      <c r="J14" s="149" t="s">
        <v>302</v>
      </c>
      <c r="K14" s="149" t="s">
        <v>306</v>
      </c>
    </row>
  </sheetData>
  <dataValidations count="4">
    <dataValidation type="list" showInputMessage="1" showErrorMessage="1" errorTitle="Invalid Input" error="Choose from the list" sqref="B15:B1048576" xr:uid="{8399D4E5-15D3-44EB-BAF5-D4D9376E21A9}">
      <formula1>LC_Type</formula1>
    </dataValidation>
    <dataValidation type="list" showInputMessage="1" showErrorMessage="1" errorTitle="Invalid Input" error="Choose from the list" sqref="A15:A1048576" xr:uid="{E806BA54-F03E-4170-B409-665005B7362E}">
      <formula1>Line_ID</formula1>
    </dataValidation>
    <dataValidation type="decimal" allowBlank="1" showInputMessage="1" showErrorMessage="1" errorTitle="Invalid Input" error="Please enter a float value only." sqref="D15:K1048576" xr:uid="{6DEDB52A-6E32-4CDB-9BBB-C36A5BFBDF1F}">
      <formula1>-1000000000000</formula1>
      <formula2>1000000000000</formula2>
    </dataValidation>
    <dataValidation type="list" showInputMessage="1" showErrorMessage="1" errorTitle="Invalid Input" error="Choose from the list" sqref="C15:C1048576" xr:uid="{C69DB190-B0B4-41DC-BB24-EADCC7640530}">
      <formula1>"Global-X, Global-Y, Gravity, Local-x, Local-y, Local-z"</formula1>
    </dataValidation>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AB727D-5FF3-4C5E-99AD-1C31CEAF2053}">
  <dimension ref="A1:L79"/>
  <sheetViews>
    <sheetView zoomScale="130" zoomScaleNormal="130" workbookViewId="0">
      <selection activeCell="G22" sqref="G22"/>
    </sheetView>
  </sheetViews>
  <sheetFormatPr defaultColWidth="9.140625" defaultRowHeight="15.75" x14ac:dyDescent="0.25"/>
  <cols>
    <col min="1" max="3" width="15.7109375" style="159" customWidth="1"/>
    <col min="4" max="4" width="15.7109375" style="160" customWidth="1"/>
    <col min="5" max="12" width="10.7109375" style="160" customWidth="1"/>
    <col min="13" max="16384" width="9.140625" style="148"/>
  </cols>
  <sheetData>
    <row r="1" spans="1:12" x14ac:dyDescent="0.25">
      <c r="A1" s="150" t="s">
        <v>133</v>
      </c>
      <c r="B1" s="151"/>
      <c r="C1" s="151"/>
      <c r="D1" s="151"/>
      <c r="E1" s="151"/>
      <c r="F1" s="151"/>
      <c r="G1" s="151"/>
      <c r="H1" s="151"/>
      <c r="I1" s="151"/>
      <c r="J1" s="151"/>
      <c r="K1" s="151"/>
      <c r="L1" s="152"/>
    </row>
    <row r="2" spans="1:12" x14ac:dyDescent="0.25">
      <c r="A2" s="153" t="s">
        <v>308</v>
      </c>
      <c r="B2" s="154"/>
      <c r="C2" s="154"/>
      <c r="D2" s="154"/>
      <c r="E2" s="154"/>
      <c r="F2" s="154"/>
      <c r="G2" s="154"/>
      <c r="H2" s="154"/>
      <c r="I2" s="154"/>
      <c r="J2" s="154"/>
      <c r="K2" s="154"/>
      <c r="L2" s="155"/>
    </row>
    <row r="3" spans="1:12" x14ac:dyDescent="0.25">
      <c r="A3" s="153" t="s">
        <v>309</v>
      </c>
      <c r="B3" s="154"/>
      <c r="C3" s="154"/>
      <c r="D3" s="154"/>
      <c r="E3" s="154"/>
      <c r="F3" s="154"/>
      <c r="G3" s="154"/>
      <c r="H3" s="154"/>
      <c r="I3" s="154"/>
      <c r="J3" s="154"/>
      <c r="K3" s="154"/>
      <c r="L3" s="155"/>
    </row>
    <row r="4" spans="1:12" x14ac:dyDescent="0.25">
      <c r="A4" s="153" t="s">
        <v>311</v>
      </c>
      <c r="B4" s="154"/>
      <c r="C4" s="154"/>
      <c r="D4" s="154"/>
      <c r="E4" s="154"/>
      <c r="F4" s="154"/>
      <c r="G4" s="154"/>
      <c r="H4" s="154"/>
      <c r="I4" s="154"/>
      <c r="J4" s="154"/>
      <c r="K4" s="154"/>
      <c r="L4" s="155"/>
    </row>
    <row r="5" spans="1:12" x14ac:dyDescent="0.25">
      <c r="A5" s="153" t="str">
        <f>"- Uniform Load: Value of subjected uniform distributed line load (Input as Float) ("&amp;'User Defined Units'!$B$10&amp;"/"&amp;'User Defined Units'!$B$11&amp;")"</f>
        <v>- Uniform Load: Value of subjected uniform distributed line load (Input as Float) (kN/m)</v>
      </c>
      <c r="B5" s="154"/>
      <c r="C5" s="154"/>
      <c r="D5" s="154"/>
      <c r="E5" s="154"/>
      <c r="F5" s="154"/>
      <c r="G5" s="154"/>
      <c r="H5" s="154"/>
      <c r="I5" s="154"/>
      <c r="J5" s="154"/>
      <c r="K5" s="154"/>
      <c r="L5" s="155"/>
    </row>
    <row r="6" spans="1:12" x14ac:dyDescent="0.25">
      <c r="A6" s="153" t="str">
        <f>"- Load 1: Value of subjected distributed line load 1 (Input as Float) ("&amp;'User Defined Units'!$B$10&amp;"/"&amp;'User Defined Units'!$B$11&amp;")"</f>
        <v>- Load 1: Value of subjected distributed line load 1 (Input as Float) (kN/m)</v>
      </c>
      <c r="B6" s="154"/>
      <c r="C6" s="154"/>
      <c r="D6" s="154"/>
      <c r="E6" s="154"/>
      <c r="F6" s="154"/>
      <c r="G6" s="154"/>
      <c r="H6" s="154"/>
      <c r="I6" s="154"/>
      <c r="J6" s="154"/>
      <c r="K6" s="154"/>
      <c r="L6" s="155"/>
    </row>
    <row r="7" spans="1:12" x14ac:dyDescent="0.25">
      <c r="A7" s="153" t="str">
        <f>"- Location 1: Location of subjected distributed line load 1 (Input as Float) ("&amp;'User Defined Units'!$B$11&amp;")"</f>
        <v>- Location 1: Location of subjected distributed line load 1 (Input as Float) (m)</v>
      </c>
      <c r="B7" s="154"/>
      <c r="C7" s="154"/>
      <c r="D7" s="154"/>
      <c r="E7" s="154"/>
      <c r="F7" s="154"/>
      <c r="G7" s="154"/>
      <c r="H7" s="154"/>
      <c r="I7" s="154"/>
      <c r="J7" s="154"/>
      <c r="K7" s="154"/>
      <c r="L7" s="155"/>
    </row>
    <row r="8" spans="1:12" x14ac:dyDescent="0.25">
      <c r="A8" s="153" t="str">
        <f>"- Load 2: Value of subjected distributed line load 2 (Input as Float) ("&amp;'User Defined Units'!$B$10&amp;"/"&amp;'User Defined Units'!$B$11&amp;")"</f>
        <v>- Load 2: Value of subjected distributed line load 2 (Input as Float) (kN/m)</v>
      </c>
      <c r="B8" s="154"/>
      <c r="C8" s="154"/>
      <c r="D8" s="154"/>
      <c r="E8" s="154"/>
      <c r="F8" s="154"/>
      <c r="G8" s="154"/>
      <c r="H8" s="154"/>
      <c r="I8" s="154"/>
      <c r="J8" s="154"/>
      <c r="K8" s="154"/>
      <c r="L8" s="155"/>
    </row>
    <row r="9" spans="1:12" x14ac:dyDescent="0.25">
      <c r="A9" s="153" t="str">
        <f>"- Location 2: Location of subjected distributed line load 2 (Input as Float) ("&amp;'User Defined Units'!$B$11&amp;")"</f>
        <v>- Location 2: Location of subjected distributed line load 2 (Input as Float) (m)</v>
      </c>
      <c r="B9" s="154"/>
      <c r="C9" s="154"/>
      <c r="D9" s="154"/>
      <c r="E9" s="154"/>
      <c r="F9" s="154"/>
      <c r="G9" s="154"/>
      <c r="H9" s="154"/>
      <c r="I9" s="154"/>
      <c r="J9" s="154"/>
      <c r="K9" s="154"/>
      <c r="L9" s="155"/>
    </row>
    <row r="10" spans="1:12" x14ac:dyDescent="0.25">
      <c r="A10" s="153" t="str">
        <f>"- Load 3: Value of subjected distributed line load 3 (Input as Float) ("&amp;'User Defined Units'!$B$10&amp;"/"&amp;'User Defined Units'!$B$11&amp;")"</f>
        <v>- Load 3: Value of subjected distributed line load 3 (Input as Float) (kN/m)</v>
      </c>
      <c r="B10" s="154"/>
      <c r="C10" s="154"/>
      <c r="D10" s="154"/>
      <c r="E10" s="154"/>
      <c r="F10" s="154"/>
      <c r="G10" s="154"/>
      <c r="H10" s="154"/>
      <c r="I10" s="154"/>
      <c r="J10" s="154"/>
      <c r="K10" s="154"/>
      <c r="L10" s="155"/>
    </row>
    <row r="11" spans="1:12" x14ac:dyDescent="0.25">
      <c r="A11" s="153" t="str">
        <f>"- Location 3: Location of subjected distributed line load 3 (Input as Float) ("&amp;'User Defined Units'!$B$11&amp;")"</f>
        <v>- Location 3: Location of subjected distributed line load 3 (Input as Float) (m)</v>
      </c>
      <c r="B11" s="154"/>
      <c r="C11" s="154"/>
      <c r="D11" s="154"/>
      <c r="E11" s="154"/>
      <c r="F11" s="154"/>
      <c r="G11" s="154"/>
      <c r="H11" s="154"/>
      <c r="I11" s="154"/>
      <c r="J11" s="154"/>
      <c r="K11" s="154"/>
      <c r="L11" s="155"/>
    </row>
    <row r="12" spans="1:12" x14ac:dyDescent="0.25">
      <c r="A12" s="153" t="str">
        <f>"- Load 4: Value of subjected distributed line load 4 (Input as Float) ("&amp;'User Defined Units'!$B$10&amp;"/"&amp;'User Defined Units'!$B$11&amp;")"</f>
        <v>- Load 4: Value of subjected distributed line load 4 (Input as Float) (kN/m)</v>
      </c>
      <c r="B12" s="154"/>
      <c r="C12" s="154"/>
      <c r="D12" s="154"/>
      <c r="E12" s="154"/>
      <c r="F12" s="154"/>
      <c r="G12" s="154"/>
      <c r="H12" s="154"/>
      <c r="I12" s="154"/>
      <c r="J12" s="154"/>
      <c r="K12" s="154"/>
      <c r="L12" s="155"/>
    </row>
    <row r="13" spans="1:12" x14ac:dyDescent="0.25">
      <c r="A13" s="156" t="str">
        <f>"- Location 4: Location of subjected distributed line load 4 (Input as Float) ("&amp;'User Defined Units'!$B$11&amp;")"</f>
        <v>- Location 4: Location of subjected distributed line load 4 (Input as Float) (m)</v>
      </c>
      <c r="B13" s="157"/>
      <c r="C13" s="157"/>
      <c r="D13" s="157"/>
      <c r="E13" s="157"/>
      <c r="F13" s="157"/>
      <c r="G13" s="157"/>
      <c r="H13" s="157"/>
      <c r="I13" s="157"/>
      <c r="J13" s="157"/>
      <c r="K13" s="157"/>
      <c r="L13" s="158"/>
    </row>
    <row r="14" spans="1:12" x14ac:dyDescent="0.25">
      <c r="A14" s="148"/>
      <c r="B14" s="148"/>
      <c r="C14" s="148"/>
      <c r="D14" s="148"/>
      <c r="E14" s="148"/>
      <c r="F14" s="148"/>
      <c r="G14" s="148"/>
      <c r="H14" s="148"/>
      <c r="I14" s="148"/>
      <c r="J14" s="148"/>
      <c r="K14" s="148"/>
      <c r="L14" s="148"/>
    </row>
    <row r="15" spans="1:12" s="139" customFormat="1" x14ac:dyDescent="0.25">
      <c r="A15" s="149" t="s">
        <v>287</v>
      </c>
      <c r="B15" s="149" t="s">
        <v>286</v>
      </c>
      <c r="C15" s="149" t="s">
        <v>289</v>
      </c>
      <c r="D15" s="149" t="s">
        <v>307</v>
      </c>
      <c r="E15" s="149" t="s">
        <v>299</v>
      </c>
      <c r="F15" s="149" t="s">
        <v>303</v>
      </c>
      <c r="G15" s="149" t="s">
        <v>300</v>
      </c>
      <c r="H15" s="149" t="s">
        <v>304</v>
      </c>
      <c r="I15" s="149" t="s">
        <v>301</v>
      </c>
      <c r="J15" s="149" t="s">
        <v>305</v>
      </c>
      <c r="K15" s="149" t="s">
        <v>302</v>
      </c>
      <c r="L15" s="149" t="s">
        <v>306</v>
      </c>
    </row>
    <row r="16" spans="1:12" x14ac:dyDescent="0.25">
      <c r="A16" s="159">
        <v>101</v>
      </c>
      <c r="B16" s="159" t="s">
        <v>27</v>
      </c>
      <c r="C16" s="159" t="s">
        <v>288</v>
      </c>
      <c r="D16" s="160">
        <v>7.04</v>
      </c>
      <c r="E16" s="160">
        <v>0</v>
      </c>
      <c r="F16" s="160">
        <v>0</v>
      </c>
      <c r="G16" s="160">
        <v>-12</v>
      </c>
      <c r="H16" s="160">
        <v>3</v>
      </c>
      <c r="I16" s="160">
        <v>-12</v>
      </c>
      <c r="J16" s="160">
        <v>5</v>
      </c>
      <c r="K16" s="160">
        <v>0</v>
      </c>
      <c r="L16" s="160">
        <v>8</v>
      </c>
    </row>
    <row r="17" spans="1:4" x14ac:dyDescent="0.25">
      <c r="A17" s="159">
        <v>102</v>
      </c>
      <c r="B17" s="159" t="s">
        <v>27</v>
      </c>
      <c r="C17" s="159" t="s">
        <v>288</v>
      </c>
      <c r="D17" s="160">
        <v>7.04</v>
      </c>
    </row>
    <row r="18" spans="1:4" x14ac:dyDescent="0.25">
      <c r="A18" s="159">
        <v>103</v>
      </c>
      <c r="B18" s="159" t="s">
        <v>27</v>
      </c>
      <c r="C18" s="159" t="s">
        <v>288</v>
      </c>
      <c r="D18" s="160">
        <v>7.04</v>
      </c>
    </row>
    <row r="19" spans="1:4" x14ac:dyDescent="0.25">
      <c r="A19" s="159">
        <v>104</v>
      </c>
      <c r="B19" s="159" t="s">
        <v>27</v>
      </c>
      <c r="C19" s="159" t="s">
        <v>288</v>
      </c>
      <c r="D19" s="160">
        <v>7.04</v>
      </c>
    </row>
    <row r="20" spans="1:4" x14ac:dyDescent="0.25">
      <c r="A20" s="159">
        <v>117</v>
      </c>
      <c r="B20" s="159" t="s">
        <v>27</v>
      </c>
      <c r="C20" s="159" t="s">
        <v>288</v>
      </c>
      <c r="D20" s="160">
        <v>7.04</v>
      </c>
    </row>
    <row r="21" spans="1:4" x14ac:dyDescent="0.25">
      <c r="A21" s="159">
        <v>118</v>
      </c>
      <c r="B21" s="159" t="s">
        <v>27</v>
      </c>
      <c r="C21" s="159" t="s">
        <v>288</v>
      </c>
      <c r="D21" s="160">
        <v>7.04</v>
      </c>
    </row>
    <row r="22" spans="1:4" x14ac:dyDescent="0.25">
      <c r="A22" s="159">
        <v>119</v>
      </c>
      <c r="B22" s="159" t="s">
        <v>27</v>
      </c>
      <c r="C22" s="159" t="s">
        <v>288</v>
      </c>
      <c r="D22" s="160">
        <v>7.04</v>
      </c>
    </row>
    <row r="23" spans="1:4" x14ac:dyDescent="0.25">
      <c r="A23" s="159">
        <v>120</v>
      </c>
      <c r="B23" s="159" t="s">
        <v>27</v>
      </c>
      <c r="C23" s="159" t="s">
        <v>288</v>
      </c>
      <c r="D23" s="160">
        <v>7.04</v>
      </c>
    </row>
    <row r="24" spans="1:4" x14ac:dyDescent="0.25">
      <c r="A24" s="159">
        <v>181</v>
      </c>
      <c r="B24" s="159" t="s">
        <v>27</v>
      </c>
      <c r="C24" s="159" t="s">
        <v>288</v>
      </c>
      <c r="D24" s="160">
        <v>7.04</v>
      </c>
    </row>
    <row r="25" spans="1:4" x14ac:dyDescent="0.25">
      <c r="A25" s="159">
        <v>185</v>
      </c>
      <c r="B25" s="159" t="s">
        <v>27</v>
      </c>
      <c r="C25" s="159" t="s">
        <v>288</v>
      </c>
      <c r="D25" s="160">
        <v>7.04</v>
      </c>
    </row>
    <row r="26" spans="1:4" x14ac:dyDescent="0.25">
      <c r="A26" s="159">
        <v>186</v>
      </c>
      <c r="B26" s="159" t="s">
        <v>27</v>
      </c>
      <c r="C26" s="159" t="s">
        <v>288</v>
      </c>
      <c r="D26" s="160">
        <v>7.04</v>
      </c>
    </row>
    <row r="27" spans="1:4" x14ac:dyDescent="0.25">
      <c r="A27" s="159">
        <v>190</v>
      </c>
      <c r="B27" s="159" t="s">
        <v>27</v>
      </c>
      <c r="C27" s="159" t="s">
        <v>288</v>
      </c>
      <c r="D27" s="160">
        <v>7.04</v>
      </c>
    </row>
    <row r="28" spans="1:4" x14ac:dyDescent="0.25">
      <c r="A28" s="159">
        <v>191</v>
      </c>
      <c r="B28" s="159" t="s">
        <v>27</v>
      </c>
      <c r="C28" s="159" t="s">
        <v>288</v>
      </c>
      <c r="D28" s="160">
        <v>7.04</v>
      </c>
    </row>
    <row r="29" spans="1:4" x14ac:dyDescent="0.25">
      <c r="A29" s="159">
        <v>195</v>
      </c>
      <c r="B29" s="159" t="s">
        <v>27</v>
      </c>
      <c r="C29" s="159" t="s">
        <v>288</v>
      </c>
      <c r="D29" s="160">
        <v>7.04</v>
      </c>
    </row>
    <row r="30" spans="1:4" x14ac:dyDescent="0.25">
      <c r="A30" s="159">
        <v>196</v>
      </c>
      <c r="B30" s="159" t="s">
        <v>27</v>
      </c>
      <c r="C30" s="159" t="s">
        <v>288</v>
      </c>
      <c r="D30" s="160">
        <v>7.04</v>
      </c>
    </row>
    <row r="31" spans="1:4" x14ac:dyDescent="0.25">
      <c r="A31" s="159">
        <v>200</v>
      </c>
      <c r="B31" s="159" t="s">
        <v>27</v>
      </c>
      <c r="C31" s="159" t="s">
        <v>288</v>
      </c>
      <c r="D31" s="160">
        <v>7.04</v>
      </c>
    </row>
    <row r="32" spans="1:4" x14ac:dyDescent="0.25">
      <c r="A32" s="159">
        <v>121</v>
      </c>
      <c r="B32" s="159" t="s">
        <v>27</v>
      </c>
      <c r="C32" s="159" t="s">
        <v>288</v>
      </c>
      <c r="D32" s="160">
        <v>7.04</v>
      </c>
    </row>
    <row r="33" spans="1:4" x14ac:dyDescent="0.25">
      <c r="A33" s="159">
        <v>122</v>
      </c>
      <c r="B33" s="159" t="s">
        <v>27</v>
      </c>
      <c r="C33" s="159" t="s">
        <v>288</v>
      </c>
      <c r="D33" s="160">
        <v>7.04</v>
      </c>
    </row>
    <row r="34" spans="1:4" x14ac:dyDescent="0.25">
      <c r="A34" s="159">
        <v>123</v>
      </c>
      <c r="B34" s="159" t="s">
        <v>27</v>
      </c>
      <c r="C34" s="159" t="s">
        <v>288</v>
      </c>
      <c r="D34" s="160">
        <v>7.04</v>
      </c>
    </row>
    <row r="35" spans="1:4" x14ac:dyDescent="0.25">
      <c r="A35" s="159">
        <v>124</v>
      </c>
      <c r="B35" s="159" t="s">
        <v>27</v>
      </c>
      <c r="C35" s="159" t="s">
        <v>288</v>
      </c>
      <c r="D35" s="160">
        <v>7.04</v>
      </c>
    </row>
    <row r="36" spans="1:4" x14ac:dyDescent="0.25">
      <c r="A36" s="159">
        <v>137</v>
      </c>
      <c r="B36" s="159" t="s">
        <v>27</v>
      </c>
      <c r="C36" s="159" t="s">
        <v>288</v>
      </c>
      <c r="D36" s="160">
        <v>7.04</v>
      </c>
    </row>
    <row r="37" spans="1:4" x14ac:dyDescent="0.25">
      <c r="A37" s="159">
        <v>138</v>
      </c>
      <c r="B37" s="159" t="s">
        <v>27</v>
      </c>
      <c r="C37" s="159" t="s">
        <v>288</v>
      </c>
      <c r="D37" s="160">
        <v>7.04</v>
      </c>
    </row>
    <row r="38" spans="1:4" x14ac:dyDescent="0.25">
      <c r="A38" s="159">
        <v>139</v>
      </c>
      <c r="B38" s="159" t="s">
        <v>27</v>
      </c>
      <c r="C38" s="159" t="s">
        <v>288</v>
      </c>
      <c r="D38" s="160">
        <v>7.04</v>
      </c>
    </row>
    <row r="39" spans="1:4" x14ac:dyDescent="0.25">
      <c r="A39" s="159">
        <v>140</v>
      </c>
      <c r="B39" s="159" t="s">
        <v>27</v>
      </c>
      <c r="C39" s="159" t="s">
        <v>288</v>
      </c>
      <c r="D39" s="160">
        <v>7.04</v>
      </c>
    </row>
    <row r="40" spans="1:4" x14ac:dyDescent="0.25">
      <c r="A40" s="159">
        <v>201</v>
      </c>
      <c r="B40" s="159" t="s">
        <v>27</v>
      </c>
      <c r="C40" s="159" t="s">
        <v>288</v>
      </c>
      <c r="D40" s="160">
        <v>7.04</v>
      </c>
    </row>
    <row r="41" spans="1:4" x14ac:dyDescent="0.25">
      <c r="A41" s="159">
        <v>205</v>
      </c>
      <c r="B41" s="159" t="s">
        <v>27</v>
      </c>
      <c r="C41" s="159" t="s">
        <v>288</v>
      </c>
      <c r="D41" s="160">
        <v>7.04</v>
      </c>
    </row>
    <row r="42" spans="1:4" x14ac:dyDescent="0.25">
      <c r="A42" s="159">
        <v>206</v>
      </c>
      <c r="B42" s="159" t="s">
        <v>27</v>
      </c>
      <c r="C42" s="159" t="s">
        <v>288</v>
      </c>
      <c r="D42" s="160">
        <v>7.04</v>
      </c>
    </row>
    <row r="43" spans="1:4" x14ac:dyDescent="0.25">
      <c r="A43" s="159">
        <v>210</v>
      </c>
      <c r="B43" s="159" t="s">
        <v>27</v>
      </c>
      <c r="C43" s="159" t="s">
        <v>288</v>
      </c>
      <c r="D43" s="160">
        <v>7.04</v>
      </c>
    </row>
    <row r="44" spans="1:4" x14ac:dyDescent="0.25">
      <c r="A44" s="159">
        <v>211</v>
      </c>
      <c r="B44" s="159" t="s">
        <v>27</v>
      </c>
      <c r="C44" s="159" t="s">
        <v>288</v>
      </c>
      <c r="D44" s="160">
        <v>7.04</v>
      </c>
    </row>
    <row r="45" spans="1:4" x14ac:dyDescent="0.25">
      <c r="A45" s="159">
        <v>215</v>
      </c>
      <c r="B45" s="159" t="s">
        <v>27</v>
      </c>
      <c r="C45" s="159" t="s">
        <v>288</v>
      </c>
      <c r="D45" s="160">
        <v>7.04</v>
      </c>
    </row>
    <row r="46" spans="1:4" x14ac:dyDescent="0.25">
      <c r="A46" s="159">
        <v>216</v>
      </c>
      <c r="B46" s="159" t="s">
        <v>27</v>
      </c>
      <c r="C46" s="159" t="s">
        <v>288</v>
      </c>
      <c r="D46" s="160">
        <v>7.04</v>
      </c>
    </row>
    <row r="47" spans="1:4" x14ac:dyDescent="0.25">
      <c r="A47" s="159">
        <v>220</v>
      </c>
      <c r="B47" s="159" t="s">
        <v>27</v>
      </c>
      <c r="C47" s="159" t="s">
        <v>288</v>
      </c>
      <c r="D47" s="160">
        <v>7.04</v>
      </c>
    </row>
    <row r="48" spans="1:4" x14ac:dyDescent="0.25">
      <c r="A48" s="159">
        <v>141</v>
      </c>
      <c r="B48" s="159" t="s">
        <v>27</v>
      </c>
      <c r="C48" s="159" t="s">
        <v>288</v>
      </c>
      <c r="D48" s="160">
        <v>7.04</v>
      </c>
    </row>
    <row r="49" spans="1:4" x14ac:dyDescent="0.25">
      <c r="A49" s="159">
        <v>142</v>
      </c>
      <c r="B49" s="159" t="s">
        <v>27</v>
      </c>
      <c r="C49" s="159" t="s">
        <v>288</v>
      </c>
      <c r="D49" s="160">
        <v>7.04</v>
      </c>
    </row>
    <row r="50" spans="1:4" x14ac:dyDescent="0.25">
      <c r="A50" s="159">
        <v>143</v>
      </c>
      <c r="B50" s="159" t="s">
        <v>27</v>
      </c>
      <c r="C50" s="159" t="s">
        <v>288</v>
      </c>
      <c r="D50" s="160">
        <v>7.04</v>
      </c>
    </row>
    <row r="51" spans="1:4" x14ac:dyDescent="0.25">
      <c r="A51" s="159">
        <v>144</v>
      </c>
      <c r="B51" s="159" t="s">
        <v>27</v>
      </c>
      <c r="C51" s="159" t="s">
        <v>288</v>
      </c>
      <c r="D51" s="160">
        <v>7.04</v>
      </c>
    </row>
    <row r="52" spans="1:4" x14ac:dyDescent="0.25">
      <c r="A52" s="159">
        <v>157</v>
      </c>
      <c r="B52" s="159" t="s">
        <v>27</v>
      </c>
      <c r="C52" s="159" t="s">
        <v>288</v>
      </c>
      <c r="D52" s="160">
        <v>7.04</v>
      </c>
    </row>
    <row r="53" spans="1:4" x14ac:dyDescent="0.25">
      <c r="A53" s="159">
        <v>158</v>
      </c>
      <c r="B53" s="159" t="s">
        <v>27</v>
      </c>
      <c r="C53" s="159" t="s">
        <v>288</v>
      </c>
      <c r="D53" s="160">
        <v>7.04</v>
      </c>
    </row>
    <row r="54" spans="1:4" x14ac:dyDescent="0.25">
      <c r="A54" s="159">
        <v>159</v>
      </c>
      <c r="B54" s="159" t="s">
        <v>27</v>
      </c>
      <c r="C54" s="159" t="s">
        <v>288</v>
      </c>
      <c r="D54" s="160">
        <v>7.04</v>
      </c>
    </row>
    <row r="55" spans="1:4" x14ac:dyDescent="0.25">
      <c r="A55" s="159">
        <v>160</v>
      </c>
      <c r="B55" s="159" t="s">
        <v>27</v>
      </c>
      <c r="C55" s="159" t="s">
        <v>288</v>
      </c>
      <c r="D55" s="160">
        <v>7.04</v>
      </c>
    </row>
    <row r="56" spans="1:4" x14ac:dyDescent="0.25">
      <c r="A56" s="159">
        <v>221</v>
      </c>
      <c r="B56" s="159" t="s">
        <v>27</v>
      </c>
      <c r="C56" s="159" t="s">
        <v>288</v>
      </c>
      <c r="D56" s="160">
        <v>7.04</v>
      </c>
    </row>
    <row r="57" spans="1:4" x14ac:dyDescent="0.25">
      <c r="A57" s="159">
        <v>225</v>
      </c>
      <c r="B57" s="159" t="s">
        <v>27</v>
      </c>
      <c r="C57" s="159" t="s">
        <v>288</v>
      </c>
      <c r="D57" s="160">
        <v>7.04</v>
      </c>
    </row>
    <row r="58" spans="1:4" x14ac:dyDescent="0.25">
      <c r="A58" s="159">
        <v>226</v>
      </c>
      <c r="B58" s="159" t="s">
        <v>27</v>
      </c>
      <c r="C58" s="159" t="s">
        <v>288</v>
      </c>
      <c r="D58" s="160">
        <v>7.04</v>
      </c>
    </row>
    <row r="59" spans="1:4" x14ac:dyDescent="0.25">
      <c r="A59" s="159">
        <v>230</v>
      </c>
      <c r="B59" s="159" t="s">
        <v>27</v>
      </c>
      <c r="C59" s="159" t="s">
        <v>288</v>
      </c>
      <c r="D59" s="160">
        <v>7.04</v>
      </c>
    </row>
    <row r="60" spans="1:4" x14ac:dyDescent="0.25">
      <c r="A60" s="159">
        <v>231</v>
      </c>
      <c r="B60" s="159" t="s">
        <v>27</v>
      </c>
      <c r="C60" s="159" t="s">
        <v>288</v>
      </c>
      <c r="D60" s="160">
        <v>7.04</v>
      </c>
    </row>
    <row r="61" spans="1:4" x14ac:dyDescent="0.25">
      <c r="A61" s="159">
        <v>235</v>
      </c>
      <c r="B61" s="159" t="s">
        <v>27</v>
      </c>
      <c r="C61" s="159" t="s">
        <v>288</v>
      </c>
      <c r="D61" s="160">
        <v>7.04</v>
      </c>
    </row>
    <row r="62" spans="1:4" x14ac:dyDescent="0.25">
      <c r="A62" s="159">
        <v>236</v>
      </c>
      <c r="B62" s="159" t="s">
        <v>27</v>
      </c>
      <c r="C62" s="159" t="s">
        <v>288</v>
      </c>
      <c r="D62" s="160">
        <v>7.04</v>
      </c>
    </row>
    <row r="63" spans="1:4" x14ac:dyDescent="0.25">
      <c r="A63" s="159">
        <v>240</v>
      </c>
      <c r="B63" s="159" t="s">
        <v>27</v>
      </c>
      <c r="C63" s="159" t="s">
        <v>288</v>
      </c>
      <c r="D63" s="160">
        <v>7.04</v>
      </c>
    </row>
    <row r="64" spans="1:4" x14ac:dyDescent="0.25">
      <c r="A64" s="159">
        <v>161</v>
      </c>
      <c r="B64" s="159" t="s">
        <v>27</v>
      </c>
      <c r="C64" s="159" t="s">
        <v>288</v>
      </c>
      <c r="D64" s="160">
        <v>2.41</v>
      </c>
    </row>
    <row r="65" spans="1:4" x14ac:dyDescent="0.25">
      <c r="A65" s="159">
        <v>162</v>
      </c>
      <c r="B65" s="159" t="s">
        <v>27</v>
      </c>
      <c r="C65" s="159" t="s">
        <v>288</v>
      </c>
      <c r="D65" s="160">
        <v>2.41</v>
      </c>
    </row>
    <row r="66" spans="1:4" x14ac:dyDescent="0.25">
      <c r="A66" s="159">
        <v>163</v>
      </c>
      <c r="B66" s="159" t="s">
        <v>27</v>
      </c>
      <c r="C66" s="159" t="s">
        <v>288</v>
      </c>
      <c r="D66" s="160">
        <v>2.41</v>
      </c>
    </row>
    <row r="67" spans="1:4" x14ac:dyDescent="0.25">
      <c r="A67" s="159">
        <v>164</v>
      </c>
      <c r="B67" s="159" t="s">
        <v>27</v>
      </c>
      <c r="C67" s="159" t="s">
        <v>288</v>
      </c>
      <c r="D67" s="160">
        <v>2.41</v>
      </c>
    </row>
    <row r="68" spans="1:4" x14ac:dyDescent="0.25">
      <c r="A68" s="159">
        <v>177</v>
      </c>
      <c r="B68" s="159" t="s">
        <v>27</v>
      </c>
      <c r="C68" s="159" t="s">
        <v>288</v>
      </c>
      <c r="D68" s="160">
        <v>2.41</v>
      </c>
    </row>
    <row r="69" spans="1:4" x14ac:dyDescent="0.25">
      <c r="A69" s="159">
        <v>178</v>
      </c>
      <c r="B69" s="159" t="s">
        <v>27</v>
      </c>
      <c r="C69" s="159" t="s">
        <v>288</v>
      </c>
      <c r="D69" s="160">
        <v>2.41</v>
      </c>
    </row>
    <row r="70" spans="1:4" x14ac:dyDescent="0.25">
      <c r="A70" s="159">
        <v>179</v>
      </c>
      <c r="B70" s="159" t="s">
        <v>27</v>
      </c>
      <c r="C70" s="159" t="s">
        <v>288</v>
      </c>
      <c r="D70" s="160">
        <v>2.41</v>
      </c>
    </row>
    <row r="71" spans="1:4" x14ac:dyDescent="0.25">
      <c r="A71" s="159">
        <v>180</v>
      </c>
      <c r="B71" s="159" t="s">
        <v>27</v>
      </c>
      <c r="C71" s="159" t="s">
        <v>288</v>
      </c>
      <c r="D71" s="160">
        <v>2.41</v>
      </c>
    </row>
    <row r="72" spans="1:4" x14ac:dyDescent="0.25">
      <c r="A72" s="159">
        <v>241</v>
      </c>
      <c r="B72" s="159" t="s">
        <v>27</v>
      </c>
      <c r="C72" s="159" t="s">
        <v>288</v>
      </c>
      <c r="D72" s="160">
        <v>2.41</v>
      </c>
    </row>
    <row r="73" spans="1:4" x14ac:dyDescent="0.25">
      <c r="A73" s="159">
        <v>245</v>
      </c>
      <c r="B73" s="159" t="s">
        <v>27</v>
      </c>
      <c r="C73" s="159" t="s">
        <v>288</v>
      </c>
      <c r="D73" s="160">
        <v>2.41</v>
      </c>
    </row>
    <row r="74" spans="1:4" x14ac:dyDescent="0.25">
      <c r="A74" s="159">
        <v>246</v>
      </c>
      <c r="B74" s="159" t="s">
        <v>27</v>
      </c>
      <c r="C74" s="159" t="s">
        <v>288</v>
      </c>
      <c r="D74" s="160">
        <v>2.41</v>
      </c>
    </row>
    <row r="75" spans="1:4" x14ac:dyDescent="0.25">
      <c r="A75" s="159">
        <v>250</v>
      </c>
      <c r="B75" s="159" t="s">
        <v>27</v>
      </c>
      <c r="C75" s="159" t="s">
        <v>288</v>
      </c>
      <c r="D75" s="160">
        <v>2.41</v>
      </c>
    </row>
    <row r="76" spans="1:4" x14ac:dyDescent="0.25">
      <c r="A76" s="159">
        <v>251</v>
      </c>
      <c r="B76" s="159" t="s">
        <v>27</v>
      </c>
      <c r="C76" s="159" t="s">
        <v>288</v>
      </c>
      <c r="D76" s="160">
        <v>2.41</v>
      </c>
    </row>
    <row r="77" spans="1:4" x14ac:dyDescent="0.25">
      <c r="A77" s="159">
        <v>255</v>
      </c>
      <c r="B77" s="159" t="s">
        <v>27</v>
      </c>
      <c r="C77" s="159" t="s">
        <v>288</v>
      </c>
      <c r="D77" s="160">
        <v>2.41</v>
      </c>
    </row>
    <row r="78" spans="1:4" x14ac:dyDescent="0.25">
      <c r="A78" s="159">
        <v>256</v>
      </c>
      <c r="B78" s="159" t="s">
        <v>27</v>
      </c>
      <c r="C78" s="159" t="s">
        <v>288</v>
      </c>
      <c r="D78" s="160">
        <v>2.41</v>
      </c>
    </row>
    <row r="79" spans="1:4" x14ac:dyDescent="0.25">
      <c r="A79" s="159">
        <v>260</v>
      </c>
      <c r="B79" s="159" t="s">
        <v>27</v>
      </c>
      <c r="C79" s="159" t="s">
        <v>288</v>
      </c>
      <c r="D79" s="160">
        <v>2.41</v>
      </c>
    </row>
  </sheetData>
  <dataValidations count="4">
    <dataValidation type="list" showInputMessage="1" showErrorMessage="1" errorTitle="Invalid Input" error="Choose from the list" sqref="C16:C1048576" xr:uid="{A06960A0-574A-4091-89DC-3EAC93A1B00B}">
      <formula1>"Global-X, Global-Y, Gravity, Local-x, Local-y, Local-z"</formula1>
    </dataValidation>
    <dataValidation type="decimal" allowBlank="1" showInputMessage="1" showErrorMessage="1" errorTitle="Invalid Input" error="Please enter a float value only." sqref="D16:L1048576" xr:uid="{DF4D0C80-0563-4CC2-B0A8-6B52582B452C}">
      <formula1>-1000000000000</formula1>
      <formula2>1000000000000</formula2>
    </dataValidation>
    <dataValidation type="list" showInputMessage="1" showErrorMessage="1" errorTitle="Invalid Input" error="Choose from the list" sqref="A16:A1048576" xr:uid="{CFFEC136-BD4D-41A8-9172-2C735BE136D8}">
      <formula1>Line_ID</formula1>
    </dataValidation>
    <dataValidation type="list" showInputMessage="1" showErrorMessage="1" errorTitle="Invalid Input" error="Choose from the list" sqref="B16:B1048576" xr:uid="{E3D690A9-3459-485B-9D38-6E5066FAA865}">
      <formula1>LC_Type</formula1>
    </dataValidation>
  </dataValidations>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0204173-8D21-44EB-9119-A6BC046B304C}">
  <dimension ref="A1:E135"/>
  <sheetViews>
    <sheetView zoomScale="130" zoomScaleNormal="130" workbookViewId="0">
      <selection activeCell="D26" sqref="D26"/>
    </sheetView>
  </sheetViews>
  <sheetFormatPr defaultColWidth="9.140625" defaultRowHeight="15.75" x14ac:dyDescent="0.25"/>
  <cols>
    <col min="1" max="3" width="15.7109375" style="159" customWidth="1"/>
    <col min="4" max="4" width="15.7109375" style="160" customWidth="1"/>
    <col min="5" max="16384" width="9.140625" style="148"/>
  </cols>
  <sheetData>
    <row r="1" spans="1:5" x14ac:dyDescent="0.25">
      <c r="A1" s="150" t="s">
        <v>133</v>
      </c>
      <c r="B1" s="151"/>
      <c r="C1" s="151"/>
      <c r="D1" s="151"/>
      <c r="E1" s="152"/>
    </row>
    <row r="2" spans="1:5" x14ac:dyDescent="0.25">
      <c r="A2" s="153" t="s">
        <v>295</v>
      </c>
      <c r="B2" s="154"/>
      <c r="C2" s="154"/>
      <c r="D2" s="154"/>
      <c r="E2" s="155"/>
    </row>
    <row r="3" spans="1:5" x14ac:dyDescent="0.25">
      <c r="A3" s="153" t="s">
        <v>297</v>
      </c>
      <c r="B3" s="154"/>
      <c r="C3" s="154"/>
      <c r="D3" s="154"/>
      <c r="E3" s="155"/>
    </row>
    <row r="4" spans="1:5" x14ac:dyDescent="0.25">
      <c r="A4" s="153" t="s">
        <v>298</v>
      </c>
      <c r="B4" s="154"/>
      <c r="C4" s="154"/>
      <c r="D4" s="154"/>
      <c r="E4" s="155"/>
    </row>
    <row r="5" spans="1:5" x14ac:dyDescent="0.25">
      <c r="A5" s="156" t="str">
        <f>"- Load: Value of subjected surface load (Input as Float) ("&amp;'User Defined Units'!$B$10&amp;"/"&amp;'User Defined Units'!$B$11&amp;"2)"</f>
        <v>- Load: Value of subjected surface load (Input as Float) (kN/m2)</v>
      </c>
      <c r="B5" s="157"/>
      <c r="C5" s="157"/>
      <c r="D5" s="157"/>
      <c r="E5" s="158"/>
    </row>
    <row r="6" spans="1:5" x14ac:dyDescent="0.25">
      <c r="A6" s="148"/>
      <c r="B6" s="148"/>
      <c r="C6" s="148"/>
      <c r="D6" s="148"/>
    </row>
    <row r="7" spans="1:5" s="139" customFormat="1" x14ac:dyDescent="0.25">
      <c r="A7" s="149" t="s">
        <v>294</v>
      </c>
      <c r="B7" s="149" t="s">
        <v>286</v>
      </c>
      <c r="C7" s="149" t="s">
        <v>289</v>
      </c>
      <c r="D7" s="149" t="s">
        <v>296</v>
      </c>
    </row>
    <row r="8" spans="1:5" x14ac:dyDescent="0.25">
      <c r="A8" s="159">
        <v>1</v>
      </c>
      <c r="B8" s="159" t="s">
        <v>27</v>
      </c>
      <c r="C8" s="159" t="s">
        <v>288</v>
      </c>
      <c r="D8" s="160">
        <v>1.1100000000000001</v>
      </c>
    </row>
    <row r="9" spans="1:5" x14ac:dyDescent="0.25">
      <c r="A9" s="159">
        <v>2</v>
      </c>
      <c r="B9" s="159" t="s">
        <v>27</v>
      </c>
      <c r="C9" s="159" t="s">
        <v>288</v>
      </c>
      <c r="D9" s="160">
        <v>1.1100000000000001</v>
      </c>
    </row>
    <row r="10" spans="1:5" x14ac:dyDescent="0.25">
      <c r="A10" s="159">
        <v>3</v>
      </c>
      <c r="B10" s="159" t="s">
        <v>27</v>
      </c>
      <c r="C10" s="159" t="s">
        <v>288</v>
      </c>
      <c r="D10" s="160">
        <v>1.1100000000000001</v>
      </c>
    </row>
    <row r="11" spans="1:5" x14ac:dyDescent="0.25">
      <c r="A11" s="159">
        <v>4</v>
      </c>
      <c r="B11" s="159" t="s">
        <v>27</v>
      </c>
      <c r="C11" s="159" t="s">
        <v>288</v>
      </c>
      <c r="D11" s="160">
        <v>1.1100000000000001</v>
      </c>
    </row>
    <row r="12" spans="1:5" x14ac:dyDescent="0.25">
      <c r="A12" s="159">
        <v>5</v>
      </c>
      <c r="B12" s="159" t="s">
        <v>27</v>
      </c>
      <c r="C12" s="159" t="s">
        <v>288</v>
      </c>
      <c r="D12" s="160">
        <v>1.1100000000000001</v>
      </c>
    </row>
    <row r="13" spans="1:5" x14ac:dyDescent="0.25">
      <c r="A13" s="159">
        <v>6</v>
      </c>
      <c r="B13" s="159" t="s">
        <v>27</v>
      </c>
      <c r="C13" s="159" t="s">
        <v>288</v>
      </c>
      <c r="D13" s="160">
        <v>1.1100000000000001</v>
      </c>
    </row>
    <row r="14" spans="1:5" x14ac:dyDescent="0.25">
      <c r="A14" s="159">
        <v>7</v>
      </c>
      <c r="B14" s="159" t="s">
        <v>27</v>
      </c>
      <c r="C14" s="159" t="s">
        <v>288</v>
      </c>
      <c r="D14" s="160">
        <v>1.1100000000000001</v>
      </c>
    </row>
    <row r="15" spans="1:5" x14ac:dyDescent="0.25">
      <c r="A15" s="159">
        <v>8</v>
      </c>
      <c r="B15" s="159" t="s">
        <v>27</v>
      </c>
      <c r="C15" s="159" t="s">
        <v>288</v>
      </c>
      <c r="D15" s="160">
        <v>1.1100000000000001</v>
      </c>
    </row>
    <row r="16" spans="1:5" x14ac:dyDescent="0.25">
      <c r="A16" s="159">
        <v>9</v>
      </c>
      <c r="B16" s="159" t="s">
        <v>27</v>
      </c>
      <c r="C16" s="159" t="s">
        <v>288</v>
      </c>
      <c r="D16" s="160">
        <v>1.1100000000000001</v>
      </c>
    </row>
    <row r="17" spans="1:4" x14ac:dyDescent="0.25">
      <c r="A17" s="159">
        <v>10</v>
      </c>
      <c r="B17" s="159" t="s">
        <v>27</v>
      </c>
      <c r="C17" s="159" t="s">
        <v>288</v>
      </c>
      <c r="D17" s="160">
        <v>1.1100000000000001</v>
      </c>
    </row>
    <row r="18" spans="1:4" x14ac:dyDescent="0.25">
      <c r="A18" s="159">
        <v>11</v>
      </c>
      <c r="B18" s="159" t="s">
        <v>27</v>
      </c>
      <c r="C18" s="159" t="s">
        <v>288</v>
      </c>
      <c r="D18" s="160">
        <v>1.1100000000000001</v>
      </c>
    </row>
    <row r="19" spans="1:4" x14ac:dyDescent="0.25">
      <c r="A19" s="159">
        <v>12</v>
      </c>
      <c r="B19" s="159" t="s">
        <v>27</v>
      </c>
      <c r="C19" s="159" t="s">
        <v>288</v>
      </c>
      <c r="D19" s="160">
        <v>1.1100000000000001</v>
      </c>
    </row>
    <row r="20" spans="1:4" x14ac:dyDescent="0.25">
      <c r="A20" s="159">
        <v>13</v>
      </c>
      <c r="B20" s="159" t="s">
        <v>27</v>
      </c>
      <c r="C20" s="159" t="s">
        <v>288</v>
      </c>
      <c r="D20" s="160">
        <v>1.1100000000000001</v>
      </c>
    </row>
    <row r="21" spans="1:4" x14ac:dyDescent="0.25">
      <c r="A21" s="159">
        <v>14</v>
      </c>
      <c r="B21" s="159" t="s">
        <v>27</v>
      </c>
      <c r="C21" s="159" t="s">
        <v>288</v>
      </c>
      <c r="D21" s="160">
        <v>1.1100000000000001</v>
      </c>
    </row>
    <row r="22" spans="1:4" x14ac:dyDescent="0.25">
      <c r="A22" s="159">
        <v>15</v>
      </c>
      <c r="B22" s="159" t="s">
        <v>27</v>
      </c>
      <c r="C22" s="159" t="s">
        <v>288</v>
      </c>
      <c r="D22" s="160">
        <v>1.1100000000000001</v>
      </c>
    </row>
    <row r="23" spans="1:4" x14ac:dyDescent="0.25">
      <c r="A23" s="159">
        <v>16</v>
      </c>
      <c r="B23" s="159" t="s">
        <v>27</v>
      </c>
      <c r="C23" s="159" t="s">
        <v>288</v>
      </c>
      <c r="D23" s="160">
        <v>1.1100000000000001</v>
      </c>
    </row>
    <row r="24" spans="1:4" x14ac:dyDescent="0.25">
      <c r="A24" s="159">
        <v>17</v>
      </c>
      <c r="B24" s="159" t="s">
        <v>27</v>
      </c>
      <c r="C24" s="159" t="s">
        <v>288</v>
      </c>
      <c r="D24" s="160">
        <v>1.1100000000000001</v>
      </c>
    </row>
    <row r="25" spans="1:4" x14ac:dyDescent="0.25">
      <c r="A25" s="159">
        <v>18</v>
      </c>
      <c r="B25" s="159" t="s">
        <v>27</v>
      </c>
      <c r="C25" s="159" t="s">
        <v>288</v>
      </c>
      <c r="D25" s="160">
        <v>1.1100000000000001</v>
      </c>
    </row>
    <row r="26" spans="1:4" x14ac:dyDescent="0.25">
      <c r="A26" s="159">
        <v>19</v>
      </c>
      <c r="B26" s="159" t="s">
        <v>27</v>
      </c>
      <c r="C26" s="159" t="s">
        <v>288</v>
      </c>
      <c r="D26" s="160">
        <v>1.1100000000000001</v>
      </c>
    </row>
    <row r="27" spans="1:4" x14ac:dyDescent="0.25">
      <c r="A27" s="159">
        <v>20</v>
      </c>
      <c r="B27" s="159" t="s">
        <v>27</v>
      </c>
      <c r="C27" s="159" t="s">
        <v>288</v>
      </c>
      <c r="D27" s="160">
        <v>1.1100000000000001</v>
      </c>
    </row>
    <row r="28" spans="1:4" x14ac:dyDescent="0.25">
      <c r="A28" s="159">
        <v>21</v>
      </c>
      <c r="B28" s="159" t="s">
        <v>27</v>
      </c>
      <c r="C28" s="159" t="s">
        <v>288</v>
      </c>
      <c r="D28" s="160">
        <v>1.1100000000000001</v>
      </c>
    </row>
    <row r="29" spans="1:4" x14ac:dyDescent="0.25">
      <c r="A29" s="159">
        <v>22</v>
      </c>
      <c r="B29" s="159" t="s">
        <v>27</v>
      </c>
      <c r="C29" s="159" t="s">
        <v>288</v>
      </c>
      <c r="D29" s="160">
        <v>1.1100000000000001</v>
      </c>
    </row>
    <row r="30" spans="1:4" x14ac:dyDescent="0.25">
      <c r="A30" s="159">
        <v>23</v>
      </c>
      <c r="B30" s="159" t="s">
        <v>27</v>
      </c>
      <c r="C30" s="159" t="s">
        <v>288</v>
      </c>
      <c r="D30" s="160">
        <v>1.1100000000000001</v>
      </c>
    </row>
    <row r="31" spans="1:4" x14ac:dyDescent="0.25">
      <c r="A31" s="159">
        <v>24</v>
      </c>
      <c r="B31" s="159" t="s">
        <v>27</v>
      </c>
      <c r="C31" s="159" t="s">
        <v>288</v>
      </c>
      <c r="D31" s="160">
        <v>1.1100000000000001</v>
      </c>
    </row>
    <row r="32" spans="1:4" x14ac:dyDescent="0.25">
      <c r="A32" s="159">
        <v>25</v>
      </c>
      <c r="B32" s="159" t="s">
        <v>27</v>
      </c>
      <c r="C32" s="159" t="s">
        <v>288</v>
      </c>
      <c r="D32" s="160">
        <v>1.1100000000000001</v>
      </c>
    </row>
    <row r="33" spans="1:4" x14ac:dyDescent="0.25">
      <c r="A33" s="159">
        <v>26</v>
      </c>
      <c r="B33" s="159" t="s">
        <v>27</v>
      </c>
      <c r="C33" s="159" t="s">
        <v>288</v>
      </c>
      <c r="D33" s="160">
        <v>1.1100000000000001</v>
      </c>
    </row>
    <row r="34" spans="1:4" x14ac:dyDescent="0.25">
      <c r="A34" s="159">
        <v>27</v>
      </c>
      <c r="B34" s="159" t="s">
        <v>27</v>
      </c>
      <c r="C34" s="159" t="s">
        <v>288</v>
      </c>
      <c r="D34" s="160">
        <v>1.1100000000000001</v>
      </c>
    </row>
    <row r="35" spans="1:4" x14ac:dyDescent="0.25">
      <c r="A35" s="159">
        <v>28</v>
      </c>
      <c r="B35" s="159" t="s">
        <v>27</v>
      </c>
      <c r="C35" s="159" t="s">
        <v>288</v>
      </c>
      <c r="D35" s="160">
        <v>1.1100000000000001</v>
      </c>
    </row>
    <row r="36" spans="1:4" x14ac:dyDescent="0.25">
      <c r="A36" s="159">
        <v>29</v>
      </c>
      <c r="B36" s="159" t="s">
        <v>27</v>
      </c>
      <c r="C36" s="159" t="s">
        <v>288</v>
      </c>
      <c r="D36" s="160">
        <v>1.1100000000000001</v>
      </c>
    </row>
    <row r="37" spans="1:4" x14ac:dyDescent="0.25">
      <c r="A37" s="159">
        <v>30</v>
      </c>
      <c r="B37" s="159" t="s">
        <v>27</v>
      </c>
      <c r="C37" s="159" t="s">
        <v>288</v>
      </c>
      <c r="D37" s="160">
        <v>1.1100000000000001</v>
      </c>
    </row>
    <row r="38" spans="1:4" x14ac:dyDescent="0.25">
      <c r="A38" s="159">
        <v>31</v>
      </c>
      <c r="B38" s="159" t="s">
        <v>27</v>
      </c>
      <c r="C38" s="159" t="s">
        <v>288</v>
      </c>
      <c r="D38" s="160">
        <v>1.1100000000000001</v>
      </c>
    </row>
    <row r="39" spans="1:4" x14ac:dyDescent="0.25">
      <c r="A39" s="159">
        <v>32</v>
      </c>
      <c r="B39" s="159" t="s">
        <v>27</v>
      </c>
      <c r="C39" s="159" t="s">
        <v>288</v>
      </c>
      <c r="D39" s="160">
        <v>1.1100000000000001</v>
      </c>
    </row>
    <row r="40" spans="1:4" x14ac:dyDescent="0.25">
      <c r="A40" s="159">
        <v>33</v>
      </c>
      <c r="B40" s="159" t="s">
        <v>27</v>
      </c>
      <c r="C40" s="159" t="s">
        <v>288</v>
      </c>
      <c r="D40" s="160">
        <v>1.1100000000000001</v>
      </c>
    </row>
    <row r="41" spans="1:4" x14ac:dyDescent="0.25">
      <c r="A41" s="159">
        <v>34</v>
      </c>
      <c r="B41" s="159" t="s">
        <v>27</v>
      </c>
      <c r="C41" s="159" t="s">
        <v>288</v>
      </c>
      <c r="D41" s="160">
        <v>1.1100000000000001</v>
      </c>
    </row>
    <row r="42" spans="1:4" x14ac:dyDescent="0.25">
      <c r="A42" s="159">
        <v>35</v>
      </c>
      <c r="B42" s="159" t="s">
        <v>27</v>
      </c>
      <c r="C42" s="159" t="s">
        <v>288</v>
      </c>
      <c r="D42" s="160">
        <v>1.1100000000000001</v>
      </c>
    </row>
    <row r="43" spans="1:4" x14ac:dyDescent="0.25">
      <c r="A43" s="159">
        <v>36</v>
      </c>
      <c r="B43" s="159" t="s">
        <v>27</v>
      </c>
      <c r="C43" s="159" t="s">
        <v>288</v>
      </c>
      <c r="D43" s="160">
        <v>1.1100000000000001</v>
      </c>
    </row>
    <row r="44" spans="1:4" x14ac:dyDescent="0.25">
      <c r="A44" s="159">
        <v>37</v>
      </c>
      <c r="B44" s="159" t="s">
        <v>27</v>
      </c>
      <c r="C44" s="159" t="s">
        <v>288</v>
      </c>
      <c r="D44" s="160">
        <v>1.1100000000000001</v>
      </c>
    </row>
    <row r="45" spans="1:4" x14ac:dyDescent="0.25">
      <c r="A45" s="159">
        <v>38</v>
      </c>
      <c r="B45" s="159" t="s">
        <v>27</v>
      </c>
      <c r="C45" s="159" t="s">
        <v>288</v>
      </c>
      <c r="D45" s="160">
        <v>1.1100000000000001</v>
      </c>
    </row>
    <row r="46" spans="1:4" x14ac:dyDescent="0.25">
      <c r="A46" s="159">
        <v>39</v>
      </c>
      <c r="B46" s="159" t="s">
        <v>27</v>
      </c>
      <c r="C46" s="159" t="s">
        <v>288</v>
      </c>
      <c r="D46" s="160">
        <v>1.1100000000000001</v>
      </c>
    </row>
    <row r="47" spans="1:4" x14ac:dyDescent="0.25">
      <c r="A47" s="159">
        <v>40</v>
      </c>
      <c r="B47" s="159" t="s">
        <v>27</v>
      </c>
      <c r="C47" s="159" t="s">
        <v>288</v>
      </c>
      <c r="D47" s="160">
        <v>1.1100000000000001</v>
      </c>
    </row>
    <row r="48" spans="1:4" x14ac:dyDescent="0.25">
      <c r="A48" s="159">
        <v>41</v>
      </c>
      <c r="B48" s="159" t="s">
        <v>27</v>
      </c>
      <c r="C48" s="159" t="s">
        <v>288</v>
      </c>
      <c r="D48" s="160">
        <v>1.1100000000000001</v>
      </c>
    </row>
    <row r="49" spans="1:4" x14ac:dyDescent="0.25">
      <c r="A49" s="159">
        <v>42</v>
      </c>
      <c r="B49" s="159" t="s">
        <v>27</v>
      </c>
      <c r="C49" s="159" t="s">
        <v>288</v>
      </c>
      <c r="D49" s="160">
        <v>1.1100000000000001</v>
      </c>
    </row>
    <row r="50" spans="1:4" x14ac:dyDescent="0.25">
      <c r="A50" s="159">
        <v>43</v>
      </c>
      <c r="B50" s="159" t="s">
        <v>27</v>
      </c>
      <c r="C50" s="159" t="s">
        <v>288</v>
      </c>
      <c r="D50" s="160">
        <v>1.1100000000000001</v>
      </c>
    </row>
    <row r="51" spans="1:4" x14ac:dyDescent="0.25">
      <c r="A51" s="159">
        <v>44</v>
      </c>
      <c r="B51" s="159" t="s">
        <v>27</v>
      </c>
      <c r="C51" s="159" t="s">
        <v>288</v>
      </c>
      <c r="D51" s="160">
        <v>1.1100000000000001</v>
      </c>
    </row>
    <row r="52" spans="1:4" x14ac:dyDescent="0.25">
      <c r="A52" s="159">
        <v>45</v>
      </c>
      <c r="B52" s="159" t="s">
        <v>27</v>
      </c>
      <c r="C52" s="159" t="s">
        <v>288</v>
      </c>
      <c r="D52" s="160">
        <v>1.1100000000000001</v>
      </c>
    </row>
    <row r="53" spans="1:4" x14ac:dyDescent="0.25">
      <c r="A53" s="159">
        <v>46</v>
      </c>
      <c r="B53" s="159" t="s">
        <v>27</v>
      </c>
      <c r="C53" s="159" t="s">
        <v>288</v>
      </c>
      <c r="D53" s="160">
        <v>1.1100000000000001</v>
      </c>
    </row>
    <row r="54" spans="1:4" x14ac:dyDescent="0.25">
      <c r="A54" s="159">
        <v>47</v>
      </c>
      <c r="B54" s="159" t="s">
        <v>27</v>
      </c>
      <c r="C54" s="159" t="s">
        <v>288</v>
      </c>
      <c r="D54" s="160">
        <v>1.1100000000000001</v>
      </c>
    </row>
    <row r="55" spans="1:4" x14ac:dyDescent="0.25">
      <c r="A55" s="159">
        <v>48</v>
      </c>
      <c r="B55" s="159" t="s">
        <v>27</v>
      </c>
      <c r="C55" s="159" t="s">
        <v>288</v>
      </c>
      <c r="D55" s="160">
        <v>1.1100000000000001</v>
      </c>
    </row>
    <row r="56" spans="1:4" x14ac:dyDescent="0.25">
      <c r="A56" s="159">
        <v>49</v>
      </c>
      <c r="B56" s="159" t="s">
        <v>27</v>
      </c>
      <c r="C56" s="159" t="s">
        <v>288</v>
      </c>
      <c r="D56" s="160">
        <v>0.41</v>
      </c>
    </row>
    <row r="57" spans="1:4" x14ac:dyDescent="0.25">
      <c r="A57" s="159">
        <v>50</v>
      </c>
      <c r="B57" s="159" t="s">
        <v>27</v>
      </c>
      <c r="C57" s="159" t="s">
        <v>288</v>
      </c>
      <c r="D57" s="160">
        <v>0.41</v>
      </c>
    </row>
    <row r="58" spans="1:4" x14ac:dyDescent="0.25">
      <c r="A58" s="159">
        <v>51</v>
      </c>
      <c r="B58" s="159" t="s">
        <v>27</v>
      </c>
      <c r="C58" s="159" t="s">
        <v>288</v>
      </c>
      <c r="D58" s="160">
        <v>0.41</v>
      </c>
    </row>
    <row r="59" spans="1:4" x14ac:dyDescent="0.25">
      <c r="A59" s="159">
        <v>52</v>
      </c>
      <c r="B59" s="159" t="s">
        <v>27</v>
      </c>
      <c r="C59" s="159" t="s">
        <v>288</v>
      </c>
      <c r="D59" s="160">
        <v>0.41</v>
      </c>
    </row>
    <row r="60" spans="1:4" x14ac:dyDescent="0.25">
      <c r="A60" s="159">
        <v>53</v>
      </c>
      <c r="B60" s="159" t="s">
        <v>27</v>
      </c>
      <c r="C60" s="159" t="s">
        <v>288</v>
      </c>
      <c r="D60" s="160">
        <v>0.41</v>
      </c>
    </row>
    <row r="61" spans="1:4" x14ac:dyDescent="0.25">
      <c r="A61" s="159">
        <v>54</v>
      </c>
      <c r="B61" s="159" t="s">
        <v>27</v>
      </c>
      <c r="C61" s="159" t="s">
        <v>288</v>
      </c>
      <c r="D61" s="160">
        <v>0.41</v>
      </c>
    </row>
    <row r="62" spans="1:4" x14ac:dyDescent="0.25">
      <c r="A62" s="159">
        <v>55</v>
      </c>
      <c r="B62" s="159" t="s">
        <v>27</v>
      </c>
      <c r="C62" s="159" t="s">
        <v>288</v>
      </c>
      <c r="D62" s="160">
        <v>0.41</v>
      </c>
    </row>
    <row r="63" spans="1:4" x14ac:dyDescent="0.25">
      <c r="A63" s="159">
        <v>56</v>
      </c>
      <c r="B63" s="159" t="s">
        <v>27</v>
      </c>
      <c r="C63" s="159" t="s">
        <v>288</v>
      </c>
      <c r="D63" s="160">
        <v>0.41</v>
      </c>
    </row>
    <row r="64" spans="1:4" x14ac:dyDescent="0.25">
      <c r="A64" s="159">
        <v>57</v>
      </c>
      <c r="B64" s="159" t="s">
        <v>27</v>
      </c>
      <c r="C64" s="159" t="s">
        <v>288</v>
      </c>
      <c r="D64" s="160">
        <v>0.41</v>
      </c>
    </row>
    <row r="65" spans="1:4" x14ac:dyDescent="0.25">
      <c r="A65" s="159">
        <v>58</v>
      </c>
      <c r="B65" s="159" t="s">
        <v>27</v>
      </c>
      <c r="C65" s="159" t="s">
        <v>288</v>
      </c>
      <c r="D65" s="160">
        <v>0.41</v>
      </c>
    </row>
    <row r="66" spans="1:4" x14ac:dyDescent="0.25">
      <c r="A66" s="159">
        <v>59</v>
      </c>
      <c r="B66" s="159" t="s">
        <v>27</v>
      </c>
      <c r="C66" s="159" t="s">
        <v>288</v>
      </c>
      <c r="D66" s="160">
        <v>0.41</v>
      </c>
    </row>
    <row r="67" spans="1:4" x14ac:dyDescent="0.25">
      <c r="A67" s="159">
        <v>60</v>
      </c>
      <c r="B67" s="159" t="s">
        <v>27</v>
      </c>
      <c r="C67" s="159" t="s">
        <v>288</v>
      </c>
      <c r="D67" s="160">
        <v>0.41</v>
      </c>
    </row>
    <row r="68" spans="1:4" x14ac:dyDescent="0.25">
      <c r="A68" s="159">
        <v>61</v>
      </c>
      <c r="B68" s="159" t="s">
        <v>27</v>
      </c>
      <c r="C68" s="159" t="s">
        <v>288</v>
      </c>
      <c r="D68" s="160">
        <v>0.41</v>
      </c>
    </row>
    <row r="69" spans="1:4" x14ac:dyDescent="0.25">
      <c r="A69" s="159">
        <v>62</v>
      </c>
      <c r="B69" s="159" t="s">
        <v>27</v>
      </c>
      <c r="C69" s="159" t="s">
        <v>288</v>
      </c>
      <c r="D69" s="160">
        <v>0.41</v>
      </c>
    </row>
    <row r="70" spans="1:4" x14ac:dyDescent="0.25">
      <c r="A70" s="159">
        <v>63</v>
      </c>
      <c r="B70" s="159" t="s">
        <v>27</v>
      </c>
      <c r="C70" s="159" t="s">
        <v>288</v>
      </c>
      <c r="D70" s="160">
        <v>0.41</v>
      </c>
    </row>
    <row r="71" spans="1:4" x14ac:dyDescent="0.25">
      <c r="A71" s="159">
        <v>64</v>
      </c>
      <c r="B71" s="159" t="s">
        <v>27</v>
      </c>
      <c r="C71" s="159" t="s">
        <v>288</v>
      </c>
      <c r="D71" s="160">
        <v>0.41</v>
      </c>
    </row>
    <row r="72" spans="1:4" x14ac:dyDescent="0.25">
      <c r="A72" s="159">
        <v>1</v>
      </c>
      <c r="B72" s="159" t="s">
        <v>28</v>
      </c>
      <c r="C72" s="159" t="s">
        <v>288</v>
      </c>
      <c r="D72" s="160">
        <v>2.69</v>
      </c>
    </row>
    <row r="73" spans="1:4" x14ac:dyDescent="0.25">
      <c r="A73" s="159">
        <v>2</v>
      </c>
      <c r="B73" s="159" t="s">
        <v>28</v>
      </c>
      <c r="C73" s="159" t="s">
        <v>288</v>
      </c>
      <c r="D73" s="160">
        <v>2.69</v>
      </c>
    </row>
    <row r="74" spans="1:4" x14ac:dyDescent="0.25">
      <c r="A74" s="159">
        <v>3</v>
      </c>
      <c r="B74" s="159" t="s">
        <v>28</v>
      </c>
      <c r="C74" s="159" t="s">
        <v>288</v>
      </c>
      <c r="D74" s="160">
        <v>2.69</v>
      </c>
    </row>
    <row r="75" spans="1:4" x14ac:dyDescent="0.25">
      <c r="A75" s="159">
        <v>4</v>
      </c>
      <c r="B75" s="159" t="s">
        <v>28</v>
      </c>
      <c r="C75" s="159" t="s">
        <v>288</v>
      </c>
      <c r="D75" s="160">
        <v>2.69</v>
      </c>
    </row>
    <row r="76" spans="1:4" x14ac:dyDescent="0.25">
      <c r="A76" s="159">
        <v>5</v>
      </c>
      <c r="B76" s="159" t="s">
        <v>28</v>
      </c>
      <c r="C76" s="159" t="s">
        <v>288</v>
      </c>
      <c r="D76" s="160">
        <v>2.69</v>
      </c>
    </row>
    <row r="77" spans="1:4" x14ac:dyDescent="0.25">
      <c r="A77" s="159">
        <v>6</v>
      </c>
      <c r="B77" s="159" t="s">
        <v>28</v>
      </c>
      <c r="C77" s="159" t="s">
        <v>288</v>
      </c>
      <c r="D77" s="160">
        <v>2.69</v>
      </c>
    </row>
    <row r="78" spans="1:4" x14ac:dyDescent="0.25">
      <c r="A78" s="159">
        <v>7</v>
      </c>
      <c r="B78" s="159" t="s">
        <v>28</v>
      </c>
      <c r="C78" s="159" t="s">
        <v>288</v>
      </c>
      <c r="D78" s="160">
        <v>2.69</v>
      </c>
    </row>
    <row r="79" spans="1:4" x14ac:dyDescent="0.25">
      <c r="A79" s="159">
        <v>8</v>
      </c>
      <c r="B79" s="159" t="s">
        <v>28</v>
      </c>
      <c r="C79" s="159" t="s">
        <v>288</v>
      </c>
      <c r="D79" s="160">
        <v>2.69</v>
      </c>
    </row>
    <row r="80" spans="1:4" x14ac:dyDescent="0.25">
      <c r="A80" s="159">
        <v>9</v>
      </c>
      <c r="B80" s="159" t="s">
        <v>28</v>
      </c>
      <c r="C80" s="159" t="s">
        <v>288</v>
      </c>
      <c r="D80" s="160">
        <v>2.69</v>
      </c>
    </row>
    <row r="81" spans="1:4" x14ac:dyDescent="0.25">
      <c r="A81" s="159">
        <v>10</v>
      </c>
      <c r="B81" s="159" t="s">
        <v>28</v>
      </c>
      <c r="C81" s="159" t="s">
        <v>288</v>
      </c>
      <c r="D81" s="160">
        <v>2.69</v>
      </c>
    </row>
    <row r="82" spans="1:4" x14ac:dyDescent="0.25">
      <c r="A82" s="159">
        <v>11</v>
      </c>
      <c r="B82" s="159" t="s">
        <v>28</v>
      </c>
      <c r="C82" s="159" t="s">
        <v>288</v>
      </c>
      <c r="D82" s="160">
        <v>2.69</v>
      </c>
    </row>
    <row r="83" spans="1:4" x14ac:dyDescent="0.25">
      <c r="A83" s="159">
        <v>12</v>
      </c>
      <c r="B83" s="159" t="s">
        <v>28</v>
      </c>
      <c r="C83" s="159" t="s">
        <v>288</v>
      </c>
      <c r="D83" s="160">
        <v>2.69</v>
      </c>
    </row>
    <row r="84" spans="1:4" x14ac:dyDescent="0.25">
      <c r="A84" s="159">
        <v>13</v>
      </c>
      <c r="B84" s="159" t="s">
        <v>28</v>
      </c>
      <c r="C84" s="159" t="s">
        <v>288</v>
      </c>
      <c r="D84" s="160">
        <v>2.69</v>
      </c>
    </row>
    <row r="85" spans="1:4" x14ac:dyDescent="0.25">
      <c r="A85" s="159">
        <v>14</v>
      </c>
      <c r="B85" s="159" t="s">
        <v>28</v>
      </c>
      <c r="C85" s="159" t="s">
        <v>288</v>
      </c>
      <c r="D85" s="160">
        <v>2.69</v>
      </c>
    </row>
    <row r="86" spans="1:4" x14ac:dyDescent="0.25">
      <c r="A86" s="159">
        <v>15</v>
      </c>
      <c r="B86" s="159" t="s">
        <v>28</v>
      </c>
      <c r="C86" s="159" t="s">
        <v>288</v>
      </c>
      <c r="D86" s="160">
        <v>2.69</v>
      </c>
    </row>
    <row r="87" spans="1:4" x14ac:dyDescent="0.25">
      <c r="A87" s="159">
        <v>16</v>
      </c>
      <c r="B87" s="159" t="s">
        <v>28</v>
      </c>
      <c r="C87" s="159" t="s">
        <v>288</v>
      </c>
      <c r="D87" s="160">
        <v>2.69</v>
      </c>
    </row>
    <row r="88" spans="1:4" x14ac:dyDescent="0.25">
      <c r="A88" s="159">
        <v>17</v>
      </c>
      <c r="B88" s="159" t="s">
        <v>28</v>
      </c>
      <c r="C88" s="159" t="s">
        <v>288</v>
      </c>
      <c r="D88" s="160">
        <v>2.69</v>
      </c>
    </row>
    <row r="89" spans="1:4" x14ac:dyDescent="0.25">
      <c r="A89" s="159">
        <v>18</v>
      </c>
      <c r="B89" s="159" t="s">
        <v>28</v>
      </c>
      <c r="C89" s="159" t="s">
        <v>288</v>
      </c>
      <c r="D89" s="160">
        <v>2.69</v>
      </c>
    </row>
    <row r="90" spans="1:4" x14ac:dyDescent="0.25">
      <c r="A90" s="159">
        <v>19</v>
      </c>
      <c r="B90" s="159" t="s">
        <v>28</v>
      </c>
      <c r="C90" s="159" t="s">
        <v>288</v>
      </c>
      <c r="D90" s="160">
        <v>2.69</v>
      </c>
    </row>
    <row r="91" spans="1:4" x14ac:dyDescent="0.25">
      <c r="A91" s="159">
        <v>20</v>
      </c>
      <c r="B91" s="159" t="s">
        <v>28</v>
      </c>
      <c r="C91" s="159" t="s">
        <v>288</v>
      </c>
      <c r="D91" s="160">
        <v>2.69</v>
      </c>
    </row>
    <row r="92" spans="1:4" x14ac:dyDescent="0.25">
      <c r="A92" s="159">
        <v>21</v>
      </c>
      <c r="B92" s="159" t="s">
        <v>28</v>
      </c>
      <c r="C92" s="159" t="s">
        <v>288</v>
      </c>
      <c r="D92" s="160">
        <v>2.69</v>
      </c>
    </row>
    <row r="93" spans="1:4" x14ac:dyDescent="0.25">
      <c r="A93" s="159">
        <v>22</v>
      </c>
      <c r="B93" s="159" t="s">
        <v>28</v>
      </c>
      <c r="C93" s="159" t="s">
        <v>288</v>
      </c>
      <c r="D93" s="160">
        <v>2.69</v>
      </c>
    </row>
    <row r="94" spans="1:4" x14ac:dyDescent="0.25">
      <c r="A94" s="159">
        <v>23</v>
      </c>
      <c r="B94" s="159" t="s">
        <v>28</v>
      </c>
      <c r="C94" s="159" t="s">
        <v>288</v>
      </c>
      <c r="D94" s="160">
        <v>2.69</v>
      </c>
    </row>
    <row r="95" spans="1:4" x14ac:dyDescent="0.25">
      <c r="A95" s="159">
        <v>24</v>
      </c>
      <c r="B95" s="159" t="s">
        <v>28</v>
      </c>
      <c r="C95" s="159" t="s">
        <v>288</v>
      </c>
      <c r="D95" s="160">
        <v>2.69</v>
      </c>
    </row>
    <row r="96" spans="1:4" x14ac:dyDescent="0.25">
      <c r="A96" s="159">
        <v>25</v>
      </c>
      <c r="B96" s="159" t="s">
        <v>28</v>
      </c>
      <c r="C96" s="159" t="s">
        <v>288</v>
      </c>
      <c r="D96" s="160">
        <v>2.69</v>
      </c>
    </row>
    <row r="97" spans="1:4" x14ac:dyDescent="0.25">
      <c r="A97" s="159">
        <v>26</v>
      </c>
      <c r="B97" s="159" t="s">
        <v>28</v>
      </c>
      <c r="C97" s="159" t="s">
        <v>288</v>
      </c>
      <c r="D97" s="160">
        <v>2.69</v>
      </c>
    </row>
    <row r="98" spans="1:4" x14ac:dyDescent="0.25">
      <c r="A98" s="159">
        <v>27</v>
      </c>
      <c r="B98" s="159" t="s">
        <v>28</v>
      </c>
      <c r="C98" s="159" t="s">
        <v>288</v>
      </c>
      <c r="D98" s="160">
        <v>2.69</v>
      </c>
    </row>
    <row r="99" spans="1:4" x14ac:dyDescent="0.25">
      <c r="A99" s="159">
        <v>28</v>
      </c>
      <c r="B99" s="159" t="s">
        <v>28</v>
      </c>
      <c r="C99" s="159" t="s">
        <v>288</v>
      </c>
      <c r="D99" s="160">
        <v>2.69</v>
      </c>
    </row>
    <row r="100" spans="1:4" x14ac:dyDescent="0.25">
      <c r="A100" s="159">
        <v>29</v>
      </c>
      <c r="B100" s="159" t="s">
        <v>28</v>
      </c>
      <c r="C100" s="159" t="s">
        <v>288</v>
      </c>
      <c r="D100" s="160">
        <v>2.69</v>
      </c>
    </row>
    <row r="101" spans="1:4" x14ac:dyDescent="0.25">
      <c r="A101" s="159">
        <v>30</v>
      </c>
      <c r="B101" s="159" t="s">
        <v>28</v>
      </c>
      <c r="C101" s="159" t="s">
        <v>288</v>
      </c>
      <c r="D101" s="160">
        <v>2.69</v>
      </c>
    </row>
    <row r="102" spans="1:4" x14ac:dyDescent="0.25">
      <c r="A102" s="159">
        <v>31</v>
      </c>
      <c r="B102" s="159" t="s">
        <v>28</v>
      </c>
      <c r="C102" s="159" t="s">
        <v>288</v>
      </c>
      <c r="D102" s="160">
        <v>2.69</v>
      </c>
    </row>
    <row r="103" spans="1:4" x14ac:dyDescent="0.25">
      <c r="A103" s="159">
        <v>32</v>
      </c>
      <c r="B103" s="159" t="s">
        <v>28</v>
      </c>
      <c r="C103" s="159" t="s">
        <v>288</v>
      </c>
      <c r="D103" s="160">
        <v>2.69</v>
      </c>
    </row>
    <row r="104" spans="1:4" x14ac:dyDescent="0.25">
      <c r="A104" s="159">
        <v>33</v>
      </c>
      <c r="B104" s="159" t="s">
        <v>28</v>
      </c>
      <c r="C104" s="159" t="s">
        <v>288</v>
      </c>
      <c r="D104" s="160">
        <v>2.69</v>
      </c>
    </row>
    <row r="105" spans="1:4" x14ac:dyDescent="0.25">
      <c r="A105" s="159">
        <v>34</v>
      </c>
      <c r="B105" s="159" t="s">
        <v>28</v>
      </c>
      <c r="C105" s="159" t="s">
        <v>288</v>
      </c>
      <c r="D105" s="160">
        <v>2.69</v>
      </c>
    </row>
    <row r="106" spans="1:4" x14ac:dyDescent="0.25">
      <c r="A106" s="159">
        <v>35</v>
      </c>
      <c r="B106" s="159" t="s">
        <v>28</v>
      </c>
      <c r="C106" s="159" t="s">
        <v>288</v>
      </c>
      <c r="D106" s="160">
        <v>2.69</v>
      </c>
    </row>
    <row r="107" spans="1:4" x14ac:dyDescent="0.25">
      <c r="A107" s="159">
        <v>36</v>
      </c>
      <c r="B107" s="159" t="s">
        <v>28</v>
      </c>
      <c r="C107" s="159" t="s">
        <v>288</v>
      </c>
      <c r="D107" s="160">
        <v>2.69</v>
      </c>
    </row>
    <row r="108" spans="1:4" x14ac:dyDescent="0.25">
      <c r="A108" s="159">
        <v>37</v>
      </c>
      <c r="B108" s="159" t="s">
        <v>28</v>
      </c>
      <c r="C108" s="159" t="s">
        <v>288</v>
      </c>
      <c r="D108" s="160">
        <v>2.69</v>
      </c>
    </row>
    <row r="109" spans="1:4" x14ac:dyDescent="0.25">
      <c r="A109" s="159">
        <v>38</v>
      </c>
      <c r="B109" s="159" t="s">
        <v>28</v>
      </c>
      <c r="C109" s="159" t="s">
        <v>288</v>
      </c>
      <c r="D109" s="160">
        <v>2.69</v>
      </c>
    </row>
    <row r="110" spans="1:4" x14ac:dyDescent="0.25">
      <c r="A110" s="159">
        <v>39</v>
      </c>
      <c r="B110" s="159" t="s">
        <v>28</v>
      </c>
      <c r="C110" s="159" t="s">
        <v>288</v>
      </c>
      <c r="D110" s="160">
        <v>2.69</v>
      </c>
    </row>
    <row r="111" spans="1:4" x14ac:dyDescent="0.25">
      <c r="A111" s="159">
        <v>40</v>
      </c>
      <c r="B111" s="159" t="s">
        <v>28</v>
      </c>
      <c r="C111" s="159" t="s">
        <v>288</v>
      </c>
      <c r="D111" s="160">
        <v>2.69</v>
      </c>
    </row>
    <row r="112" spans="1:4" x14ac:dyDescent="0.25">
      <c r="A112" s="159">
        <v>41</v>
      </c>
      <c r="B112" s="159" t="s">
        <v>28</v>
      </c>
      <c r="C112" s="159" t="s">
        <v>288</v>
      </c>
      <c r="D112" s="160">
        <v>2.69</v>
      </c>
    </row>
    <row r="113" spans="1:4" x14ac:dyDescent="0.25">
      <c r="A113" s="159">
        <v>42</v>
      </c>
      <c r="B113" s="159" t="s">
        <v>28</v>
      </c>
      <c r="C113" s="159" t="s">
        <v>288</v>
      </c>
      <c r="D113" s="160">
        <v>2.69</v>
      </c>
    </row>
    <row r="114" spans="1:4" x14ac:dyDescent="0.25">
      <c r="A114" s="159">
        <v>43</v>
      </c>
      <c r="B114" s="159" t="s">
        <v>28</v>
      </c>
      <c r="C114" s="159" t="s">
        <v>288</v>
      </c>
      <c r="D114" s="160">
        <v>2.69</v>
      </c>
    </row>
    <row r="115" spans="1:4" x14ac:dyDescent="0.25">
      <c r="A115" s="159">
        <v>44</v>
      </c>
      <c r="B115" s="159" t="s">
        <v>28</v>
      </c>
      <c r="C115" s="159" t="s">
        <v>288</v>
      </c>
      <c r="D115" s="160">
        <v>2.69</v>
      </c>
    </row>
    <row r="116" spans="1:4" x14ac:dyDescent="0.25">
      <c r="A116" s="159">
        <v>45</v>
      </c>
      <c r="B116" s="159" t="s">
        <v>28</v>
      </c>
      <c r="C116" s="159" t="s">
        <v>288</v>
      </c>
      <c r="D116" s="160">
        <v>2.69</v>
      </c>
    </row>
    <row r="117" spans="1:4" x14ac:dyDescent="0.25">
      <c r="A117" s="159">
        <v>46</v>
      </c>
      <c r="B117" s="159" t="s">
        <v>28</v>
      </c>
      <c r="C117" s="159" t="s">
        <v>288</v>
      </c>
      <c r="D117" s="160">
        <v>2.69</v>
      </c>
    </row>
    <row r="118" spans="1:4" x14ac:dyDescent="0.25">
      <c r="A118" s="159">
        <v>47</v>
      </c>
      <c r="B118" s="159" t="s">
        <v>28</v>
      </c>
      <c r="C118" s="159" t="s">
        <v>288</v>
      </c>
      <c r="D118" s="160">
        <v>2.69</v>
      </c>
    </row>
    <row r="119" spans="1:4" x14ac:dyDescent="0.25">
      <c r="A119" s="159">
        <v>48</v>
      </c>
      <c r="B119" s="159" t="s">
        <v>28</v>
      </c>
      <c r="C119" s="159" t="s">
        <v>288</v>
      </c>
      <c r="D119" s="160">
        <v>2.69</v>
      </c>
    </row>
    <row r="120" spans="1:4" x14ac:dyDescent="0.25">
      <c r="A120" s="159">
        <v>49</v>
      </c>
      <c r="B120" s="159" t="s">
        <v>28</v>
      </c>
      <c r="C120" s="159" t="s">
        <v>288</v>
      </c>
      <c r="D120" s="160">
        <v>0.57999999999999996</v>
      </c>
    </row>
    <row r="121" spans="1:4" x14ac:dyDescent="0.25">
      <c r="A121" s="159">
        <v>50</v>
      </c>
      <c r="B121" s="159" t="s">
        <v>28</v>
      </c>
      <c r="C121" s="159" t="s">
        <v>288</v>
      </c>
      <c r="D121" s="160">
        <v>0.57999999999999996</v>
      </c>
    </row>
    <row r="122" spans="1:4" x14ac:dyDescent="0.25">
      <c r="A122" s="159">
        <v>51</v>
      </c>
      <c r="B122" s="159" t="s">
        <v>28</v>
      </c>
      <c r="C122" s="159" t="s">
        <v>288</v>
      </c>
      <c r="D122" s="160">
        <v>0.57999999999999996</v>
      </c>
    </row>
    <row r="123" spans="1:4" x14ac:dyDescent="0.25">
      <c r="A123" s="159">
        <v>52</v>
      </c>
      <c r="B123" s="159" t="s">
        <v>28</v>
      </c>
      <c r="C123" s="159" t="s">
        <v>288</v>
      </c>
      <c r="D123" s="160">
        <v>0.57999999999999996</v>
      </c>
    </row>
    <row r="124" spans="1:4" x14ac:dyDescent="0.25">
      <c r="A124" s="159">
        <v>53</v>
      </c>
      <c r="B124" s="159" t="s">
        <v>28</v>
      </c>
      <c r="C124" s="159" t="s">
        <v>288</v>
      </c>
      <c r="D124" s="160">
        <v>0.57999999999999996</v>
      </c>
    </row>
    <row r="125" spans="1:4" x14ac:dyDescent="0.25">
      <c r="A125" s="159">
        <v>54</v>
      </c>
      <c r="B125" s="159" t="s">
        <v>28</v>
      </c>
      <c r="C125" s="159" t="s">
        <v>288</v>
      </c>
      <c r="D125" s="160">
        <v>0.57999999999999996</v>
      </c>
    </row>
    <row r="126" spans="1:4" x14ac:dyDescent="0.25">
      <c r="A126" s="159">
        <v>55</v>
      </c>
      <c r="B126" s="159" t="s">
        <v>28</v>
      </c>
      <c r="C126" s="159" t="s">
        <v>288</v>
      </c>
      <c r="D126" s="160">
        <v>0.57999999999999996</v>
      </c>
    </row>
    <row r="127" spans="1:4" x14ac:dyDescent="0.25">
      <c r="A127" s="159">
        <v>56</v>
      </c>
      <c r="B127" s="159" t="s">
        <v>28</v>
      </c>
      <c r="C127" s="159" t="s">
        <v>288</v>
      </c>
      <c r="D127" s="160">
        <v>0.57999999999999996</v>
      </c>
    </row>
    <row r="128" spans="1:4" x14ac:dyDescent="0.25">
      <c r="A128" s="159">
        <v>57</v>
      </c>
      <c r="B128" s="159" t="s">
        <v>28</v>
      </c>
      <c r="C128" s="159" t="s">
        <v>288</v>
      </c>
      <c r="D128" s="160">
        <v>0.57999999999999996</v>
      </c>
    </row>
    <row r="129" spans="1:4" x14ac:dyDescent="0.25">
      <c r="A129" s="159">
        <v>58</v>
      </c>
      <c r="B129" s="159" t="s">
        <v>28</v>
      </c>
      <c r="C129" s="159" t="s">
        <v>288</v>
      </c>
      <c r="D129" s="160">
        <v>0.57999999999999996</v>
      </c>
    </row>
    <row r="130" spans="1:4" x14ac:dyDescent="0.25">
      <c r="A130" s="159">
        <v>59</v>
      </c>
      <c r="B130" s="159" t="s">
        <v>28</v>
      </c>
      <c r="C130" s="159" t="s">
        <v>288</v>
      </c>
      <c r="D130" s="160">
        <v>0.57999999999999996</v>
      </c>
    </row>
    <row r="131" spans="1:4" x14ac:dyDescent="0.25">
      <c r="A131" s="159">
        <v>60</v>
      </c>
      <c r="B131" s="159" t="s">
        <v>28</v>
      </c>
      <c r="C131" s="159" t="s">
        <v>288</v>
      </c>
      <c r="D131" s="160">
        <v>0.57999999999999996</v>
      </c>
    </row>
    <row r="132" spans="1:4" x14ac:dyDescent="0.25">
      <c r="A132" s="159">
        <v>61</v>
      </c>
      <c r="B132" s="159" t="s">
        <v>28</v>
      </c>
      <c r="C132" s="159" t="s">
        <v>288</v>
      </c>
      <c r="D132" s="160">
        <v>0.57999999999999996</v>
      </c>
    </row>
    <row r="133" spans="1:4" x14ac:dyDescent="0.25">
      <c r="A133" s="159">
        <v>62</v>
      </c>
      <c r="B133" s="159" t="s">
        <v>28</v>
      </c>
      <c r="C133" s="159" t="s">
        <v>288</v>
      </c>
      <c r="D133" s="160">
        <v>0.57999999999999996</v>
      </c>
    </row>
    <row r="134" spans="1:4" x14ac:dyDescent="0.25">
      <c r="A134" s="159">
        <v>63</v>
      </c>
      <c r="B134" s="159" t="s">
        <v>28</v>
      </c>
      <c r="C134" s="159" t="s">
        <v>288</v>
      </c>
      <c r="D134" s="160">
        <v>0.57999999999999996</v>
      </c>
    </row>
    <row r="135" spans="1:4" x14ac:dyDescent="0.25">
      <c r="A135" s="159">
        <v>64</v>
      </c>
      <c r="B135" s="159" t="s">
        <v>28</v>
      </c>
      <c r="C135" s="159" t="s">
        <v>288</v>
      </c>
      <c r="D135" s="160">
        <v>0.57999999999999996</v>
      </c>
    </row>
  </sheetData>
  <dataValidations count="4">
    <dataValidation type="list" showInputMessage="1" showErrorMessage="1" errorTitle="Invalid Input" error="Choose from the list" sqref="B8:B1048576" xr:uid="{1512AF2D-8ABF-408B-A5A3-341A7F908033}">
      <formula1>LC_Type</formula1>
    </dataValidation>
    <dataValidation type="list" showInputMessage="1" showErrorMessage="1" errorTitle="Invalid Input" error="Choose from the list" sqref="A8:A1048576" xr:uid="{0FB351FE-4722-4B30-B2C7-F77C6F4CB4C8}">
      <formula1>Surface_ID</formula1>
    </dataValidation>
    <dataValidation type="decimal" allowBlank="1" showInputMessage="1" showErrorMessage="1" errorTitle="Invalid Input" error="Please enter a float value only." sqref="D8:D1048576" xr:uid="{5938BB6D-6A18-4E94-99C8-7CE9A4B4114A}">
      <formula1>-1000000000000</formula1>
      <formula2>1000000000000</formula2>
    </dataValidation>
    <dataValidation type="list" showInputMessage="1" showErrorMessage="1" errorTitle="Invalid Input" error="Choose from the list" sqref="C8:C1048576" xr:uid="{A58E8B81-98B3-44AB-B60D-4C93D87E3A91}">
      <formula1>"Global-X, Global-Y, Gravity, Local-x, Local-y, Local-z"</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6" sqref="D6"/>
    </sheetView>
  </sheetViews>
  <sheetFormatPr defaultColWidth="10.85546875" defaultRowHeight="15.75" x14ac:dyDescent="0.25"/>
  <cols>
    <col min="1" max="2" width="20.85546875" style="1" customWidth="1"/>
    <col min="3" max="3" width="15.85546875" style="1" customWidth="1"/>
    <col min="4" max="4" width="10.85546875" style="4"/>
    <col min="5" max="5" width="50.85546875" style="9" customWidth="1"/>
    <col min="6" max="16384" width="10.85546875" style="3"/>
  </cols>
  <sheetData>
    <row r="1" spans="1:5" s="8" customFormat="1" x14ac:dyDescent="0.25">
      <c r="A1" s="8" t="s">
        <v>62</v>
      </c>
      <c r="B1" s="8" t="s">
        <v>25</v>
      </c>
      <c r="C1" s="8" t="s">
        <v>63</v>
      </c>
      <c r="D1" s="8" t="s">
        <v>64</v>
      </c>
      <c r="E1" s="8" t="s">
        <v>65</v>
      </c>
    </row>
    <row r="2" spans="1:5" x14ac:dyDescent="0.25">
      <c r="A2" s="1" t="s">
        <v>66</v>
      </c>
      <c r="B2" s="1" t="s">
        <v>27</v>
      </c>
      <c r="C2" s="1" t="s">
        <v>72</v>
      </c>
      <c r="D2" s="4">
        <v>0.41</v>
      </c>
      <c r="E2" s="9" t="s">
        <v>74</v>
      </c>
    </row>
    <row r="3" spans="1:5" x14ac:dyDescent="0.25">
      <c r="A3" s="1" t="s">
        <v>67</v>
      </c>
      <c r="B3" s="1" t="s">
        <v>29</v>
      </c>
      <c r="C3" s="1" t="s">
        <v>72</v>
      </c>
      <c r="D3" s="4">
        <v>0.57999999999999996</v>
      </c>
      <c r="E3" s="9" t="s">
        <v>74</v>
      </c>
    </row>
    <row r="4" spans="1:5" x14ac:dyDescent="0.25">
      <c r="A4" s="1" t="s">
        <v>68</v>
      </c>
      <c r="B4" s="1" t="s">
        <v>27</v>
      </c>
      <c r="C4" s="1" t="s">
        <v>72</v>
      </c>
      <c r="D4" s="4">
        <v>1.1100000000000001</v>
      </c>
      <c r="E4" s="9" t="s">
        <v>75</v>
      </c>
    </row>
    <row r="5" spans="1:5" x14ac:dyDescent="0.25">
      <c r="A5" s="1" t="s">
        <v>69</v>
      </c>
      <c r="B5" s="1" t="s">
        <v>28</v>
      </c>
      <c r="C5" s="1" t="s">
        <v>72</v>
      </c>
      <c r="D5" s="4">
        <v>2.69</v>
      </c>
      <c r="E5" s="9" t="s">
        <v>75</v>
      </c>
    </row>
    <row r="6" spans="1:5" x14ac:dyDescent="0.25">
      <c r="A6" s="1" t="s">
        <v>70</v>
      </c>
      <c r="B6" s="1" t="s">
        <v>27</v>
      </c>
      <c r="C6" s="1" t="s">
        <v>73</v>
      </c>
      <c r="D6" s="4">
        <v>2.41</v>
      </c>
      <c r="E6" s="9" t="s">
        <v>76</v>
      </c>
    </row>
    <row r="7" spans="1:5" x14ac:dyDescent="0.25">
      <c r="A7" s="1" t="s">
        <v>71</v>
      </c>
      <c r="B7" s="1" t="s">
        <v>27</v>
      </c>
      <c r="C7" s="1" t="s">
        <v>73</v>
      </c>
      <c r="D7" s="4">
        <v>7.04</v>
      </c>
      <c r="E7" s="9" t="s">
        <v>77</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20"/>
  <sheetViews>
    <sheetView zoomScale="130" zoomScaleNormal="130" workbookViewId="0">
      <selection activeCell="E24" sqref="E24"/>
    </sheetView>
  </sheetViews>
  <sheetFormatPr defaultColWidth="10.85546875" defaultRowHeight="15.75" x14ac:dyDescent="0.25"/>
  <cols>
    <col min="1" max="6" width="20.7109375" style="42" customWidth="1"/>
    <col min="7" max="7" width="20.7109375" style="38" customWidth="1"/>
    <col min="8" max="8" width="10.7109375" style="46" customWidth="1"/>
    <col min="9" max="11" width="10.7109375" style="113" customWidth="1"/>
    <col min="12" max="15" width="15.7109375" style="52" customWidth="1"/>
    <col min="16" max="16384" width="10.85546875" style="3"/>
  </cols>
  <sheetData>
    <row r="1" spans="1:15" x14ac:dyDescent="0.25">
      <c r="A1" s="30" t="s">
        <v>133</v>
      </c>
      <c r="B1" s="36"/>
      <c r="C1" s="36"/>
      <c r="D1" s="36"/>
      <c r="E1" s="36"/>
      <c r="F1" s="36"/>
      <c r="G1" s="36"/>
      <c r="H1" s="43"/>
      <c r="I1" s="106"/>
      <c r="J1" s="106"/>
      <c r="K1" s="106"/>
      <c r="L1" s="107"/>
      <c r="M1" s="107"/>
      <c r="N1" s="107"/>
      <c r="O1" s="108"/>
    </row>
    <row r="2" spans="1:15" x14ac:dyDescent="0.25">
      <c r="A2" s="44" t="s">
        <v>210</v>
      </c>
      <c r="B2" s="38"/>
      <c r="C2" s="38"/>
      <c r="D2" s="38"/>
      <c r="E2" s="38"/>
      <c r="F2" s="38"/>
      <c r="H2" s="51"/>
      <c r="I2" s="145"/>
      <c r="J2" s="145"/>
      <c r="K2" s="145"/>
      <c r="L2" s="146"/>
      <c r="M2" s="146"/>
      <c r="N2" s="146"/>
      <c r="O2" s="109"/>
    </row>
    <row r="3" spans="1:15" x14ac:dyDescent="0.25">
      <c r="A3" s="44" t="s">
        <v>211</v>
      </c>
      <c r="B3" s="38"/>
      <c r="C3" s="38"/>
      <c r="D3" s="38"/>
      <c r="E3" s="38"/>
      <c r="F3" s="38"/>
      <c r="H3" s="51"/>
      <c r="I3" s="145"/>
      <c r="J3" s="145"/>
      <c r="K3" s="145"/>
      <c r="L3" s="146"/>
      <c r="M3" s="146"/>
      <c r="N3" s="146"/>
      <c r="O3" s="109"/>
    </row>
    <row r="4" spans="1:15" x14ac:dyDescent="0.25">
      <c r="A4" s="44" t="s">
        <v>212</v>
      </c>
      <c r="B4" s="38"/>
      <c r="C4" s="38"/>
      <c r="D4" s="38"/>
      <c r="E4" s="38"/>
      <c r="F4" s="38"/>
      <c r="H4" s="51"/>
      <c r="I4" s="145"/>
      <c r="J4" s="145"/>
      <c r="K4" s="145"/>
      <c r="L4" s="146"/>
      <c r="M4" s="146"/>
      <c r="N4" s="146"/>
      <c r="O4" s="109"/>
    </row>
    <row r="5" spans="1:15" x14ac:dyDescent="0.25">
      <c r="A5" s="135" t="s">
        <v>312</v>
      </c>
      <c r="B5" s="38"/>
      <c r="C5" s="38"/>
      <c r="D5" s="38"/>
      <c r="E5" s="38"/>
      <c r="F5" s="38"/>
      <c r="H5" s="51"/>
      <c r="I5" s="145"/>
      <c r="J5" s="145"/>
      <c r="K5" s="145"/>
      <c r="L5" s="146"/>
      <c r="M5" s="146"/>
      <c r="N5" s="146"/>
      <c r="O5" s="109"/>
    </row>
    <row r="6" spans="1:15" x14ac:dyDescent="0.25">
      <c r="A6" s="135" t="s">
        <v>265</v>
      </c>
      <c r="B6" s="38"/>
      <c r="C6" s="38"/>
      <c r="D6" s="38"/>
      <c r="E6" s="38"/>
      <c r="F6" s="38"/>
      <c r="H6" s="51"/>
      <c r="I6" s="145"/>
      <c r="J6" s="145"/>
      <c r="K6" s="145"/>
      <c r="L6" s="146"/>
      <c r="M6" s="146"/>
      <c r="N6" s="146"/>
      <c r="O6" s="109"/>
    </row>
    <row r="7" spans="1:15" x14ac:dyDescent="0.25">
      <c r="A7" s="135" t="s">
        <v>266</v>
      </c>
      <c r="B7" s="38"/>
      <c r="C7" s="38"/>
      <c r="D7" s="38"/>
      <c r="E7" s="38"/>
      <c r="F7" s="38"/>
      <c r="H7" s="51"/>
      <c r="I7" s="145"/>
      <c r="J7" s="145"/>
      <c r="K7" s="145"/>
      <c r="L7" s="146"/>
      <c r="M7" s="146"/>
      <c r="N7" s="146"/>
      <c r="O7" s="109"/>
    </row>
    <row r="8" spans="1:15" x14ac:dyDescent="0.25">
      <c r="A8" s="44" t="s">
        <v>208</v>
      </c>
      <c r="B8" s="38"/>
      <c r="C8" s="38"/>
      <c r="D8" s="38"/>
      <c r="E8" s="38"/>
      <c r="F8" s="38"/>
      <c r="H8" s="51"/>
      <c r="I8" s="145"/>
      <c r="J8" s="145"/>
      <c r="K8" s="145"/>
      <c r="L8" s="146"/>
      <c r="M8" s="146"/>
      <c r="N8" s="146"/>
      <c r="O8" s="109"/>
    </row>
    <row r="9" spans="1:15" x14ac:dyDescent="0.25">
      <c r="A9" s="44" t="s">
        <v>213</v>
      </c>
      <c r="B9" s="38"/>
      <c r="C9" s="38"/>
      <c r="D9" s="38"/>
      <c r="E9" s="38"/>
      <c r="F9" s="38"/>
      <c r="H9" s="51"/>
      <c r="I9" s="145"/>
      <c r="J9" s="145"/>
      <c r="K9" s="145"/>
      <c r="L9" s="146"/>
      <c r="M9" s="146"/>
      <c r="N9" s="146"/>
      <c r="O9" s="109"/>
    </row>
    <row r="10" spans="1:15" x14ac:dyDescent="0.25">
      <c r="A10" s="44" t="s">
        <v>214</v>
      </c>
      <c r="B10" s="38"/>
      <c r="C10" s="38"/>
      <c r="D10" s="38"/>
      <c r="E10" s="38"/>
      <c r="F10" s="38"/>
      <c r="H10" s="51"/>
      <c r="I10" s="145"/>
      <c r="J10" s="145"/>
      <c r="K10" s="145"/>
      <c r="L10" s="146"/>
      <c r="M10" s="146"/>
      <c r="N10" s="146"/>
      <c r="O10" s="109"/>
    </row>
    <row r="11" spans="1:15" x14ac:dyDescent="0.25">
      <c r="A11" s="44" t="s">
        <v>215</v>
      </c>
      <c r="B11" s="38"/>
      <c r="C11" s="38"/>
      <c r="D11" s="38"/>
      <c r="E11" s="38"/>
      <c r="F11" s="38"/>
      <c r="H11" s="51"/>
      <c r="I11" s="145"/>
      <c r="J11" s="145"/>
      <c r="K11" s="145"/>
      <c r="L11" s="146"/>
      <c r="M11" s="146"/>
      <c r="N11" s="146"/>
      <c r="O11" s="109"/>
    </row>
    <row r="12" spans="1:15" x14ac:dyDescent="0.25">
      <c r="A12" s="44" t="s">
        <v>216</v>
      </c>
      <c r="B12" s="38"/>
      <c r="C12" s="38"/>
      <c r="D12" s="38"/>
      <c r="E12" s="38"/>
      <c r="F12" s="38"/>
      <c r="H12" s="51"/>
      <c r="I12" s="145"/>
      <c r="J12" s="145"/>
      <c r="K12" s="145"/>
      <c r="L12" s="146"/>
      <c r="M12" s="146"/>
      <c r="N12" s="146"/>
      <c r="O12" s="109"/>
    </row>
    <row r="13" spans="1:15" x14ac:dyDescent="0.25">
      <c r="A13" s="44" t="str">
        <f>"- barDiaHoop: Diameter of hoops (Input as Float) ("&amp;'User Defined Units'!$B$11&amp;")"</f>
        <v>- barDiaHoop: Diameter of hoops (Input as Float) (m)</v>
      </c>
      <c r="B13" s="38"/>
      <c r="C13" s="38"/>
      <c r="D13" s="38"/>
      <c r="E13" s="38"/>
      <c r="F13" s="38"/>
      <c r="H13" s="51"/>
      <c r="I13" s="145"/>
      <c r="J13" s="145"/>
      <c r="K13" s="145"/>
      <c r="L13" s="146"/>
      <c r="M13" s="146"/>
      <c r="N13" s="146"/>
      <c r="O13" s="109"/>
    </row>
    <row r="14" spans="1:15" x14ac:dyDescent="0.25">
      <c r="A14" s="44" t="str">
        <f>"- barDiaTop: Diameter of top reinforcements (Input as Float) ("&amp;'User Defined Units'!$B$11&amp;")"</f>
        <v>- barDiaTop: Diameter of top reinforcements (Input as Float) (m)</v>
      </c>
      <c r="B14" s="38"/>
      <c r="C14" s="38"/>
      <c r="D14" s="38"/>
      <c r="E14" s="38"/>
      <c r="F14" s="38"/>
      <c r="H14" s="51"/>
      <c r="I14" s="145"/>
      <c r="J14" s="145"/>
      <c r="K14" s="145"/>
      <c r="L14" s="146"/>
      <c r="M14" s="146"/>
      <c r="N14" s="146"/>
      <c r="O14" s="109"/>
    </row>
    <row r="15" spans="1:15" x14ac:dyDescent="0.25">
      <c r="A15" s="44" t="str">
        <f>"- barDiaBot: Diameter of bottom reinforcements (Input as Float) ("&amp;'User Defined Units'!$B$11&amp;")"</f>
        <v>- barDiaBot: Diameter of bottom reinforcements (Input as Float) (m)</v>
      </c>
      <c r="B15" s="38"/>
      <c r="C15" s="38"/>
      <c r="D15" s="38"/>
      <c r="E15" s="38"/>
      <c r="F15" s="38"/>
      <c r="H15" s="51"/>
      <c r="I15" s="145"/>
      <c r="J15" s="145"/>
      <c r="K15" s="145"/>
      <c r="L15" s="146"/>
      <c r="M15" s="146"/>
      <c r="N15" s="146"/>
      <c r="O15" s="109"/>
    </row>
    <row r="16" spans="1:15" x14ac:dyDescent="0.25">
      <c r="A16" s="44" t="str">
        <f>"- barDiaInt: Diameter of intermediate reinforcements (Input as Float) ("&amp;'User Defined Units'!$B$11&amp;")"</f>
        <v>- barDiaInt: Diameter of intermediate reinforcements (Input as Float) (m)</v>
      </c>
      <c r="B16" s="38"/>
      <c r="C16" s="38"/>
      <c r="D16" s="38"/>
      <c r="E16" s="38"/>
      <c r="F16" s="38"/>
      <c r="H16" s="51"/>
      <c r="I16" s="145"/>
      <c r="J16" s="145"/>
      <c r="K16" s="145"/>
      <c r="L16" s="146"/>
      <c r="M16" s="146"/>
      <c r="N16" s="146"/>
      <c r="O16" s="109"/>
    </row>
    <row r="17" spans="1:15" x14ac:dyDescent="0.25">
      <c r="A17" s="89" t="s">
        <v>155</v>
      </c>
      <c r="B17" s="38"/>
      <c r="C17" s="38"/>
      <c r="D17" s="38"/>
      <c r="E17" s="38"/>
      <c r="F17" s="38"/>
      <c r="H17" s="51"/>
      <c r="I17" s="145"/>
      <c r="J17" s="145"/>
      <c r="K17" s="145"/>
      <c r="L17" s="146"/>
      <c r="M17" s="146"/>
      <c r="N17" s="146"/>
      <c r="O17" s="109"/>
    </row>
    <row r="18" spans="1:15" x14ac:dyDescent="0.25">
      <c r="A18" s="90" t="s">
        <v>264</v>
      </c>
      <c r="B18" s="40"/>
      <c r="C18" s="40"/>
      <c r="D18" s="40"/>
      <c r="E18" s="40"/>
      <c r="F18" s="40"/>
      <c r="G18" s="40"/>
      <c r="H18" s="45"/>
      <c r="I18" s="110"/>
      <c r="J18" s="110"/>
      <c r="K18" s="110"/>
      <c r="L18" s="111"/>
      <c r="M18" s="111"/>
      <c r="N18" s="111"/>
      <c r="O18" s="112"/>
    </row>
    <row r="19" spans="1:15" x14ac:dyDescent="0.25">
      <c r="A19" s="31"/>
      <c r="B19" s="1"/>
      <c r="C19" s="1"/>
      <c r="D19" s="1"/>
      <c r="E19" s="1"/>
      <c r="F19" s="1"/>
      <c r="G19" s="1"/>
      <c r="H19" s="4"/>
      <c r="I19" s="6"/>
      <c r="J19" s="6"/>
      <c r="K19" s="6"/>
      <c r="L19" s="5"/>
      <c r="M19" s="5"/>
      <c r="N19" s="5"/>
      <c r="O19" s="5"/>
    </row>
    <row r="20" spans="1:15" s="2" customFormat="1" x14ac:dyDescent="0.25">
      <c r="A20" s="28" t="s">
        <v>24</v>
      </c>
      <c r="B20" s="28" t="s">
        <v>34</v>
      </c>
      <c r="C20" s="28" t="s">
        <v>35</v>
      </c>
      <c r="D20" s="28" t="s">
        <v>260</v>
      </c>
      <c r="E20" s="28" t="s">
        <v>36</v>
      </c>
      <c r="F20" s="28" t="s">
        <v>37</v>
      </c>
      <c r="G20" s="28" t="s">
        <v>31</v>
      </c>
      <c r="H20" s="28" t="s">
        <v>38</v>
      </c>
      <c r="I20" s="28" t="s">
        <v>39</v>
      </c>
      <c r="J20" s="28" t="s">
        <v>40</v>
      </c>
      <c r="K20" s="28" t="s">
        <v>41</v>
      </c>
      <c r="L20" s="28" t="s">
        <v>42</v>
      </c>
      <c r="M20" s="28" t="s">
        <v>43</v>
      </c>
      <c r="N20" s="28" t="s">
        <v>44</v>
      </c>
      <c r="O20" s="28" t="s">
        <v>45</v>
      </c>
    </row>
    <row r="21" spans="1:15" x14ac:dyDescent="0.25">
      <c r="A21" s="42" t="s">
        <v>46</v>
      </c>
      <c r="B21" s="42" t="s">
        <v>32</v>
      </c>
      <c r="C21" s="42" t="s">
        <v>22</v>
      </c>
      <c r="D21" s="42" t="s">
        <v>17</v>
      </c>
      <c r="E21" s="42" t="s">
        <v>16</v>
      </c>
      <c r="F21" s="195" t="s">
        <v>18</v>
      </c>
      <c r="G21" s="38" t="str">
        <f t="shared" ref="G21:G84" si="0">IF(A21=0,"","Fiber")</f>
        <v>Fiber</v>
      </c>
      <c r="H21" s="46">
        <f>40/1000</f>
        <v>0.04</v>
      </c>
      <c r="I21" s="113">
        <v>7</v>
      </c>
      <c r="J21" s="113">
        <v>7</v>
      </c>
      <c r="K21" s="113">
        <v>10</v>
      </c>
      <c r="L21" s="52">
        <f>13/1000</f>
        <v>1.2999999999999999E-2</v>
      </c>
      <c r="M21" s="52">
        <f>22/1000</f>
        <v>2.1999999999999999E-2</v>
      </c>
      <c r="N21" s="52">
        <f>22/1000</f>
        <v>2.1999999999999999E-2</v>
      </c>
      <c r="O21" s="52">
        <f>22/1000</f>
        <v>2.1999999999999999E-2</v>
      </c>
    </row>
    <row r="22" spans="1:15" x14ac:dyDescent="0.25">
      <c r="A22" s="127"/>
    </row>
    <row r="23" spans="1:15" x14ac:dyDescent="0.25">
      <c r="G23" s="38" t="str">
        <f t="shared" si="0"/>
        <v/>
      </c>
    </row>
    <row r="24" spans="1:15" x14ac:dyDescent="0.25">
      <c r="G24" s="38" t="str">
        <f t="shared" si="0"/>
        <v/>
      </c>
    </row>
    <row r="25" spans="1:15" x14ac:dyDescent="0.25">
      <c r="G25" s="38" t="str">
        <f t="shared" si="0"/>
        <v/>
      </c>
    </row>
    <row r="26" spans="1:15" x14ac:dyDescent="0.25">
      <c r="G26" s="38" t="str">
        <f t="shared" si="0"/>
        <v/>
      </c>
    </row>
    <row r="27" spans="1:15" x14ac:dyDescent="0.25">
      <c r="G27" s="38" t="str">
        <f t="shared" si="0"/>
        <v/>
      </c>
    </row>
    <row r="28" spans="1:15" x14ac:dyDescent="0.25">
      <c r="G28" s="38" t="str">
        <f t="shared" si="0"/>
        <v/>
      </c>
    </row>
    <row r="29" spans="1:15" x14ac:dyDescent="0.25">
      <c r="G29" s="38" t="str">
        <f t="shared" si="0"/>
        <v/>
      </c>
    </row>
    <row r="30" spans="1:15" x14ac:dyDescent="0.25">
      <c r="G30" s="38" t="str">
        <f t="shared" si="0"/>
        <v/>
      </c>
    </row>
    <row r="31" spans="1:15" x14ac:dyDescent="0.25">
      <c r="G31" s="38" t="str">
        <f t="shared" si="0"/>
        <v/>
      </c>
    </row>
    <row r="32" spans="1:15" x14ac:dyDescent="0.25">
      <c r="G32" s="38" t="str">
        <f t="shared" si="0"/>
        <v/>
      </c>
    </row>
    <row r="33" spans="7:7" x14ac:dyDescent="0.25">
      <c r="G33" s="38" t="str">
        <f t="shared" si="0"/>
        <v/>
      </c>
    </row>
    <row r="34" spans="7:7" x14ac:dyDescent="0.25">
      <c r="G34" s="38" t="str">
        <f t="shared" si="0"/>
        <v/>
      </c>
    </row>
    <row r="35" spans="7:7" x14ac:dyDescent="0.25">
      <c r="G35" s="38" t="str">
        <f t="shared" si="0"/>
        <v/>
      </c>
    </row>
    <row r="36" spans="7:7" x14ac:dyDescent="0.25">
      <c r="G36" s="38" t="str">
        <f t="shared" si="0"/>
        <v/>
      </c>
    </row>
    <row r="37" spans="7:7" x14ac:dyDescent="0.25">
      <c r="G37" s="38" t="str">
        <f t="shared" si="0"/>
        <v/>
      </c>
    </row>
    <row r="38" spans="7:7" x14ac:dyDescent="0.25">
      <c r="G38" s="38" t="str">
        <f t="shared" si="0"/>
        <v/>
      </c>
    </row>
    <row r="39" spans="7:7" x14ac:dyDescent="0.25">
      <c r="G39" s="38" t="str">
        <f t="shared" si="0"/>
        <v/>
      </c>
    </row>
    <row r="40" spans="7:7" x14ac:dyDescent="0.25">
      <c r="G40" s="38" t="str">
        <f t="shared" si="0"/>
        <v/>
      </c>
    </row>
    <row r="41" spans="7:7" x14ac:dyDescent="0.25">
      <c r="G41" s="38" t="str">
        <f t="shared" si="0"/>
        <v/>
      </c>
    </row>
    <row r="42" spans="7:7" x14ac:dyDescent="0.25">
      <c r="G42" s="38" t="str">
        <f t="shared" si="0"/>
        <v/>
      </c>
    </row>
    <row r="43" spans="7:7" x14ac:dyDescent="0.25">
      <c r="G43" s="38" t="str">
        <f t="shared" si="0"/>
        <v/>
      </c>
    </row>
    <row r="44" spans="7:7" x14ac:dyDescent="0.25">
      <c r="G44" s="38" t="str">
        <f t="shared" si="0"/>
        <v/>
      </c>
    </row>
    <row r="45" spans="7:7" x14ac:dyDescent="0.25">
      <c r="G45" s="38" t="str">
        <f t="shared" si="0"/>
        <v/>
      </c>
    </row>
    <row r="46" spans="7:7" x14ac:dyDescent="0.25">
      <c r="G46" s="38" t="str">
        <f t="shared" si="0"/>
        <v/>
      </c>
    </row>
    <row r="47" spans="7:7" x14ac:dyDescent="0.25">
      <c r="G47" s="38" t="str">
        <f t="shared" si="0"/>
        <v/>
      </c>
    </row>
    <row r="48" spans="7:7" x14ac:dyDescent="0.25">
      <c r="G48" s="38" t="str">
        <f t="shared" si="0"/>
        <v/>
      </c>
    </row>
    <row r="49" spans="7:7" x14ac:dyDescent="0.25">
      <c r="G49" s="38" t="str">
        <f t="shared" si="0"/>
        <v/>
      </c>
    </row>
    <row r="50" spans="7:7" x14ac:dyDescent="0.25">
      <c r="G50" s="38" t="str">
        <f t="shared" si="0"/>
        <v/>
      </c>
    </row>
    <row r="51" spans="7:7" x14ac:dyDescent="0.25">
      <c r="G51" s="38" t="str">
        <f t="shared" si="0"/>
        <v/>
      </c>
    </row>
    <row r="52" spans="7:7" x14ac:dyDescent="0.25">
      <c r="G52" s="38" t="str">
        <f t="shared" si="0"/>
        <v/>
      </c>
    </row>
    <row r="53" spans="7:7" x14ac:dyDescent="0.25">
      <c r="G53" s="38" t="str">
        <f t="shared" si="0"/>
        <v/>
      </c>
    </row>
    <row r="54" spans="7:7" x14ac:dyDescent="0.25">
      <c r="G54" s="38" t="str">
        <f t="shared" si="0"/>
        <v/>
      </c>
    </row>
    <row r="55" spans="7:7" x14ac:dyDescent="0.25">
      <c r="G55" s="38" t="str">
        <f t="shared" si="0"/>
        <v/>
      </c>
    </row>
    <row r="56" spans="7:7" x14ac:dyDescent="0.25">
      <c r="G56" s="38" t="str">
        <f t="shared" si="0"/>
        <v/>
      </c>
    </row>
    <row r="57" spans="7:7" x14ac:dyDescent="0.25">
      <c r="G57" s="38" t="str">
        <f t="shared" si="0"/>
        <v/>
      </c>
    </row>
    <row r="58" spans="7:7" x14ac:dyDescent="0.25">
      <c r="G58" s="38" t="str">
        <f t="shared" si="0"/>
        <v/>
      </c>
    </row>
    <row r="59" spans="7:7" x14ac:dyDescent="0.25">
      <c r="G59" s="38" t="str">
        <f t="shared" si="0"/>
        <v/>
      </c>
    </row>
    <row r="60" spans="7:7" x14ac:dyDescent="0.25">
      <c r="G60" s="38" t="str">
        <f t="shared" si="0"/>
        <v/>
      </c>
    </row>
    <row r="61" spans="7:7" x14ac:dyDescent="0.25">
      <c r="G61" s="38" t="str">
        <f t="shared" si="0"/>
        <v/>
      </c>
    </row>
    <row r="62" spans="7:7" x14ac:dyDescent="0.25">
      <c r="G62" s="38" t="str">
        <f t="shared" si="0"/>
        <v/>
      </c>
    </row>
    <row r="63" spans="7:7" x14ac:dyDescent="0.25">
      <c r="G63" s="38" t="str">
        <f t="shared" si="0"/>
        <v/>
      </c>
    </row>
    <row r="64" spans="7:7" x14ac:dyDescent="0.25">
      <c r="G64" s="38" t="str">
        <f t="shared" si="0"/>
        <v/>
      </c>
    </row>
    <row r="65" spans="7:7" x14ac:dyDescent="0.25">
      <c r="G65" s="38" t="str">
        <f t="shared" si="0"/>
        <v/>
      </c>
    </row>
    <row r="66" spans="7:7" x14ac:dyDescent="0.25">
      <c r="G66" s="38" t="str">
        <f t="shared" si="0"/>
        <v/>
      </c>
    </row>
    <row r="67" spans="7:7" x14ac:dyDescent="0.25">
      <c r="G67" s="38" t="str">
        <f t="shared" si="0"/>
        <v/>
      </c>
    </row>
    <row r="68" spans="7:7" x14ac:dyDescent="0.25">
      <c r="G68" s="38" t="str">
        <f t="shared" si="0"/>
        <v/>
      </c>
    </row>
    <row r="69" spans="7:7" x14ac:dyDescent="0.25">
      <c r="G69" s="38" t="str">
        <f t="shared" si="0"/>
        <v/>
      </c>
    </row>
    <row r="70" spans="7:7" x14ac:dyDescent="0.25">
      <c r="G70" s="38" t="str">
        <f t="shared" si="0"/>
        <v/>
      </c>
    </row>
    <row r="71" spans="7:7" x14ac:dyDescent="0.25">
      <c r="G71" s="38" t="str">
        <f t="shared" si="0"/>
        <v/>
      </c>
    </row>
    <row r="72" spans="7:7" x14ac:dyDescent="0.25">
      <c r="G72" s="38" t="str">
        <f t="shared" si="0"/>
        <v/>
      </c>
    </row>
    <row r="73" spans="7:7" x14ac:dyDescent="0.25">
      <c r="G73" s="38" t="str">
        <f t="shared" si="0"/>
        <v/>
      </c>
    </row>
    <row r="74" spans="7:7" x14ac:dyDescent="0.25">
      <c r="G74" s="38" t="str">
        <f t="shared" si="0"/>
        <v/>
      </c>
    </row>
    <row r="75" spans="7:7" x14ac:dyDescent="0.25">
      <c r="G75" s="38" t="str">
        <f t="shared" si="0"/>
        <v/>
      </c>
    </row>
    <row r="76" spans="7:7" x14ac:dyDescent="0.25">
      <c r="G76" s="38" t="str">
        <f t="shared" si="0"/>
        <v/>
      </c>
    </row>
    <row r="77" spans="7:7" x14ac:dyDescent="0.25">
      <c r="G77" s="38" t="str">
        <f t="shared" si="0"/>
        <v/>
      </c>
    </row>
    <row r="78" spans="7:7" x14ac:dyDescent="0.25">
      <c r="G78" s="38" t="str">
        <f t="shared" si="0"/>
        <v/>
      </c>
    </row>
    <row r="79" spans="7:7" x14ac:dyDescent="0.25">
      <c r="G79" s="38" t="str">
        <f t="shared" si="0"/>
        <v/>
      </c>
    </row>
    <row r="80" spans="7:7" x14ac:dyDescent="0.25">
      <c r="G80" s="38" t="str">
        <f t="shared" si="0"/>
        <v/>
      </c>
    </row>
    <row r="81" spans="7:7" x14ac:dyDescent="0.25">
      <c r="G81" s="38" t="str">
        <f t="shared" si="0"/>
        <v/>
      </c>
    </row>
    <row r="82" spans="7:7" x14ac:dyDescent="0.25">
      <c r="G82" s="38" t="str">
        <f t="shared" si="0"/>
        <v/>
      </c>
    </row>
    <row r="83" spans="7:7" x14ac:dyDescent="0.25">
      <c r="G83" s="38" t="str">
        <f t="shared" si="0"/>
        <v/>
      </c>
    </row>
    <row r="84" spans="7:7" x14ac:dyDescent="0.25">
      <c r="G84" s="38" t="str">
        <f t="shared" si="0"/>
        <v/>
      </c>
    </row>
    <row r="85" spans="7:7" x14ac:dyDescent="0.25">
      <c r="G85" s="38" t="str">
        <f t="shared" ref="G85:G148" si="1">IF(A85=0,"","Fiber")</f>
        <v/>
      </c>
    </row>
    <row r="86" spans="7:7" x14ac:dyDescent="0.25">
      <c r="G86" s="38" t="str">
        <f t="shared" si="1"/>
        <v/>
      </c>
    </row>
    <row r="87" spans="7:7" x14ac:dyDescent="0.25">
      <c r="G87" s="38" t="str">
        <f t="shared" si="1"/>
        <v/>
      </c>
    </row>
    <row r="88" spans="7:7" x14ac:dyDescent="0.25">
      <c r="G88" s="38" t="str">
        <f t="shared" si="1"/>
        <v/>
      </c>
    </row>
    <row r="89" spans="7:7" x14ac:dyDescent="0.25">
      <c r="G89" s="38" t="str">
        <f t="shared" si="1"/>
        <v/>
      </c>
    </row>
    <row r="90" spans="7:7" x14ac:dyDescent="0.25">
      <c r="G90" s="38" t="str">
        <f t="shared" si="1"/>
        <v/>
      </c>
    </row>
    <row r="91" spans="7:7" x14ac:dyDescent="0.25">
      <c r="G91" s="38" t="str">
        <f t="shared" si="1"/>
        <v/>
      </c>
    </row>
    <row r="92" spans="7:7" x14ac:dyDescent="0.25">
      <c r="G92" s="38" t="str">
        <f t="shared" si="1"/>
        <v/>
      </c>
    </row>
    <row r="93" spans="7:7" x14ac:dyDescent="0.25">
      <c r="G93" s="38" t="str">
        <f t="shared" si="1"/>
        <v/>
      </c>
    </row>
    <row r="94" spans="7:7" x14ac:dyDescent="0.25">
      <c r="G94" s="38" t="str">
        <f t="shared" si="1"/>
        <v/>
      </c>
    </row>
    <row r="95" spans="7:7" x14ac:dyDescent="0.25">
      <c r="G95" s="38" t="str">
        <f t="shared" si="1"/>
        <v/>
      </c>
    </row>
    <row r="96" spans="7:7" x14ac:dyDescent="0.25">
      <c r="G96" s="38" t="str">
        <f t="shared" si="1"/>
        <v/>
      </c>
    </row>
    <row r="97" spans="7:7" x14ac:dyDescent="0.25">
      <c r="G97" s="38" t="str">
        <f t="shared" si="1"/>
        <v/>
      </c>
    </row>
    <row r="98" spans="7:7" x14ac:dyDescent="0.25">
      <c r="G98" s="38" t="str">
        <f t="shared" si="1"/>
        <v/>
      </c>
    </row>
    <row r="99" spans="7:7" x14ac:dyDescent="0.25">
      <c r="G99" s="38" t="str">
        <f t="shared" si="1"/>
        <v/>
      </c>
    </row>
    <row r="100" spans="7:7" x14ac:dyDescent="0.25">
      <c r="G100" s="38" t="str">
        <f t="shared" si="1"/>
        <v/>
      </c>
    </row>
    <row r="101" spans="7:7" x14ac:dyDescent="0.25">
      <c r="G101" s="38" t="str">
        <f t="shared" si="1"/>
        <v/>
      </c>
    </row>
    <row r="102" spans="7:7" x14ac:dyDescent="0.25">
      <c r="G102" s="38" t="str">
        <f t="shared" si="1"/>
        <v/>
      </c>
    </row>
    <row r="103" spans="7:7" x14ac:dyDescent="0.25">
      <c r="G103" s="38" t="str">
        <f t="shared" si="1"/>
        <v/>
      </c>
    </row>
    <row r="104" spans="7:7" x14ac:dyDescent="0.25">
      <c r="G104" s="38" t="str">
        <f t="shared" si="1"/>
        <v/>
      </c>
    </row>
    <row r="105" spans="7:7" x14ac:dyDescent="0.25">
      <c r="G105" s="38" t="str">
        <f t="shared" si="1"/>
        <v/>
      </c>
    </row>
    <row r="106" spans="7:7" x14ac:dyDescent="0.25">
      <c r="G106" s="38" t="str">
        <f t="shared" si="1"/>
        <v/>
      </c>
    </row>
    <row r="107" spans="7:7" x14ac:dyDescent="0.25">
      <c r="G107" s="38" t="str">
        <f t="shared" si="1"/>
        <v/>
      </c>
    </row>
    <row r="108" spans="7:7" x14ac:dyDescent="0.25">
      <c r="G108" s="38" t="str">
        <f t="shared" si="1"/>
        <v/>
      </c>
    </row>
    <row r="109" spans="7:7" x14ac:dyDescent="0.25">
      <c r="G109" s="38" t="str">
        <f t="shared" si="1"/>
        <v/>
      </c>
    </row>
    <row r="110" spans="7:7" x14ac:dyDescent="0.25">
      <c r="G110" s="38" t="str">
        <f t="shared" si="1"/>
        <v/>
      </c>
    </row>
    <row r="111" spans="7:7" x14ac:dyDescent="0.25">
      <c r="G111" s="38" t="str">
        <f t="shared" si="1"/>
        <v/>
      </c>
    </row>
    <row r="112" spans="7:7" x14ac:dyDescent="0.25">
      <c r="G112" s="38" t="str">
        <f t="shared" si="1"/>
        <v/>
      </c>
    </row>
    <row r="113" spans="7:7" x14ac:dyDescent="0.25">
      <c r="G113" s="38" t="str">
        <f t="shared" si="1"/>
        <v/>
      </c>
    </row>
    <row r="114" spans="7:7" x14ac:dyDescent="0.25">
      <c r="G114" s="38" t="str">
        <f t="shared" si="1"/>
        <v/>
      </c>
    </row>
    <row r="115" spans="7:7" x14ac:dyDescent="0.25">
      <c r="G115" s="38" t="str">
        <f t="shared" si="1"/>
        <v/>
      </c>
    </row>
    <row r="116" spans="7:7" x14ac:dyDescent="0.25">
      <c r="G116" s="38" t="str">
        <f t="shared" si="1"/>
        <v/>
      </c>
    </row>
    <row r="117" spans="7:7" x14ac:dyDescent="0.25">
      <c r="G117" s="38" t="str">
        <f t="shared" si="1"/>
        <v/>
      </c>
    </row>
    <row r="118" spans="7:7" x14ac:dyDescent="0.25">
      <c r="G118" s="38" t="str">
        <f t="shared" si="1"/>
        <v/>
      </c>
    </row>
    <row r="119" spans="7:7" x14ac:dyDescent="0.25">
      <c r="G119" s="38" t="str">
        <f t="shared" si="1"/>
        <v/>
      </c>
    </row>
    <row r="120" spans="7:7" x14ac:dyDescent="0.25">
      <c r="G120" s="38" t="str">
        <f t="shared" si="1"/>
        <v/>
      </c>
    </row>
    <row r="121" spans="7:7" x14ac:dyDescent="0.25">
      <c r="G121" s="38" t="str">
        <f t="shared" si="1"/>
        <v/>
      </c>
    </row>
    <row r="122" spans="7:7" x14ac:dyDescent="0.25">
      <c r="G122" s="38" t="str">
        <f t="shared" si="1"/>
        <v/>
      </c>
    </row>
    <row r="123" spans="7:7" x14ac:dyDescent="0.25">
      <c r="G123" s="38" t="str">
        <f t="shared" si="1"/>
        <v/>
      </c>
    </row>
    <row r="124" spans="7:7" x14ac:dyDescent="0.25">
      <c r="G124" s="38" t="str">
        <f t="shared" si="1"/>
        <v/>
      </c>
    </row>
    <row r="125" spans="7:7" x14ac:dyDescent="0.25">
      <c r="G125" s="38" t="str">
        <f t="shared" si="1"/>
        <v/>
      </c>
    </row>
    <row r="126" spans="7:7" x14ac:dyDescent="0.25">
      <c r="G126" s="38" t="str">
        <f t="shared" si="1"/>
        <v/>
      </c>
    </row>
    <row r="127" spans="7:7" x14ac:dyDescent="0.25">
      <c r="G127" s="38" t="str">
        <f t="shared" si="1"/>
        <v/>
      </c>
    </row>
    <row r="128" spans="7:7" x14ac:dyDescent="0.25">
      <c r="G128" s="38" t="str">
        <f t="shared" si="1"/>
        <v/>
      </c>
    </row>
    <row r="129" spans="7:7" x14ac:dyDescent="0.25">
      <c r="G129" s="38" t="str">
        <f t="shared" si="1"/>
        <v/>
      </c>
    </row>
    <row r="130" spans="7:7" x14ac:dyDescent="0.25">
      <c r="G130" s="38" t="str">
        <f t="shared" si="1"/>
        <v/>
      </c>
    </row>
    <row r="131" spans="7:7" x14ac:dyDescent="0.25">
      <c r="G131" s="38" t="str">
        <f t="shared" si="1"/>
        <v/>
      </c>
    </row>
    <row r="132" spans="7:7" x14ac:dyDescent="0.25">
      <c r="G132" s="38" t="str">
        <f t="shared" si="1"/>
        <v/>
      </c>
    </row>
    <row r="133" spans="7:7" x14ac:dyDescent="0.25">
      <c r="G133" s="38" t="str">
        <f t="shared" si="1"/>
        <v/>
      </c>
    </row>
    <row r="134" spans="7:7" x14ac:dyDescent="0.25">
      <c r="G134" s="38" t="str">
        <f t="shared" si="1"/>
        <v/>
      </c>
    </row>
    <row r="135" spans="7:7" x14ac:dyDescent="0.25">
      <c r="G135" s="38" t="str">
        <f t="shared" si="1"/>
        <v/>
      </c>
    </row>
    <row r="136" spans="7:7" x14ac:dyDescent="0.25">
      <c r="G136" s="38" t="str">
        <f t="shared" si="1"/>
        <v/>
      </c>
    </row>
    <row r="137" spans="7:7" x14ac:dyDescent="0.25">
      <c r="G137" s="38" t="str">
        <f t="shared" si="1"/>
        <v/>
      </c>
    </row>
    <row r="138" spans="7:7" x14ac:dyDescent="0.25">
      <c r="G138" s="38" t="str">
        <f t="shared" si="1"/>
        <v/>
      </c>
    </row>
    <row r="139" spans="7:7" x14ac:dyDescent="0.25">
      <c r="G139" s="38" t="str">
        <f t="shared" si="1"/>
        <v/>
      </c>
    </row>
    <row r="140" spans="7:7" x14ac:dyDescent="0.25">
      <c r="G140" s="38" t="str">
        <f t="shared" si="1"/>
        <v/>
      </c>
    </row>
    <row r="141" spans="7:7" x14ac:dyDescent="0.25">
      <c r="G141" s="38" t="str">
        <f t="shared" si="1"/>
        <v/>
      </c>
    </row>
    <row r="142" spans="7:7" x14ac:dyDescent="0.25">
      <c r="G142" s="38" t="str">
        <f t="shared" si="1"/>
        <v/>
      </c>
    </row>
    <row r="143" spans="7:7" x14ac:dyDescent="0.25">
      <c r="G143" s="38" t="str">
        <f t="shared" si="1"/>
        <v/>
      </c>
    </row>
    <row r="144" spans="7:7" x14ac:dyDescent="0.25">
      <c r="G144" s="38" t="str">
        <f t="shared" si="1"/>
        <v/>
      </c>
    </row>
    <row r="145" spans="7:7" x14ac:dyDescent="0.25">
      <c r="G145" s="38" t="str">
        <f t="shared" si="1"/>
        <v/>
      </c>
    </row>
    <row r="146" spans="7:7" x14ac:dyDescent="0.25">
      <c r="G146" s="38" t="str">
        <f t="shared" si="1"/>
        <v/>
      </c>
    </row>
    <row r="147" spans="7:7" x14ac:dyDescent="0.25">
      <c r="G147" s="38" t="str">
        <f t="shared" si="1"/>
        <v/>
      </c>
    </row>
    <row r="148" spans="7:7" x14ac:dyDescent="0.25">
      <c r="G148" s="38" t="str">
        <f t="shared" si="1"/>
        <v/>
      </c>
    </row>
    <row r="149" spans="7:7" x14ac:dyDescent="0.25">
      <c r="G149" s="38" t="str">
        <f t="shared" ref="G149:G212" si="2">IF(A149=0,"","Fiber")</f>
        <v/>
      </c>
    </row>
    <row r="150" spans="7:7" x14ac:dyDescent="0.25">
      <c r="G150" s="38" t="str">
        <f t="shared" si="2"/>
        <v/>
      </c>
    </row>
    <row r="151" spans="7:7" x14ac:dyDescent="0.25">
      <c r="G151" s="38" t="str">
        <f t="shared" si="2"/>
        <v/>
      </c>
    </row>
    <row r="152" spans="7:7" x14ac:dyDescent="0.25">
      <c r="G152" s="38" t="str">
        <f t="shared" si="2"/>
        <v/>
      </c>
    </row>
    <row r="153" spans="7:7" x14ac:dyDescent="0.25">
      <c r="G153" s="38" t="str">
        <f t="shared" si="2"/>
        <v/>
      </c>
    </row>
    <row r="154" spans="7:7" x14ac:dyDescent="0.25">
      <c r="G154" s="38" t="str">
        <f t="shared" si="2"/>
        <v/>
      </c>
    </row>
    <row r="155" spans="7:7" x14ac:dyDescent="0.25">
      <c r="G155" s="38" t="str">
        <f t="shared" si="2"/>
        <v/>
      </c>
    </row>
    <row r="156" spans="7:7" x14ac:dyDescent="0.25">
      <c r="G156" s="38" t="str">
        <f t="shared" si="2"/>
        <v/>
      </c>
    </row>
    <row r="157" spans="7:7" x14ac:dyDescent="0.25">
      <c r="G157" s="38" t="str">
        <f t="shared" si="2"/>
        <v/>
      </c>
    </row>
    <row r="158" spans="7:7" x14ac:dyDescent="0.25">
      <c r="G158" s="38" t="str">
        <f t="shared" si="2"/>
        <v/>
      </c>
    </row>
    <row r="159" spans="7:7" x14ac:dyDescent="0.25">
      <c r="G159" s="38" t="str">
        <f t="shared" si="2"/>
        <v/>
      </c>
    </row>
    <row r="160" spans="7:7" x14ac:dyDescent="0.25">
      <c r="G160" s="38" t="str">
        <f t="shared" si="2"/>
        <v/>
      </c>
    </row>
    <row r="161" spans="7:7" x14ac:dyDescent="0.25">
      <c r="G161" s="38" t="str">
        <f t="shared" si="2"/>
        <v/>
      </c>
    </row>
    <row r="162" spans="7:7" x14ac:dyDescent="0.25">
      <c r="G162" s="38" t="str">
        <f t="shared" si="2"/>
        <v/>
      </c>
    </row>
    <row r="163" spans="7:7" x14ac:dyDescent="0.25">
      <c r="G163" s="38" t="str">
        <f t="shared" si="2"/>
        <v/>
      </c>
    </row>
    <row r="164" spans="7:7" x14ac:dyDescent="0.25">
      <c r="G164" s="38" t="str">
        <f t="shared" si="2"/>
        <v/>
      </c>
    </row>
    <row r="165" spans="7:7" x14ac:dyDescent="0.25">
      <c r="G165" s="38" t="str">
        <f t="shared" si="2"/>
        <v/>
      </c>
    </row>
    <row r="166" spans="7:7" x14ac:dyDescent="0.25">
      <c r="G166" s="38" t="str">
        <f t="shared" si="2"/>
        <v/>
      </c>
    </row>
    <row r="167" spans="7:7" x14ac:dyDescent="0.25">
      <c r="G167" s="38" t="str">
        <f t="shared" si="2"/>
        <v/>
      </c>
    </row>
    <row r="168" spans="7:7" x14ac:dyDescent="0.25">
      <c r="G168" s="38" t="str">
        <f t="shared" si="2"/>
        <v/>
      </c>
    </row>
    <row r="169" spans="7:7" x14ac:dyDescent="0.25">
      <c r="G169" s="38" t="str">
        <f t="shared" si="2"/>
        <v/>
      </c>
    </row>
    <row r="170" spans="7:7" x14ac:dyDescent="0.25">
      <c r="G170" s="38" t="str">
        <f t="shared" si="2"/>
        <v/>
      </c>
    </row>
    <row r="171" spans="7:7" x14ac:dyDescent="0.25">
      <c r="G171" s="38" t="str">
        <f t="shared" si="2"/>
        <v/>
      </c>
    </row>
    <row r="172" spans="7:7" x14ac:dyDescent="0.25">
      <c r="G172" s="38" t="str">
        <f t="shared" si="2"/>
        <v/>
      </c>
    </row>
    <row r="173" spans="7:7" x14ac:dyDescent="0.25">
      <c r="G173" s="38" t="str">
        <f t="shared" si="2"/>
        <v/>
      </c>
    </row>
    <row r="174" spans="7:7" x14ac:dyDescent="0.25">
      <c r="G174" s="38" t="str">
        <f t="shared" si="2"/>
        <v/>
      </c>
    </row>
    <row r="175" spans="7:7" x14ac:dyDescent="0.25">
      <c r="G175" s="38" t="str">
        <f t="shared" si="2"/>
        <v/>
      </c>
    </row>
    <row r="176" spans="7:7" x14ac:dyDescent="0.25">
      <c r="G176" s="38" t="str">
        <f t="shared" si="2"/>
        <v/>
      </c>
    </row>
    <row r="177" spans="7:7" x14ac:dyDescent="0.25">
      <c r="G177" s="38" t="str">
        <f t="shared" si="2"/>
        <v/>
      </c>
    </row>
    <row r="178" spans="7:7" x14ac:dyDescent="0.25">
      <c r="G178" s="38" t="str">
        <f t="shared" si="2"/>
        <v/>
      </c>
    </row>
    <row r="179" spans="7:7" x14ac:dyDescent="0.25">
      <c r="G179" s="38" t="str">
        <f t="shared" si="2"/>
        <v/>
      </c>
    </row>
    <row r="180" spans="7:7" x14ac:dyDescent="0.25">
      <c r="G180" s="38" t="str">
        <f t="shared" si="2"/>
        <v/>
      </c>
    </row>
    <row r="181" spans="7:7" x14ac:dyDescent="0.25">
      <c r="G181" s="38" t="str">
        <f t="shared" si="2"/>
        <v/>
      </c>
    </row>
    <row r="182" spans="7:7" x14ac:dyDescent="0.25">
      <c r="G182" s="38" t="str">
        <f t="shared" si="2"/>
        <v/>
      </c>
    </row>
    <row r="183" spans="7:7" x14ac:dyDescent="0.25">
      <c r="G183" s="38" t="str">
        <f t="shared" si="2"/>
        <v/>
      </c>
    </row>
    <row r="184" spans="7:7" x14ac:dyDescent="0.25">
      <c r="G184" s="38" t="str">
        <f t="shared" si="2"/>
        <v/>
      </c>
    </row>
    <row r="185" spans="7:7" x14ac:dyDescent="0.25">
      <c r="G185" s="38" t="str">
        <f t="shared" si="2"/>
        <v/>
      </c>
    </row>
    <row r="186" spans="7:7" x14ac:dyDescent="0.25">
      <c r="G186" s="38" t="str">
        <f t="shared" si="2"/>
        <v/>
      </c>
    </row>
    <row r="187" spans="7:7" x14ac:dyDescent="0.25">
      <c r="G187" s="38" t="str">
        <f t="shared" si="2"/>
        <v/>
      </c>
    </row>
    <row r="188" spans="7:7" x14ac:dyDescent="0.25">
      <c r="G188" s="38" t="str">
        <f t="shared" si="2"/>
        <v/>
      </c>
    </row>
    <row r="189" spans="7:7" x14ac:dyDescent="0.25">
      <c r="G189" s="38" t="str">
        <f t="shared" si="2"/>
        <v/>
      </c>
    </row>
    <row r="190" spans="7:7" x14ac:dyDescent="0.25">
      <c r="G190" s="38" t="str">
        <f t="shared" si="2"/>
        <v/>
      </c>
    </row>
    <row r="191" spans="7:7" x14ac:dyDescent="0.25">
      <c r="G191" s="38" t="str">
        <f t="shared" si="2"/>
        <v/>
      </c>
    </row>
    <row r="192" spans="7:7" x14ac:dyDescent="0.25">
      <c r="G192" s="38" t="str">
        <f t="shared" si="2"/>
        <v/>
      </c>
    </row>
    <row r="193" spans="7:7" x14ac:dyDescent="0.25">
      <c r="G193" s="38" t="str">
        <f t="shared" si="2"/>
        <v/>
      </c>
    </row>
    <row r="194" spans="7:7" x14ac:dyDescent="0.25">
      <c r="G194" s="38" t="str">
        <f t="shared" si="2"/>
        <v/>
      </c>
    </row>
    <row r="195" spans="7:7" x14ac:dyDescent="0.25">
      <c r="G195" s="38" t="str">
        <f t="shared" si="2"/>
        <v/>
      </c>
    </row>
    <row r="196" spans="7:7" x14ac:dyDescent="0.25">
      <c r="G196" s="38" t="str">
        <f t="shared" si="2"/>
        <v/>
      </c>
    </row>
    <row r="197" spans="7:7" x14ac:dyDescent="0.25">
      <c r="G197" s="38" t="str">
        <f t="shared" si="2"/>
        <v/>
      </c>
    </row>
    <row r="198" spans="7:7" x14ac:dyDescent="0.25">
      <c r="G198" s="38" t="str">
        <f t="shared" si="2"/>
        <v/>
      </c>
    </row>
    <row r="199" spans="7:7" x14ac:dyDescent="0.25">
      <c r="G199" s="38" t="str">
        <f t="shared" si="2"/>
        <v/>
      </c>
    </row>
    <row r="200" spans="7:7" x14ac:dyDescent="0.25">
      <c r="G200" s="38" t="str">
        <f t="shared" si="2"/>
        <v/>
      </c>
    </row>
    <row r="201" spans="7:7" x14ac:dyDescent="0.25">
      <c r="G201" s="38" t="str">
        <f t="shared" si="2"/>
        <v/>
      </c>
    </row>
    <row r="202" spans="7:7" x14ac:dyDescent="0.25">
      <c r="G202" s="38" t="str">
        <f t="shared" si="2"/>
        <v/>
      </c>
    </row>
    <row r="203" spans="7:7" x14ac:dyDescent="0.25">
      <c r="G203" s="38" t="str">
        <f t="shared" si="2"/>
        <v/>
      </c>
    </row>
    <row r="204" spans="7:7" x14ac:dyDescent="0.25">
      <c r="G204" s="38" t="str">
        <f t="shared" si="2"/>
        <v/>
      </c>
    </row>
    <row r="205" spans="7:7" x14ac:dyDescent="0.25">
      <c r="G205" s="38" t="str">
        <f t="shared" si="2"/>
        <v/>
      </c>
    </row>
    <row r="206" spans="7:7" x14ac:dyDescent="0.25">
      <c r="G206" s="38" t="str">
        <f t="shared" si="2"/>
        <v/>
      </c>
    </row>
    <row r="207" spans="7:7" x14ac:dyDescent="0.25">
      <c r="G207" s="38" t="str">
        <f t="shared" si="2"/>
        <v/>
      </c>
    </row>
    <row r="208" spans="7:7" x14ac:dyDescent="0.25">
      <c r="G208" s="38" t="str">
        <f t="shared" si="2"/>
        <v/>
      </c>
    </row>
    <row r="209" spans="7:7" x14ac:dyDescent="0.25">
      <c r="G209" s="38" t="str">
        <f t="shared" si="2"/>
        <v/>
      </c>
    </row>
    <row r="210" spans="7:7" x14ac:dyDescent="0.25">
      <c r="G210" s="38" t="str">
        <f t="shared" si="2"/>
        <v/>
      </c>
    </row>
    <row r="211" spans="7:7" x14ac:dyDescent="0.25">
      <c r="G211" s="38" t="str">
        <f t="shared" si="2"/>
        <v/>
      </c>
    </row>
    <row r="212" spans="7:7" x14ac:dyDescent="0.25">
      <c r="G212" s="38" t="str">
        <f t="shared" si="2"/>
        <v/>
      </c>
    </row>
    <row r="213" spans="7:7" x14ac:dyDescent="0.25">
      <c r="G213" s="38" t="str">
        <f t="shared" ref="G213:G276" si="3">IF(A213=0,"","Fiber")</f>
        <v/>
      </c>
    </row>
    <row r="214" spans="7:7" x14ac:dyDescent="0.25">
      <c r="G214" s="38" t="str">
        <f t="shared" si="3"/>
        <v/>
      </c>
    </row>
    <row r="215" spans="7:7" x14ac:dyDescent="0.25">
      <c r="G215" s="38" t="str">
        <f t="shared" si="3"/>
        <v/>
      </c>
    </row>
    <row r="216" spans="7:7" x14ac:dyDescent="0.25">
      <c r="G216" s="38" t="str">
        <f t="shared" si="3"/>
        <v/>
      </c>
    </row>
    <row r="217" spans="7:7" x14ac:dyDescent="0.25">
      <c r="G217" s="38" t="str">
        <f t="shared" si="3"/>
        <v/>
      </c>
    </row>
    <row r="218" spans="7:7" x14ac:dyDescent="0.25">
      <c r="G218" s="38" t="str">
        <f t="shared" si="3"/>
        <v/>
      </c>
    </row>
    <row r="219" spans="7:7" x14ac:dyDescent="0.25">
      <c r="G219" s="38" t="str">
        <f t="shared" si="3"/>
        <v/>
      </c>
    </row>
    <row r="220" spans="7:7" x14ac:dyDescent="0.25">
      <c r="G220" s="38" t="str">
        <f t="shared" si="3"/>
        <v/>
      </c>
    </row>
    <row r="221" spans="7:7" x14ac:dyDescent="0.25">
      <c r="G221" s="38" t="str">
        <f t="shared" si="3"/>
        <v/>
      </c>
    </row>
    <row r="222" spans="7:7" x14ac:dyDescent="0.25">
      <c r="G222" s="38" t="str">
        <f t="shared" si="3"/>
        <v/>
      </c>
    </row>
    <row r="223" spans="7:7" x14ac:dyDescent="0.25">
      <c r="G223" s="38" t="str">
        <f t="shared" si="3"/>
        <v/>
      </c>
    </row>
    <row r="224" spans="7:7" x14ac:dyDescent="0.25">
      <c r="G224" s="38" t="str">
        <f t="shared" si="3"/>
        <v/>
      </c>
    </row>
    <row r="225" spans="7:7" x14ac:dyDescent="0.25">
      <c r="G225" s="38" t="str">
        <f t="shared" si="3"/>
        <v/>
      </c>
    </row>
    <row r="226" spans="7:7" x14ac:dyDescent="0.25">
      <c r="G226" s="38" t="str">
        <f t="shared" si="3"/>
        <v/>
      </c>
    </row>
    <row r="227" spans="7:7" x14ac:dyDescent="0.25">
      <c r="G227" s="38" t="str">
        <f t="shared" si="3"/>
        <v/>
      </c>
    </row>
    <row r="228" spans="7:7" x14ac:dyDescent="0.25">
      <c r="G228" s="38" t="str">
        <f t="shared" si="3"/>
        <v/>
      </c>
    </row>
    <row r="229" spans="7:7" x14ac:dyDescent="0.25">
      <c r="G229" s="38" t="str">
        <f t="shared" si="3"/>
        <v/>
      </c>
    </row>
    <row r="230" spans="7:7" x14ac:dyDescent="0.25">
      <c r="G230" s="38" t="str">
        <f t="shared" si="3"/>
        <v/>
      </c>
    </row>
    <row r="231" spans="7:7" x14ac:dyDescent="0.25">
      <c r="G231" s="38" t="str">
        <f t="shared" si="3"/>
        <v/>
      </c>
    </row>
    <row r="232" spans="7:7" x14ac:dyDescent="0.25">
      <c r="G232" s="38" t="str">
        <f t="shared" si="3"/>
        <v/>
      </c>
    </row>
    <row r="233" spans="7:7" x14ac:dyDescent="0.25">
      <c r="G233" s="38" t="str">
        <f t="shared" si="3"/>
        <v/>
      </c>
    </row>
    <row r="234" spans="7:7" x14ac:dyDescent="0.25">
      <c r="G234" s="38" t="str">
        <f t="shared" si="3"/>
        <v/>
      </c>
    </row>
    <row r="235" spans="7:7" x14ac:dyDescent="0.25">
      <c r="G235" s="38" t="str">
        <f t="shared" si="3"/>
        <v/>
      </c>
    </row>
    <row r="236" spans="7:7" x14ac:dyDescent="0.25">
      <c r="G236" s="38" t="str">
        <f t="shared" si="3"/>
        <v/>
      </c>
    </row>
    <row r="237" spans="7:7" x14ac:dyDescent="0.25">
      <c r="G237" s="38" t="str">
        <f t="shared" si="3"/>
        <v/>
      </c>
    </row>
    <row r="238" spans="7:7" x14ac:dyDescent="0.25">
      <c r="G238" s="38" t="str">
        <f t="shared" si="3"/>
        <v/>
      </c>
    </row>
    <row r="239" spans="7:7" x14ac:dyDescent="0.25">
      <c r="G239" s="38" t="str">
        <f t="shared" si="3"/>
        <v/>
      </c>
    </row>
    <row r="240" spans="7:7" x14ac:dyDescent="0.25">
      <c r="G240" s="38" t="str">
        <f t="shared" si="3"/>
        <v/>
      </c>
    </row>
    <row r="241" spans="7:7" x14ac:dyDescent="0.25">
      <c r="G241" s="38" t="str">
        <f t="shared" si="3"/>
        <v/>
      </c>
    </row>
    <row r="242" spans="7:7" x14ac:dyDescent="0.25">
      <c r="G242" s="38" t="str">
        <f t="shared" si="3"/>
        <v/>
      </c>
    </row>
    <row r="243" spans="7:7" x14ac:dyDescent="0.25">
      <c r="G243" s="38" t="str">
        <f t="shared" si="3"/>
        <v/>
      </c>
    </row>
    <row r="244" spans="7:7" x14ac:dyDescent="0.25">
      <c r="G244" s="38" t="str">
        <f t="shared" si="3"/>
        <v/>
      </c>
    </row>
    <row r="245" spans="7:7" x14ac:dyDescent="0.25">
      <c r="G245" s="38" t="str">
        <f t="shared" si="3"/>
        <v/>
      </c>
    </row>
    <row r="246" spans="7:7" x14ac:dyDescent="0.25">
      <c r="G246" s="38" t="str">
        <f t="shared" si="3"/>
        <v/>
      </c>
    </row>
    <row r="247" spans="7:7" x14ac:dyDescent="0.25">
      <c r="G247" s="38" t="str">
        <f t="shared" si="3"/>
        <v/>
      </c>
    </row>
    <row r="248" spans="7:7" x14ac:dyDescent="0.25">
      <c r="G248" s="38" t="str">
        <f t="shared" si="3"/>
        <v/>
      </c>
    </row>
    <row r="249" spans="7:7" x14ac:dyDescent="0.25">
      <c r="G249" s="38" t="str">
        <f t="shared" si="3"/>
        <v/>
      </c>
    </row>
    <row r="250" spans="7:7" x14ac:dyDescent="0.25">
      <c r="G250" s="38" t="str">
        <f t="shared" si="3"/>
        <v/>
      </c>
    </row>
    <row r="251" spans="7:7" x14ac:dyDescent="0.25">
      <c r="G251" s="38" t="str">
        <f t="shared" si="3"/>
        <v/>
      </c>
    </row>
    <row r="252" spans="7:7" x14ac:dyDescent="0.25">
      <c r="G252" s="38" t="str">
        <f t="shared" si="3"/>
        <v/>
      </c>
    </row>
    <row r="253" spans="7:7" x14ac:dyDescent="0.25">
      <c r="G253" s="38" t="str">
        <f t="shared" si="3"/>
        <v/>
      </c>
    </row>
    <row r="254" spans="7:7" x14ac:dyDescent="0.25">
      <c r="G254" s="38" t="str">
        <f t="shared" si="3"/>
        <v/>
      </c>
    </row>
    <row r="255" spans="7:7" x14ac:dyDescent="0.25">
      <c r="G255" s="38" t="str">
        <f t="shared" si="3"/>
        <v/>
      </c>
    </row>
    <row r="256" spans="7:7" x14ac:dyDescent="0.25">
      <c r="G256" s="38" t="str">
        <f t="shared" si="3"/>
        <v/>
      </c>
    </row>
    <row r="257" spans="7:7" x14ac:dyDescent="0.25">
      <c r="G257" s="38" t="str">
        <f t="shared" si="3"/>
        <v/>
      </c>
    </row>
    <row r="258" spans="7:7" x14ac:dyDescent="0.25">
      <c r="G258" s="38" t="str">
        <f t="shared" si="3"/>
        <v/>
      </c>
    </row>
    <row r="259" spans="7:7" x14ac:dyDescent="0.25">
      <c r="G259" s="38" t="str">
        <f t="shared" si="3"/>
        <v/>
      </c>
    </row>
    <row r="260" spans="7:7" x14ac:dyDescent="0.25">
      <c r="G260" s="38" t="str">
        <f t="shared" si="3"/>
        <v/>
      </c>
    </row>
    <row r="261" spans="7:7" x14ac:dyDescent="0.25">
      <c r="G261" s="38" t="str">
        <f t="shared" si="3"/>
        <v/>
      </c>
    </row>
    <row r="262" spans="7:7" x14ac:dyDescent="0.25">
      <c r="G262" s="38" t="str">
        <f t="shared" si="3"/>
        <v/>
      </c>
    </row>
    <row r="263" spans="7:7" x14ac:dyDescent="0.25">
      <c r="G263" s="38" t="str">
        <f t="shared" si="3"/>
        <v/>
      </c>
    </row>
    <row r="264" spans="7:7" x14ac:dyDescent="0.25">
      <c r="G264" s="38" t="str">
        <f t="shared" si="3"/>
        <v/>
      </c>
    </row>
    <row r="265" spans="7:7" x14ac:dyDescent="0.25">
      <c r="G265" s="38" t="str">
        <f t="shared" si="3"/>
        <v/>
      </c>
    </row>
    <row r="266" spans="7:7" x14ac:dyDescent="0.25">
      <c r="G266" s="38" t="str">
        <f t="shared" si="3"/>
        <v/>
      </c>
    </row>
    <row r="267" spans="7:7" x14ac:dyDescent="0.25">
      <c r="G267" s="38" t="str">
        <f t="shared" si="3"/>
        <v/>
      </c>
    </row>
    <row r="268" spans="7:7" x14ac:dyDescent="0.25">
      <c r="G268" s="38" t="str">
        <f t="shared" si="3"/>
        <v/>
      </c>
    </row>
    <row r="269" spans="7:7" x14ac:dyDescent="0.25">
      <c r="G269" s="38" t="str">
        <f t="shared" si="3"/>
        <v/>
      </c>
    </row>
    <row r="270" spans="7:7" x14ac:dyDescent="0.25">
      <c r="G270" s="38" t="str">
        <f t="shared" si="3"/>
        <v/>
      </c>
    </row>
    <row r="271" spans="7:7" x14ac:dyDescent="0.25">
      <c r="G271" s="38" t="str">
        <f t="shared" si="3"/>
        <v/>
      </c>
    </row>
    <row r="272" spans="7:7" x14ac:dyDescent="0.25">
      <c r="G272" s="38" t="str">
        <f t="shared" si="3"/>
        <v/>
      </c>
    </row>
    <row r="273" spans="7:7" x14ac:dyDescent="0.25">
      <c r="G273" s="38" t="str">
        <f t="shared" si="3"/>
        <v/>
      </c>
    </row>
    <row r="274" spans="7:7" x14ac:dyDescent="0.25">
      <c r="G274" s="38" t="str">
        <f t="shared" si="3"/>
        <v/>
      </c>
    </row>
    <row r="275" spans="7:7" x14ac:dyDescent="0.25">
      <c r="G275" s="38" t="str">
        <f t="shared" si="3"/>
        <v/>
      </c>
    </row>
    <row r="276" spans="7:7" x14ac:dyDescent="0.25">
      <c r="G276" s="38" t="str">
        <f t="shared" si="3"/>
        <v/>
      </c>
    </row>
    <row r="277" spans="7:7" x14ac:dyDescent="0.25">
      <c r="G277" s="38" t="str">
        <f t="shared" ref="G277:G340" si="4">IF(A277=0,"","Fiber")</f>
        <v/>
      </c>
    </row>
    <row r="278" spans="7:7" x14ac:dyDescent="0.25">
      <c r="G278" s="38" t="str">
        <f t="shared" si="4"/>
        <v/>
      </c>
    </row>
    <row r="279" spans="7:7" x14ac:dyDescent="0.25">
      <c r="G279" s="38" t="str">
        <f t="shared" si="4"/>
        <v/>
      </c>
    </row>
    <row r="280" spans="7:7" x14ac:dyDescent="0.25">
      <c r="G280" s="38" t="str">
        <f t="shared" si="4"/>
        <v/>
      </c>
    </row>
    <row r="281" spans="7:7" x14ac:dyDescent="0.25">
      <c r="G281" s="38" t="str">
        <f t="shared" si="4"/>
        <v/>
      </c>
    </row>
    <row r="282" spans="7:7" x14ac:dyDescent="0.25">
      <c r="G282" s="38" t="str">
        <f t="shared" si="4"/>
        <v/>
      </c>
    </row>
    <row r="283" spans="7:7" x14ac:dyDescent="0.25">
      <c r="G283" s="38" t="str">
        <f t="shared" si="4"/>
        <v/>
      </c>
    </row>
    <row r="284" spans="7:7" x14ac:dyDescent="0.25">
      <c r="G284" s="38" t="str">
        <f t="shared" si="4"/>
        <v/>
      </c>
    </row>
    <row r="285" spans="7:7" x14ac:dyDescent="0.25">
      <c r="G285" s="38" t="str">
        <f t="shared" si="4"/>
        <v/>
      </c>
    </row>
    <row r="286" spans="7:7" x14ac:dyDescent="0.25">
      <c r="G286" s="38" t="str">
        <f t="shared" si="4"/>
        <v/>
      </c>
    </row>
    <row r="287" spans="7:7" x14ac:dyDescent="0.25">
      <c r="G287" s="38" t="str">
        <f t="shared" si="4"/>
        <v/>
      </c>
    </row>
    <row r="288" spans="7:7" x14ac:dyDescent="0.25">
      <c r="G288" s="38" t="str">
        <f t="shared" si="4"/>
        <v/>
      </c>
    </row>
    <row r="289" spans="7:7" x14ac:dyDescent="0.25">
      <c r="G289" s="38" t="str">
        <f t="shared" si="4"/>
        <v/>
      </c>
    </row>
    <row r="290" spans="7:7" x14ac:dyDescent="0.25">
      <c r="G290" s="38" t="str">
        <f t="shared" si="4"/>
        <v/>
      </c>
    </row>
    <row r="291" spans="7:7" x14ac:dyDescent="0.25">
      <c r="G291" s="38" t="str">
        <f t="shared" si="4"/>
        <v/>
      </c>
    </row>
    <row r="292" spans="7:7" x14ac:dyDescent="0.25">
      <c r="G292" s="38" t="str">
        <f t="shared" si="4"/>
        <v/>
      </c>
    </row>
    <row r="293" spans="7:7" x14ac:dyDescent="0.25">
      <c r="G293" s="38" t="str">
        <f t="shared" si="4"/>
        <v/>
      </c>
    </row>
    <row r="294" spans="7:7" x14ac:dyDescent="0.25">
      <c r="G294" s="38" t="str">
        <f t="shared" si="4"/>
        <v/>
      </c>
    </row>
    <row r="295" spans="7:7" x14ac:dyDescent="0.25">
      <c r="G295" s="38" t="str">
        <f t="shared" si="4"/>
        <v/>
      </c>
    </row>
    <row r="296" spans="7:7" x14ac:dyDescent="0.25">
      <c r="G296" s="38" t="str">
        <f t="shared" si="4"/>
        <v/>
      </c>
    </row>
    <row r="297" spans="7:7" x14ac:dyDescent="0.25">
      <c r="G297" s="38" t="str">
        <f t="shared" si="4"/>
        <v/>
      </c>
    </row>
    <row r="298" spans="7:7" x14ac:dyDescent="0.25">
      <c r="G298" s="38" t="str">
        <f t="shared" si="4"/>
        <v/>
      </c>
    </row>
    <row r="299" spans="7:7" x14ac:dyDescent="0.25">
      <c r="G299" s="38" t="str">
        <f t="shared" si="4"/>
        <v/>
      </c>
    </row>
    <row r="300" spans="7:7" x14ac:dyDescent="0.25">
      <c r="G300" s="38" t="str">
        <f t="shared" si="4"/>
        <v/>
      </c>
    </row>
    <row r="301" spans="7:7" x14ac:dyDescent="0.25">
      <c r="G301" s="38" t="str">
        <f t="shared" si="4"/>
        <v/>
      </c>
    </row>
    <row r="302" spans="7:7" x14ac:dyDescent="0.25">
      <c r="G302" s="38" t="str">
        <f t="shared" si="4"/>
        <v/>
      </c>
    </row>
    <row r="303" spans="7:7" x14ac:dyDescent="0.25">
      <c r="G303" s="38" t="str">
        <f t="shared" si="4"/>
        <v/>
      </c>
    </row>
    <row r="304" spans="7:7" x14ac:dyDescent="0.25">
      <c r="G304" s="38" t="str">
        <f t="shared" si="4"/>
        <v/>
      </c>
    </row>
    <row r="305" spans="7:7" x14ac:dyDescent="0.25">
      <c r="G305" s="38" t="str">
        <f t="shared" si="4"/>
        <v/>
      </c>
    </row>
    <row r="306" spans="7:7" x14ac:dyDescent="0.25">
      <c r="G306" s="38" t="str">
        <f t="shared" si="4"/>
        <v/>
      </c>
    </row>
    <row r="307" spans="7:7" x14ac:dyDescent="0.25">
      <c r="G307" s="38" t="str">
        <f t="shared" si="4"/>
        <v/>
      </c>
    </row>
    <row r="308" spans="7:7" x14ac:dyDescent="0.25">
      <c r="G308" s="38" t="str">
        <f t="shared" si="4"/>
        <v/>
      </c>
    </row>
    <row r="309" spans="7:7" x14ac:dyDescent="0.25">
      <c r="G309" s="38" t="str">
        <f t="shared" si="4"/>
        <v/>
      </c>
    </row>
    <row r="310" spans="7:7" x14ac:dyDescent="0.25">
      <c r="G310" s="38" t="str">
        <f t="shared" si="4"/>
        <v/>
      </c>
    </row>
    <row r="311" spans="7:7" x14ac:dyDescent="0.25">
      <c r="G311" s="38" t="str">
        <f t="shared" si="4"/>
        <v/>
      </c>
    </row>
    <row r="312" spans="7:7" x14ac:dyDescent="0.25">
      <c r="G312" s="38" t="str">
        <f t="shared" si="4"/>
        <v/>
      </c>
    </row>
    <row r="313" spans="7:7" x14ac:dyDescent="0.25">
      <c r="G313" s="38" t="str">
        <f t="shared" si="4"/>
        <v/>
      </c>
    </row>
    <row r="314" spans="7:7" x14ac:dyDescent="0.25">
      <c r="G314" s="38" t="str">
        <f t="shared" si="4"/>
        <v/>
      </c>
    </row>
    <row r="315" spans="7:7" x14ac:dyDescent="0.25">
      <c r="G315" s="38" t="str">
        <f t="shared" si="4"/>
        <v/>
      </c>
    </row>
    <row r="316" spans="7:7" x14ac:dyDescent="0.25">
      <c r="G316" s="38" t="str">
        <f t="shared" si="4"/>
        <v/>
      </c>
    </row>
    <row r="317" spans="7:7" x14ac:dyDescent="0.25">
      <c r="G317" s="38" t="str">
        <f t="shared" si="4"/>
        <v/>
      </c>
    </row>
    <row r="318" spans="7:7" x14ac:dyDescent="0.25">
      <c r="G318" s="38" t="str">
        <f t="shared" si="4"/>
        <v/>
      </c>
    </row>
    <row r="319" spans="7:7" x14ac:dyDescent="0.25">
      <c r="G319" s="38" t="str">
        <f t="shared" si="4"/>
        <v/>
      </c>
    </row>
    <row r="320" spans="7:7" x14ac:dyDescent="0.25">
      <c r="G320" s="38" t="str">
        <f t="shared" si="4"/>
        <v/>
      </c>
    </row>
    <row r="321" spans="7:7" x14ac:dyDescent="0.25">
      <c r="G321" s="38" t="str">
        <f t="shared" si="4"/>
        <v/>
      </c>
    </row>
    <row r="322" spans="7:7" x14ac:dyDescent="0.25">
      <c r="G322" s="38" t="str">
        <f t="shared" si="4"/>
        <v/>
      </c>
    </row>
    <row r="323" spans="7:7" x14ac:dyDescent="0.25">
      <c r="G323" s="38" t="str">
        <f t="shared" si="4"/>
        <v/>
      </c>
    </row>
    <row r="324" spans="7:7" x14ac:dyDescent="0.25">
      <c r="G324" s="38" t="str">
        <f t="shared" si="4"/>
        <v/>
      </c>
    </row>
    <row r="325" spans="7:7" x14ac:dyDescent="0.25">
      <c r="G325" s="38" t="str">
        <f t="shared" si="4"/>
        <v/>
      </c>
    </row>
    <row r="326" spans="7:7" x14ac:dyDescent="0.25">
      <c r="G326" s="38" t="str">
        <f t="shared" si="4"/>
        <v/>
      </c>
    </row>
    <row r="327" spans="7:7" x14ac:dyDescent="0.25">
      <c r="G327" s="38" t="str">
        <f t="shared" si="4"/>
        <v/>
      </c>
    </row>
    <row r="328" spans="7:7" x14ac:dyDescent="0.25">
      <c r="G328" s="38" t="str">
        <f t="shared" si="4"/>
        <v/>
      </c>
    </row>
    <row r="329" spans="7:7" x14ac:dyDescent="0.25">
      <c r="G329" s="38" t="str">
        <f t="shared" si="4"/>
        <v/>
      </c>
    </row>
    <row r="330" spans="7:7" x14ac:dyDescent="0.25">
      <c r="G330" s="38" t="str">
        <f t="shared" si="4"/>
        <v/>
      </c>
    </row>
    <row r="331" spans="7:7" x14ac:dyDescent="0.25">
      <c r="G331" s="38" t="str">
        <f t="shared" si="4"/>
        <v/>
      </c>
    </row>
    <row r="332" spans="7:7" x14ac:dyDescent="0.25">
      <c r="G332" s="38" t="str">
        <f t="shared" si="4"/>
        <v/>
      </c>
    </row>
    <row r="333" spans="7:7" x14ac:dyDescent="0.25">
      <c r="G333" s="38" t="str">
        <f t="shared" si="4"/>
        <v/>
      </c>
    </row>
    <row r="334" spans="7:7" x14ac:dyDescent="0.25">
      <c r="G334" s="38" t="str">
        <f t="shared" si="4"/>
        <v/>
      </c>
    </row>
    <row r="335" spans="7:7" x14ac:dyDescent="0.25">
      <c r="G335" s="38" t="str">
        <f t="shared" si="4"/>
        <v/>
      </c>
    </row>
    <row r="336" spans="7:7" x14ac:dyDescent="0.25">
      <c r="G336" s="38" t="str">
        <f t="shared" si="4"/>
        <v/>
      </c>
    </row>
    <row r="337" spans="7:7" x14ac:dyDescent="0.25">
      <c r="G337" s="38" t="str">
        <f t="shared" si="4"/>
        <v/>
      </c>
    </row>
    <row r="338" spans="7:7" x14ac:dyDescent="0.25">
      <c r="G338" s="38" t="str">
        <f t="shared" si="4"/>
        <v/>
      </c>
    </row>
    <row r="339" spans="7:7" x14ac:dyDescent="0.25">
      <c r="G339" s="38" t="str">
        <f t="shared" si="4"/>
        <v/>
      </c>
    </row>
    <row r="340" spans="7:7" x14ac:dyDescent="0.25">
      <c r="G340" s="38" t="str">
        <f t="shared" si="4"/>
        <v/>
      </c>
    </row>
    <row r="341" spans="7:7" x14ac:dyDescent="0.25">
      <c r="G341" s="38" t="str">
        <f t="shared" ref="G341:G404" si="5">IF(A341=0,"","Fiber")</f>
        <v/>
      </c>
    </row>
    <row r="342" spans="7:7" x14ac:dyDescent="0.25">
      <c r="G342" s="38" t="str">
        <f t="shared" si="5"/>
        <v/>
      </c>
    </row>
    <row r="343" spans="7:7" x14ac:dyDescent="0.25">
      <c r="G343" s="38" t="str">
        <f t="shared" si="5"/>
        <v/>
      </c>
    </row>
    <row r="344" spans="7:7" x14ac:dyDescent="0.25">
      <c r="G344" s="38" t="str">
        <f t="shared" si="5"/>
        <v/>
      </c>
    </row>
    <row r="345" spans="7:7" x14ac:dyDescent="0.25">
      <c r="G345" s="38" t="str">
        <f t="shared" si="5"/>
        <v/>
      </c>
    </row>
    <row r="346" spans="7:7" x14ac:dyDescent="0.25">
      <c r="G346" s="38" t="str">
        <f t="shared" si="5"/>
        <v/>
      </c>
    </row>
    <row r="347" spans="7:7" x14ac:dyDescent="0.25">
      <c r="G347" s="38" t="str">
        <f t="shared" si="5"/>
        <v/>
      </c>
    </row>
    <row r="348" spans="7:7" x14ac:dyDescent="0.25">
      <c r="G348" s="38" t="str">
        <f t="shared" si="5"/>
        <v/>
      </c>
    </row>
    <row r="349" spans="7:7" x14ac:dyDescent="0.25">
      <c r="G349" s="38" t="str">
        <f t="shared" si="5"/>
        <v/>
      </c>
    </row>
    <row r="350" spans="7:7" x14ac:dyDescent="0.25">
      <c r="G350" s="38" t="str">
        <f t="shared" si="5"/>
        <v/>
      </c>
    </row>
    <row r="351" spans="7:7" x14ac:dyDescent="0.25">
      <c r="G351" s="38" t="str">
        <f t="shared" si="5"/>
        <v/>
      </c>
    </row>
    <row r="352" spans="7:7" x14ac:dyDescent="0.25">
      <c r="G352" s="38" t="str">
        <f t="shared" si="5"/>
        <v/>
      </c>
    </row>
    <row r="353" spans="7:7" x14ac:dyDescent="0.25">
      <c r="G353" s="38" t="str">
        <f t="shared" si="5"/>
        <v/>
      </c>
    </row>
    <row r="354" spans="7:7" x14ac:dyDescent="0.25">
      <c r="G354" s="38" t="str">
        <f t="shared" si="5"/>
        <v/>
      </c>
    </row>
    <row r="355" spans="7:7" x14ac:dyDescent="0.25">
      <c r="G355" s="38" t="str">
        <f t="shared" si="5"/>
        <v/>
      </c>
    </row>
    <row r="356" spans="7:7" x14ac:dyDescent="0.25">
      <c r="G356" s="38" t="str">
        <f t="shared" si="5"/>
        <v/>
      </c>
    </row>
    <row r="357" spans="7:7" x14ac:dyDescent="0.25">
      <c r="G357" s="38" t="str">
        <f t="shared" si="5"/>
        <v/>
      </c>
    </row>
    <row r="358" spans="7:7" x14ac:dyDescent="0.25">
      <c r="G358" s="38" t="str">
        <f t="shared" si="5"/>
        <v/>
      </c>
    </row>
    <row r="359" spans="7:7" x14ac:dyDescent="0.25">
      <c r="G359" s="38" t="str">
        <f t="shared" si="5"/>
        <v/>
      </c>
    </row>
    <row r="360" spans="7:7" x14ac:dyDescent="0.25">
      <c r="G360" s="38" t="str">
        <f t="shared" si="5"/>
        <v/>
      </c>
    </row>
    <row r="361" spans="7:7" x14ac:dyDescent="0.25">
      <c r="G361" s="38" t="str">
        <f t="shared" si="5"/>
        <v/>
      </c>
    </row>
    <row r="362" spans="7:7" x14ac:dyDescent="0.25">
      <c r="G362" s="38" t="str">
        <f t="shared" si="5"/>
        <v/>
      </c>
    </row>
    <row r="363" spans="7:7" x14ac:dyDescent="0.25">
      <c r="G363" s="38" t="str">
        <f t="shared" si="5"/>
        <v/>
      </c>
    </row>
    <row r="364" spans="7:7" x14ac:dyDescent="0.25">
      <c r="G364" s="38" t="str">
        <f t="shared" si="5"/>
        <v/>
      </c>
    </row>
    <row r="365" spans="7:7" x14ac:dyDescent="0.25">
      <c r="G365" s="38" t="str">
        <f t="shared" si="5"/>
        <v/>
      </c>
    </row>
    <row r="366" spans="7:7" x14ac:dyDescent="0.25">
      <c r="G366" s="38" t="str">
        <f t="shared" si="5"/>
        <v/>
      </c>
    </row>
    <row r="367" spans="7:7" x14ac:dyDescent="0.25">
      <c r="G367" s="38" t="str">
        <f t="shared" si="5"/>
        <v/>
      </c>
    </row>
    <row r="368" spans="7:7" x14ac:dyDescent="0.25">
      <c r="G368" s="38" t="str">
        <f t="shared" si="5"/>
        <v/>
      </c>
    </row>
    <row r="369" spans="7:7" x14ac:dyDescent="0.25">
      <c r="G369" s="38" t="str">
        <f t="shared" si="5"/>
        <v/>
      </c>
    </row>
    <row r="370" spans="7:7" x14ac:dyDescent="0.25">
      <c r="G370" s="38" t="str">
        <f t="shared" si="5"/>
        <v/>
      </c>
    </row>
    <row r="371" spans="7:7" x14ac:dyDescent="0.25">
      <c r="G371" s="38" t="str">
        <f t="shared" si="5"/>
        <v/>
      </c>
    </row>
    <row r="372" spans="7:7" x14ac:dyDescent="0.25">
      <c r="G372" s="38" t="str">
        <f t="shared" si="5"/>
        <v/>
      </c>
    </row>
    <row r="373" spans="7:7" x14ac:dyDescent="0.25">
      <c r="G373" s="38" t="str">
        <f t="shared" si="5"/>
        <v/>
      </c>
    </row>
    <row r="374" spans="7:7" x14ac:dyDescent="0.25">
      <c r="G374" s="38" t="str">
        <f t="shared" si="5"/>
        <v/>
      </c>
    </row>
    <row r="375" spans="7:7" x14ac:dyDescent="0.25">
      <c r="G375" s="38" t="str">
        <f t="shared" si="5"/>
        <v/>
      </c>
    </row>
    <row r="376" spans="7:7" x14ac:dyDescent="0.25">
      <c r="G376" s="38" t="str">
        <f t="shared" si="5"/>
        <v/>
      </c>
    </row>
    <row r="377" spans="7:7" x14ac:dyDescent="0.25">
      <c r="G377" s="38" t="str">
        <f t="shared" si="5"/>
        <v/>
      </c>
    </row>
    <row r="378" spans="7:7" x14ac:dyDescent="0.25">
      <c r="G378" s="38" t="str">
        <f t="shared" si="5"/>
        <v/>
      </c>
    </row>
    <row r="379" spans="7:7" x14ac:dyDescent="0.25">
      <c r="G379" s="38" t="str">
        <f t="shared" si="5"/>
        <v/>
      </c>
    </row>
    <row r="380" spans="7:7" x14ac:dyDescent="0.25">
      <c r="G380" s="38" t="str">
        <f t="shared" si="5"/>
        <v/>
      </c>
    </row>
    <row r="381" spans="7:7" x14ac:dyDescent="0.25">
      <c r="G381" s="38" t="str">
        <f t="shared" si="5"/>
        <v/>
      </c>
    </row>
    <row r="382" spans="7:7" x14ac:dyDescent="0.25">
      <c r="G382" s="38" t="str">
        <f t="shared" si="5"/>
        <v/>
      </c>
    </row>
    <row r="383" spans="7:7" x14ac:dyDescent="0.25">
      <c r="G383" s="38" t="str">
        <f t="shared" si="5"/>
        <v/>
      </c>
    </row>
    <row r="384" spans="7:7" x14ac:dyDescent="0.25">
      <c r="G384" s="38" t="str">
        <f t="shared" si="5"/>
        <v/>
      </c>
    </row>
    <row r="385" spans="7:7" x14ac:dyDescent="0.25">
      <c r="G385" s="38" t="str">
        <f t="shared" si="5"/>
        <v/>
      </c>
    </row>
    <row r="386" spans="7:7" x14ac:dyDescent="0.25">
      <c r="G386" s="38" t="str">
        <f t="shared" si="5"/>
        <v/>
      </c>
    </row>
    <row r="387" spans="7:7" x14ac:dyDescent="0.25">
      <c r="G387" s="38" t="str">
        <f t="shared" si="5"/>
        <v/>
      </c>
    </row>
    <row r="388" spans="7:7" x14ac:dyDescent="0.25">
      <c r="G388" s="38" t="str">
        <f t="shared" si="5"/>
        <v/>
      </c>
    </row>
    <row r="389" spans="7:7" x14ac:dyDescent="0.25">
      <c r="G389" s="38" t="str">
        <f t="shared" si="5"/>
        <v/>
      </c>
    </row>
    <row r="390" spans="7:7" x14ac:dyDescent="0.25">
      <c r="G390" s="38" t="str">
        <f t="shared" si="5"/>
        <v/>
      </c>
    </row>
    <row r="391" spans="7:7" x14ac:dyDescent="0.25">
      <c r="G391" s="38" t="str">
        <f t="shared" si="5"/>
        <v/>
      </c>
    </row>
    <row r="392" spans="7:7" x14ac:dyDescent="0.25">
      <c r="G392" s="38" t="str">
        <f t="shared" si="5"/>
        <v/>
      </c>
    </row>
    <row r="393" spans="7:7" x14ac:dyDescent="0.25">
      <c r="G393" s="38" t="str">
        <f t="shared" si="5"/>
        <v/>
      </c>
    </row>
    <row r="394" spans="7:7" x14ac:dyDescent="0.25">
      <c r="G394" s="38" t="str">
        <f t="shared" si="5"/>
        <v/>
      </c>
    </row>
    <row r="395" spans="7:7" x14ac:dyDescent="0.25">
      <c r="G395" s="38" t="str">
        <f t="shared" si="5"/>
        <v/>
      </c>
    </row>
    <row r="396" spans="7:7" x14ac:dyDescent="0.25">
      <c r="G396" s="38" t="str">
        <f t="shared" si="5"/>
        <v/>
      </c>
    </row>
    <row r="397" spans="7:7" x14ac:dyDescent="0.25">
      <c r="G397" s="38" t="str">
        <f t="shared" si="5"/>
        <v/>
      </c>
    </row>
    <row r="398" spans="7:7" x14ac:dyDescent="0.25">
      <c r="G398" s="38" t="str">
        <f t="shared" si="5"/>
        <v/>
      </c>
    </row>
    <row r="399" spans="7:7" x14ac:dyDescent="0.25">
      <c r="G399" s="38" t="str">
        <f t="shared" si="5"/>
        <v/>
      </c>
    </row>
    <row r="400" spans="7:7" x14ac:dyDescent="0.25">
      <c r="G400" s="38" t="str">
        <f t="shared" si="5"/>
        <v/>
      </c>
    </row>
    <row r="401" spans="7:7" x14ac:dyDescent="0.25">
      <c r="G401" s="38" t="str">
        <f t="shared" si="5"/>
        <v/>
      </c>
    </row>
    <row r="402" spans="7:7" x14ac:dyDescent="0.25">
      <c r="G402" s="38" t="str">
        <f t="shared" si="5"/>
        <v/>
      </c>
    </row>
    <row r="403" spans="7:7" x14ac:dyDescent="0.25">
      <c r="G403" s="38" t="str">
        <f t="shared" si="5"/>
        <v/>
      </c>
    </row>
    <row r="404" spans="7:7" x14ac:dyDescent="0.25">
      <c r="G404" s="38" t="str">
        <f t="shared" si="5"/>
        <v/>
      </c>
    </row>
    <row r="405" spans="7:7" x14ac:dyDescent="0.25">
      <c r="G405" s="38" t="str">
        <f t="shared" ref="G405:G468" si="6">IF(A405=0,"","Fiber")</f>
        <v/>
      </c>
    </row>
    <row r="406" spans="7:7" x14ac:dyDescent="0.25">
      <c r="G406" s="38" t="str">
        <f t="shared" si="6"/>
        <v/>
      </c>
    </row>
    <row r="407" spans="7:7" x14ac:dyDescent="0.25">
      <c r="G407" s="38" t="str">
        <f t="shared" si="6"/>
        <v/>
      </c>
    </row>
    <row r="408" spans="7:7" x14ac:dyDescent="0.25">
      <c r="G408" s="38" t="str">
        <f t="shared" si="6"/>
        <v/>
      </c>
    </row>
    <row r="409" spans="7:7" x14ac:dyDescent="0.25">
      <c r="G409" s="38" t="str">
        <f t="shared" si="6"/>
        <v/>
      </c>
    </row>
    <row r="410" spans="7:7" x14ac:dyDescent="0.25">
      <c r="G410" s="38" t="str">
        <f t="shared" si="6"/>
        <v/>
      </c>
    </row>
    <row r="411" spans="7:7" x14ac:dyDescent="0.25">
      <c r="G411" s="38" t="str">
        <f t="shared" si="6"/>
        <v/>
      </c>
    </row>
    <row r="412" spans="7:7" x14ac:dyDescent="0.25">
      <c r="G412" s="38" t="str">
        <f t="shared" si="6"/>
        <v/>
      </c>
    </row>
    <row r="413" spans="7:7" x14ac:dyDescent="0.25">
      <c r="G413" s="38" t="str">
        <f t="shared" si="6"/>
        <v/>
      </c>
    </row>
    <row r="414" spans="7:7" x14ac:dyDescent="0.25">
      <c r="G414" s="38" t="str">
        <f t="shared" si="6"/>
        <v/>
      </c>
    </row>
    <row r="415" spans="7:7" x14ac:dyDescent="0.25">
      <c r="G415" s="38" t="str">
        <f t="shared" si="6"/>
        <v/>
      </c>
    </row>
    <row r="416" spans="7:7" x14ac:dyDescent="0.25">
      <c r="G416" s="38" t="str">
        <f t="shared" si="6"/>
        <v/>
      </c>
    </row>
    <row r="417" spans="7:7" x14ac:dyDescent="0.25">
      <c r="G417" s="38" t="str">
        <f t="shared" si="6"/>
        <v/>
      </c>
    </row>
    <row r="418" spans="7:7" x14ac:dyDescent="0.25">
      <c r="G418" s="38" t="str">
        <f t="shared" si="6"/>
        <v/>
      </c>
    </row>
    <row r="419" spans="7:7" x14ac:dyDescent="0.25">
      <c r="G419" s="38" t="str">
        <f t="shared" si="6"/>
        <v/>
      </c>
    </row>
    <row r="420" spans="7:7" x14ac:dyDescent="0.25">
      <c r="G420" s="38" t="str">
        <f t="shared" si="6"/>
        <v/>
      </c>
    </row>
    <row r="421" spans="7:7" x14ac:dyDescent="0.25">
      <c r="G421" s="38" t="str">
        <f t="shared" si="6"/>
        <v/>
      </c>
    </row>
    <row r="422" spans="7:7" x14ac:dyDescent="0.25">
      <c r="G422" s="38" t="str">
        <f t="shared" si="6"/>
        <v/>
      </c>
    </row>
    <row r="423" spans="7:7" x14ac:dyDescent="0.25">
      <c r="G423" s="38" t="str">
        <f t="shared" si="6"/>
        <v/>
      </c>
    </row>
    <row r="424" spans="7:7" x14ac:dyDescent="0.25">
      <c r="G424" s="38" t="str">
        <f t="shared" si="6"/>
        <v/>
      </c>
    </row>
    <row r="425" spans="7:7" x14ac:dyDescent="0.25">
      <c r="G425" s="38" t="str">
        <f t="shared" si="6"/>
        <v/>
      </c>
    </row>
    <row r="426" spans="7:7" x14ac:dyDescent="0.25">
      <c r="G426" s="38" t="str">
        <f t="shared" si="6"/>
        <v/>
      </c>
    </row>
    <row r="427" spans="7:7" x14ac:dyDescent="0.25">
      <c r="G427" s="38" t="str">
        <f t="shared" si="6"/>
        <v/>
      </c>
    </row>
    <row r="428" spans="7:7" x14ac:dyDescent="0.25">
      <c r="G428" s="38" t="str">
        <f t="shared" si="6"/>
        <v/>
      </c>
    </row>
    <row r="429" spans="7:7" x14ac:dyDescent="0.25">
      <c r="G429" s="38" t="str">
        <f t="shared" si="6"/>
        <v/>
      </c>
    </row>
    <row r="430" spans="7:7" x14ac:dyDescent="0.25">
      <c r="G430" s="38" t="str">
        <f t="shared" si="6"/>
        <v/>
      </c>
    </row>
    <row r="431" spans="7:7" x14ac:dyDescent="0.25">
      <c r="G431" s="38" t="str">
        <f t="shared" si="6"/>
        <v/>
      </c>
    </row>
    <row r="432" spans="7:7" x14ac:dyDescent="0.25">
      <c r="G432" s="38" t="str">
        <f t="shared" si="6"/>
        <v/>
      </c>
    </row>
    <row r="433" spans="7:7" x14ac:dyDescent="0.25">
      <c r="G433" s="38" t="str">
        <f t="shared" si="6"/>
        <v/>
      </c>
    </row>
    <row r="434" spans="7:7" x14ac:dyDescent="0.25">
      <c r="G434" s="38" t="str">
        <f t="shared" si="6"/>
        <v/>
      </c>
    </row>
    <row r="435" spans="7:7" x14ac:dyDescent="0.25">
      <c r="G435" s="38" t="str">
        <f t="shared" si="6"/>
        <v/>
      </c>
    </row>
    <row r="436" spans="7:7" x14ac:dyDescent="0.25">
      <c r="G436" s="38" t="str">
        <f t="shared" si="6"/>
        <v/>
      </c>
    </row>
    <row r="437" spans="7:7" x14ac:dyDescent="0.25">
      <c r="G437" s="38" t="str">
        <f t="shared" si="6"/>
        <v/>
      </c>
    </row>
    <row r="438" spans="7:7" x14ac:dyDescent="0.25">
      <c r="G438" s="38" t="str">
        <f t="shared" si="6"/>
        <v/>
      </c>
    </row>
    <row r="439" spans="7:7" x14ac:dyDescent="0.25">
      <c r="G439" s="38" t="str">
        <f t="shared" si="6"/>
        <v/>
      </c>
    </row>
    <row r="440" spans="7:7" x14ac:dyDescent="0.25">
      <c r="G440" s="38" t="str">
        <f t="shared" si="6"/>
        <v/>
      </c>
    </row>
    <row r="441" spans="7:7" x14ac:dyDescent="0.25">
      <c r="G441" s="38" t="str">
        <f t="shared" si="6"/>
        <v/>
      </c>
    </row>
    <row r="442" spans="7:7" x14ac:dyDescent="0.25">
      <c r="G442" s="38" t="str">
        <f t="shared" si="6"/>
        <v/>
      </c>
    </row>
    <row r="443" spans="7:7" x14ac:dyDescent="0.25">
      <c r="G443" s="38" t="str">
        <f t="shared" si="6"/>
        <v/>
      </c>
    </row>
    <row r="444" spans="7:7" x14ac:dyDescent="0.25">
      <c r="G444" s="38" t="str">
        <f t="shared" si="6"/>
        <v/>
      </c>
    </row>
    <row r="445" spans="7:7" x14ac:dyDescent="0.25">
      <c r="G445" s="38" t="str">
        <f t="shared" si="6"/>
        <v/>
      </c>
    </row>
    <row r="446" spans="7:7" x14ac:dyDescent="0.25">
      <c r="G446" s="38" t="str">
        <f t="shared" si="6"/>
        <v/>
      </c>
    </row>
    <row r="447" spans="7:7" x14ac:dyDescent="0.25">
      <c r="G447" s="38" t="str">
        <f t="shared" si="6"/>
        <v/>
      </c>
    </row>
    <row r="448" spans="7:7" x14ac:dyDescent="0.25">
      <c r="G448" s="38" t="str">
        <f t="shared" si="6"/>
        <v/>
      </c>
    </row>
    <row r="449" spans="7:7" x14ac:dyDescent="0.25">
      <c r="G449" s="38" t="str">
        <f t="shared" si="6"/>
        <v/>
      </c>
    </row>
    <row r="450" spans="7:7" x14ac:dyDescent="0.25">
      <c r="G450" s="38" t="str">
        <f t="shared" si="6"/>
        <v/>
      </c>
    </row>
    <row r="451" spans="7:7" x14ac:dyDescent="0.25">
      <c r="G451" s="38" t="str">
        <f t="shared" si="6"/>
        <v/>
      </c>
    </row>
    <row r="452" spans="7:7" x14ac:dyDescent="0.25">
      <c r="G452" s="38" t="str">
        <f t="shared" si="6"/>
        <v/>
      </c>
    </row>
    <row r="453" spans="7:7" x14ac:dyDescent="0.25">
      <c r="G453" s="38" t="str">
        <f t="shared" si="6"/>
        <v/>
      </c>
    </row>
    <row r="454" spans="7:7" x14ac:dyDescent="0.25">
      <c r="G454" s="38" t="str">
        <f t="shared" si="6"/>
        <v/>
      </c>
    </row>
    <row r="455" spans="7:7" x14ac:dyDescent="0.25">
      <c r="G455" s="38" t="str">
        <f t="shared" si="6"/>
        <v/>
      </c>
    </row>
    <row r="456" spans="7:7" x14ac:dyDescent="0.25">
      <c r="G456" s="38" t="str">
        <f t="shared" si="6"/>
        <v/>
      </c>
    </row>
    <row r="457" spans="7:7" x14ac:dyDescent="0.25">
      <c r="G457" s="38" t="str">
        <f t="shared" si="6"/>
        <v/>
      </c>
    </row>
    <row r="458" spans="7:7" x14ac:dyDescent="0.25">
      <c r="G458" s="38" t="str">
        <f t="shared" si="6"/>
        <v/>
      </c>
    </row>
    <row r="459" spans="7:7" x14ac:dyDescent="0.25">
      <c r="G459" s="38" t="str">
        <f t="shared" si="6"/>
        <v/>
      </c>
    </row>
    <row r="460" spans="7:7" x14ac:dyDescent="0.25">
      <c r="G460" s="38" t="str">
        <f t="shared" si="6"/>
        <v/>
      </c>
    </row>
    <row r="461" spans="7:7" x14ac:dyDescent="0.25">
      <c r="G461" s="38" t="str">
        <f t="shared" si="6"/>
        <v/>
      </c>
    </row>
    <row r="462" spans="7:7" x14ac:dyDescent="0.25">
      <c r="G462" s="38" t="str">
        <f t="shared" si="6"/>
        <v/>
      </c>
    </row>
    <row r="463" spans="7:7" x14ac:dyDescent="0.25">
      <c r="G463" s="38" t="str">
        <f t="shared" si="6"/>
        <v/>
      </c>
    </row>
    <row r="464" spans="7:7" x14ac:dyDescent="0.25">
      <c r="G464" s="38" t="str">
        <f t="shared" si="6"/>
        <v/>
      </c>
    </row>
    <row r="465" spans="7:7" x14ac:dyDescent="0.25">
      <c r="G465" s="38" t="str">
        <f t="shared" si="6"/>
        <v/>
      </c>
    </row>
    <row r="466" spans="7:7" x14ac:dyDescent="0.25">
      <c r="G466" s="38" t="str">
        <f t="shared" si="6"/>
        <v/>
      </c>
    </row>
    <row r="467" spans="7:7" x14ac:dyDescent="0.25">
      <c r="G467" s="38" t="str">
        <f t="shared" si="6"/>
        <v/>
      </c>
    </row>
    <row r="468" spans="7:7" x14ac:dyDescent="0.25">
      <c r="G468" s="38" t="str">
        <f t="shared" si="6"/>
        <v/>
      </c>
    </row>
    <row r="469" spans="7:7" x14ac:dyDescent="0.25">
      <c r="G469" s="38" t="str">
        <f t="shared" ref="G469:G532" si="7">IF(A469=0,"","Fiber")</f>
        <v/>
      </c>
    </row>
    <row r="470" spans="7:7" x14ac:dyDescent="0.25">
      <c r="G470" s="38" t="str">
        <f t="shared" si="7"/>
        <v/>
      </c>
    </row>
    <row r="471" spans="7:7" x14ac:dyDescent="0.25">
      <c r="G471" s="38" t="str">
        <f t="shared" si="7"/>
        <v/>
      </c>
    </row>
    <row r="472" spans="7:7" x14ac:dyDescent="0.25">
      <c r="G472" s="38" t="str">
        <f t="shared" si="7"/>
        <v/>
      </c>
    </row>
    <row r="473" spans="7:7" x14ac:dyDescent="0.25">
      <c r="G473" s="38" t="str">
        <f t="shared" si="7"/>
        <v/>
      </c>
    </row>
    <row r="474" spans="7:7" x14ac:dyDescent="0.25">
      <c r="G474" s="38" t="str">
        <f t="shared" si="7"/>
        <v/>
      </c>
    </row>
    <row r="475" spans="7:7" x14ac:dyDescent="0.25">
      <c r="G475" s="38" t="str">
        <f t="shared" si="7"/>
        <v/>
      </c>
    </row>
    <row r="476" spans="7:7" x14ac:dyDescent="0.25">
      <c r="G476" s="38" t="str">
        <f t="shared" si="7"/>
        <v/>
      </c>
    </row>
    <row r="477" spans="7:7" x14ac:dyDescent="0.25">
      <c r="G477" s="38" t="str">
        <f t="shared" si="7"/>
        <v/>
      </c>
    </row>
    <row r="478" spans="7:7" x14ac:dyDescent="0.25">
      <c r="G478" s="38" t="str">
        <f t="shared" si="7"/>
        <v/>
      </c>
    </row>
    <row r="479" spans="7:7" x14ac:dyDescent="0.25">
      <c r="G479" s="38" t="str">
        <f t="shared" si="7"/>
        <v/>
      </c>
    </row>
    <row r="480" spans="7:7" x14ac:dyDescent="0.25">
      <c r="G480" s="38" t="str">
        <f t="shared" si="7"/>
        <v/>
      </c>
    </row>
    <row r="481" spans="7:7" x14ac:dyDescent="0.25">
      <c r="G481" s="38" t="str">
        <f t="shared" si="7"/>
        <v/>
      </c>
    </row>
    <row r="482" spans="7:7" x14ac:dyDescent="0.25">
      <c r="G482" s="38" t="str">
        <f t="shared" si="7"/>
        <v/>
      </c>
    </row>
    <row r="483" spans="7:7" x14ac:dyDescent="0.25">
      <c r="G483" s="38" t="str">
        <f t="shared" si="7"/>
        <v/>
      </c>
    </row>
    <row r="484" spans="7:7" x14ac:dyDescent="0.25">
      <c r="G484" s="38" t="str">
        <f t="shared" si="7"/>
        <v/>
      </c>
    </row>
    <row r="485" spans="7:7" x14ac:dyDescent="0.25">
      <c r="G485" s="38" t="str">
        <f t="shared" si="7"/>
        <v/>
      </c>
    </row>
    <row r="486" spans="7:7" x14ac:dyDescent="0.25">
      <c r="G486" s="38" t="str">
        <f t="shared" si="7"/>
        <v/>
      </c>
    </row>
    <row r="487" spans="7:7" x14ac:dyDescent="0.25">
      <c r="G487" s="38" t="str">
        <f t="shared" si="7"/>
        <v/>
      </c>
    </row>
    <row r="488" spans="7:7" x14ac:dyDescent="0.25">
      <c r="G488" s="38" t="str">
        <f t="shared" si="7"/>
        <v/>
      </c>
    </row>
    <row r="489" spans="7:7" x14ac:dyDescent="0.25">
      <c r="G489" s="38" t="str">
        <f t="shared" si="7"/>
        <v/>
      </c>
    </row>
    <row r="490" spans="7:7" x14ac:dyDescent="0.25">
      <c r="G490" s="38" t="str">
        <f t="shared" si="7"/>
        <v/>
      </c>
    </row>
    <row r="491" spans="7:7" x14ac:dyDescent="0.25">
      <c r="G491" s="38" t="str">
        <f t="shared" si="7"/>
        <v/>
      </c>
    </row>
    <row r="492" spans="7:7" x14ac:dyDescent="0.25">
      <c r="G492" s="38" t="str">
        <f t="shared" si="7"/>
        <v/>
      </c>
    </row>
    <row r="493" spans="7:7" x14ac:dyDescent="0.25">
      <c r="G493" s="38" t="str">
        <f t="shared" si="7"/>
        <v/>
      </c>
    </row>
    <row r="494" spans="7:7" x14ac:dyDescent="0.25">
      <c r="G494" s="38" t="str">
        <f t="shared" si="7"/>
        <v/>
      </c>
    </row>
    <row r="495" spans="7:7" x14ac:dyDescent="0.25">
      <c r="G495" s="38" t="str">
        <f t="shared" si="7"/>
        <v/>
      </c>
    </row>
    <row r="496" spans="7:7" x14ac:dyDescent="0.25">
      <c r="G496" s="38" t="str">
        <f t="shared" si="7"/>
        <v/>
      </c>
    </row>
    <row r="497" spans="7:7" x14ac:dyDescent="0.25">
      <c r="G497" s="38" t="str">
        <f t="shared" si="7"/>
        <v/>
      </c>
    </row>
    <row r="498" spans="7:7" x14ac:dyDescent="0.25">
      <c r="G498" s="38" t="str">
        <f t="shared" si="7"/>
        <v/>
      </c>
    </row>
    <row r="499" spans="7:7" x14ac:dyDescent="0.25">
      <c r="G499" s="38" t="str">
        <f t="shared" si="7"/>
        <v/>
      </c>
    </row>
    <row r="500" spans="7:7" x14ac:dyDescent="0.25">
      <c r="G500" s="38" t="str">
        <f t="shared" si="7"/>
        <v/>
      </c>
    </row>
    <row r="501" spans="7:7" x14ac:dyDescent="0.25">
      <c r="G501" s="38" t="str">
        <f t="shared" si="7"/>
        <v/>
      </c>
    </row>
    <row r="502" spans="7:7" x14ac:dyDescent="0.25">
      <c r="G502" s="38" t="str">
        <f t="shared" si="7"/>
        <v/>
      </c>
    </row>
    <row r="503" spans="7:7" x14ac:dyDescent="0.25">
      <c r="G503" s="38" t="str">
        <f t="shared" si="7"/>
        <v/>
      </c>
    </row>
    <row r="504" spans="7:7" x14ac:dyDescent="0.25">
      <c r="G504" s="38" t="str">
        <f t="shared" si="7"/>
        <v/>
      </c>
    </row>
    <row r="505" spans="7:7" x14ac:dyDescent="0.25">
      <c r="G505" s="38" t="str">
        <f t="shared" si="7"/>
        <v/>
      </c>
    </row>
    <row r="506" spans="7:7" x14ac:dyDescent="0.25">
      <c r="G506" s="38" t="str">
        <f t="shared" si="7"/>
        <v/>
      </c>
    </row>
    <row r="507" spans="7:7" x14ac:dyDescent="0.25">
      <c r="G507" s="38" t="str">
        <f t="shared" si="7"/>
        <v/>
      </c>
    </row>
    <row r="508" spans="7:7" x14ac:dyDescent="0.25">
      <c r="G508" s="38" t="str">
        <f t="shared" si="7"/>
        <v/>
      </c>
    </row>
    <row r="509" spans="7:7" x14ac:dyDescent="0.25">
      <c r="G509" s="38" t="str">
        <f t="shared" si="7"/>
        <v/>
      </c>
    </row>
    <row r="510" spans="7:7" x14ac:dyDescent="0.25">
      <c r="G510" s="38" t="str">
        <f t="shared" si="7"/>
        <v/>
      </c>
    </row>
    <row r="511" spans="7:7" x14ac:dyDescent="0.25">
      <c r="G511" s="38" t="str">
        <f t="shared" si="7"/>
        <v/>
      </c>
    </row>
    <row r="512" spans="7:7" x14ac:dyDescent="0.25">
      <c r="G512" s="38" t="str">
        <f t="shared" si="7"/>
        <v/>
      </c>
    </row>
    <row r="513" spans="7:7" x14ac:dyDescent="0.25">
      <c r="G513" s="38" t="str">
        <f t="shared" si="7"/>
        <v/>
      </c>
    </row>
    <row r="514" spans="7:7" x14ac:dyDescent="0.25">
      <c r="G514" s="38" t="str">
        <f t="shared" si="7"/>
        <v/>
      </c>
    </row>
    <row r="515" spans="7:7" x14ac:dyDescent="0.25">
      <c r="G515" s="38" t="str">
        <f t="shared" si="7"/>
        <v/>
      </c>
    </row>
    <row r="516" spans="7:7" x14ac:dyDescent="0.25">
      <c r="G516" s="38" t="str">
        <f t="shared" si="7"/>
        <v/>
      </c>
    </row>
    <row r="517" spans="7:7" x14ac:dyDescent="0.25">
      <c r="G517" s="38" t="str">
        <f t="shared" si="7"/>
        <v/>
      </c>
    </row>
    <row r="518" spans="7:7" x14ac:dyDescent="0.25">
      <c r="G518" s="38" t="str">
        <f t="shared" si="7"/>
        <v/>
      </c>
    </row>
    <row r="519" spans="7:7" x14ac:dyDescent="0.25">
      <c r="G519" s="38" t="str">
        <f t="shared" si="7"/>
        <v/>
      </c>
    </row>
    <row r="520" spans="7:7" x14ac:dyDescent="0.25">
      <c r="G520" s="38" t="str">
        <f t="shared" si="7"/>
        <v/>
      </c>
    </row>
    <row r="521" spans="7:7" x14ac:dyDescent="0.25">
      <c r="G521" s="38" t="str">
        <f t="shared" si="7"/>
        <v/>
      </c>
    </row>
    <row r="522" spans="7:7" x14ac:dyDescent="0.25">
      <c r="G522" s="38" t="str">
        <f t="shared" si="7"/>
        <v/>
      </c>
    </row>
    <row r="523" spans="7:7" x14ac:dyDescent="0.25">
      <c r="G523" s="38" t="str">
        <f t="shared" si="7"/>
        <v/>
      </c>
    </row>
    <row r="524" spans="7:7" x14ac:dyDescent="0.25">
      <c r="G524" s="38" t="str">
        <f t="shared" si="7"/>
        <v/>
      </c>
    </row>
    <row r="525" spans="7:7" x14ac:dyDescent="0.25">
      <c r="G525" s="38" t="str">
        <f t="shared" si="7"/>
        <v/>
      </c>
    </row>
    <row r="526" spans="7:7" x14ac:dyDescent="0.25">
      <c r="G526" s="38" t="str">
        <f t="shared" si="7"/>
        <v/>
      </c>
    </row>
    <row r="527" spans="7:7" x14ac:dyDescent="0.25">
      <c r="G527" s="38" t="str">
        <f t="shared" si="7"/>
        <v/>
      </c>
    </row>
    <row r="528" spans="7:7" x14ac:dyDescent="0.25">
      <c r="G528" s="38" t="str">
        <f t="shared" si="7"/>
        <v/>
      </c>
    </row>
    <row r="529" spans="7:7" x14ac:dyDescent="0.25">
      <c r="G529" s="38" t="str">
        <f t="shared" si="7"/>
        <v/>
      </c>
    </row>
    <row r="530" spans="7:7" x14ac:dyDescent="0.25">
      <c r="G530" s="38" t="str">
        <f t="shared" si="7"/>
        <v/>
      </c>
    </row>
    <row r="531" spans="7:7" x14ac:dyDescent="0.25">
      <c r="G531" s="38" t="str">
        <f t="shared" si="7"/>
        <v/>
      </c>
    </row>
    <row r="532" spans="7:7" x14ac:dyDescent="0.25">
      <c r="G532" s="38" t="str">
        <f t="shared" si="7"/>
        <v/>
      </c>
    </row>
    <row r="533" spans="7:7" x14ac:dyDescent="0.25">
      <c r="G533" s="38" t="str">
        <f t="shared" ref="G533:G596" si="8">IF(A533=0,"","Fiber")</f>
        <v/>
      </c>
    </row>
    <row r="534" spans="7:7" x14ac:dyDescent="0.25">
      <c r="G534" s="38" t="str">
        <f t="shared" si="8"/>
        <v/>
      </c>
    </row>
    <row r="535" spans="7:7" x14ac:dyDescent="0.25">
      <c r="G535" s="38" t="str">
        <f t="shared" si="8"/>
        <v/>
      </c>
    </row>
    <row r="536" spans="7:7" x14ac:dyDescent="0.25">
      <c r="G536" s="38" t="str">
        <f t="shared" si="8"/>
        <v/>
      </c>
    </row>
    <row r="537" spans="7:7" x14ac:dyDescent="0.25">
      <c r="G537" s="38" t="str">
        <f t="shared" si="8"/>
        <v/>
      </c>
    </row>
    <row r="538" spans="7:7" x14ac:dyDescent="0.25">
      <c r="G538" s="38" t="str">
        <f t="shared" si="8"/>
        <v/>
      </c>
    </row>
    <row r="539" spans="7:7" x14ac:dyDescent="0.25">
      <c r="G539" s="38" t="str">
        <f t="shared" si="8"/>
        <v/>
      </c>
    </row>
    <row r="540" spans="7:7" x14ac:dyDescent="0.25">
      <c r="G540" s="38" t="str">
        <f t="shared" si="8"/>
        <v/>
      </c>
    </row>
    <row r="541" spans="7:7" x14ac:dyDescent="0.25">
      <c r="G541" s="38" t="str">
        <f t="shared" si="8"/>
        <v/>
      </c>
    </row>
    <row r="542" spans="7:7" x14ac:dyDescent="0.25">
      <c r="G542" s="38" t="str">
        <f t="shared" si="8"/>
        <v/>
      </c>
    </row>
    <row r="543" spans="7:7" x14ac:dyDescent="0.25">
      <c r="G543" s="38" t="str">
        <f t="shared" si="8"/>
        <v/>
      </c>
    </row>
    <row r="544" spans="7:7" x14ac:dyDescent="0.25">
      <c r="G544" s="38" t="str">
        <f t="shared" si="8"/>
        <v/>
      </c>
    </row>
    <row r="545" spans="7:7" x14ac:dyDescent="0.25">
      <c r="G545" s="38" t="str">
        <f t="shared" si="8"/>
        <v/>
      </c>
    </row>
    <row r="546" spans="7:7" x14ac:dyDescent="0.25">
      <c r="G546" s="38" t="str">
        <f t="shared" si="8"/>
        <v/>
      </c>
    </row>
    <row r="547" spans="7:7" x14ac:dyDescent="0.25">
      <c r="G547" s="38" t="str">
        <f t="shared" si="8"/>
        <v/>
      </c>
    </row>
    <row r="548" spans="7:7" x14ac:dyDescent="0.25">
      <c r="G548" s="38" t="str">
        <f t="shared" si="8"/>
        <v/>
      </c>
    </row>
    <row r="549" spans="7:7" x14ac:dyDescent="0.25">
      <c r="G549" s="38" t="str">
        <f t="shared" si="8"/>
        <v/>
      </c>
    </row>
    <row r="550" spans="7:7" x14ac:dyDescent="0.25">
      <c r="G550" s="38" t="str">
        <f t="shared" si="8"/>
        <v/>
      </c>
    </row>
    <row r="551" spans="7:7" x14ac:dyDescent="0.25">
      <c r="G551" s="38" t="str">
        <f t="shared" si="8"/>
        <v/>
      </c>
    </row>
    <row r="552" spans="7:7" x14ac:dyDescent="0.25">
      <c r="G552" s="38" t="str">
        <f t="shared" si="8"/>
        <v/>
      </c>
    </row>
    <row r="553" spans="7:7" x14ac:dyDescent="0.25">
      <c r="G553" s="38" t="str">
        <f t="shared" si="8"/>
        <v/>
      </c>
    </row>
    <row r="554" spans="7:7" x14ac:dyDescent="0.25">
      <c r="G554" s="38" t="str">
        <f t="shared" si="8"/>
        <v/>
      </c>
    </row>
    <row r="555" spans="7:7" x14ac:dyDescent="0.25">
      <c r="G555" s="38" t="str">
        <f t="shared" si="8"/>
        <v/>
      </c>
    </row>
    <row r="556" spans="7:7" x14ac:dyDescent="0.25">
      <c r="G556" s="38" t="str">
        <f t="shared" si="8"/>
        <v/>
      </c>
    </row>
    <row r="557" spans="7:7" x14ac:dyDescent="0.25">
      <c r="G557" s="38" t="str">
        <f t="shared" si="8"/>
        <v/>
      </c>
    </row>
    <row r="558" spans="7:7" x14ac:dyDescent="0.25">
      <c r="G558" s="38" t="str">
        <f t="shared" si="8"/>
        <v/>
      </c>
    </row>
    <row r="559" spans="7:7" x14ac:dyDescent="0.25">
      <c r="G559" s="38" t="str">
        <f t="shared" si="8"/>
        <v/>
      </c>
    </row>
    <row r="560" spans="7:7" x14ac:dyDescent="0.25">
      <c r="G560" s="38" t="str">
        <f t="shared" si="8"/>
        <v/>
      </c>
    </row>
    <row r="561" spans="7:7" x14ac:dyDescent="0.25">
      <c r="G561" s="38" t="str">
        <f t="shared" si="8"/>
        <v/>
      </c>
    </row>
    <row r="562" spans="7:7" x14ac:dyDescent="0.25">
      <c r="G562" s="38" t="str">
        <f t="shared" si="8"/>
        <v/>
      </c>
    </row>
    <row r="563" spans="7:7" x14ac:dyDescent="0.25">
      <c r="G563" s="38" t="str">
        <f t="shared" si="8"/>
        <v/>
      </c>
    </row>
    <row r="564" spans="7:7" x14ac:dyDescent="0.25">
      <c r="G564" s="38" t="str">
        <f t="shared" si="8"/>
        <v/>
      </c>
    </row>
    <row r="565" spans="7:7" x14ac:dyDescent="0.25">
      <c r="G565" s="38" t="str">
        <f t="shared" si="8"/>
        <v/>
      </c>
    </row>
    <row r="566" spans="7:7" x14ac:dyDescent="0.25">
      <c r="G566" s="38" t="str">
        <f t="shared" si="8"/>
        <v/>
      </c>
    </row>
    <row r="567" spans="7:7" x14ac:dyDescent="0.25">
      <c r="G567" s="38" t="str">
        <f t="shared" si="8"/>
        <v/>
      </c>
    </row>
    <row r="568" spans="7:7" x14ac:dyDescent="0.25">
      <c r="G568" s="38" t="str">
        <f t="shared" si="8"/>
        <v/>
      </c>
    </row>
    <row r="569" spans="7:7" x14ac:dyDescent="0.25">
      <c r="G569" s="38" t="str">
        <f t="shared" si="8"/>
        <v/>
      </c>
    </row>
    <row r="570" spans="7:7" x14ac:dyDescent="0.25">
      <c r="G570" s="38" t="str">
        <f t="shared" si="8"/>
        <v/>
      </c>
    </row>
    <row r="571" spans="7:7" x14ac:dyDescent="0.25">
      <c r="G571" s="38" t="str">
        <f t="shared" si="8"/>
        <v/>
      </c>
    </row>
    <row r="572" spans="7:7" x14ac:dyDescent="0.25">
      <c r="G572" s="38" t="str">
        <f t="shared" si="8"/>
        <v/>
      </c>
    </row>
    <row r="573" spans="7:7" x14ac:dyDescent="0.25">
      <c r="G573" s="38" t="str">
        <f t="shared" si="8"/>
        <v/>
      </c>
    </row>
    <row r="574" spans="7:7" x14ac:dyDescent="0.25">
      <c r="G574" s="38" t="str">
        <f t="shared" si="8"/>
        <v/>
      </c>
    </row>
    <row r="575" spans="7:7" x14ac:dyDescent="0.25">
      <c r="G575" s="38" t="str">
        <f t="shared" si="8"/>
        <v/>
      </c>
    </row>
    <row r="576" spans="7:7" x14ac:dyDescent="0.25">
      <c r="G576" s="38" t="str">
        <f t="shared" si="8"/>
        <v/>
      </c>
    </row>
    <row r="577" spans="7:7" x14ac:dyDescent="0.25">
      <c r="G577" s="38" t="str">
        <f t="shared" si="8"/>
        <v/>
      </c>
    </row>
    <row r="578" spans="7:7" x14ac:dyDescent="0.25">
      <c r="G578" s="38" t="str">
        <f t="shared" si="8"/>
        <v/>
      </c>
    </row>
    <row r="579" spans="7:7" x14ac:dyDescent="0.25">
      <c r="G579" s="38" t="str">
        <f t="shared" si="8"/>
        <v/>
      </c>
    </row>
    <row r="580" spans="7:7" x14ac:dyDescent="0.25">
      <c r="G580" s="38" t="str">
        <f t="shared" si="8"/>
        <v/>
      </c>
    </row>
    <row r="581" spans="7:7" x14ac:dyDescent="0.25">
      <c r="G581" s="38" t="str">
        <f t="shared" si="8"/>
        <v/>
      </c>
    </row>
    <row r="582" spans="7:7" x14ac:dyDescent="0.25">
      <c r="G582" s="38" t="str">
        <f t="shared" si="8"/>
        <v/>
      </c>
    </row>
    <row r="583" spans="7:7" x14ac:dyDescent="0.25">
      <c r="G583" s="38" t="str">
        <f t="shared" si="8"/>
        <v/>
      </c>
    </row>
    <row r="584" spans="7:7" x14ac:dyDescent="0.25">
      <c r="G584" s="38" t="str">
        <f t="shared" si="8"/>
        <v/>
      </c>
    </row>
    <row r="585" spans="7:7" x14ac:dyDescent="0.25">
      <c r="G585" s="38" t="str">
        <f t="shared" si="8"/>
        <v/>
      </c>
    </row>
    <row r="586" spans="7:7" x14ac:dyDescent="0.25">
      <c r="G586" s="38" t="str">
        <f t="shared" si="8"/>
        <v/>
      </c>
    </row>
    <row r="587" spans="7:7" x14ac:dyDescent="0.25">
      <c r="G587" s="38" t="str">
        <f t="shared" si="8"/>
        <v/>
      </c>
    </row>
    <row r="588" spans="7:7" x14ac:dyDescent="0.25">
      <c r="G588" s="38" t="str">
        <f t="shared" si="8"/>
        <v/>
      </c>
    </row>
    <row r="589" spans="7:7" x14ac:dyDescent="0.25">
      <c r="G589" s="38" t="str">
        <f t="shared" si="8"/>
        <v/>
      </c>
    </row>
    <row r="590" spans="7:7" x14ac:dyDescent="0.25">
      <c r="G590" s="38" t="str">
        <f t="shared" si="8"/>
        <v/>
      </c>
    </row>
    <row r="591" spans="7:7" x14ac:dyDescent="0.25">
      <c r="G591" s="38" t="str">
        <f t="shared" si="8"/>
        <v/>
      </c>
    </row>
    <row r="592" spans="7:7" x14ac:dyDescent="0.25">
      <c r="G592" s="38" t="str">
        <f t="shared" si="8"/>
        <v/>
      </c>
    </row>
    <row r="593" spans="7:7" x14ac:dyDescent="0.25">
      <c r="G593" s="38" t="str">
        <f t="shared" si="8"/>
        <v/>
      </c>
    </row>
    <row r="594" spans="7:7" x14ac:dyDescent="0.25">
      <c r="G594" s="38" t="str">
        <f t="shared" si="8"/>
        <v/>
      </c>
    </row>
    <row r="595" spans="7:7" x14ac:dyDescent="0.25">
      <c r="G595" s="38" t="str">
        <f t="shared" si="8"/>
        <v/>
      </c>
    </row>
    <row r="596" spans="7:7" x14ac:dyDescent="0.25">
      <c r="G596" s="38" t="str">
        <f t="shared" si="8"/>
        <v/>
      </c>
    </row>
    <row r="597" spans="7:7" x14ac:dyDescent="0.25">
      <c r="G597" s="38" t="str">
        <f t="shared" ref="G597:G660" si="9">IF(A597=0,"","Fiber")</f>
        <v/>
      </c>
    </row>
    <row r="598" spans="7:7" x14ac:dyDescent="0.25">
      <c r="G598" s="38" t="str">
        <f t="shared" si="9"/>
        <v/>
      </c>
    </row>
    <row r="599" spans="7:7" x14ac:dyDescent="0.25">
      <c r="G599" s="38" t="str">
        <f t="shared" si="9"/>
        <v/>
      </c>
    </row>
    <row r="600" spans="7:7" x14ac:dyDescent="0.25">
      <c r="G600" s="38" t="str">
        <f t="shared" si="9"/>
        <v/>
      </c>
    </row>
    <row r="601" spans="7:7" x14ac:dyDescent="0.25">
      <c r="G601" s="38" t="str">
        <f t="shared" si="9"/>
        <v/>
      </c>
    </row>
    <row r="602" spans="7:7" x14ac:dyDescent="0.25">
      <c r="G602" s="38" t="str">
        <f t="shared" si="9"/>
        <v/>
      </c>
    </row>
    <row r="603" spans="7:7" x14ac:dyDescent="0.25">
      <c r="G603" s="38" t="str">
        <f t="shared" si="9"/>
        <v/>
      </c>
    </row>
    <row r="604" spans="7:7" x14ac:dyDescent="0.25">
      <c r="G604" s="38" t="str">
        <f t="shared" si="9"/>
        <v/>
      </c>
    </row>
    <row r="605" spans="7:7" x14ac:dyDescent="0.25">
      <c r="G605" s="38" t="str">
        <f t="shared" si="9"/>
        <v/>
      </c>
    </row>
    <row r="606" spans="7:7" x14ac:dyDescent="0.25">
      <c r="G606" s="38" t="str">
        <f t="shared" si="9"/>
        <v/>
      </c>
    </row>
    <row r="607" spans="7:7" x14ac:dyDescent="0.25">
      <c r="G607" s="38" t="str">
        <f t="shared" si="9"/>
        <v/>
      </c>
    </row>
    <row r="608" spans="7:7" x14ac:dyDescent="0.25">
      <c r="G608" s="38" t="str">
        <f t="shared" si="9"/>
        <v/>
      </c>
    </row>
    <row r="609" spans="7:7" x14ac:dyDescent="0.25">
      <c r="G609" s="38" t="str">
        <f t="shared" si="9"/>
        <v/>
      </c>
    </row>
    <row r="610" spans="7:7" x14ac:dyDescent="0.25">
      <c r="G610" s="38" t="str">
        <f t="shared" si="9"/>
        <v/>
      </c>
    </row>
    <row r="611" spans="7:7" x14ac:dyDescent="0.25">
      <c r="G611" s="38" t="str">
        <f t="shared" si="9"/>
        <v/>
      </c>
    </row>
    <row r="612" spans="7:7" x14ac:dyDescent="0.25">
      <c r="G612" s="38" t="str">
        <f t="shared" si="9"/>
        <v/>
      </c>
    </row>
    <row r="613" spans="7:7" x14ac:dyDescent="0.25">
      <c r="G613" s="38" t="str">
        <f t="shared" si="9"/>
        <v/>
      </c>
    </row>
    <row r="614" spans="7:7" x14ac:dyDescent="0.25">
      <c r="G614" s="38" t="str">
        <f t="shared" si="9"/>
        <v/>
      </c>
    </row>
    <row r="615" spans="7:7" x14ac:dyDescent="0.25">
      <c r="G615" s="38" t="str">
        <f t="shared" si="9"/>
        <v/>
      </c>
    </row>
    <row r="616" spans="7:7" x14ac:dyDescent="0.25">
      <c r="G616" s="38" t="str">
        <f t="shared" si="9"/>
        <v/>
      </c>
    </row>
    <row r="617" spans="7:7" x14ac:dyDescent="0.25">
      <c r="G617" s="38" t="str">
        <f t="shared" si="9"/>
        <v/>
      </c>
    </row>
    <row r="618" spans="7:7" x14ac:dyDescent="0.25">
      <c r="G618" s="38" t="str">
        <f t="shared" si="9"/>
        <v/>
      </c>
    </row>
    <row r="619" spans="7:7" x14ac:dyDescent="0.25">
      <c r="G619" s="38" t="str">
        <f t="shared" si="9"/>
        <v/>
      </c>
    </row>
    <row r="620" spans="7:7" x14ac:dyDescent="0.25">
      <c r="G620" s="38" t="str">
        <f t="shared" si="9"/>
        <v/>
      </c>
    </row>
    <row r="621" spans="7:7" x14ac:dyDescent="0.25">
      <c r="G621" s="38" t="str">
        <f t="shared" si="9"/>
        <v/>
      </c>
    </row>
    <row r="622" spans="7:7" x14ac:dyDescent="0.25">
      <c r="G622" s="38" t="str">
        <f t="shared" si="9"/>
        <v/>
      </c>
    </row>
    <row r="623" spans="7:7" x14ac:dyDescent="0.25">
      <c r="G623" s="38" t="str">
        <f t="shared" si="9"/>
        <v/>
      </c>
    </row>
    <row r="624" spans="7:7" x14ac:dyDescent="0.25">
      <c r="G624" s="38" t="str">
        <f t="shared" si="9"/>
        <v/>
      </c>
    </row>
    <row r="625" spans="7:7" x14ac:dyDescent="0.25">
      <c r="G625" s="38" t="str">
        <f t="shared" si="9"/>
        <v/>
      </c>
    </row>
    <row r="626" spans="7:7" x14ac:dyDescent="0.25">
      <c r="G626" s="38" t="str">
        <f t="shared" si="9"/>
        <v/>
      </c>
    </row>
    <row r="627" spans="7:7" x14ac:dyDescent="0.25">
      <c r="G627" s="38" t="str">
        <f t="shared" si="9"/>
        <v/>
      </c>
    </row>
    <row r="628" spans="7:7" x14ac:dyDescent="0.25">
      <c r="G628" s="38" t="str">
        <f t="shared" si="9"/>
        <v/>
      </c>
    </row>
    <row r="629" spans="7:7" x14ac:dyDescent="0.25">
      <c r="G629" s="38" t="str">
        <f t="shared" si="9"/>
        <v/>
      </c>
    </row>
    <row r="630" spans="7:7" x14ac:dyDescent="0.25">
      <c r="G630" s="38" t="str">
        <f t="shared" si="9"/>
        <v/>
      </c>
    </row>
    <row r="631" spans="7:7" x14ac:dyDescent="0.25">
      <c r="G631" s="38" t="str">
        <f t="shared" si="9"/>
        <v/>
      </c>
    </row>
    <row r="632" spans="7:7" x14ac:dyDescent="0.25">
      <c r="G632" s="38" t="str">
        <f t="shared" si="9"/>
        <v/>
      </c>
    </row>
    <row r="633" spans="7:7" x14ac:dyDescent="0.25">
      <c r="G633" s="38" t="str">
        <f t="shared" si="9"/>
        <v/>
      </c>
    </row>
    <row r="634" spans="7:7" x14ac:dyDescent="0.25">
      <c r="G634" s="38" t="str">
        <f t="shared" si="9"/>
        <v/>
      </c>
    </row>
    <row r="635" spans="7:7" x14ac:dyDescent="0.25">
      <c r="G635" s="38" t="str">
        <f t="shared" si="9"/>
        <v/>
      </c>
    </row>
    <row r="636" spans="7:7" x14ac:dyDescent="0.25">
      <c r="G636" s="38" t="str">
        <f t="shared" si="9"/>
        <v/>
      </c>
    </row>
    <row r="637" spans="7:7" x14ac:dyDescent="0.25">
      <c r="G637" s="38" t="str">
        <f t="shared" si="9"/>
        <v/>
      </c>
    </row>
    <row r="638" spans="7:7" x14ac:dyDescent="0.25">
      <c r="G638" s="38" t="str">
        <f t="shared" si="9"/>
        <v/>
      </c>
    </row>
    <row r="639" spans="7:7" x14ac:dyDescent="0.25">
      <c r="G639" s="38" t="str">
        <f t="shared" si="9"/>
        <v/>
      </c>
    </row>
    <row r="640" spans="7:7" x14ac:dyDescent="0.25">
      <c r="G640" s="38" t="str">
        <f t="shared" si="9"/>
        <v/>
      </c>
    </row>
    <row r="641" spans="7:7" x14ac:dyDescent="0.25">
      <c r="G641" s="38" t="str">
        <f t="shared" si="9"/>
        <v/>
      </c>
    </row>
    <row r="642" spans="7:7" x14ac:dyDescent="0.25">
      <c r="G642" s="38" t="str">
        <f t="shared" si="9"/>
        <v/>
      </c>
    </row>
    <row r="643" spans="7:7" x14ac:dyDescent="0.25">
      <c r="G643" s="38" t="str">
        <f t="shared" si="9"/>
        <v/>
      </c>
    </row>
    <row r="644" spans="7:7" x14ac:dyDescent="0.25">
      <c r="G644" s="38" t="str">
        <f t="shared" si="9"/>
        <v/>
      </c>
    </row>
    <row r="645" spans="7:7" x14ac:dyDescent="0.25">
      <c r="G645" s="38" t="str">
        <f t="shared" si="9"/>
        <v/>
      </c>
    </row>
    <row r="646" spans="7:7" x14ac:dyDescent="0.25">
      <c r="G646" s="38" t="str">
        <f t="shared" si="9"/>
        <v/>
      </c>
    </row>
    <row r="647" spans="7:7" x14ac:dyDescent="0.25">
      <c r="G647" s="38" t="str">
        <f t="shared" si="9"/>
        <v/>
      </c>
    </row>
    <row r="648" spans="7:7" x14ac:dyDescent="0.25">
      <c r="G648" s="38" t="str">
        <f t="shared" si="9"/>
        <v/>
      </c>
    </row>
    <row r="649" spans="7:7" x14ac:dyDescent="0.25">
      <c r="G649" s="38" t="str">
        <f t="shared" si="9"/>
        <v/>
      </c>
    </row>
    <row r="650" spans="7:7" x14ac:dyDescent="0.25">
      <c r="G650" s="38" t="str">
        <f t="shared" si="9"/>
        <v/>
      </c>
    </row>
    <row r="651" spans="7:7" x14ac:dyDescent="0.25">
      <c r="G651" s="38" t="str">
        <f t="shared" si="9"/>
        <v/>
      </c>
    </row>
    <row r="652" spans="7:7" x14ac:dyDescent="0.25">
      <c r="G652" s="38" t="str">
        <f t="shared" si="9"/>
        <v/>
      </c>
    </row>
    <row r="653" spans="7:7" x14ac:dyDescent="0.25">
      <c r="G653" s="38" t="str">
        <f t="shared" si="9"/>
        <v/>
      </c>
    </row>
    <row r="654" spans="7:7" x14ac:dyDescent="0.25">
      <c r="G654" s="38" t="str">
        <f t="shared" si="9"/>
        <v/>
      </c>
    </row>
    <row r="655" spans="7:7" x14ac:dyDescent="0.25">
      <c r="G655" s="38" t="str">
        <f t="shared" si="9"/>
        <v/>
      </c>
    </row>
    <row r="656" spans="7:7" x14ac:dyDescent="0.25">
      <c r="G656" s="38" t="str">
        <f t="shared" si="9"/>
        <v/>
      </c>
    </row>
    <row r="657" spans="7:7" x14ac:dyDescent="0.25">
      <c r="G657" s="38" t="str">
        <f t="shared" si="9"/>
        <v/>
      </c>
    </row>
    <row r="658" spans="7:7" x14ac:dyDescent="0.25">
      <c r="G658" s="38" t="str">
        <f t="shared" si="9"/>
        <v/>
      </c>
    </row>
    <row r="659" spans="7:7" x14ac:dyDescent="0.25">
      <c r="G659" s="38" t="str">
        <f t="shared" si="9"/>
        <v/>
      </c>
    </row>
    <row r="660" spans="7:7" x14ac:dyDescent="0.25">
      <c r="G660" s="38" t="str">
        <f t="shared" si="9"/>
        <v/>
      </c>
    </row>
    <row r="661" spans="7:7" x14ac:dyDescent="0.25">
      <c r="G661" s="38" t="str">
        <f t="shared" ref="G661:G724" si="10">IF(A661=0,"","Fiber")</f>
        <v/>
      </c>
    </row>
    <row r="662" spans="7:7" x14ac:dyDescent="0.25">
      <c r="G662" s="38" t="str">
        <f t="shared" si="10"/>
        <v/>
      </c>
    </row>
    <row r="663" spans="7:7" x14ac:dyDescent="0.25">
      <c r="G663" s="38" t="str">
        <f t="shared" si="10"/>
        <v/>
      </c>
    </row>
    <row r="664" spans="7:7" x14ac:dyDescent="0.25">
      <c r="G664" s="38" t="str">
        <f t="shared" si="10"/>
        <v/>
      </c>
    </row>
    <row r="665" spans="7:7" x14ac:dyDescent="0.25">
      <c r="G665" s="38" t="str">
        <f t="shared" si="10"/>
        <v/>
      </c>
    </row>
    <row r="666" spans="7:7" x14ac:dyDescent="0.25">
      <c r="G666" s="38" t="str">
        <f t="shared" si="10"/>
        <v/>
      </c>
    </row>
    <row r="667" spans="7:7" x14ac:dyDescent="0.25">
      <c r="G667" s="38" t="str">
        <f t="shared" si="10"/>
        <v/>
      </c>
    </row>
    <row r="668" spans="7:7" x14ac:dyDescent="0.25">
      <c r="G668" s="38" t="str">
        <f t="shared" si="10"/>
        <v/>
      </c>
    </row>
    <row r="669" spans="7:7" x14ac:dyDescent="0.25">
      <c r="G669" s="38" t="str">
        <f t="shared" si="10"/>
        <v/>
      </c>
    </row>
    <row r="670" spans="7:7" x14ac:dyDescent="0.25">
      <c r="G670" s="38" t="str">
        <f t="shared" si="10"/>
        <v/>
      </c>
    </row>
    <row r="671" spans="7:7" x14ac:dyDescent="0.25">
      <c r="G671" s="38" t="str">
        <f t="shared" si="10"/>
        <v/>
      </c>
    </row>
    <row r="672" spans="7:7" x14ac:dyDescent="0.25">
      <c r="G672" s="38" t="str">
        <f t="shared" si="10"/>
        <v/>
      </c>
    </row>
    <row r="673" spans="7:7" x14ac:dyDescent="0.25">
      <c r="G673" s="38" t="str">
        <f t="shared" si="10"/>
        <v/>
      </c>
    </row>
    <row r="674" spans="7:7" x14ac:dyDescent="0.25">
      <c r="G674" s="38" t="str">
        <f t="shared" si="10"/>
        <v/>
      </c>
    </row>
    <row r="675" spans="7:7" x14ac:dyDescent="0.25">
      <c r="G675" s="38" t="str">
        <f t="shared" si="10"/>
        <v/>
      </c>
    </row>
    <row r="676" spans="7:7" x14ac:dyDescent="0.25">
      <c r="G676" s="38" t="str">
        <f t="shared" si="10"/>
        <v/>
      </c>
    </row>
    <row r="677" spans="7:7" x14ac:dyDescent="0.25">
      <c r="G677" s="38" t="str">
        <f t="shared" si="10"/>
        <v/>
      </c>
    </row>
    <row r="678" spans="7:7" x14ac:dyDescent="0.25">
      <c r="G678" s="38" t="str">
        <f t="shared" si="10"/>
        <v/>
      </c>
    </row>
    <row r="679" spans="7:7" x14ac:dyDescent="0.25">
      <c r="G679" s="38" t="str">
        <f t="shared" si="10"/>
        <v/>
      </c>
    </row>
    <row r="680" spans="7:7" x14ac:dyDescent="0.25">
      <c r="G680" s="38" t="str">
        <f t="shared" si="10"/>
        <v/>
      </c>
    </row>
    <row r="681" spans="7:7" x14ac:dyDescent="0.25">
      <c r="G681" s="38" t="str">
        <f t="shared" si="10"/>
        <v/>
      </c>
    </row>
    <row r="682" spans="7:7" x14ac:dyDescent="0.25">
      <c r="G682" s="38" t="str">
        <f t="shared" si="10"/>
        <v/>
      </c>
    </row>
    <row r="683" spans="7:7" x14ac:dyDescent="0.25">
      <c r="G683" s="38" t="str">
        <f t="shared" si="10"/>
        <v/>
      </c>
    </row>
    <row r="684" spans="7:7" x14ac:dyDescent="0.25">
      <c r="G684" s="38" t="str">
        <f t="shared" si="10"/>
        <v/>
      </c>
    </row>
    <row r="685" spans="7:7" x14ac:dyDescent="0.25">
      <c r="G685" s="38" t="str">
        <f t="shared" si="10"/>
        <v/>
      </c>
    </row>
    <row r="686" spans="7:7" x14ac:dyDescent="0.25">
      <c r="G686" s="38" t="str">
        <f t="shared" si="10"/>
        <v/>
      </c>
    </row>
    <row r="687" spans="7:7" x14ac:dyDescent="0.25">
      <c r="G687" s="38" t="str">
        <f t="shared" si="10"/>
        <v/>
      </c>
    </row>
    <row r="688" spans="7:7" x14ac:dyDescent="0.25">
      <c r="G688" s="38" t="str">
        <f t="shared" si="10"/>
        <v/>
      </c>
    </row>
    <row r="689" spans="7:7" x14ac:dyDescent="0.25">
      <c r="G689" s="38" t="str">
        <f t="shared" si="10"/>
        <v/>
      </c>
    </row>
    <row r="690" spans="7:7" x14ac:dyDescent="0.25">
      <c r="G690" s="38" t="str">
        <f t="shared" si="10"/>
        <v/>
      </c>
    </row>
    <row r="691" spans="7:7" x14ac:dyDescent="0.25">
      <c r="G691" s="38" t="str">
        <f t="shared" si="10"/>
        <v/>
      </c>
    </row>
    <row r="692" spans="7:7" x14ac:dyDescent="0.25">
      <c r="G692" s="38" t="str">
        <f t="shared" si="10"/>
        <v/>
      </c>
    </row>
    <row r="693" spans="7:7" x14ac:dyDescent="0.25">
      <c r="G693" s="38" t="str">
        <f t="shared" si="10"/>
        <v/>
      </c>
    </row>
    <row r="694" spans="7:7" x14ac:dyDescent="0.25">
      <c r="G694" s="38" t="str">
        <f t="shared" si="10"/>
        <v/>
      </c>
    </row>
    <row r="695" spans="7:7" x14ac:dyDescent="0.25">
      <c r="G695" s="38" t="str">
        <f t="shared" si="10"/>
        <v/>
      </c>
    </row>
    <row r="696" spans="7:7" x14ac:dyDescent="0.25">
      <c r="G696" s="38" t="str">
        <f t="shared" si="10"/>
        <v/>
      </c>
    </row>
    <row r="697" spans="7:7" x14ac:dyDescent="0.25">
      <c r="G697" s="38" t="str">
        <f t="shared" si="10"/>
        <v/>
      </c>
    </row>
    <row r="698" spans="7:7" x14ac:dyDescent="0.25">
      <c r="G698" s="38" t="str">
        <f t="shared" si="10"/>
        <v/>
      </c>
    </row>
    <row r="699" spans="7:7" x14ac:dyDescent="0.25">
      <c r="G699" s="38" t="str">
        <f t="shared" si="10"/>
        <v/>
      </c>
    </row>
    <row r="700" spans="7:7" x14ac:dyDescent="0.25">
      <c r="G700" s="38" t="str">
        <f t="shared" si="10"/>
        <v/>
      </c>
    </row>
    <row r="701" spans="7:7" x14ac:dyDescent="0.25">
      <c r="G701" s="38" t="str">
        <f t="shared" si="10"/>
        <v/>
      </c>
    </row>
    <row r="702" spans="7:7" x14ac:dyDescent="0.25">
      <c r="G702" s="38" t="str">
        <f t="shared" si="10"/>
        <v/>
      </c>
    </row>
    <row r="703" spans="7:7" x14ac:dyDescent="0.25">
      <c r="G703" s="38" t="str">
        <f t="shared" si="10"/>
        <v/>
      </c>
    </row>
    <row r="704" spans="7:7" x14ac:dyDescent="0.25">
      <c r="G704" s="38" t="str">
        <f t="shared" si="10"/>
        <v/>
      </c>
    </row>
    <row r="705" spans="7:7" x14ac:dyDescent="0.25">
      <c r="G705" s="38" t="str">
        <f t="shared" si="10"/>
        <v/>
      </c>
    </row>
    <row r="706" spans="7:7" x14ac:dyDescent="0.25">
      <c r="G706" s="38" t="str">
        <f t="shared" si="10"/>
        <v/>
      </c>
    </row>
    <row r="707" spans="7:7" x14ac:dyDescent="0.25">
      <c r="G707" s="38" t="str">
        <f t="shared" si="10"/>
        <v/>
      </c>
    </row>
    <row r="708" spans="7:7" x14ac:dyDescent="0.25">
      <c r="G708" s="38" t="str">
        <f t="shared" si="10"/>
        <v/>
      </c>
    </row>
    <row r="709" spans="7:7" x14ac:dyDescent="0.25">
      <c r="G709" s="38" t="str">
        <f t="shared" si="10"/>
        <v/>
      </c>
    </row>
    <row r="710" spans="7:7" x14ac:dyDescent="0.25">
      <c r="G710" s="38" t="str">
        <f t="shared" si="10"/>
        <v/>
      </c>
    </row>
    <row r="711" spans="7:7" x14ac:dyDescent="0.25">
      <c r="G711" s="38" t="str">
        <f t="shared" si="10"/>
        <v/>
      </c>
    </row>
    <row r="712" spans="7:7" x14ac:dyDescent="0.25">
      <c r="G712" s="38" t="str">
        <f t="shared" si="10"/>
        <v/>
      </c>
    </row>
    <row r="713" spans="7:7" x14ac:dyDescent="0.25">
      <c r="G713" s="38" t="str">
        <f t="shared" si="10"/>
        <v/>
      </c>
    </row>
    <row r="714" spans="7:7" x14ac:dyDescent="0.25">
      <c r="G714" s="38" t="str">
        <f t="shared" si="10"/>
        <v/>
      </c>
    </row>
    <row r="715" spans="7:7" x14ac:dyDescent="0.25">
      <c r="G715" s="38" t="str">
        <f t="shared" si="10"/>
        <v/>
      </c>
    </row>
    <row r="716" spans="7:7" x14ac:dyDescent="0.25">
      <c r="G716" s="38" t="str">
        <f t="shared" si="10"/>
        <v/>
      </c>
    </row>
    <row r="717" spans="7:7" x14ac:dyDescent="0.25">
      <c r="G717" s="38" t="str">
        <f t="shared" si="10"/>
        <v/>
      </c>
    </row>
    <row r="718" spans="7:7" x14ac:dyDescent="0.25">
      <c r="G718" s="38" t="str">
        <f t="shared" si="10"/>
        <v/>
      </c>
    </row>
    <row r="719" spans="7:7" x14ac:dyDescent="0.25">
      <c r="G719" s="38" t="str">
        <f t="shared" si="10"/>
        <v/>
      </c>
    </row>
    <row r="720" spans="7:7" x14ac:dyDescent="0.25">
      <c r="G720" s="38" t="str">
        <f t="shared" si="10"/>
        <v/>
      </c>
    </row>
    <row r="721" spans="7:7" x14ac:dyDescent="0.25">
      <c r="G721" s="38" t="str">
        <f t="shared" si="10"/>
        <v/>
      </c>
    </row>
    <row r="722" spans="7:7" x14ac:dyDescent="0.25">
      <c r="G722" s="38" t="str">
        <f t="shared" si="10"/>
        <v/>
      </c>
    </row>
    <row r="723" spans="7:7" x14ac:dyDescent="0.25">
      <c r="G723" s="38" t="str">
        <f t="shared" si="10"/>
        <v/>
      </c>
    </row>
    <row r="724" spans="7:7" x14ac:dyDescent="0.25">
      <c r="G724" s="38" t="str">
        <f t="shared" si="10"/>
        <v/>
      </c>
    </row>
    <row r="725" spans="7:7" x14ac:dyDescent="0.25">
      <c r="G725" s="38" t="str">
        <f t="shared" ref="G725:G788" si="11">IF(A725=0,"","Fiber")</f>
        <v/>
      </c>
    </row>
    <row r="726" spans="7:7" x14ac:dyDescent="0.25">
      <c r="G726" s="38" t="str">
        <f t="shared" si="11"/>
        <v/>
      </c>
    </row>
    <row r="727" spans="7:7" x14ac:dyDescent="0.25">
      <c r="G727" s="38" t="str">
        <f t="shared" si="11"/>
        <v/>
      </c>
    </row>
    <row r="728" spans="7:7" x14ac:dyDescent="0.25">
      <c r="G728" s="38" t="str">
        <f t="shared" si="11"/>
        <v/>
      </c>
    </row>
    <row r="729" spans="7:7" x14ac:dyDescent="0.25">
      <c r="G729" s="38" t="str">
        <f t="shared" si="11"/>
        <v/>
      </c>
    </row>
    <row r="730" spans="7:7" x14ac:dyDescent="0.25">
      <c r="G730" s="38" t="str">
        <f t="shared" si="11"/>
        <v/>
      </c>
    </row>
    <row r="731" spans="7:7" x14ac:dyDescent="0.25">
      <c r="G731" s="38" t="str">
        <f t="shared" si="11"/>
        <v/>
      </c>
    </row>
    <row r="732" spans="7:7" x14ac:dyDescent="0.25">
      <c r="G732" s="38" t="str">
        <f t="shared" si="11"/>
        <v/>
      </c>
    </row>
    <row r="733" spans="7:7" x14ac:dyDescent="0.25">
      <c r="G733" s="38" t="str">
        <f t="shared" si="11"/>
        <v/>
      </c>
    </row>
    <row r="734" spans="7:7" x14ac:dyDescent="0.25">
      <c r="G734" s="38" t="str">
        <f t="shared" si="11"/>
        <v/>
      </c>
    </row>
    <row r="735" spans="7:7" x14ac:dyDescent="0.25">
      <c r="G735" s="38" t="str">
        <f t="shared" si="11"/>
        <v/>
      </c>
    </row>
    <row r="736" spans="7:7" x14ac:dyDescent="0.25">
      <c r="G736" s="38" t="str">
        <f t="shared" si="11"/>
        <v/>
      </c>
    </row>
    <row r="737" spans="7:7" x14ac:dyDescent="0.25">
      <c r="G737" s="38" t="str">
        <f t="shared" si="11"/>
        <v/>
      </c>
    </row>
    <row r="738" spans="7:7" x14ac:dyDescent="0.25">
      <c r="G738" s="38" t="str">
        <f t="shared" si="11"/>
        <v/>
      </c>
    </row>
    <row r="739" spans="7:7" x14ac:dyDescent="0.25">
      <c r="G739" s="38" t="str">
        <f t="shared" si="11"/>
        <v/>
      </c>
    </row>
    <row r="740" spans="7:7" x14ac:dyDescent="0.25">
      <c r="G740" s="38" t="str">
        <f t="shared" si="11"/>
        <v/>
      </c>
    </row>
    <row r="741" spans="7:7" x14ac:dyDescent="0.25">
      <c r="G741" s="38" t="str">
        <f t="shared" si="11"/>
        <v/>
      </c>
    </row>
    <row r="742" spans="7:7" x14ac:dyDescent="0.25">
      <c r="G742" s="38" t="str">
        <f t="shared" si="11"/>
        <v/>
      </c>
    </row>
    <row r="743" spans="7:7" x14ac:dyDescent="0.25">
      <c r="G743" s="38" t="str">
        <f t="shared" si="11"/>
        <v/>
      </c>
    </row>
    <row r="744" spans="7:7" x14ac:dyDescent="0.25">
      <c r="G744" s="38" t="str">
        <f t="shared" si="11"/>
        <v/>
      </c>
    </row>
    <row r="745" spans="7:7" x14ac:dyDescent="0.25">
      <c r="G745" s="38" t="str">
        <f t="shared" si="11"/>
        <v/>
      </c>
    </row>
    <row r="746" spans="7:7" x14ac:dyDescent="0.25">
      <c r="G746" s="38" t="str">
        <f t="shared" si="11"/>
        <v/>
      </c>
    </row>
    <row r="747" spans="7:7" x14ac:dyDescent="0.25">
      <c r="G747" s="38" t="str">
        <f t="shared" si="11"/>
        <v/>
      </c>
    </row>
    <row r="748" spans="7:7" x14ac:dyDescent="0.25">
      <c r="G748" s="38" t="str">
        <f t="shared" si="11"/>
        <v/>
      </c>
    </row>
    <row r="749" spans="7:7" x14ac:dyDescent="0.25">
      <c r="G749" s="38" t="str">
        <f t="shared" si="11"/>
        <v/>
      </c>
    </row>
    <row r="750" spans="7:7" x14ac:dyDescent="0.25">
      <c r="G750" s="38" t="str">
        <f t="shared" si="11"/>
        <v/>
      </c>
    </row>
    <row r="751" spans="7:7" x14ac:dyDescent="0.25">
      <c r="G751" s="38" t="str">
        <f t="shared" si="11"/>
        <v/>
      </c>
    </row>
    <row r="752" spans="7:7" x14ac:dyDescent="0.25">
      <c r="G752" s="38" t="str">
        <f t="shared" si="11"/>
        <v/>
      </c>
    </row>
    <row r="753" spans="7:7" x14ac:dyDescent="0.25">
      <c r="G753" s="38" t="str">
        <f t="shared" si="11"/>
        <v/>
      </c>
    </row>
    <row r="754" spans="7:7" x14ac:dyDescent="0.25">
      <c r="G754" s="38" t="str">
        <f t="shared" si="11"/>
        <v/>
      </c>
    </row>
    <row r="755" spans="7:7" x14ac:dyDescent="0.25">
      <c r="G755" s="38" t="str">
        <f t="shared" si="11"/>
        <v/>
      </c>
    </row>
    <row r="756" spans="7:7" x14ac:dyDescent="0.25">
      <c r="G756" s="38" t="str">
        <f t="shared" si="11"/>
        <v/>
      </c>
    </row>
    <row r="757" spans="7:7" x14ac:dyDescent="0.25">
      <c r="G757" s="38" t="str">
        <f t="shared" si="11"/>
        <v/>
      </c>
    </row>
    <row r="758" spans="7:7" x14ac:dyDescent="0.25">
      <c r="G758" s="38" t="str">
        <f t="shared" si="11"/>
        <v/>
      </c>
    </row>
    <row r="759" spans="7:7" x14ac:dyDescent="0.25">
      <c r="G759" s="38" t="str">
        <f t="shared" si="11"/>
        <v/>
      </c>
    </row>
    <row r="760" spans="7:7" x14ac:dyDescent="0.25">
      <c r="G760" s="38" t="str">
        <f t="shared" si="11"/>
        <v/>
      </c>
    </row>
    <row r="761" spans="7:7" x14ac:dyDescent="0.25">
      <c r="G761" s="38" t="str">
        <f t="shared" si="11"/>
        <v/>
      </c>
    </row>
    <row r="762" spans="7:7" x14ac:dyDescent="0.25">
      <c r="G762" s="38" t="str">
        <f t="shared" si="11"/>
        <v/>
      </c>
    </row>
    <row r="763" spans="7:7" x14ac:dyDescent="0.25">
      <c r="G763" s="38" t="str">
        <f t="shared" si="11"/>
        <v/>
      </c>
    </row>
    <row r="764" spans="7:7" x14ac:dyDescent="0.25">
      <c r="G764" s="38" t="str">
        <f t="shared" si="11"/>
        <v/>
      </c>
    </row>
    <row r="765" spans="7:7" x14ac:dyDescent="0.25">
      <c r="G765" s="38" t="str">
        <f t="shared" si="11"/>
        <v/>
      </c>
    </row>
    <row r="766" spans="7:7" x14ac:dyDescent="0.25">
      <c r="G766" s="38" t="str">
        <f t="shared" si="11"/>
        <v/>
      </c>
    </row>
    <row r="767" spans="7:7" x14ac:dyDescent="0.25">
      <c r="G767" s="38" t="str">
        <f t="shared" si="11"/>
        <v/>
      </c>
    </row>
    <row r="768" spans="7:7" x14ac:dyDescent="0.25">
      <c r="G768" s="38" t="str">
        <f t="shared" si="11"/>
        <v/>
      </c>
    </row>
    <row r="769" spans="7:7" x14ac:dyDescent="0.25">
      <c r="G769" s="38" t="str">
        <f t="shared" si="11"/>
        <v/>
      </c>
    </row>
    <row r="770" spans="7:7" x14ac:dyDescent="0.25">
      <c r="G770" s="38" t="str">
        <f t="shared" si="11"/>
        <v/>
      </c>
    </row>
    <row r="771" spans="7:7" x14ac:dyDescent="0.25">
      <c r="G771" s="38" t="str">
        <f t="shared" si="11"/>
        <v/>
      </c>
    </row>
    <row r="772" spans="7:7" x14ac:dyDescent="0.25">
      <c r="G772" s="38" t="str">
        <f t="shared" si="11"/>
        <v/>
      </c>
    </row>
    <row r="773" spans="7:7" x14ac:dyDescent="0.25">
      <c r="G773" s="38" t="str">
        <f t="shared" si="11"/>
        <v/>
      </c>
    </row>
    <row r="774" spans="7:7" x14ac:dyDescent="0.25">
      <c r="G774" s="38" t="str">
        <f t="shared" si="11"/>
        <v/>
      </c>
    </row>
    <row r="775" spans="7:7" x14ac:dyDescent="0.25">
      <c r="G775" s="38" t="str">
        <f t="shared" si="11"/>
        <v/>
      </c>
    </row>
    <row r="776" spans="7:7" x14ac:dyDescent="0.25">
      <c r="G776" s="38" t="str">
        <f t="shared" si="11"/>
        <v/>
      </c>
    </row>
    <row r="777" spans="7:7" x14ac:dyDescent="0.25">
      <c r="G777" s="38" t="str">
        <f t="shared" si="11"/>
        <v/>
      </c>
    </row>
    <row r="778" spans="7:7" x14ac:dyDescent="0.25">
      <c r="G778" s="38" t="str">
        <f t="shared" si="11"/>
        <v/>
      </c>
    </row>
    <row r="779" spans="7:7" x14ac:dyDescent="0.25">
      <c r="G779" s="38" t="str">
        <f t="shared" si="11"/>
        <v/>
      </c>
    </row>
    <row r="780" spans="7:7" x14ac:dyDescent="0.25">
      <c r="G780" s="38" t="str">
        <f t="shared" si="11"/>
        <v/>
      </c>
    </row>
    <row r="781" spans="7:7" x14ac:dyDescent="0.25">
      <c r="G781" s="38" t="str">
        <f t="shared" si="11"/>
        <v/>
      </c>
    </row>
    <row r="782" spans="7:7" x14ac:dyDescent="0.25">
      <c r="G782" s="38" t="str">
        <f t="shared" si="11"/>
        <v/>
      </c>
    </row>
    <row r="783" spans="7:7" x14ac:dyDescent="0.25">
      <c r="G783" s="38" t="str">
        <f t="shared" si="11"/>
        <v/>
      </c>
    </row>
    <row r="784" spans="7:7" x14ac:dyDescent="0.25">
      <c r="G784" s="38" t="str">
        <f t="shared" si="11"/>
        <v/>
      </c>
    </row>
    <row r="785" spans="7:7" x14ac:dyDescent="0.25">
      <c r="G785" s="38" t="str">
        <f t="shared" si="11"/>
        <v/>
      </c>
    </row>
    <row r="786" spans="7:7" x14ac:dyDescent="0.25">
      <c r="G786" s="38" t="str">
        <f t="shared" si="11"/>
        <v/>
      </c>
    </row>
    <row r="787" spans="7:7" x14ac:dyDescent="0.25">
      <c r="G787" s="38" t="str">
        <f t="shared" si="11"/>
        <v/>
      </c>
    </row>
    <row r="788" spans="7:7" x14ac:dyDescent="0.25">
      <c r="G788" s="38" t="str">
        <f t="shared" si="11"/>
        <v/>
      </c>
    </row>
    <row r="789" spans="7:7" x14ac:dyDescent="0.25">
      <c r="G789" s="38" t="str">
        <f t="shared" ref="G789:G852" si="12">IF(A789=0,"","Fiber")</f>
        <v/>
      </c>
    </row>
    <row r="790" spans="7:7" x14ac:dyDescent="0.25">
      <c r="G790" s="38" t="str">
        <f t="shared" si="12"/>
        <v/>
      </c>
    </row>
    <row r="791" spans="7:7" x14ac:dyDescent="0.25">
      <c r="G791" s="38" t="str">
        <f t="shared" si="12"/>
        <v/>
      </c>
    </row>
    <row r="792" spans="7:7" x14ac:dyDescent="0.25">
      <c r="G792" s="38" t="str">
        <f t="shared" si="12"/>
        <v/>
      </c>
    </row>
    <row r="793" spans="7:7" x14ac:dyDescent="0.25">
      <c r="G793" s="38" t="str">
        <f t="shared" si="12"/>
        <v/>
      </c>
    </row>
    <row r="794" spans="7:7" x14ac:dyDescent="0.25">
      <c r="G794" s="38" t="str">
        <f t="shared" si="12"/>
        <v/>
      </c>
    </row>
    <row r="795" spans="7:7" x14ac:dyDescent="0.25">
      <c r="G795" s="38" t="str">
        <f t="shared" si="12"/>
        <v/>
      </c>
    </row>
    <row r="796" spans="7:7" x14ac:dyDescent="0.25">
      <c r="G796" s="38" t="str">
        <f t="shared" si="12"/>
        <v/>
      </c>
    </row>
    <row r="797" spans="7:7" x14ac:dyDescent="0.25">
      <c r="G797" s="38" t="str">
        <f t="shared" si="12"/>
        <v/>
      </c>
    </row>
    <row r="798" spans="7:7" x14ac:dyDescent="0.25">
      <c r="G798" s="38" t="str">
        <f t="shared" si="12"/>
        <v/>
      </c>
    </row>
    <row r="799" spans="7:7" x14ac:dyDescent="0.25">
      <c r="G799" s="38" t="str">
        <f t="shared" si="12"/>
        <v/>
      </c>
    </row>
    <row r="800" spans="7:7" x14ac:dyDescent="0.25">
      <c r="G800" s="38" t="str">
        <f t="shared" si="12"/>
        <v/>
      </c>
    </row>
    <row r="801" spans="7:7" x14ac:dyDescent="0.25">
      <c r="G801" s="38" t="str">
        <f t="shared" si="12"/>
        <v/>
      </c>
    </row>
    <row r="802" spans="7:7" x14ac:dyDescent="0.25">
      <c r="G802" s="38" t="str">
        <f t="shared" si="12"/>
        <v/>
      </c>
    </row>
    <row r="803" spans="7:7" x14ac:dyDescent="0.25">
      <c r="G803" s="38" t="str">
        <f t="shared" si="12"/>
        <v/>
      </c>
    </row>
    <row r="804" spans="7:7" x14ac:dyDescent="0.25">
      <c r="G804" s="38" t="str">
        <f t="shared" si="12"/>
        <v/>
      </c>
    </row>
    <row r="805" spans="7:7" x14ac:dyDescent="0.25">
      <c r="G805" s="38" t="str">
        <f t="shared" si="12"/>
        <v/>
      </c>
    </row>
    <row r="806" spans="7:7" x14ac:dyDescent="0.25">
      <c r="G806" s="38" t="str">
        <f t="shared" si="12"/>
        <v/>
      </c>
    </row>
    <row r="807" spans="7:7" x14ac:dyDescent="0.25">
      <c r="G807" s="38" t="str">
        <f t="shared" si="12"/>
        <v/>
      </c>
    </row>
    <row r="808" spans="7:7" x14ac:dyDescent="0.25">
      <c r="G808" s="38" t="str">
        <f t="shared" si="12"/>
        <v/>
      </c>
    </row>
    <row r="809" spans="7:7" x14ac:dyDescent="0.25">
      <c r="G809" s="38" t="str">
        <f t="shared" si="12"/>
        <v/>
      </c>
    </row>
    <row r="810" spans="7:7" x14ac:dyDescent="0.25">
      <c r="G810" s="38" t="str">
        <f t="shared" si="12"/>
        <v/>
      </c>
    </row>
    <row r="811" spans="7:7" x14ac:dyDescent="0.25">
      <c r="G811" s="38" t="str">
        <f t="shared" si="12"/>
        <v/>
      </c>
    </row>
    <row r="812" spans="7:7" x14ac:dyDescent="0.25">
      <c r="G812" s="38" t="str">
        <f t="shared" si="12"/>
        <v/>
      </c>
    </row>
    <row r="813" spans="7:7" x14ac:dyDescent="0.25">
      <c r="G813" s="38" t="str">
        <f t="shared" si="12"/>
        <v/>
      </c>
    </row>
    <row r="814" spans="7:7" x14ac:dyDescent="0.25">
      <c r="G814" s="38" t="str">
        <f t="shared" si="12"/>
        <v/>
      </c>
    </row>
    <row r="815" spans="7:7" x14ac:dyDescent="0.25">
      <c r="G815" s="38" t="str">
        <f t="shared" si="12"/>
        <v/>
      </c>
    </row>
    <row r="816" spans="7:7" x14ac:dyDescent="0.25">
      <c r="G816" s="38" t="str">
        <f t="shared" si="12"/>
        <v/>
      </c>
    </row>
    <row r="817" spans="7:7" x14ac:dyDescent="0.25">
      <c r="G817" s="38" t="str">
        <f t="shared" si="12"/>
        <v/>
      </c>
    </row>
    <row r="818" spans="7:7" x14ac:dyDescent="0.25">
      <c r="G818" s="38" t="str">
        <f t="shared" si="12"/>
        <v/>
      </c>
    </row>
    <row r="819" spans="7:7" x14ac:dyDescent="0.25">
      <c r="G819" s="38" t="str">
        <f t="shared" si="12"/>
        <v/>
      </c>
    </row>
    <row r="820" spans="7:7" x14ac:dyDescent="0.25">
      <c r="G820" s="38" t="str">
        <f t="shared" si="12"/>
        <v/>
      </c>
    </row>
    <row r="821" spans="7:7" x14ac:dyDescent="0.25">
      <c r="G821" s="38" t="str">
        <f t="shared" si="12"/>
        <v/>
      </c>
    </row>
    <row r="822" spans="7:7" x14ac:dyDescent="0.25">
      <c r="G822" s="38" t="str">
        <f t="shared" si="12"/>
        <v/>
      </c>
    </row>
    <row r="823" spans="7:7" x14ac:dyDescent="0.25">
      <c r="G823" s="38" t="str">
        <f t="shared" si="12"/>
        <v/>
      </c>
    </row>
    <row r="824" spans="7:7" x14ac:dyDescent="0.25">
      <c r="G824" s="38" t="str">
        <f t="shared" si="12"/>
        <v/>
      </c>
    </row>
    <row r="825" spans="7:7" x14ac:dyDescent="0.25">
      <c r="G825" s="38" t="str">
        <f t="shared" si="12"/>
        <v/>
      </c>
    </row>
    <row r="826" spans="7:7" x14ac:dyDescent="0.25">
      <c r="G826" s="38" t="str">
        <f t="shared" si="12"/>
        <v/>
      </c>
    </row>
    <row r="827" spans="7:7" x14ac:dyDescent="0.25">
      <c r="G827" s="38" t="str">
        <f t="shared" si="12"/>
        <v/>
      </c>
    </row>
    <row r="828" spans="7:7" x14ac:dyDescent="0.25">
      <c r="G828" s="38" t="str">
        <f t="shared" si="12"/>
        <v/>
      </c>
    </row>
    <row r="829" spans="7:7" x14ac:dyDescent="0.25">
      <c r="G829" s="38" t="str">
        <f t="shared" si="12"/>
        <v/>
      </c>
    </row>
    <row r="830" spans="7:7" x14ac:dyDescent="0.25">
      <c r="G830" s="38" t="str">
        <f t="shared" si="12"/>
        <v/>
      </c>
    </row>
    <row r="831" spans="7:7" x14ac:dyDescent="0.25">
      <c r="G831" s="38" t="str">
        <f t="shared" si="12"/>
        <v/>
      </c>
    </row>
    <row r="832" spans="7:7" x14ac:dyDescent="0.25">
      <c r="G832" s="38" t="str">
        <f t="shared" si="12"/>
        <v/>
      </c>
    </row>
    <row r="833" spans="7:7" x14ac:dyDescent="0.25">
      <c r="G833" s="38" t="str">
        <f t="shared" si="12"/>
        <v/>
      </c>
    </row>
    <row r="834" spans="7:7" x14ac:dyDescent="0.25">
      <c r="G834" s="38" t="str">
        <f t="shared" si="12"/>
        <v/>
      </c>
    </row>
    <row r="835" spans="7:7" x14ac:dyDescent="0.25">
      <c r="G835" s="38" t="str">
        <f t="shared" si="12"/>
        <v/>
      </c>
    </row>
    <row r="836" spans="7:7" x14ac:dyDescent="0.25">
      <c r="G836" s="38" t="str">
        <f t="shared" si="12"/>
        <v/>
      </c>
    </row>
    <row r="837" spans="7:7" x14ac:dyDescent="0.25">
      <c r="G837" s="38" t="str">
        <f t="shared" si="12"/>
        <v/>
      </c>
    </row>
    <row r="838" spans="7:7" x14ac:dyDescent="0.25">
      <c r="G838" s="38" t="str">
        <f t="shared" si="12"/>
        <v/>
      </c>
    </row>
    <row r="839" spans="7:7" x14ac:dyDescent="0.25">
      <c r="G839" s="38" t="str">
        <f t="shared" si="12"/>
        <v/>
      </c>
    </row>
    <row r="840" spans="7:7" x14ac:dyDescent="0.25">
      <c r="G840" s="38" t="str">
        <f t="shared" si="12"/>
        <v/>
      </c>
    </row>
    <row r="841" spans="7:7" x14ac:dyDescent="0.25">
      <c r="G841" s="38" t="str">
        <f t="shared" si="12"/>
        <v/>
      </c>
    </row>
    <row r="842" spans="7:7" x14ac:dyDescent="0.25">
      <c r="G842" s="38" t="str">
        <f t="shared" si="12"/>
        <v/>
      </c>
    </row>
    <row r="843" spans="7:7" x14ac:dyDescent="0.25">
      <c r="G843" s="38" t="str">
        <f t="shared" si="12"/>
        <v/>
      </c>
    </row>
    <row r="844" spans="7:7" x14ac:dyDescent="0.25">
      <c r="G844" s="38" t="str">
        <f t="shared" si="12"/>
        <v/>
      </c>
    </row>
    <row r="845" spans="7:7" x14ac:dyDescent="0.25">
      <c r="G845" s="38" t="str">
        <f t="shared" si="12"/>
        <v/>
      </c>
    </row>
    <row r="846" spans="7:7" x14ac:dyDescent="0.25">
      <c r="G846" s="38" t="str">
        <f t="shared" si="12"/>
        <v/>
      </c>
    </row>
    <row r="847" spans="7:7" x14ac:dyDescent="0.25">
      <c r="G847" s="38" t="str">
        <f t="shared" si="12"/>
        <v/>
      </c>
    </row>
    <row r="848" spans="7:7" x14ac:dyDescent="0.25">
      <c r="G848" s="38" t="str">
        <f t="shared" si="12"/>
        <v/>
      </c>
    </row>
    <row r="849" spans="7:7" x14ac:dyDescent="0.25">
      <c r="G849" s="38" t="str">
        <f t="shared" si="12"/>
        <v/>
      </c>
    </row>
    <row r="850" spans="7:7" x14ac:dyDescent="0.25">
      <c r="G850" s="38" t="str">
        <f t="shared" si="12"/>
        <v/>
      </c>
    </row>
    <row r="851" spans="7:7" x14ac:dyDescent="0.25">
      <c r="G851" s="38" t="str">
        <f t="shared" si="12"/>
        <v/>
      </c>
    </row>
    <row r="852" spans="7:7" x14ac:dyDescent="0.25">
      <c r="G852" s="38" t="str">
        <f t="shared" si="12"/>
        <v/>
      </c>
    </row>
    <row r="853" spans="7:7" x14ac:dyDescent="0.25">
      <c r="G853" s="38" t="str">
        <f t="shared" ref="G853:G916" si="13">IF(A853=0,"","Fiber")</f>
        <v/>
      </c>
    </row>
    <row r="854" spans="7:7" x14ac:dyDescent="0.25">
      <c r="G854" s="38" t="str">
        <f t="shared" si="13"/>
        <v/>
      </c>
    </row>
    <row r="855" spans="7:7" x14ac:dyDescent="0.25">
      <c r="G855" s="38" t="str">
        <f t="shared" si="13"/>
        <v/>
      </c>
    </row>
    <row r="856" spans="7:7" x14ac:dyDescent="0.25">
      <c r="G856" s="38" t="str">
        <f t="shared" si="13"/>
        <v/>
      </c>
    </row>
    <row r="857" spans="7:7" x14ac:dyDescent="0.25">
      <c r="G857" s="38" t="str">
        <f t="shared" si="13"/>
        <v/>
      </c>
    </row>
    <row r="858" spans="7:7" x14ac:dyDescent="0.25">
      <c r="G858" s="38" t="str">
        <f t="shared" si="13"/>
        <v/>
      </c>
    </row>
    <row r="859" spans="7:7" x14ac:dyDescent="0.25">
      <c r="G859" s="38" t="str">
        <f t="shared" si="13"/>
        <v/>
      </c>
    </row>
    <row r="860" spans="7:7" x14ac:dyDescent="0.25">
      <c r="G860" s="38" t="str">
        <f t="shared" si="13"/>
        <v/>
      </c>
    </row>
    <row r="861" spans="7:7" x14ac:dyDescent="0.25">
      <c r="G861" s="38" t="str">
        <f t="shared" si="13"/>
        <v/>
      </c>
    </row>
    <row r="862" spans="7:7" x14ac:dyDescent="0.25">
      <c r="G862" s="38" t="str">
        <f t="shared" si="13"/>
        <v/>
      </c>
    </row>
    <row r="863" spans="7:7" x14ac:dyDescent="0.25">
      <c r="G863" s="38" t="str">
        <f t="shared" si="13"/>
        <v/>
      </c>
    </row>
    <row r="864" spans="7:7" x14ac:dyDescent="0.25">
      <c r="G864" s="38" t="str">
        <f t="shared" si="13"/>
        <v/>
      </c>
    </row>
    <row r="865" spans="7:7" x14ac:dyDescent="0.25">
      <c r="G865" s="38" t="str">
        <f t="shared" si="13"/>
        <v/>
      </c>
    </row>
    <row r="866" spans="7:7" x14ac:dyDescent="0.25">
      <c r="G866" s="38" t="str">
        <f t="shared" si="13"/>
        <v/>
      </c>
    </row>
    <row r="867" spans="7:7" x14ac:dyDescent="0.25">
      <c r="G867" s="38" t="str">
        <f t="shared" si="13"/>
        <v/>
      </c>
    </row>
    <row r="868" spans="7:7" x14ac:dyDescent="0.25">
      <c r="G868" s="38" t="str">
        <f t="shared" si="13"/>
        <v/>
      </c>
    </row>
    <row r="869" spans="7:7" x14ac:dyDescent="0.25">
      <c r="G869" s="38" t="str">
        <f t="shared" si="13"/>
        <v/>
      </c>
    </row>
    <row r="870" spans="7:7" x14ac:dyDescent="0.25">
      <c r="G870" s="38" t="str">
        <f t="shared" si="13"/>
        <v/>
      </c>
    </row>
    <row r="871" spans="7:7" x14ac:dyDescent="0.25">
      <c r="G871" s="38" t="str">
        <f t="shared" si="13"/>
        <v/>
      </c>
    </row>
    <row r="872" spans="7:7" x14ac:dyDescent="0.25">
      <c r="G872" s="38" t="str">
        <f t="shared" si="13"/>
        <v/>
      </c>
    </row>
    <row r="873" spans="7:7" x14ac:dyDescent="0.25">
      <c r="G873" s="38" t="str">
        <f t="shared" si="13"/>
        <v/>
      </c>
    </row>
    <row r="874" spans="7:7" x14ac:dyDescent="0.25">
      <c r="G874" s="38" t="str">
        <f t="shared" si="13"/>
        <v/>
      </c>
    </row>
    <row r="875" spans="7:7" x14ac:dyDescent="0.25">
      <c r="G875" s="38" t="str">
        <f t="shared" si="13"/>
        <v/>
      </c>
    </row>
    <row r="876" spans="7:7" x14ac:dyDescent="0.25">
      <c r="G876" s="38" t="str">
        <f t="shared" si="13"/>
        <v/>
      </c>
    </row>
    <row r="877" spans="7:7" x14ac:dyDescent="0.25">
      <c r="G877" s="38" t="str">
        <f t="shared" si="13"/>
        <v/>
      </c>
    </row>
    <row r="878" spans="7:7" x14ac:dyDescent="0.25">
      <c r="G878" s="38" t="str">
        <f t="shared" si="13"/>
        <v/>
      </c>
    </row>
    <row r="879" spans="7:7" x14ac:dyDescent="0.25">
      <c r="G879" s="38" t="str">
        <f t="shared" si="13"/>
        <v/>
      </c>
    </row>
    <row r="880" spans="7:7" x14ac:dyDescent="0.25">
      <c r="G880" s="38" t="str">
        <f t="shared" si="13"/>
        <v/>
      </c>
    </row>
    <row r="881" spans="7:7" x14ac:dyDescent="0.25">
      <c r="G881" s="38" t="str">
        <f t="shared" si="13"/>
        <v/>
      </c>
    </row>
    <row r="882" spans="7:7" x14ac:dyDescent="0.25">
      <c r="G882" s="38" t="str">
        <f t="shared" si="13"/>
        <v/>
      </c>
    </row>
    <row r="883" spans="7:7" x14ac:dyDescent="0.25">
      <c r="G883" s="38" t="str">
        <f t="shared" si="13"/>
        <v/>
      </c>
    </row>
    <row r="884" spans="7:7" x14ac:dyDescent="0.25">
      <c r="G884" s="38" t="str">
        <f t="shared" si="13"/>
        <v/>
      </c>
    </row>
    <row r="885" spans="7:7" x14ac:dyDescent="0.25">
      <c r="G885" s="38" t="str">
        <f t="shared" si="13"/>
        <v/>
      </c>
    </row>
    <row r="886" spans="7:7" x14ac:dyDescent="0.25">
      <c r="G886" s="38" t="str">
        <f t="shared" si="13"/>
        <v/>
      </c>
    </row>
    <row r="887" spans="7:7" x14ac:dyDescent="0.25">
      <c r="G887" s="38" t="str">
        <f t="shared" si="13"/>
        <v/>
      </c>
    </row>
    <row r="888" spans="7:7" x14ac:dyDescent="0.25">
      <c r="G888" s="38" t="str">
        <f t="shared" si="13"/>
        <v/>
      </c>
    </row>
    <row r="889" spans="7:7" x14ac:dyDescent="0.25">
      <c r="G889" s="38" t="str">
        <f t="shared" si="13"/>
        <v/>
      </c>
    </row>
    <row r="890" spans="7:7" x14ac:dyDescent="0.25">
      <c r="G890" s="38" t="str">
        <f t="shared" si="13"/>
        <v/>
      </c>
    </row>
    <row r="891" spans="7:7" x14ac:dyDescent="0.25">
      <c r="G891" s="38" t="str">
        <f t="shared" si="13"/>
        <v/>
      </c>
    </row>
    <row r="892" spans="7:7" x14ac:dyDescent="0.25">
      <c r="G892" s="38" t="str">
        <f t="shared" si="13"/>
        <v/>
      </c>
    </row>
    <row r="893" spans="7:7" x14ac:dyDescent="0.25">
      <c r="G893" s="38" t="str">
        <f t="shared" si="13"/>
        <v/>
      </c>
    </row>
    <row r="894" spans="7:7" x14ac:dyDescent="0.25">
      <c r="G894" s="38" t="str">
        <f t="shared" si="13"/>
        <v/>
      </c>
    </row>
    <row r="895" spans="7:7" x14ac:dyDescent="0.25">
      <c r="G895" s="38" t="str">
        <f t="shared" si="13"/>
        <v/>
      </c>
    </row>
    <row r="896" spans="7:7" x14ac:dyDescent="0.25">
      <c r="G896" s="38" t="str">
        <f t="shared" si="13"/>
        <v/>
      </c>
    </row>
    <row r="897" spans="7:7" x14ac:dyDescent="0.25">
      <c r="G897" s="38" t="str">
        <f t="shared" si="13"/>
        <v/>
      </c>
    </row>
    <row r="898" spans="7:7" x14ac:dyDescent="0.25">
      <c r="G898" s="38" t="str">
        <f t="shared" si="13"/>
        <v/>
      </c>
    </row>
    <row r="899" spans="7:7" x14ac:dyDescent="0.25">
      <c r="G899" s="38" t="str">
        <f t="shared" si="13"/>
        <v/>
      </c>
    </row>
    <row r="900" spans="7:7" x14ac:dyDescent="0.25">
      <c r="G900" s="38" t="str">
        <f t="shared" si="13"/>
        <v/>
      </c>
    </row>
    <row r="901" spans="7:7" x14ac:dyDescent="0.25">
      <c r="G901" s="38" t="str">
        <f t="shared" si="13"/>
        <v/>
      </c>
    </row>
    <row r="902" spans="7:7" x14ac:dyDescent="0.25">
      <c r="G902" s="38" t="str">
        <f t="shared" si="13"/>
        <v/>
      </c>
    </row>
    <row r="903" spans="7:7" x14ac:dyDescent="0.25">
      <c r="G903" s="38" t="str">
        <f t="shared" si="13"/>
        <v/>
      </c>
    </row>
    <row r="904" spans="7:7" x14ac:dyDescent="0.25">
      <c r="G904" s="38" t="str">
        <f t="shared" si="13"/>
        <v/>
      </c>
    </row>
    <row r="905" spans="7:7" x14ac:dyDescent="0.25">
      <c r="G905" s="38" t="str">
        <f t="shared" si="13"/>
        <v/>
      </c>
    </row>
    <row r="906" spans="7:7" x14ac:dyDescent="0.25">
      <c r="G906" s="38" t="str">
        <f t="shared" si="13"/>
        <v/>
      </c>
    </row>
    <row r="907" spans="7:7" x14ac:dyDescent="0.25">
      <c r="G907" s="38" t="str">
        <f t="shared" si="13"/>
        <v/>
      </c>
    </row>
    <row r="908" spans="7:7" x14ac:dyDescent="0.25">
      <c r="G908" s="38" t="str">
        <f t="shared" si="13"/>
        <v/>
      </c>
    </row>
    <row r="909" spans="7:7" x14ac:dyDescent="0.25">
      <c r="G909" s="38" t="str">
        <f t="shared" si="13"/>
        <v/>
      </c>
    </row>
    <row r="910" spans="7:7" x14ac:dyDescent="0.25">
      <c r="G910" s="38" t="str">
        <f t="shared" si="13"/>
        <v/>
      </c>
    </row>
    <row r="911" spans="7:7" x14ac:dyDescent="0.25">
      <c r="G911" s="38" t="str">
        <f t="shared" si="13"/>
        <v/>
      </c>
    </row>
    <row r="912" spans="7:7" x14ac:dyDescent="0.25">
      <c r="G912" s="38" t="str">
        <f t="shared" si="13"/>
        <v/>
      </c>
    </row>
    <row r="913" spans="7:7" x14ac:dyDescent="0.25">
      <c r="G913" s="38" t="str">
        <f t="shared" si="13"/>
        <v/>
      </c>
    </row>
    <row r="914" spans="7:7" x14ac:dyDescent="0.25">
      <c r="G914" s="38" t="str">
        <f t="shared" si="13"/>
        <v/>
      </c>
    </row>
    <row r="915" spans="7:7" x14ac:dyDescent="0.25">
      <c r="G915" s="38" t="str">
        <f t="shared" si="13"/>
        <v/>
      </c>
    </row>
    <row r="916" spans="7:7" x14ac:dyDescent="0.25">
      <c r="G916" s="38" t="str">
        <f t="shared" si="13"/>
        <v/>
      </c>
    </row>
    <row r="917" spans="7:7" x14ac:dyDescent="0.25">
      <c r="G917" s="38" t="str">
        <f t="shared" ref="G917:G980" si="14">IF(A917=0,"","Fiber")</f>
        <v/>
      </c>
    </row>
    <row r="918" spans="7:7" x14ac:dyDescent="0.25">
      <c r="G918" s="38" t="str">
        <f t="shared" si="14"/>
        <v/>
      </c>
    </row>
    <row r="919" spans="7:7" x14ac:dyDescent="0.25">
      <c r="G919" s="38" t="str">
        <f t="shared" si="14"/>
        <v/>
      </c>
    </row>
    <row r="920" spans="7:7" x14ac:dyDescent="0.25">
      <c r="G920" s="38" t="str">
        <f t="shared" si="14"/>
        <v/>
      </c>
    </row>
    <row r="921" spans="7:7" x14ac:dyDescent="0.25">
      <c r="G921" s="38" t="str">
        <f t="shared" si="14"/>
        <v/>
      </c>
    </row>
    <row r="922" spans="7:7" x14ac:dyDescent="0.25">
      <c r="G922" s="38" t="str">
        <f t="shared" si="14"/>
        <v/>
      </c>
    </row>
    <row r="923" spans="7:7" x14ac:dyDescent="0.25">
      <c r="G923" s="38" t="str">
        <f t="shared" si="14"/>
        <v/>
      </c>
    </row>
    <row r="924" spans="7:7" x14ac:dyDescent="0.25">
      <c r="G924" s="38" t="str">
        <f t="shared" si="14"/>
        <v/>
      </c>
    </row>
    <row r="925" spans="7:7" x14ac:dyDescent="0.25">
      <c r="G925" s="38" t="str">
        <f t="shared" si="14"/>
        <v/>
      </c>
    </row>
    <row r="926" spans="7:7" x14ac:dyDescent="0.25">
      <c r="G926" s="38" t="str">
        <f t="shared" si="14"/>
        <v/>
      </c>
    </row>
    <row r="927" spans="7:7" x14ac:dyDescent="0.25">
      <c r="G927" s="38" t="str">
        <f t="shared" si="14"/>
        <v/>
      </c>
    </row>
    <row r="928" spans="7:7" x14ac:dyDescent="0.25">
      <c r="G928" s="38" t="str">
        <f t="shared" si="14"/>
        <v/>
      </c>
    </row>
    <row r="929" spans="7:7" x14ac:dyDescent="0.25">
      <c r="G929" s="38" t="str">
        <f t="shared" si="14"/>
        <v/>
      </c>
    </row>
    <row r="930" spans="7:7" x14ac:dyDescent="0.25">
      <c r="G930" s="38" t="str">
        <f t="shared" si="14"/>
        <v/>
      </c>
    </row>
    <row r="931" spans="7:7" x14ac:dyDescent="0.25">
      <c r="G931" s="38" t="str">
        <f t="shared" si="14"/>
        <v/>
      </c>
    </row>
    <row r="932" spans="7:7" x14ac:dyDescent="0.25">
      <c r="G932" s="38" t="str">
        <f t="shared" si="14"/>
        <v/>
      </c>
    </row>
    <row r="933" spans="7:7" x14ac:dyDescent="0.25">
      <c r="G933" s="38" t="str">
        <f t="shared" si="14"/>
        <v/>
      </c>
    </row>
    <row r="934" spans="7:7" x14ac:dyDescent="0.25">
      <c r="G934" s="38" t="str">
        <f t="shared" si="14"/>
        <v/>
      </c>
    </row>
    <row r="935" spans="7:7" x14ac:dyDescent="0.25">
      <c r="G935" s="38" t="str">
        <f t="shared" si="14"/>
        <v/>
      </c>
    </row>
    <row r="936" spans="7:7" x14ac:dyDescent="0.25">
      <c r="G936" s="38" t="str">
        <f t="shared" si="14"/>
        <v/>
      </c>
    </row>
    <row r="937" spans="7:7" x14ac:dyDescent="0.25">
      <c r="G937" s="38" t="str">
        <f t="shared" si="14"/>
        <v/>
      </c>
    </row>
    <row r="938" spans="7:7" x14ac:dyDescent="0.25">
      <c r="G938" s="38" t="str">
        <f t="shared" si="14"/>
        <v/>
      </c>
    </row>
    <row r="939" spans="7:7" x14ac:dyDescent="0.25">
      <c r="G939" s="38" t="str">
        <f t="shared" si="14"/>
        <v/>
      </c>
    </row>
    <row r="940" spans="7:7" x14ac:dyDescent="0.25">
      <c r="G940" s="38" t="str">
        <f t="shared" si="14"/>
        <v/>
      </c>
    </row>
    <row r="941" spans="7:7" x14ac:dyDescent="0.25">
      <c r="G941" s="38" t="str">
        <f t="shared" si="14"/>
        <v/>
      </c>
    </row>
    <row r="942" spans="7:7" x14ac:dyDescent="0.25">
      <c r="G942" s="38" t="str">
        <f t="shared" si="14"/>
        <v/>
      </c>
    </row>
    <row r="943" spans="7:7" x14ac:dyDescent="0.25">
      <c r="G943" s="38" t="str">
        <f t="shared" si="14"/>
        <v/>
      </c>
    </row>
    <row r="944" spans="7:7" x14ac:dyDescent="0.25">
      <c r="G944" s="38" t="str">
        <f t="shared" si="14"/>
        <v/>
      </c>
    </row>
    <row r="945" spans="7:7" x14ac:dyDescent="0.25">
      <c r="G945" s="38" t="str">
        <f t="shared" si="14"/>
        <v/>
      </c>
    </row>
    <row r="946" spans="7:7" x14ac:dyDescent="0.25">
      <c r="G946" s="38" t="str">
        <f t="shared" si="14"/>
        <v/>
      </c>
    </row>
    <row r="947" spans="7:7" x14ac:dyDescent="0.25">
      <c r="G947" s="38" t="str">
        <f t="shared" si="14"/>
        <v/>
      </c>
    </row>
    <row r="948" spans="7:7" x14ac:dyDescent="0.25">
      <c r="G948" s="38" t="str">
        <f t="shared" si="14"/>
        <v/>
      </c>
    </row>
    <row r="949" spans="7:7" x14ac:dyDescent="0.25">
      <c r="G949" s="38" t="str">
        <f t="shared" si="14"/>
        <v/>
      </c>
    </row>
    <row r="950" spans="7:7" x14ac:dyDescent="0.25">
      <c r="G950" s="38" t="str">
        <f t="shared" si="14"/>
        <v/>
      </c>
    </row>
    <row r="951" spans="7:7" x14ac:dyDescent="0.25">
      <c r="G951" s="38" t="str">
        <f t="shared" si="14"/>
        <v/>
      </c>
    </row>
    <row r="952" spans="7:7" x14ac:dyDescent="0.25">
      <c r="G952" s="38" t="str">
        <f t="shared" si="14"/>
        <v/>
      </c>
    </row>
    <row r="953" spans="7:7" x14ac:dyDescent="0.25">
      <c r="G953" s="38" t="str">
        <f t="shared" si="14"/>
        <v/>
      </c>
    </row>
    <row r="954" spans="7:7" x14ac:dyDescent="0.25">
      <c r="G954" s="38" t="str">
        <f t="shared" si="14"/>
        <v/>
      </c>
    </row>
    <row r="955" spans="7:7" x14ac:dyDescent="0.25">
      <c r="G955" s="38" t="str">
        <f t="shared" si="14"/>
        <v/>
      </c>
    </row>
    <row r="956" spans="7:7" x14ac:dyDescent="0.25">
      <c r="G956" s="38" t="str">
        <f t="shared" si="14"/>
        <v/>
      </c>
    </row>
    <row r="957" spans="7:7" x14ac:dyDescent="0.25">
      <c r="G957" s="38" t="str">
        <f t="shared" si="14"/>
        <v/>
      </c>
    </row>
    <row r="958" spans="7:7" x14ac:dyDescent="0.25">
      <c r="G958" s="38" t="str">
        <f t="shared" si="14"/>
        <v/>
      </c>
    </row>
    <row r="959" spans="7:7" x14ac:dyDescent="0.25">
      <c r="G959" s="38" t="str">
        <f t="shared" si="14"/>
        <v/>
      </c>
    </row>
    <row r="960" spans="7:7" x14ac:dyDescent="0.25">
      <c r="G960" s="38" t="str">
        <f t="shared" si="14"/>
        <v/>
      </c>
    </row>
    <row r="961" spans="7:7" x14ac:dyDescent="0.25">
      <c r="G961" s="38" t="str">
        <f t="shared" si="14"/>
        <v/>
      </c>
    </row>
    <row r="962" spans="7:7" x14ac:dyDescent="0.25">
      <c r="G962" s="38" t="str">
        <f t="shared" si="14"/>
        <v/>
      </c>
    </row>
    <row r="963" spans="7:7" x14ac:dyDescent="0.25">
      <c r="G963" s="38" t="str">
        <f t="shared" si="14"/>
        <v/>
      </c>
    </row>
    <row r="964" spans="7:7" x14ac:dyDescent="0.25">
      <c r="G964" s="38" t="str">
        <f t="shared" si="14"/>
        <v/>
      </c>
    </row>
    <row r="965" spans="7:7" x14ac:dyDescent="0.25">
      <c r="G965" s="38" t="str">
        <f t="shared" si="14"/>
        <v/>
      </c>
    </row>
    <row r="966" spans="7:7" x14ac:dyDescent="0.25">
      <c r="G966" s="38" t="str">
        <f t="shared" si="14"/>
        <v/>
      </c>
    </row>
    <row r="967" spans="7:7" x14ac:dyDescent="0.25">
      <c r="G967" s="38" t="str">
        <f t="shared" si="14"/>
        <v/>
      </c>
    </row>
    <row r="968" spans="7:7" x14ac:dyDescent="0.25">
      <c r="G968" s="38" t="str">
        <f t="shared" si="14"/>
        <v/>
      </c>
    </row>
    <row r="969" spans="7:7" x14ac:dyDescent="0.25">
      <c r="G969" s="38" t="str">
        <f t="shared" si="14"/>
        <v/>
      </c>
    </row>
    <row r="970" spans="7:7" x14ac:dyDescent="0.25">
      <c r="G970" s="38" t="str">
        <f t="shared" si="14"/>
        <v/>
      </c>
    </row>
    <row r="971" spans="7:7" x14ac:dyDescent="0.25">
      <c r="G971" s="38" t="str">
        <f t="shared" si="14"/>
        <v/>
      </c>
    </row>
    <row r="972" spans="7:7" x14ac:dyDescent="0.25">
      <c r="G972" s="38" t="str">
        <f t="shared" si="14"/>
        <v/>
      </c>
    </row>
    <row r="973" spans="7:7" x14ac:dyDescent="0.25">
      <c r="G973" s="38" t="str">
        <f t="shared" si="14"/>
        <v/>
      </c>
    </row>
    <row r="974" spans="7:7" x14ac:dyDescent="0.25">
      <c r="G974" s="38" t="str">
        <f t="shared" si="14"/>
        <v/>
      </c>
    </row>
    <row r="975" spans="7:7" x14ac:dyDescent="0.25">
      <c r="G975" s="38" t="str">
        <f t="shared" si="14"/>
        <v/>
      </c>
    </row>
    <row r="976" spans="7:7" x14ac:dyDescent="0.25">
      <c r="G976" s="38" t="str">
        <f t="shared" si="14"/>
        <v/>
      </c>
    </row>
    <row r="977" spans="7:7" x14ac:dyDescent="0.25">
      <c r="G977" s="38" t="str">
        <f t="shared" si="14"/>
        <v/>
      </c>
    </row>
    <row r="978" spans="7:7" x14ac:dyDescent="0.25">
      <c r="G978" s="38" t="str">
        <f t="shared" si="14"/>
        <v/>
      </c>
    </row>
    <row r="979" spans="7:7" x14ac:dyDescent="0.25">
      <c r="G979" s="38" t="str">
        <f t="shared" si="14"/>
        <v/>
      </c>
    </row>
    <row r="980" spans="7:7" x14ac:dyDescent="0.25">
      <c r="G980" s="38" t="str">
        <f t="shared" si="14"/>
        <v/>
      </c>
    </row>
    <row r="981" spans="7:7" x14ac:dyDescent="0.25">
      <c r="G981" s="38" t="str">
        <f t="shared" ref="G981:G1020" si="15">IF(A981=0,"","Fiber")</f>
        <v/>
      </c>
    </row>
    <row r="982" spans="7:7" x14ac:dyDescent="0.25">
      <c r="G982" s="38" t="str">
        <f t="shared" si="15"/>
        <v/>
      </c>
    </row>
    <row r="983" spans="7:7" x14ac:dyDescent="0.25">
      <c r="G983" s="38" t="str">
        <f t="shared" si="15"/>
        <v/>
      </c>
    </row>
    <row r="984" spans="7:7" x14ac:dyDescent="0.25">
      <c r="G984" s="38" t="str">
        <f t="shared" si="15"/>
        <v/>
      </c>
    </row>
    <row r="985" spans="7:7" x14ac:dyDescent="0.25">
      <c r="G985" s="38" t="str">
        <f t="shared" si="15"/>
        <v/>
      </c>
    </row>
    <row r="986" spans="7:7" x14ac:dyDescent="0.25">
      <c r="G986" s="38" t="str">
        <f t="shared" si="15"/>
        <v/>
      </c>
    </row>
    <row r="987" spans="7:7" x14ac:dyDescent="0.25">
      <c r="G987" s="38" t="str">
        <f t="shared" si="15"/>
        <v/>
      </c>
    </row>
    <row r="988" spans="7:7" x14ac:dyDescent="0.25">
      <c r="G988" s="38" t="str">
        <f t="shared" si="15"/>
        <v/>
      </c>
    </row>
    <row r="989" spans="7:7" x14ac:dyDescent="0.25">
      <c r="G989" s="38" t="str">
        <f t="shared" si="15"/>
        <v/>
      </c>
    </row>
    <row r="990" spans="7:7" x14ac:dyDescent="0.25">
      <c r="G990" s="38" t="str">
        <f t="shared" si="15"/>
        <v/>
      </c>
    </row>
    <row r="991" spans="7:7" x14ac:dyDescent="0.25">
      <c r="G991" s="38" t="str">
        <f t="shared" si="15"/>
        <v/>
      </c>
    </row>
    <row r="992" spans="7:7" x14ac:dyDescent="0.25">
      <c r="G992" s="38" t="str">
        <f t="shared" si="15"/>
        <v/>
      </c>
    </row>
    <row r="993" spans="7:7" x14ac:dyDescent="0.25">
      <c r="G993" s="38" t="str">
        <f t="shared" si="15"/>
        <v/>
      </c>
    </row>
    <row r="994" spans="7:7" x14ac:dyDescent="0.25">
      <c r="G994" s="38" t="str">
        <f t="shared" si="15"/>
        <v/>
      </c>
    </row>
    <row r="995" spans="7:7" x14ac:dyDescent="0.25">
      <c r="G995" s="38" t="str">
        <f t="shared" si="15"/>
        <v/>
      </c>
    </row>
    <row r="996" spans="7:7" x14ac:dyDescent="0.25">
      <c r="G996" s="38" t="str">
        <f t="shared" si="15"/>
        <v/>
      </c>
    </row>
    <row r="997" spans="7:7" x14ac:dyDescent="0.25">
      <c r="G997" s="38" t="str">
        <f t="shared" si="15"/>
        <v/>
      </c>
    </row>
    <row r="998" spans="7:7" x14ac:dyDescent="0.25">
      <c r="G998" s="38" t="str">
        <f t="shared" si="15"/>
        <v/>
      </c>
    </row>
    <row r="999" spans="7:7" x14ac:dyDescent="0.25">
      <c r="G999" s="38" t="str">
        <f t="shared" si="15"/>
        <v/>
      </c>
    </row>
    <row r="1000" spans="7:7" x14ac:dyDescent="0.25">
      <c r="G1000" s="38" t="str">
        <f t="shared" si="15"/>
        <v/>
      </c>
    </row>
    <row r="1001" spans="7:7" x14ac:dyDescent="0.25">
      <c r="G1001" s="38" t="str">
        <f t="shared" si="15"/>
        <v/>
      </c>
    </row>
    <row r="1002" spans="7:7" x14ac:dyDescent="0.25">
      <c r="G1002" s="38" t="str">
        <f t="shared" si="15"/>
        <v/>
      </c>
    </row>
    <row r="1003" spans="7:7" x14ac:dyDescent="0.25">
      <c r="G1003" s="38" t="str">
        <f t="shared" si="15"/>
        <v/>
      </c>
    </row>
    <row r="1004" spans="7:7" x14ac:dyDescent="0.25">
      <c r="G1004" s="38" t="str">
        <f t="shared" si="15"/>
        <v/>
      </c>
    </row>
    <row r="1005" spans="7:7" x14ac:dyDescent="0.25">
      <c r="G1005" s="38" t="str">
        <f t="shared" si="15"/>
        <v/>
      </c>
    </row>
    <row r="1006" spans="7:7" x14ac:dyDescent="0.25">
      <c r="G1006" s="38" t="str">
        <f t="shared" si="15"/>
        <v/>
      </c>
    </row>
    <row r="1007" spans="7:7" x14ac:dyDescent="0.25">
      <c r="G1007" s="38" t="str">
        <f t="shared" si="15"/>
        <v/>
      </c>
    </row>
    <row r="1008" spans="7:7" x14ac:dyDescent="0.25">
      <c r="G1008" s="38" t="str">
        <f t="shared" si="15"/>
        <v/>
      </c>
    </row>
    <row r="1009" spans="7:7" x14ac:dyDescent="0.25">
      <c r="G1009" s="38" t="str">
        <f t="shared" si="15"/>
        <v/>
      </c>
    </row>
    <row r="1010" spans="7:7" x14ac:dyDescent="0.25">
      <c r="G1010" s="38" t="str">
        <f t="shared" si="15"/>
        <v/>
      </c>
    </row>
    <row r="1011" spans="7:7" x14ac:dyDescent="0.25">
      <c r="G1011" s="38" t="str">
        <f t="shared" si="15"/>
        <v/>
      </c>
    </row>
    <row r="1012" spans="7:7" x14ac:dyDescent="0.25">
      <c r="G1012" s="38" t="str">
        <f t="shared" si="15"/>
        <v/>
      </c>
    </row>
    <row r="1013" spans="7:7" x14ac:dyDescent="0.25">
      <c r="G1013" s="38" t="str">
        <f t="shared" si="15"/>
        <v/>
      </c>
    </row>
    <row r="1014" spans="7:7" x14ac:dyDescent="0.25">
      <c r="G1014" s="38" t="str">
        <f t="shared" si="15"/>
        <v/>
      </c>
    </row>
    <row r="1015" spans="7:7" x14ac:dyDescent="0.25">
      <c r="G1015" s="38" t="str">
        <f t="shared" si="15"/>
        <v/>
      </c>
    </row>
    <row r="1016" spans="7:7" x14ac:dyDescent="0.25">
      <c r="G1016" s="38" t="str">
        <f t="shared" si="15"/>
        <v/>
      </c>
    </row>
    <row r="1017" spans="7:7" x14ac:dyDescent="0.25">
      <c r="G1017" s="38" t="str">
        <f t="shared" si="15"/>
        <v/>
      </c>
    </row>
    <row r="1018" spans="7:7" x14ac:dyDescent="0.25">
      <c r="G1018" s="38" t="str">
        <f t="shared" si="15"/>
        <v/>
      </c>
    </row>
    <row r="1019" spans="7:7" x14ac:dyDescent="0.25">
      <c r="G1019" s="38" t="str">
        <f t="shared" si="15"/>
        <v/>
      </c>
    </row>
    <row r="1020" spans="7:7" x14ac:dyDescent="0.25">
      <c r="G1020" s="38" t="str">
        <f t="shared" si="15"/>
        <v/>
      </c>
    </row>
  </sheetData>
  <dataValidations count="6">
    <dataValidation type="list" showInputMessage="1" showErrorMessage="1" errorTitle="Invalid Input" error="Choose from the list" sqref="B21:B1048576" xr:uid="{3F23B433-E6B0-423F-A390-3AE890D455A0}">
      <formula1>Base_Sec</formula1>
    </dataValidation>
    <dataValidation type="textLength" allowBlank="1" showInputMessage="1" showErrorMessage="1" errorTitle="Invalid Input" error="Please enter maximum 32 characters only." sqref="A21:A1048576" xr:uid="{35F0A417-0AAE-442E-ADB5-397B4B3062B9}">
      <formula1>1</formula1>
      <formula2>32</formula2>
    </dataValidation>
    <dataValidation type="list" showInputMessage="1" showErrorMessage="1" errorTitle="Invalid Input" error="Choose from the list" sqref="C21:C1048576" xr:uid="{1A24298F-811A-467B-B4B7-8CADABBEA890}">
      <formula1>Int_Type_Dist</formula1>
    </dataValidation>
    <dataValidation type="list" showInputMessage="1" showErrorMessage="1" errorTitle="Invalid Input" error="Choose from the list" sqref="D21:F1048576" xr:uid="{60D51DB4-00C7-4BA3-BEC6-0396076C386E}">
      <formula1>NL_Mat_Name</formula1>
    </dataValidation>
    <dataValidation type="decimal" allowBlank="1" showInputMessage="1" showErrorMessage="1" errorTitle="Invalid Input" error="Please enter a float value only." sqref="L21:O1048576 H21:H1048576" xr:uid="{22D892CF-00E0-4386-A561-F8E7B2F43520}">
      <formula1>0</formula1>
      <formula2>1000000000000</formula2>
    </dataValidation>
    <dataValidation type="whole" allowBlank="1" showInputMessage="1" showErrorMessage="1" errorTitle="Invalid Input" error="Please enter an integer value only." sqref="I21:K1048576" xr:uid="{3770231B-84DF-41AE-B196-092CB449837F}">
      <formula1>0</formula1>
      <formula2>1000000000000</formula2>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20</vt:i4>
      </vt:variant>
      <vt:variant>
        <vt:lpstr>Named Ranges</vt:lpstr>
      </vt:variant>
      <vt:variant>
        <vt:i4>31</vt:i4>
      </vt:variant>
    </vt:vector>
  </HeadingPairs>
  <TitlesOfParts>
    <vt:vector size="51" baseType="lpstr">
      <vt:lpstr>Design Preferences</vt:lpstr>
      <vt:lpstr>ListDB</vt:lpstr>
      <vt:lpstr>Instructions</vt:lpstr>
      <vt:lpstr>Project Information</vt:lpstr>
      <vt:lpstr>User Defined Units</vt:lpstr>
      <vt:lpstr>Analysis Preferences</vt:lpstr>
      <vt:lpstr>Materials</vt:lpstr>
      <vt:lpstr>Frame Sections</vt:lpstr>
      <vt:lpstr>Sec_Aggregator</vt:lpstr>
      <vt:lpstr>Slab Sections</vt:lpstr>
      <vt:lpstr>Point Objects</vt:lpstr>
      <vt:lpstr>Line Objects</vt:lpstr>
      <vt:lpstr>Surface Objects</vt:lpstr>
      <vt:lpstr>Restraints</vt:lpstr>
      <vt:lpstr>Point Loads</vt:lpstr>
      <vt:lpstr>Concentrated Line Loads</vt:lpstr>
      <vt:lpstr>Distributed Line Loads</vt:lpstr>
      <vt:lpstr>Surface Loads</vt:lpstr>
      <vt:lpstr>Loads</vt:lpstr>
      <vt:lpstr>Sec_Fiber</vt:lpstr>
      <vt:lpstr>Base_Sec</vt:lpstr>
      <vt:lpstr>Elastic_Mat_Name</vt:lpstr>
      <vt:lpstr>Ele_Type</vt:lpstr>
      <vt:lpstr>Int_Type_Con</vt:lpstr>
      <vt:lpstr>Int_Type_Dist</vt:lpstr>
      <vt:lpstr>LC_Type</vt:lpstr>
      <vt:lpstr>Line_ID</vt:lpstr>
      <vt:lpstr>Mat_Concrete</vt:lpstr>
      <vt:lpstr>Mat_Model_Concrete</vt:lpstr>
      <vt:lpstr>Mat_Model_Hysteretic</vt:lpstr>
      <vt:lpstr>Mat_Model_Steel</vt:lpstr>
      <vt:lpstr>Mat_Name</vt:lpstr>
      <vt:lpstr>Mat_Steel</vt:lpstr>
      <vt:lpstr>Mat_Type</vt:lpstr>
      <vt:lpstr>NL_Mat_Name</vt:lpstr>
      <vt:lpstr>Point_ID</vt:lpstr>
      <vt:lpstr>Sec_Model</vt:lpstr>
      <vt:lpstr>Sec_Name</vt:lpstr>
      <vt:lpstr>Sec_name_wo_agg</vt:lpstr>
      <vt:lpstr>Sec_Shape</vt:lpstr>
      <vt:lpstr>SecDB</vt:lpstr>
      <vt:lpstr>SecFiberDB</vt:lpstr>
      <vt:lpstr>Slab_Sec</vt:lpstr>
      <vt:lpstr>Spring_Mat_Name</vt:lpstr>
      <vt:lpstr>Surface_ID</vt:lpstr>
      <vt:lpstr>Unit_Angle</vt:lpstr>
      <vt:lpstr>Unit_Force</vt:lpstr>
      <vt:lpstr>Unit_Length</vt:lpstr>
      <vt:lpstr>Unit_Mass</vt:lpstr>
      <vt:lpstr>Unit_Stress</vt:lpstr>
      <vt:lpstr>Unit_Time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2026-08-15T04:25:21Z</dcterms:modified>
</cp:coreProperties>
</file>