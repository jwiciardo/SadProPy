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38D34032-FF54-4C1E-8335-7F9D8E7B9C30}" xr6:coauthVersionLast="47" xr6:coauthVersionMax="47" xr10:uidLastSave="{00000000-0000-0000-0000-000000000000}"/>
  <bookViews>
    <workbookView xWindow="-120" yWindow="-120" windowWidth="29040" windowHeight="15720" firstSheet="16" activeTab="21"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3" i="34" l="1"/>
  <c r="A11" i="34"/>
  <c r="A9" i="34"/>
  <c r="A7" i="34"/>
  <c r="A12" i="34"/>
  <c r="A10" i="34"/>
  <c r="A8" i="34"/>
  <c r="A6" i="34"/>
  <c r="A5" i="34"/>
  <c r="A12" i="33"/>
  <c r="A10" i="33"/>
  <c r="A8" i="33"/>
  <c r="A6" i="33"/>
  <c r="A11" i="33"/>
  <c r="A9" i="33"/>
  <c r="A7" i="33"/>
  <c r="A5" i="33"/>
  <c r="A5" i="36"/>
  <c r="A8" i="32"/>
  <c r="A9" i="32"/>
  <c r="A7" i="32"/>
  <c r="A6" i="32"/>
  <c r="A5" i="32"/>
  <c r="A4" i="32"/>
  <c r="D2" i="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<sst xmlns="http://schemas.openxmlformats.org/spreadsheetml/2006/main" count="2052" uniqueCount="375">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</sst>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2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1" fillId="0" borderId="0" xfId="0" applyFont="1" applyAlignment="1">
      <alignment horizontal="center" vertical="top"/>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1" fillId="2" borderId="8" xfId="0" applyFont="1" applyFill="1" applyBorder="1" applyAlignment="1">
      <alignment vertical="center"/>
    </xf>
    <xf numFmtId="0" fontId="1" fillId="2" borderId="3" xfId="0" applyFont="1" applyFill="1" applyBorder="1" applyAlignment="1">
      <alignment vertical="center"/>
    </xf>
    <xf numFmtId="0" fontId="1" fillId="2" borderId="4" xfId="0" quotePrefix="1" applyFont="1" applyFill="1" applyBorder="1" applyAlignment="1">
      <alignment vertical="center"/>
    </xf>
    <xf numFmtId="0" fontId="1" fillId="2" borderId="0" xfId="0" applyFont="1" applyFill="1" applyBorder="1" applyAlignment="1">
      <alignment vertical="center"/>
    </xf>
    <xf numFmtId="0" fontId="1" fillId="2" borderId="5" xfId="0" applyFont="1" applyFill="1" applyBorder="1" applyAlignment="1">
      <alignment vertical="center"/>
    </xf>
    <xf numFmtId="0" fontId="1" fillId="2" borderId="6" xfId="0" quotePrefix="1" applyFont="1" applyFill="1" applyBorder="1" applyAlignment="1">
      <alignment vertical="center"/>
    </xf>
    <xf numFmtId="0" fontId="1" fillId="2" borderId="9" xfId="0" applyFont="1" applyFill="1" applyBorder="1" applyAlignment="1">
      <alignment vertical="center"/>
    </xf>
    <xf numFmtId="0" fontId="1" fillId="2" borderId="7" xfId="0" applyFont="1" applyFill="1" applyBorder="1" applyAlignment="1">
      <alignment vertical="center"/>
    </xf>
    <xf numFmtId="49" fontId="1" fillId="0" borderId="0" xfId="0" applyNumberFormat="1" applyFont="1" applyAlignment="1">
      <alignment horizontal="center" vertical="center"/>
    </xf>
    <xf numFmtId="2" fontId="1" fillId="0" borderId="0" xfId="0" applyNumberFormat="1" applyFont="1" applyAlignment="1">
      <alignment horizontal="center" vertical="center"/>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topLeftCell="H1" zoomScale="130" zoomScaleNormal="130" workbookViewId="0">
      <selection activeCell="N6" sqref="N6"/>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337</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A16" sqref="A16"/>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topLeftCell="A6"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10"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5" t="s">
        <v>241</v>
      </c>
      <c r="B5" s="206"/>
      <c r="C5" s="206"/>
      <c r="D5" s="206"/>
      <c r="E5" s="206"/>
      <c r="F5" s="206"/>
      <c r="G5" s="206"/>
      <c r="H5" s="206"/>
      <c r="I5" s="206"/>
      <c r="J5" s="206"/>
      <c r="K5" s="206"/>
      <c r="L5" s="206"/>
      <c r="M5" s="206"/>
      <c r="N5" s="206"/>
      <c r="O5" s="207"/>
      <c r="P5" s="141" t="s">
        <v>248</v>
      </c>
      <c r="Q5" s="108"/>
      <c r="R5" s="108"/>
      <c r="S5" s="108"/>
      <c r="T5" s="108"/>
      <c r="U5" s="108"/>
      <c r="V5" s="108"/>
      <c r="W5" s="108"/>
      <c r="X5" s="108"/>
      <c r="Y5" s="108"/>
      <c r="Z5" s="108"/>
      <c r="AA5" s="108"/>
      <c r="AB5" s="108"/>
      <c r="AC5" s="108"/>
      <c r="AD5" s="108"/>
      <c r="AE5" s="109"/>
    </row>
    <row r="6" spans="1:31" ht="31.5" customHeight="1" x14ac:dyDescent="0.25">
      <c r="A6" s="205" t="s">
        <v>242</v>
      </c>
      <c r="B6" s="206"/>
      <c r="C6" s="206"/>
      <c r="D6" s="206"/>
      <c r="E6" s="206"/>
      <c r="F6" s="206"/>
      <c r="G6" s="206"/>
      <c r="H6" s="206"/>
      <c r="I6" s="206"/>
      <c r="J6" s="206"/>
      <c r="K6" s="206"/>
      <c r="L6" s="206"/>
      <c r="M6" s="206"/>
      <c r="N6" s="206"/>
      <c r="O6" s="207"/>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5" t="s">
        <v>251</v>
      </c>
      <c r="B11" s="206"/>
      <c r="C11" s="206"/>
      <c r="D11" s="206"/>
      <c r="E11" s="206"/>
      <c r="F11" s="206"/>
      <c r="G11" s="206"/>
      <c r="H11" s="206"/>
      <c r="I11" s="206"/>
      <c r="J11" s="206"/>
      <c r="K11" s="206"/>
      <c r="L11" s="206"/>
      <c r="M11" s="206"/>
      <c r="N11" s="206"/>
      <c r="O11" s="207"/>
      <c r="P11" s="141" t="s">
        <v>258</v>
      </c>
      <c r="Q11" s="108"/>
      <c r="R11" s="108"/>
      <c r="S11" s="108"/>
      <c r="T11" s="108"/>
      <c r="U11" s="108"/>
      <c r="V11" s="108"/>
      <c r="W11" s="108"/>
      <c r="X11" s="108"/>
      <c r="Y11" s="108"/>
      <c r="Z11" s="108"/>
      <c r="AA11" s="108"/>
      <c r="AB11" s="108"/>
      <c r="AC11" s="108"/>
      <c r="AD11" s="108"/>
      <c r="AE11" s="109"/>
    </row>
    <row r="12" spans="1:31" ht="31.5" customHeight="1" x14ac:dyDescent="0.25">
      <c r="A12" s="205" t="s">
        <v>252</v>
      </c>
      <c r="B12" s="206"/>
      <c r="C12" s="206"/>
      <c r="D12" s="206"/>
      <c r="E12" s="206"/>
      <c r="F12" s="206"/>
      <c r="G12" s="206"/>
      <c r="H12" s="206"/>
      <c r="I12" s="206"/>
      <c r="J12" s="206"/>
      <c r="K12" s="206"/>
      <c r="L12" s="206"/>
      <c r="M12" s="206"/>
      <c r="N12" s="206"/>
      <c r="O12" s="207"/>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8" t="s">
        <v>244</v>
      </c>
      <c r="B16" s="209"/>
      <c r="C16" s="209"/>
      <c r="D16" s="209"/>
      <c r="E16" s="209"/>
      <c r="F16" s="209"/>
      <c r="G16" s="209"/>
      <c r="H16" s="209"/>
      <c r="I16" s="209"/>
      <c r="J16" s="209"/>
      <c r="K16" s="209"/>
      <c r="L16" s="209"/>
      <c r="M16" s="209"/>
      <c r="N16" s="209"/>
      <c r="O16" s="210"/>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374</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336</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H22" sqref="H22"/>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340</v>
      </c>
      <c r="B3" s="89"/>
      <c r="C3" s="89"/>
      <c r="D3" s="38"/>
      <c r="E3" s="90"/>
      <c r="F3" s="90"/>
      <c r="G3" s="90"/>
      <c r="H3" s="90"/>
      <c r="I3" s="89"/>
      <c r="J3" s="190"/>
    </row>
    <row r="4" spans="1:10" x14ac:dyDescent="0.25">
      <c r="A4" s="188" t="s">
        <v>341</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339</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338</v>
      </c>
      <c r="G15" s="100" t="s">
        <v>204</v>
      </c>
      <c r="H15" s="100" t="s">
        <v>205</v>
      </c>
      <c r="I15" s="82" t="s">
        <v>291</v>
      </c>
      <c r="J15" s="82" t="s">
        <v>294</v>
      </c>
    </row>
    <row r="16" spans="1:10" x14ac:dyDescent="0.25">
      <c r="A16" s="101">
        <v>1</v>
      </c>
      <c r="B16" s="101">
        <v>1</v>
      </c>
      <c r="C16" s="101">
        <v>26</v>
      </c>
      <c r="D16" s="42" t="s">
        <v>102</v>
      </c>
      <c r="E16" s="204" t="s">
        <v>207</v>
      </c>
      <c r="F16" s="204">
        <v>1</v>
      </c>
      <c r="G16" s="98">
        <v>0</v>
      </c>
      <c r="H16" s="98">
        <v>0</v>
      </c>
      <c r="I16" s="58" t="s">
        <v>79</v>
      </c>
      <c r="J16" s="58" t="s">
        <v>282</v>
      </c>
    </row>
    <row r="17" spans="1:10" x14ac:dyDescent="0.25">
      <c r="A17" s="101">
        <v>2</v>
      </c>
      <c r="B17" s="101">
        <v>2</v>
      </c>
      <c r="C17" s="101">
        <v>27</v>
      </c>
      <c r="D17" s="42" t="s">
        <v>102</v>
      </c>
      <c r="E17" s="58" t="s">
        <v>207</v>
      </c>
      <c r="F17" s="204">
        <v>1</v>
      </c>
      <c r="G17" s="98">
        <v>0</v>
      </c>
      <c r="H17" s="98">
        <v>0</v>
      </c>
      <c r="I17" s="58" t="s">
        <v>79</v>
      </c>
      <c r="J17" s="58" t="s">
        <v>282</v>
      </c>
    </row>
    <row r="18" spans="1:10" x14ac:dyDescent="0.25">
      <c r="A18" s="101">
        <v>3</v>
      </c>
      <c r="B18" s="101">
        <v>3</v>
      </c>
      <c r="C18" s="101">
        <v>28</v>
      </c>
      <c r="D18" s="42" t="s">
        <v>102</v>
      </c>
      <c r="E18" s="58" t="s">
        <v>207</v>
      </c>
      <c r="F18" s="204">
        <v>1</v>
      </c>
      <c r="G18" s="98">
        <v>0</v>
      </c>
      <c r="H18" s="98">
        <v>0</v>
      </c>
      <c r="I18" s="58" t="s">
        <v>79</v>
      </c>
      <c r="J18" s="58" t="s">
        <v>282</v>
      </c>
    </row>
    <row r="19" spans="1:10" x14ac:dyDescent="0.25">
      <c r="A19" s="101">
        <v>4</v>
      </c>
      <c r="B19" s="101">
        <v>4</v>
      </c>
      <c r="C19" s="101">
        <v>29</v>
      </c>
      <c r="D19" s="42" t="s">
        <v>102</v>
      </c>
      <c r="E19" s="58" t="s">
        <v>207</v>
      </c>
      <c r="F19" s="204">
        <v>1</v>
      </c>
      <c r="G19" s="98">
        <v>0</v>
      </c>
      <c r="H19" s="98">
        <v>0</v>
      </c>
      <c r="I19" s="58" t="s">
        <v>79</v>
      </c>
      <c r="J19" s="58" t="s">
        <v>282</v>
      </c>
    </row>
    <row r="20" spans="1:10" x14ac:dyDescent="0.25">
      <c r="A20" s="101">
        <v>5</v>
      </c>
      <c r="B20" s="101">
        <v>5</v>
      </c>
      <c r="C20" s="101">
        <v>30</v>
      </c>
      <c r="D20" s="42" t="s">
        <v>102</v>
      </c>
      <c r="E20" s="58" t="s">
        <v>207</v>
      </c>
      <c r="F20" s="204">
        <v>1</v>
      </c>
      <c r="G20" s="98">
        <v>0</v>
      </c>
      <c r="H20" s="98">
        <v>0</v>
      </c>
      <c r="I20" s="58" t="s">
        <v>79</v>
      </c>
      <c r="J20" s="58" t="s">
        <v>282</v>
      </c>
    </row>
    <row r="21" spans="1:10" x14ac:dyDescent="0.25">
      <c r="A21" s="101">
        <v>6</v>
      </c>
      <c r="B21" s="101">
        <v>6</v>
      </c>
      <c r="C21" s="101">
        <v>31</v>
      </c>
      <c r="D21" s="42" t="s">
        <v>102</v>
      </c>
      <c r="E21" s="58" t="s">
        <v>207</v>
      </c>
      <c r="F21" s="204">
        <v>1</v>
      </c>
      <c r="G21" s="98">
        <v>0</v>
      </c>
      <c r="H21" s="98">
        <v>0</v>
      </c>
      <c r="I21" s="58" t="s">
        <v>79</v>
      </c>
      <c r="J21" s="58" t="s">
        <v>282</v>
      </c>
    </row>
    <row r="22" spans="1:10" x14ac:dyDescent="0.25">
      <c r="A22" s="101">
        <v>7</v>
      </c>
      <c r="B22" s="101">
        <v>7</v>
      </c>
      <c r="C22" s="101">
        <v>32</v>
      </c>
      <c r="D22" s="42" t="s">
        <v>102</v>
      </c>
      <c r="E22" s="58" t="s">
        <v>207</v>
      </c>
      <c r="F22" s="204">
        <v>1</v>
      </c>
      <c r="G22" s="98">
        <v>0</v>
      </c>
      <c r="H22" s="98">
        <v>0</v>
      </c>
      <c r="I22" s="58" t="s">
        <v>79</v>
      </c>
      <c r="J22" s="58" t="s">
        <v>282</v>
      </c>
    </row>
    <row r="23" spans="1:10" x14ac:dyDescent="0.25">
      <c r="A23" s="101">
        <v>8</v>
      </c>
      <c r="B23" s="101">
        <v>8</v>
      </c>
      <c r="C23" s="101">
        <v>33</v>
      </c>
      <c r="D23" s="42" t="s">
        <v>102</v>
      </c>
      <c r="E23" s="58" t="s">
        <v>207</v>
      </c>
      <c r="F23" s="204">
        <v>1</v>
      </c>
      <c r="G23" s="98">
        <v>0</v>
      </c>
      <c r="H23" s="98">
        <v>0</v>
      </c>
      <c r="I23" s="58" t="s">
        <v>79</v>
      </c>
      <c r="J23" s="58" t="s">
        <v>282</v>
      </c>
    </row>
    <row r="24" spans="1:10" x14ac:dyDescent="0.25">
      <c r="A24" s="101">
        <v>9</v>
      </c>
      <c r="B24" s="101">
        <v>9</v>
      </c>
      <c r="C24" s="101">
        <v>34</v>
      </c>
      <c r="D24" s="42" t="s">
        <v>102</v>
      </c>
      <c r="E24" s="58" t="s">
        <v>207</v>
      </c>
      <c r="F24" s="204">
        <v>1</v>
      </c>
      <c r="G24" s="98">
        <v>0</v>
      </c>
      <c r="H24" s="98">
        <v>0</v>
      </c>
      <c r="I24" s="58" t="s">
        <v>79</v>
      </c>
      <c r="J24" s="58" t="s">
        <v>282</v>
      </c>
    </row>
    <row r="25" spans="1:10" x14ac:dyDescent="0.25">
      <c r="A25" s="101">
        <v>10</v>
      </c>
      <c r="B25" s="101">
        <v>10</v>
      </c>
      <c r="C25" s="101">
        <v>35</v>
      </c>
      <c r="D25" s="42" t="s">
        <v>102</v>
      </c>
      <c r="E25" s="58" t="s">
        <v>207</v>
      </c>
      <c r="F25" s="204">
        <v>1</v>
      </c>
      <c r="G25" s="98">
        <v>0</v>
      </c>
      <c r="H25" s="98">
        <v>0</v>
      </c>
      <c r="I25" s="58" t="s">
        <v>79</v>
      </c>
      <c r="J25" s="58" t="s">
        <v>282</v>
      </c>
    </row>
    <row r="26" spans="1:10" x14ac:dyDescent="0.25">
      <c r="A26" s="101">
        <v>11</v>
      </c>
      <c r="B26" s="101">
        <v>11</v>
      </c>
      <c r="C26" s="101">
        <v>36</v>
      </c>
      <c r="D26" s="42" t="s">
        <v>102</v>
      </c>
      <c r="E26" s="58" t="s">
        <v>207</v>
      </c>
      <c r="F26" s="204">
        <v>1</v>
      </c>
      <c r="G26" s="98">
        <v>0</v>
      </c>
      <c r="H26" s="98">
        <v>0</v>
      </c>
      <c r="I26" s="58" t="s">
        <v>79</v>
      </c>
      <c r="J26" s="58" t="s">
        <v>282</v>
      </c>
    </row>
    <row r="27" spans="1:10" x14ac:dyDescent="0.25">
      <c r="A27" s="101">
        <v>12</v>
      </c>
      <c r="B27" s="101">
        <v>12</v>
      </c>
      <c r="C27" s="101">
        <v>37</v>
      </c>
      <c r="D27" s="42" t="s">
        <v>102</v>
      </c>
      <c r="E27" s="58" t="s">
        <v>207</v>
      </c>
      <c r="F27" s="204">
        <v>1</v>
      </c>
      <c r="G27" s="98">
        <v>0</v>
      </c>
      <c r="H27" s="98">
        <v>0</v>
      </c>
      <c r="I27" s="58" t="s">
        <v>79</v>
      </c>
      <c r="J27" s="58" t="s">
        <v>282</v>
      </c>
    </row>
    <row r="28" spans="1:10" x14ac:dyDescent="0.25">
      <c r="A28" s="101">
        <v>13</v>
      </c>
      <c r="B28" s="101">
        <v>13</v>
      </c>
      <c r="C28" s="101">
        <v>38</v>
      </c>
      <c r="D28" s="42" t="s">
        <v>102</v>
      </c>
      <c r="E28" s="58" t="s">
        <v>207</v>
      </c>
      <c r="F28" s="204">
        <v>1</v>
      </c>
      <c r="G28" s="98">
        <v>0</v>
      </c>
      <c r="H28" s="98">
        <v>0</v>
      </c>
      <c r="I28" s="58" t="s">
        <v>79</v>
      </c>
      <c r="J28" s="58" t="s">
        <v>282</v>
      </c>
    </row>
    <row r="29" spans="1:10" x14ac:dyDescent="0.25">
      <c r="A29" s="101">
        <v>14</v>
      </c>
      <c r="B29" s="101">
        <v>14</v>
      </c>
      <c r="C29" s="101">
        <v>39</v>
      </c>
      <c r="D29" s="42" t="s">
        <v>102</v>
      </c>
      <c r="E29" s="58" t="s">
        <v>207</v>
      </c>
      <c r="F29" s="204">
        <v>1</v>
      </c>
      <c r="G29" s="98">
        <v>0</v>
      </c>
      <c r="H29" s="98">
        <v>0</v>
      </c>
      <c r="I29" s="58" t="s">
        <v>79</v>
      </c>
      <c r="J29" s="58" t="s">
        <v>282</v>
      </c>
    </row>
    <row r="30" spans="1:10" x14ac:dyDescent="0.25">
      <c r="A30" s="101">
        <v>15</v>
      </c>
      <c r="B30" s="101">
        <v>15</v>
      </c>
      <c r="C30" s="101">
        <v>40</v>
      </c>
      <c r="D30" s="42" t="s">
        <v>102</v>
      </c>
      <c r="E30" s="58" t="s">
        <v>207</v>
      </c>
      <c r="F30" s="204">
        <v>1</v>
      </c>
      <c r="G30" s="98">
        <v>0</v>
      </c>
      <c r="H30" s="98">
        <v>0</v>
      </c>
      <c r="I30" s="58" t="s">
        <v>79</v>
      </c>
      <c r="J30" s="58" t="s">
        <v>282</v>
      </c>
    </row>
    <row r="31" spans="1:10" x14ac:dyDescent="0.25">
      <c r="A31" s="101">
        <v>16</v>
      </c>
      <c r="B31" s="101">
        <v>16</v>
      </c>
      <c r="C31" s="101">
        <v>41</v>
      </c>
      <c r="D31" s="42" t="s">
        <v>102</v>
      </c>
      <c r="E31" s="58" t="s">
        <v>207</v>
      </c>
      <c r="F31" s="204">
        <v>1</v>
      </c>
      <c r="G31" s="98">
        <v>0</v>
      </c>
      <c r="H31" s="98">
        <v>0</v>
      </c>
      <c r="I31" s="58" t="s">
        <v>79</v>
      </c>
      <c r="J31" s="58" t="s">
        <v>282</v>
      </c>
    </row>
    <row r="32" spans="1:10" x14ac:dyDescent="0.25">
      <c r="A32" s="101">
        <v>17</v>
      </c>
      <c r="B32" s="101">
        <v>17</v>
      </c>
      <c r="C32" s="101">
        <v>42</v>
      </c>
      <c r="D32" s="42" t="s">
        <v>102</v>
      </c>
      <c r="E32" s="58" t="s">
        <v>207</v>
      </c>
      <c r="F32" s="204">
        <v>1</v>
      </c>
      <c r="G32" s="98">
        <v>0</v>
      </c>
      <c r="H32" s="98">
        <v>0</v>
      </c>
      <c r="I32" s="58" t="s">
        <v>79</v>
      </c>
      <c r="J32" s="58" t="s">
        <v>282</v>
      </c>
    </row>
    <row r="33" spans="1:10" x14ac:dyDescent="0.25">
      <c r="A33" s="101">
        <v>18</v>
      </c>
      <c r="B33" s="101">
        <v>18</v>
      </c>
      <c r="C33" s="101">
        <v>43</v>
      </c>
      <c r="D33" s="42" t="s">
        <v>102</v>
      </c>
      <c r="E33" s="58" t="s">
        <v>207</v>
      </c>
      <c r="F33" s="204">
        <v>1</v>
      </c>
      <c r="G33" s="98">
        <v>0</v>
      </c>
      <c r="H33" s="98">
        <v>0</v>
      </c>
      <c r="I33" s="58" t="s">
        <v>79</v>
      </c>
      <c r="J33" s="58" t="s">
        <v>282</v>
      </c>
    </row>
    <row r="34" spans="1:10" x14ac:dyDescent="0.25">
      <c r="A34" s="101">
        <v>19</v>
      </c>
      <c r="B34" s="101">
        <v>19</v>
      </c>
      <c r="C34" s="101">
        <v>44</v>
      </c>
      <c r="D34" s="42" t="s">
        <v>102</v>
      </c>
      <c r="E34" s="58" t="s">
        <v>207</v>
      </c>
      <c r="F34" s="204">
        <v>1</v>
      </c>
      <c r="G34" s="98">
        <v>0</v>
      </c>
      <c r="H34" s="98">
        <v>0</v>
      </c>
      <c r="I34" s="58" t="s">
        <v>79</v>
      </c>
      <c r="J34" s="58" t="s">
        <v>282</v>
      </c>
    </row>
    <row r="35" spans="1:10" x14ac:dyDescent="0.25">
      <c r="A35" s="101">
        <v>20</v>
      </c>
      <c r="B35" s="101">
        <v>20</v>
      </c>
      <c r="C35" s="101">
        <v>45</v>
      </c>
      <c r="D35" s="42" t="s">
        <v>102</v>
      </c>
      <c r="E35" s="58" t="s">
        <v>207</v>
      </c>
      <c r="F35" s="204">
        <v>1</v>
      </c>
      <c r="G35" s="98">
        <v>0</v>
      </c>
      <c r="H35" s="98">
        <v>0</v>
      </c>
      <c r="I35" s="58" t="s">
        <v>79</v>
      </c>
      <c r="J35" s="58" t="s">
        <v>282</v>
      </c>
    </row>
    <row r="36" spans="1:10" x14ac:dyDescent="0.25">
      <c r="A36" s="101">
        <v>21</v>
      </c>
      <c r="B36" s="101">
        <v>21</v>
      </c>
      <c r="C36" s="101">
        <v>46</v>
      </c>
      <c r="D36" s="42" t="s">
        <v>102</v>
      </c>
      <c r="E36" s="58" t="s">
        <v>207</v>
      </c>
      <c r="F36" s="204">
        <v>1</v>
      </c>
      <c r="G36" s="98">
        <v>0</v>
      </c>
      <c r="H36" s="98">
        <v>0</v>
      </c>
      <c r="I36" s="58" t="s">
        <v>79</v>
      </c>
      <c r="J36" s="58" t="s">
        <v>282</v>
      </c>
    </row>
    <row r="37" spans="1:10" x14ac:dyDescent="0.25">
      <c r="A37" s="101">
        <v>22</v>
      </c>
      <c r="B37" s="101">
        <v>22</v>
      </c>
      <c r="C37" s="101">
        <v>47</v>
      </c>
      <c r="D37" s="42" t="s">
        <v>102</v>
      </c>
      <c r="E37" s="58" t="s">
        <v>207</v>
      </c>
      <c r="F37" s="204">
        <v>1</v>
      </c>
      <c r="G37" s="98">
        <v>0</v>
      </c>
      <c r="H37" s="98">
        <v>0</v>
      </c>
      <c r="I37" s="58" t="s">
        <v>79</v>
      </c>
      <c r="J37" s="58" t="s">
        <v>282</v>
      </c>
    </row>
    <row r="38" spans="1:10" x14ac:dyDescent="0.25">
      <c r="A38" s="101">
        <v>23</v>
      </c>
      <c r="B38" s="101">
        <v>23</v>
      </c>
      <c r="C38" s="101">
        <v>48</v>
      </c>
      <c r="D38" s="42" t="s">
        <v>102</v>
      </c>
      <c r="E38" s="58" t="s">
        <v>207</v>
      </c>
      <c r="F38" s="204">
        <v>1</v>
      </c>
      <c r="G38" s="98">
        <v>0</v>
      </c>
      <c r="H38" s="98">
        <v>0</v>
      </c>
      <c r="I38" s="58" t="s">
        <v>79</v>
      </c>
      <c r="J38" s="58" t="s">
        <v>282</v>
      </c>
    </row>
    <row r="39" spans="1:10" x14ac:dyDescent="0.25">
      <c r="A39" s="101">
        <v>24</v>
      </c>
      <c r="B39" s="101">
        <v>24</v>
      </c>
      <c r="C39" s="101">
        <v>49</v>
      </c>
      <c r="D39" s="42" t="s">
        <v>102</v>
      </c>
      <c r="E39" s="58" t="s">
        <v>207</v>
      </c>
      <c r="F39" s="204">
        <v>1</v>
      </c>
      <c r="G39" s="98">
        <v>0</v>
      </c>
      <c r="H39" s="98">
        <v>0</v>
      </c>
      <c r="I39" s="58" t="s">
        <v>79</v>
      </c>
      <c r="J39" s="58" t="s">
        <v>282</v>
      </c>
    </row>
    <row r="40" spans="1:10" x14ac:dyDescent="0.25">
      <c r="A40" s="101">
        <v>25</v>
      </c>
      <c r="B40" s="101">
        <v>25</v>
      </c>
      <c r="C40" s="101">
        <v>50</v>
      </c>
      <c r="D40" s="42" t="s">
        <v>102</v>
      </c>
      <c r="E40" s="58" t="s">
        <v>207</v>
      </c>
      <c r="F40" s="204">
        <v>1</v>
      </c>
      <c r="G40" s="98">
        <v>0</v>
      </c>
      <c r="H40" s="98">
        <v>0</v>
      </c>
      <c r="I40" s="58" t="s">
        <v>79</v>
      </c>
      <c r="J40" s="58" t="s">
        <v>282</v>
      </c>
    </row>
    <row r="41" spans="1:10" x14ac:dyDescent="0.25">
      <c r="A41" s="101">
        <v>26</v>
      </c>
      <c r="B41" s="101">
        <v>26</v>
      </c>
      <c r="C41" s="101">
        <v>51</v>
      </c>
      <c r="D41" s="42" t="s">
        <v>102</v>
      </c>
      <c r="E41" s="58" t="s">
        <v>207</v>
      </c>
      <c r="F41" s="204">
        <v>1</v>
      </c>
      <c r="G41" s="98">
        <v>0</v>
      </c>
      <c r="H41" s="98">
        <v>0</v>
      </c>
      <c r="I41" s="58" t="s">
        <v>79</v>
      </c>
      <c r="J41" s="58" t="s">
        <v>282</v>
      </c>
    </row>
    <row r="42" spans="1:10" x14ac:dyDescent="0.25">
      <c r="A42" s="101">
        <v>27</v>
      </c>
      <c r="B42" s="101">
        <v>27</v>
      </c>
      <c r="C42" s="101">
        <v>52</v>
      </c>
      <c r="D42" s="42" t="s">
        <v>102</v>
      </c>
      <c r="E42" s="58" t="s">
        <v>207</v>
      </c>
      <c r="F42" s="204">
        <v>1</v>
      </c>
      <c r="G42" s="98">
        <v>0</v>
      </c>
      <c r="H42" s="98">
        <v>0</v>
      </c>
      <c r="I42" s="58" t="s">
        <v>79</v>
      </c>
      <c r="J42" s="58" t="s">
        <v>282</v>
      </c>
    </row>
    <row r="43" spans="1:10" x14ac:dyDescent="0.25">
      <c r="A43" s="101">
        <v>28</v>
      </c>
      <c r="B43" s="101">
        <v>28</v>
      </c>
      <c r="C43" s="101">
        <v>53</v>
      </c>
      <c r="D43" s="42" t="s">
        <v>102</v>
      </c>
      <c r="E43" s="58" t="s">
        <v>207</v>
      </c>
      <c r="F43" s="204">
        <v>1</v>
      </c>
      <c r="G43" s="98">
        <v>0</v>
      </c>
      <c r="H43" s="98">
        <v>0</v>
      </c>
      <c r="I43" s="58" t="s">
        <v>79</v>
      </c>
      <c r="J43" s="58" t="s">
        <v>282</v>
      </c>
    </row>
    <row r="44" spans="1:10" x14ac:dyDescent="0.25">
      <c r="A44" s="101">
        <v>29</v>
      </c>
      <c r="B44" s="101">
        <v>29</v>
      </c>
      <c r="C44" s="101">
        <v>54</v>
      </c>
      <c r="D44" s="42" t="s">
        <v>102</v>
      </c>
      <c r="E44" s="58" t="s">
        <v>207</v>
      </c>
      <c r="F44" s="204">
        <v>1</v>
      </c>
      <c r="G44" s="98">
        <v>0</v>
      </c>
      <c r="H44" s="98">
        <v>0</v>
      </c>
      <c r="I44" s="58" t="s">
        <v>79</v>
      </c>
      <c r="J44" s="58" t="s">
        <v>282</v>
      </c>
    </row>
    <row r="45" spans="1:10" x14ac:dyDescent="0.25">
      <c r="A45" s="101">
        <v>30</v>
      </c>
      <c r="B45" s="101">
        <v>30</v>
      </c>
      <c r="C45" s="101">
        <v>55</v>
      </c>
      <c r="D45" s="42" t="s">
        <v>102</v>
      </c>
      <c r="E45" s="58" t="s">
        <v>207</v>
      </c>
      <c r="F45" s="204">
        <v>1</v>
      </c>
      <c r="G45" s="98">
        <v>0</v>
      </c>
      <c r="H45" s="98">
        <v>0</v>
      </c>
      <c r="I45" s="58" t="s">
        <v>79</v>
      </c>
      <c r="J45" s="58" t="s">
        <v>282</v>
      </c>
    </row>
    <row r="46" spans="1:10" x14ac:dyDescent="0.25">
      <c r="A46" s="101">
        <v>31</v>
      </c>
      <c r="B46" s="101">
        <v>31</v>
      </c>
      <c r="C46" s="101">
        <v>56</v>
      </c>
      <c r="D46" s="42" t="s">
        <v>102</v>
      </c>
      <c r="E46" s="58" t="s">
        <v>207</v>
      </c>
      <c r="F46" s="204">
        <v>1</v>
      </c>
      <c r="G46" s="98">
        <v>0</v>
      </c>
      <c r="H46" s="98">
        <v>0</v>
      </c>
      <c r="I46" s="58" t="s">
        <v>79</v>
      </c>
      <c r="J46" s="58" t="s">
        <v>282</v>
      </c>
    </row>
    <row r="47" spans="1:10" x14ac:dyDescent="0.25">
      <c r="A47" s="101">
        <v>32</v>
      </c>
      <c r="B47" s="101">
        <v>32</v>
      </c>
      <c r="C47" s="101">
        <v>57</v>
      </c>
      <c r="D47" s="42" t="s">
        <v>102</v>
      </c>
      <c r="E47" s="58" t="s">
        <v>207</v>
      </c>
      <c r="F47" s="204">
        <v>1</v>
      </c>
      <c r="G47" s="98">
        <v>0</v>
      </c>
      <c r="H47" s="98">
        <v>0</v>
      </c>
      <c r="I47" s="58" t="s">
        <v>79</v>
      </c>
      <c r="J47" s="58" t="s">
        <v>282</v>
      </c>
    </row>
    <row r="48" spans="1:10" x14ac:dyDescent="0.25">
      <c r="A48" s="101">
        <v>33</v>
      </c>
      <c r="B48" s="101">
        <v>33</v>
      </c>
      <c r="C48" s="101">
        <v>58</v>
      </c>
      <c r="D48" s="42" t="s">
        <v>102</v>
      </c>
      <c r="E48" s="58" t="s">
        <v>207</v>
      </c>
      <c r="F48" s="204">
        <v>1</v>
      </c>
      <c r="G48" s="98">
        <v>0</v>
      </c>
      <c r="H48" s="98">
        <v>0</v>
      </c>
      <c r="I48" s="58" t="s">
        <v>79</v>
      </c>
      <c r="J48" s="58" t="s">
        <v>282</v>
      </c>
    </row>
    <row r="49" spans="1:10" x14ac:dyDescent="0.25">
      <c r="A49" s="101">
        <v>34</v>
      </c>
      <c r="B49" s="101">
        <v>34</v>
      </c>
      <c r="C49" s="101">
        <v>59</v>
      </c>
      <c r="D49" s="42" t="s">
        <v>102</v>
      </c>
      <c r="E49" s="58" t="s">
        <v>207</v>
      </c>
      <c r="F49" s="204">
        <v>1</v>
      </c>
      <c r="G49" s="98">
        <v>0</v>
      </c>
      <c r="H49" s="98">
        <v>0</v>
      </c>
      <c r="I49" s="58" t="s">
        <v>79</v>
      </c>
      <c r="J49" s="58" t="s">
        <v>282</v>
      </c>
    </row>
    <row r="50" spans="1:10" x14ac:dyDescent="0.25">
      <c r="A50" s="101">
        <v>35</v>
      </c>
      <c r="B50" s="101">
        <v>35</v>
      </c>
      <c r="C50" s="101">
        <v>60</v>
      </c>
      <c r="D50" s="42" t="s">
        <v>102</v>
      </c>
      <c r="E50" s="58" t="s">
        <v>207</v>
      </c>
      <c r="F50" s="204">
        <v>1</v>
      </c>
      <c r="G50" s="98">
        <v>0</v>
      </c>
      <c r="H50" s="98">
        <v>0</v>
      </c>
      <c r="I50" s="58" t="s">
        <v>79</v>
      </c>
      <c r="J50" s="58" t="s">
        <v>282</v>
      </c>
    </row>
    <row r="51" spans="1:10" x14ac:dyDescent="0.25">
      <c r="A51" s="101">
        <v>36</v>
      </c>
      <c r="B51" s="101">
        <v>36</v>
      </c>
      <c r="C51" s="101">
        <v>61</v>
      </c>
      <c r="D51" s="42" t="s">
        <v>102</v>
      </c>
      <c r="E51" s="58" t="s">
        <v>207</v>
      </c>
      <c r="F51" s="204">
        <v>1</v>
      </c>
      <c r="G51" s="98">
        <v>0</v>
      </c>
      <c r="H51" s="98">
        <v>0</v>
      </c>
      <c r="I51" s="58" t="s">
        <v>79</v>
      </c>
      <c r="J51" s="58" t="s">
        <v>282</v>
      </c>
    </row>
    <row r="52" spans="1:10" x14ac:dyDescent="0.25">
      <c r="A52" s="101">
        <v>37</v>
      </c>
      <c r="B52" s="101">
        <v>37</v>
      </c>
      <c r="C52" s="101">
        <v>62</v>
      </c>
      <c r="D52" s="42" t="s">
        <v>102</v>
      </c>
      <c r="E52" s="58" t="s">
        <v>207</v>
      </c>
      <c r="F52" s="204">
        <v>1</v>
      </c>
      <c r="G52" s="98">
        <v>0</v>
      </c>
      <c r="H52" s="98">
        <v>0</v>
      </c>
      <c r="I52" s="58" t="s">
        <v>79</v>
      </c>
      <c r="J52" s="58" t="s">
        <v>282</v>
      </c>
    </row>
    <row r="53" spans="1:10" x14ac:dyDescent="0.25">
      <c r="A53" s="101">
        <v>38</v>
      </c>
      <c r="B53" s="101">
        <v>38</v>
      </c>
      <c r="C53" s="101">
        <v>63</v>
      </c>
      <c r="D53" s="42" t="s">
        <v>102</v>
      </c>
      <c r="E53" s="58" t="s">
        <v>207</v>
      </c>
      <c r="F53" s="204">
        <v>1</v>
      </c>
      <c r="G53" s="98">
        <v>0</v>
      </c>
      <c r="H53" s="98">
        <v>0</v>
      </c>
      <c r="I53" s="58" t="s">
        <v>79</v>
      </c>
      <c r="J53" s="58" t="s">
        <v>282</v>
      </c>
    </row>
    <row r="54" spans="1:10" x14ac:dyDescent="0.25">
      <c r="A54" s="101">
        <v>39</v>
      </c>
      <c r="B54" s="101">
        <v>39</v>
      </c>
      <c r="C54" s="101">
        <v>64</v>
      </c>
      <c r="D54" s="42" t="s">
        <v>102</v>
      </c>
      <c r="E54" s="58" t="s">
        <v>207</v>
      </c>
      <c r="F54" s="204">
        <v>1</v>
      </c>
      <c r="G54" s="98">
        <v>0</v>
      </c>
      <c r="H54" s="98">
        <v>0</v>
      </c>
      <c r="I54" s="58" t="s">
        <v>79</v>
      </c>
      <c r="J54" s="58" t="s">
        <v>282</v>
      </c>
    </row>
    <row r="55" spans="1:10" x14ac:dyDescent="0.25">
      <c r="A55" s="101">
        <v>40</v>
      </c>
      <c r="B55" s="101">
        <v>40</v>
      </c>
      <c r="C55" s="101">
        <v>65</v>
      </c>
      <c r="D55" s="42" t="s">
        <v>102</v>
      </c>
      <c r="E55" s="58" t="s">
        <v>207</v>
      </c>
      <c r="F55" s="204">
        <v>1</v>
      </c>
      <c r="G55" s="98">
        <v>0</v>
      </c>
      <c r="H55" s="98">
        <v>0</v>
      </c>
      <c r="I55" s="58" t="s">
        <v>79</v>
      </c>
      <c r="J55" s="58" t="s">
        <v>282</v>
      </c>
    </row>
    <row r="56" spans="1:10" x14ac:dyDescent="0.25">
      <c r="A56" s="101">
        <v>41</v>
      </c>
      <c r="B56" s="101">
        <v>41</v>
      </c>
      <c r="C56" s="101">
        <v>66</v>
      </c>
      <c r="D56" s="42" t="s">
        <v>102</v>
      </c>
      <c r="E56" s="58" t="s">
        <v>207</v>
      </c>
      <c r="F56" s="204">
        <v>1</v>
      </c>
      <c r="G56" s="98">
        <v>0</v>
      </c>
      <c r="H56" s="98">
        <v>0</v>
      </c>
      <c r="I56" s="58" t="s">
        <v>79</v>
      </c>
      <c r="J56" s="58" t="s">
        <v>282</v>
      </c>
    </row>
    <row r="57" spans="1:10" x14ac:dyDescent="0.25">
      <c r="A57" s="101">
        <v>42</v>
      </c>
      <c r="B57" s="101">
        <v>42</v>
      </c>
      <c r="C57" s="101">
        <v>67</v>
      </c>
      <c r="D57" s="42" t="s">
        <v>102</v>
      </c>
      <c r="E57" s="58" t="s">
        <v>207</v>
      </c>
      <c r="F57" s="204">
        <v>1</v>
      </c>
      <c r="G57" s="98">
        <v>0</v>
      </c>
      <c r="H57" s="98">
        <v>0</v>
      </c>
      <c r="I57" s="58" t="s">
        <v>79</v>
      </c>
      <c r="J57" s="58" t="s">
        <v>282</v>
      </c>
    </row>
    <row r="58" spans="1:10" x14ac:dyDescent="0.25">
      <c r="A58" s="101">
        <v>43</v>
      </c>
      <c r="B58" s="101">
        <v>43</v>
      </c>
      <c r="C58" s="101">
        <v>68</v>
      </c>
      <c r="D58" s="42" t="s">
        <v>102</v>
      </c>
      <c r="E58" s="58" t="s">
        <v>207</v>
      </c>
      <c r="F58" s="204">
        <v>1</v>
      </c>
      <c r="G58" s="98">
        <v>0</v>
      </c>
      <c r="H58" s="98">
        <v>0</v>
      </c>
      <c r="I58" s="58" t="s">
        <v>79</v>
      </c>
      <c r="J58" s="58" t="s">
        <v>282</v>
      </c>
    </row>
    <row r="59" spans="1:10" x14ac:dyDescent="0.25">
      <c r="A59" s="101">
        <v>44</v>
      </c>
      <c r="B59" s="101">
        <v>44</v>
      </c>
      <c r="C59" s="101">
        <v>69</v>
      </c>
      <c r="D59" s="42" t="s">
        <v>102</v>
      </c>
      <c r="E59" s="58" t="s">
        <v>207</v>
      </c>
      <c r="F59" s="204">
        <v>1</v>
      </c>
      <c r="G59" s="98">
        <v>0</v>
      </c>
      <c r="H59" s="98">
        <v>0</v>
      </c>
      <c r="I59" s="58" t="s">
        <v>79</v>
      </c>
      <c r="J59" s="58" t="s">
        <v>282</v>
      </c>
    </row>
    <row r="60" spans="1:10" x14ac:dyDescent="0.25">
      <c r="A60" s="101">
        <v>45</v>
      </c>
      <c r="B60" s="101">
        <v>45</v>
      </c>
      <c r="C60" s="101">
        <v>70</v>
      </c>
      <c r="D60" s="42" t="s">
        <v>102</v>
      </c>
      <c r="E60" s="58" t="s">
        <v>207</v>
      </c>
      <c r="F60" s="204">
        <v>1</v>
      </c>
      <c r="G60" s="98">
        <v>0</v>
      </c>
      <c r="H60" s="98">
        <v>0</v>
      </c>
      <c r="I60" s="58" t="s">
        <v>79</v>
      </c>
      <c r="J60" s="58" t="s">
        <v>282</v>
      </c>
    </row>
    <row r="61" spans="1:10" x14ac:dyDescent="0.25">
      <c r="A61" s="101">
        <v>46</v>
      </c>
      <c r="B61" s="101">
        <v>46</v>
      </c>
      <c r="C61" s="101">
        <v>71</v>
      </c>
      <c r="D61" s="42" t="s">
        <v>102</v>
      </c>
      <c r="E61" s="58" t="s">
        <v>207</v>
      </c>
      <c r="F61" s="204">
        <v>1</v>
      </c>
      <c r="G61" s="98">
        <v>0</v>
      </c>
      <c r="H61" s="98">
        <v>0</v>
      </c>
      <c r="I61" s="58" t="s">
        <v>79</v>
      </c>
      <c r="J61" s="58" t="s">
        <v>282</v>
      </c>
    </row>
    <row r="62" spans="1:10" x14ac:dyDescent="0.25">
      <c r="A62" s="101">
        <v>47</v>
      </c>
      <c r="B62" s="101">
        <v>47</v>
      </c>
      <c r="C62" s="101">
        <v>72</v>
      </c>
      <c r="D62" s="42" t="s">
        <v>102</v>
      </c>
      <c r="E62" s="58" t="s">
        <v>207</v>
      </c>
      <c r="F62" s="204">
        <v>1</v>
      </c>
      <c r="G62" s="98">
        <v>0</v>
      </c>
      <c r="H62" s="98">
        <v>0</v>
      </c>
      <c r="I62" s="58" t="s">
        <v>79</v>
      </c>
      <c r="J62" s="58" t="s">
        <v>282</v>
      </c>
    </row>
    <row r="63" spans="1:10" x14ac:dyDescent="0.25">
      <c r="A63" s="101">
        <v>48</v>
      </c>
      <c r="B63" s="101">
        <v>48</v>
      </c>
      <c r="C63" s="101">
        <v>73</v>
      </c>
      <c r="D63" s="42" t="s">
        <v>102</v>
      </c>
      <c r="E63" s="58" t="s">
        <v>207</v>
      </c>
      <c r="F63" s="204">
        <v>1</v>
      </c>
      <c r="G63" s="98">
        <v>0</v>
      </c>
      <c r="H63" s="98">
        <v>0</v>
      </c>
      <c r="I63" s="58" t="s">
        <v>79</v>
      </c>
      <c r="J63" s="58" t="s">
        <v>282</v>
      </c>
    </row>
    <row r="64" spans="1:10" x14ac:dyDescent="0.25">
      <c r="A64" s="101">
        <v>49</v>
      </c>
      <c r="B64" s="101">
        <v>49</v>
      </c>
      <c r="C64" s="101">
        <v>74</v>
      </c>
      <c r="D64" s="42" t="s">
        <v>102</v>
      </c>
      <c r="E64" s="58" t="s">
        <v>207</v>
      </c>
      <c r="F64" s="204">
        <v>1</v>
      </c>
      <c r="G64" s="98">
        <v>0</v>
      </c>
      <c r="H64" s="98">
        <v>0</v>
      </c>
      <c r="I64" s="58" t="s">
        <v>79</v>
      </c>
      <c r="J64" s="58" t="s">
        <v>282</v>
      </c>
    </row>
    <row r="65" spans="1:10" x14ac:dyDescent="0.25">
      <c r="A65" s="101">
        <v>50</v>
      </c>
      <c r="B65" s="101">
        <v>50</v>
      </c>
      <c r="C65" s="101">
        <v>75</v>
      </c>
      <c r="D65" s="42" t="s">
        <v>102</v>
      </c>
      <c r="E65" s="58" t="s">
        <v>207</v>
      </c>
      <c r="F65" s="204">
        <v>1</v>
      </c>
      <c r="G65" s="98">
        <v>0</v>
      </c>
      <c r="H65" s="98">
        <v>0</v>
      </c>
      <c r="I65" s="58" t="s">
        <v>79</v>
      </c>
      <c r="J65" s="58" t="s">
        <v>282</v>
      </c>
    </row>
    <row r="66" spans="1:10" x14ac:dyDescent="0.25">
      <c r="A66" s="101">
        <v>51</v>
      </c>
      <c r="B66" s="101">
        <v>51</v>
      </c>
      <c r="C66" s="101">
        <v>76</v>
      </c>
      <c r="D66" s="42" t="s">
        <v>102</v>
      </c>
      <c r="E66" s="58" t="s">
        <v>207</v>
      </c>
      <c r="F66" s="204">
        <v>1</v>
      </c>
      <c r="G66" s="98">
        <v>0</v>
      </c>
      <c r="H66" s="98">
        <v>0</v>
      </c>
      <c r="I66" s="58" t="s">
        <v>79</v>
      </c>
      <c r="J66" s="58" t="s">
        <v>282</v>
      </c>
    </row>
    <row r="67" spans="1:10" x14ac:dyDescent="0.25">
      <c r="A67" s="101">
        <v>52</v>
      </c>
      <c r="B67" s="101">
        <v>52</v>
      </c>
      <c r="C67" s="101">
        <v>77</v>
      </c>
      <c r="D67" s="42" t="s">
        <v>102</v>
      </c>
      <c r="E67" s="58" t="s">
        <v>207</v>
      </c>
      <c r="F67" s="204">
        <v>1</v>
      </c>
      <c r="G67" s="98">
        <v>0</v>
      </c>
      <c r="H67" s="98">
        <v>0</v>
      </c>
      <c r="I67" s="58" t="s">
        <v>79</v>
      </c>
      <c r="J67" s="58" t="s">
        <v>282</v>
      </c>
    </row>
    <row r="68" spans="1:10" x14ac:dyDescent="0.25">
      <c r="A68" s="101">
        <v>53</v>
      </c>
      <c r="B68" s="101">
        <v>53</v>
      </c>
      <c r="C68" s="101">
        <v>78</v>
      </c>
      <c r="D68" s="42" t="s">
        <v>102</v>
      </c>
      <c r="E68" s="58" t="s">
        <v>207</v>
      </c>
      <c r="F68" s="204">
        <v>1</v>
      </c>
      <c r="G68" s="98">
        <v>0</v>
      </c>
      <c r="H68" s="98">
        <v>0</v>
      </c>
      <c r="I68" s="58" t="s">
        <v>79</v>
      </c>
      <c r="J68" s="58" t="s">
        <v>282</v>
      </c>
    </row>
    <row r="69" spans="1:10" x14ac:dyDescent="0.25">
      <c r="A69" s="101">
        <v>54</v>
      </c>
      <c r="B69" s="101">
        <v>54</v>
      </c>
      <c r="C69" s="101">
        <v>79</v>
      </c>
      <c r="D69" s="42" t="s">
        <v>102</v>
      </c>
      <c r="E69" s="58" t="s">
        <v>207</v>
      </c>
      <c r="F69" s="204">
        <v>1</v>
      </c>
      <c r="G69" s="98">
        <v>0</v>
      </c>
      <c r="H69" s="98">
        <v>0</v>
      </c>
      <c r="I69" s="58" t="s">
        <v>79</v>
      </c>
      <c r="J69" s="58" t="s">
        <v>282</v>
      </c>
    </row>
    <row r="70" spans="1:10" x14ac:dyDescent="0.25">
      <c r="A70" s="101">
        <v>55</v>
      </c>
      <c r="B70" s="101">
        <v>55</v>
      </c>
      <c r="C70" s="101">
        <v>80</v>
      </c>
      <c r="D70" s="42" t="s">
        <v>102</v>
      </c>
      <c r="E70" s="58" t="s">
        <v>207</v>
      </c>
      <c r="F70" s="204">
        <v>1</v>
      </c>
      <c r="G70" s="98">
        <v>0</v>
      </c>
      <c r="H70" s="98">
        <v>0</v>
      </c>
      <c r="I70" s="58" t="s">
        <v>79</v>
      </c>
      <c r="J70" s="58" t="s">
        <v>282</v>
      </c>
    </row>
    <row r="71" spans="1:10" x14ac:dyDescent="0.25">
      <c r="A71" s="101">
        <v>56</v>
      </c>
      <c r="B71" s="101">
        <v>56</v>
      </c>
      <c r="C71" s="101">
        <v>81</v>
      </c>
      <c r="D71" s="42" t="s">
        <v>102</v>
      </c>
      <c r="E71" s="58" t="s">
        <v>207</v>
      </c>
      <c r="F71" s="204">
        <v>1</v>
      </c>
      <c r="G71" s="98">
        <v>0</v>
      </c>
      <c r="H71" s="98">
        <v>0</v>
      </c>
      <c r="I71" s="58" t="s">
        <v>79</v>
      </c>
      <c r="J71" s="58" t="s">
        <v>282</v>
      </c>
    </row>
    <row r="72" spans="1:10" x14ac:dyDescent="0.25">
      <c r="A72" s="101">
        <v>57</v>
      </c>
      <c r="B72" s="101">
        <v>57</v>
      </c>
      <c r="C72" s="101">
        <v>82</v>
      </c>
      <c r="D72" s="42" t="s">
        <v>102</v>
      </c>
      <c r="E72" s="58" t="s">
        <v>207</v>
      </c>
      <c r="F72" s="204">
        <v>1</v>
      </c>
      <c r="G72" s="98">
        <v>0</v>
      </c>
      <c r="H72" s="98">
        <v>0</v>
      </c>
      <c r="I72" s="58" t="s">
        <v>79</v>
      </c>
      <c r="J72" s="58" t="s">
        <v>282</v>
      </c>
    </row>
    <row r="73" spans="1:10" x14ac:dyDescent="0.25">
      <c r="A73" s="101">
        <v>58</v>
      </c>
      <c r="B73" s="101">
        <v>58</v>
      </c>
      <c r="C73" s="101">
        <v>83</v>
      </c>
      <c r="D73" s="42" t="s">
        <v>102</v>
      </c>
      <c r="E73" s="58" t="s">
        <v>207</v>
      </c>
      <c r="F73" s="204">
        <v>1</v>
      </c>
      <c r="G73" s="98">
        <v>0</v>
      </c>
      <c r="H73" s="98">
        <v>0</v>
      </c>
      <c r="I73" s="58" t="s">
        <v>79</v>
      </c>
      <c r="J73" s="58" t="s">
        <v>282</v>
      </c>
    </row>
    <row r="74" spans="1:10" x14ac:dyDescent="0.25">
      <c r="A74" s="101">
        <v>59</v>
      </c>
      <c r="B74" s="101">
        <v>59</v>
      </c>
      <c r="C74" s="101">
        <v>84</v>
      </c>
      <c r="D74" s="42" t="s">
        <v>102</v>
      </c>
      <c r="E74" s="58" t="s">
        <v>207</v>
      </c>
      <c r="F74" s="204">
        <v>1</v>
      </c>
      <c r="G74" s="98">
        <v>0</v>
      </c>
      <c r="H74" s="98">
        <v>0</v>
      </c>
      <c r="I74" s="58" t="s">
        <v>79</v>
      </c>
      <c r="J74" s="58" t="s">
        <v>282</v>
      </c>
    </row>
    <row r="75" spans="1:10" x14ac:dyDescent="0.25">
      <c r="A75" s="101">
        <v>60</v>
      </c>
      <c r="B75" s="101">
        <v>60</v>
      </c>
      <c r="C75" s="101">
        <v>85</v>
      </c>
      <c r="D75" s="42" t="s">
        <v>102</v>
      </c>
      <c r="E75" s="58" t="s">
        <v>207</v>
      </c>
      <c r="F75" s="204">
        <v>1</v>
      </c>
      <c r="G75" s="98">
        <v>0</v>
      </c>
      <c r="H75" s="98">
        <v>0</v>
      </c>
      <c r="I75" s="58" t="s">
        <v>79</v>
      </c>
      <c r="J75" s="58" t="s">
        <v>282</v>
      </c>
    </row>
    <row r="76" spans="1:10" x14ac:dyDescent="0.25">
      <c r="A76" s="101">
        <v>61</v>
      </c>
      <c r="B76" s="101">
        <v>61</v>
      </c>
      <c r="C76" s="101">
        <v>86</v>
      </c>
      <c r="D76" s="42" t="s">
        <v>102</v>
      </c>
      <c r="E76" s="58" t="s">
        <v>207</v>
      </c>
      <c r="F76" s="204">
        <v>1</v>
      </c>
      <c r="G76" s="98">
        <v>0</v>
      </c>
      <c r="H76" s="98">
        <v>0</v>
      </c>
      <c r="I76" s="58" t="s">
        <v>79</v>
      </c>
      <c r="J76" s="58" t="s">
        <v>282</v>
      </c>
    </row>
    <row r="77" spans="1:10" x14ac:dyDescent="0.25">
      <c r="A77" s="101">
        <v>62</v>
      </c>
      <c r="B77" s="101">
        <v>62</v>
      </c>
      <c r="C77" s="101">
        <v>87</v>
      </c>
      <c r="D77" s="42" t="s">
        <v>102</v>
      </c>
      <c r="E77" s="58" t="s">
        <v>207</v>
      </c>
      <c r="F77" s="204">
        <v>1</v>
      </c>
      <c r="G77" s="98">
        <v>0</v>
      </c>
      <c r="H77" s="98">
        <v>0</v>
      </c>
      <c r="I77" s="58" t="s">
        <v>79</v>
      </c>
      <c r="J77" s="58" t="s">
        <v>282</v>
      </c>
    </row>
    <row r="78" spans="1:10" x14ac:dyDescent="0.25">
      <c r="A78" s="101">
        <v>63</v>
      </c>
      <c r="B78" s="101">
        <v>63</v>
      </c>
      <c r="C78" s="101">
        <v>88</v>
      </c>
      <c r="D78" s="42" t="s">
        <v>102</v>
      </c>
      <c r="E78" s="58" t="s">
        <v>207</v>
      </c>
      <c r="F78" s="204">
        <v>1</v>
      </c>
      <c r="G78" s="98">
        <v>0</v>
      </c>
      <c r="H78" s="98">
        <v>0</v>
      </c>
      <c r="I78" s="58" t="s">
        <v>79</v>
      </c>
      <c r="J78" s="58" t="s">
        <v>282</v>
      </c>
    </row>
    <row r="79" spans="1:10" x14ac:dyDescent="0.25">
      <c r="A79" s="101">
        <v>64</v>
      </c>
      <c r="B79" s="101">
        <v>64</v>
      </c>
      <c r="C79" s="101">
        <v>89</v>
      </c>
      <c r="D79" s="42" t="s">
        <v>102</v>
      </c>
      <c r="E79" s="58" t="s">
        <v>207</v>
      </c>
      <c r="F79" s="204">
        <v>1</v>
      </c>
      <c r="G79" s="98">
        <v>0</v>
      </c>
      <c r="H79" s="98">
        <v>0</v>
      </c>
      <c r="I79" s="58" t="s">
        <v>79</v>
      </c>
      <c r="J79" s="58" t="s">
        <v>282</v>
      </c>
    </row>
    <row r="80" spans="1:10" x14ac:dyDescent="0.25">
      <c r="A80" s="101">
        <v>65</v>
      </c>
      <c r="B80" s="101">
        <v>65</v>
      </c>
      <c r="C80" s="101">
        <v>90</v>
      </c>
      <c r="D80" s="42" t="s">
        <v>102</v>
      </c>
      <c r="E80" s="58" t="s">
        <v>207</v>
      </c>
      <c r="F80" s="204">
        <v>1</v>
      </c>
      <c r="G80" s="98">
        <v>0</v>
      </c>
      <c r="H80" s="98">
        <v>0</v>
      </c>
      <c r="I80" s="58" t="s">
        <v>79</v>
      </c>
      <c r="J80" s="58" t="s">
        <v>282</v>
      </c>
    </row>
    <row r="81" spans="1:10" x14ac:dyDescent="0.25">
      <c r="A81" s="101">
        <v>66</v>
      </c>
      <c r="B81" s="101">
        <v>66</v>
      </c>
      <c r="C81" s="101">
        <v>91</v>
      </c>
      <c r="D81" s="42" t="s">
        <v>102</v>
      </c>
      <c r="E81" s="58" t="s">
        <v>207</v>
      </c>
      <c r="F81" s="204">
        <v>1</v>
      </c>
      <c r="G81" s="98">
        <v>0</v>
      </c>
      <c r="H81" s="98">
        <v>0</v>
      </c>
      <c r="I81" s="58" t="s">
        <v>79</v>
      </c>
      <c r="J81" s="58" t="s">
        <v>282</v>
      </c>
    </row>
    <row r="82" spans="1:10" x14ac:dyDescent="0.25">
      <c r="A82" s="101">
        <v>67</v>
      </c>
      <c r="B82" s="101">
        <v>67</v>
      </c>
      <c r="C82" s="101">
        <v>92</v>
      </c>
      <c r="D82" s="42" t="s">
        <v>102</v>
      </c>
      <c r="E82" s="58" t="s">
        <v>207</v>
      </c>
      <c r="F82" s="204">
        <v>1</v>
      </c>
      <c r="G82" s="98">
        <v>0</v>
      </c>
      <c r="H82" s="98">
        <v>0</v>
      </c>
      <c r="I82" s="58" t="s">
        <v>79</v>
      </c>
      <c r="J82" s="58" t="s">
        <v>282</v>
      </c>
    </row>
    <row r="83" spans="1:10" x14ac:dyDescent="0.25">
      <c r="A83" s="101">
        <v>68</v>
      </c>
      <c r="B83" s="101">
        <v>68</v>
      </c>
      <c r="C83" s="101">
        <v>93</v>
      </c>
      <c r="D83" s="42" t="s">
        <v>102</v>
      </c>
      <c r="E83" s="58" t="s">
        <v>207</v>
      </c>
      <c r="F83" s="204">
        <v>1</v>
      </c>
      <c r="G83" s="98">
        <v>0</v>
      </c>
      <c r="H83" s="98">
        <v>0</v>
      </c>
      <c r="I83" s="58" t="s">
        <v>79</v>
      </c>
      <c r="J83" s="58" t="s">
        <v>282</v>
      </c>
    </row>
    <row r="84" spans="1:10" x14ac:dyDescent="0.25">
      <c r="A84" s="101">
        <v>69</v>
      </c>
      <c r="B84" s="101">
        <v>69</v>
      </c>
      <c r="C84" s="101">
        <v>94</v>
      </c>
      <c r="D84" s="42" t="s">
        <v>102</v>
      </c>
      <c r="E84" s="58" t="s">
        <v>207</v>
      </c>
      <c r="F84" s="204">
        <v>1</v>
      </c>
      <c r="G84" s="98">
        <v>0</v>
      </c>
      <c r="H84" s="98">
        <v>0</v>
      </c>
      <c r="I84" s="58" t="s">
        <v>79</v>
      </c>
      <c r="J84" s="58" t="s">
        <v>282</v>
      </c>
    </row>
    <row r="85" spans="1:10" x14ac:dyDescent="0.25">
      <c r="A85" s="101">
        <v>70</v>
      </c>
      <c r="B85" s="101">
        <v>70</v>
      </c>
      <c r="C85" s="101">
        <v>95</v>
      </c>
      <c r="D85" s="42" t="s">
        <v>102</v>
      </c>
      <c r="E85" s="58" t="s">
        <v>207</v>
      </c>
      <c r="F85" s="204">
        <v>1</v>
      </c>
      <c r="G85" s="98">
        <v>0</v>
      </c>
      <c r="H85" s="98">
        <v>0</v>
      </c>
      <c r="I85" s="58" t="s">
        <v>79</v>
      </c>
      <c r="J85" s="58" t="s">
        <v>282</v>
      </c>
    </row>
    <row r="86" spans="1:10" x14ac:dyDescent="0.25">
      <c r="A86" s="101">
        <v>71</v>
      </c>
      <c r="B86" s="101">
        <v>71</v>
      </c>
      <c r="C86" s="101">
        <v>96</v>
      </c>
      <c r="D86" s="42" t="s">
        <v>102</v>
      </c>
      <c r="E86" s="58" t="s">
        <v>207</v>
      </c>
      <c r="F86" s="204">
        <v>1</v>
      </c>
      <c r="G86" s="98">
        <v>0</v>
      </c>
      <c r="H86" s="98">
        <v>0</v>
      </c>
      <c r="I86" s="58" t="s">
        <v>79</v>
      </c>
      <c r="J86" s="58" t="s">
        <v>282</v>
      </c>
    </row>
    <row r="87" spans="1:10" x14ac:dyDescent="0.25">
      <c r="A87" s="101">
        <v>72</v>
      </c>
      <c r="B87" s="101">
        <v>72</v>
      </c>
      <c r="C87" s="101">
        <v>97</v>
      </c>
      <c r="D87" s="42" t="s">
        <v>102</v>
      </c>
      <c r="E87" s="58" t="s">
        <v>207</v>
      </c>
      <c r="F87" s="204">
        <v>1</v>
      </c>
      <c r="G87" s="98">
        <v>0</v>
      </c>
      <c r="H87" s="98">
        <v>0</v>
      </c>
      <c r="I87" s="58" t="s">
        <v>79</v>
      </c>
      <c r="J87" s="58" t="s">
        <v>282</v>
      </c>
    </row>
    <row r="88" spans="1:10" x14ac:dyDescent="0.25">
      <c r="A88" s="101">
        <v>73</v>
      </c>
      <c r="B88" s="101">
        <v>73</v>
      </c>
      <c r="C88" s="101">
        <v>98</v>
      </c>
      <c r="D88" s="42" t="s">
        <v>102</v>
      </c>
      <c r="E88" s="58" t="s">
        <v>207</v>
      </c>
      <c r="F88" s="204">
        <v>1</v>
      </c>
      <c r="G88" s="98">
        <v>0</v>
      </c>
      <c r="H88" s="98">
        <v>0</v>
      </c>
      <c r="I88" s="58" t="s">
        <v>79</v>
      </c>
      <c r="J88" s="58" t="s">
        <v>282</v>
      </c>
    </row>
    <row r="89" spans="1:10" x14ac:dyDescent="0.25">
      <c r="A89" s="101">
        <v>74</v>
      </c>
      <c r="B89" s="101">
        <v>74</v>
      </c>
      <c r="C89" s="101">
        <v>99</v>
      </c>
      <c r="D89" s="42" t="s">
        <v>102</v>
      </c>
      <c r="E89" s="58" t="s">
        <v>207</v>
      </c>
      <c r="F89" s="204">
        <v>1</v>
      </c>
      <c r="G89" s="98">
        <v>0</v>
      </c>
      <c r="H89" s="98">
        <v>0</v>
      </c>
      <c r="I89" s="58" t="s">
        <v>79</v>
      </c>
      <c r="J89" s="58" t="s">
        <v>282</v>
      </c>
    </row>
    <row r="90" spans="1:10" x14ac:dyDescent="0.25">
      <c r="A90" s="101">
        <v>75</v>
      </c>
      <c r="B90" s="101">
        <v>75</v>
      </c>
      <c r="C90" s="101">
        <v>100</v>
      </c>
      <c r="D90" s="42" t="s">
        <v>102</v>
      </c>
      <c r="E90" s="58" t="s">
        <v>207</v>
      </c>
      <c r="F90" s="204">
        <v>1</v>
      </c>
      <c r="G90" s="98">
        <v>0</v>
      </c>
      <c r="H90" s="98">
        <v>0</v>
      </c>
      <c r="I90" s="58" t="s">
        <v>79</v>
      </c>
      <c r="J90" s="58" t="s">
        <v>282</v>
      </c>
    </row>
    <row r="91" spans="1:10" x14ac:dyDescent="0.25">
      <c r="A91" s="101">
        <v>76</v>
      </c>
      <c r="B91" s="101">
        <v>76</v>
      </c>
      <c r="C91" s="101">
        <v>101</v>
      </c>
      <c r="D91" s="42" t="s">
        <v>102</v>
      </c>
      <c r="E91" s="58" t="s">
        <v>207</v>
      </c>
      <c r="F91" s="204">
        <v>1</v>
      </c>
      <c r="G91" s="98">
        <v>0</v>
      </c>
      <c r="H91" s="98">
        <v>0</v>
      </c>
      <c r="I91" s="58" t="s">
        <v>79</v>
      </c>
      <c r="J91" s="58" t="s">
        <v>282</v>
      </c>
    </row>
    <row r="92" spans="1:10" x14ac:dyDescent="0.25">
      <c r="A92" s="101">
        <v>77</v>
      </c>
      <c r="B92" s="101">
        <v>77</v>
      </c>
      <c r="C92" s="101">
        <v>102</v>
      </c>
      <c r="D92" s="42" t="s">
        <v>102</v>
      </c>
      <c r="E92" s="58" t="s">
        <v>207</v>
      </c>
      <c r="F92" s="204">
        <v>1</v>
      </c>
      <c r="G92" s="98">
        <v>0</v>
      </c>
      <c r="H92" s="98">
        <v>0</v>
      </c>
      <c r="I92" s="58" t="s">
        <v>79</v>
      </c>
      <c r="J92" s="58" t="s">
        <v>282</v>
      </c>
    </row>
    <row r="93" spans="1:10" x14ac:dyDescent="0.25">
      <c r="A93" s="101">
        <v>78</v>
      </c>
      <c r="B93" s="101">
        <v>78</v>
      </c>
      <c r="C93" s="101">
        <v>103</v>
      </c>
      <c r="D93" s="42" t="s">
        <v>102</v>
      </c>
      <c r="E93" s="58" t="s">
        <v>207</v>
      </c>
      <c r="F93" s="204">
        <v>1</v>
      </c>
      <c r="G93" s="98">
        <v>0</v>
      </c>
      <c r="H93" s="98">
        <v>0</v>
      </c>
      <c r="I93" s="58" t="s">
        <v>79</v>
      </c>
      <c r="J93" s="58" t="s">
        <v>282</v>
      </c>
    </row>
    <row r="94" spans="1:10" x14ac:dyDescent="0.25">
      <c r="A94" s="101">
        <v>79</v>
      </c>
      <c r="B94" s="101">
        <v>79</v>
      </c>
      <c r="C94" s="101">
        <v>104</v>
      </c>
      <c r="D94" s="42" t="s">
        <v>102</v>
      </c>
      <c r="E94" s="58" t="s">
        <v>207</v>
      </c>
      <c r="F94" s="204">
        <v>1</v>
      </c>
      <c r="G94" s="98">
        <v>0</v>
      </c>
      <c r="H94" s="98">
        <v>0</v>
      </c>
      <c r="I94" s="58" t="s">
        <v>79</v>
      </c>
      <c r="J94" s="58" t="s">
        <v>282</v>
      </c>
    </row>
    <row r="95" spans="1:10" x14ac:dyDescent="0.25">
      <c r="A95" s="101">
        <v>80</v>
      </c>
      <c r="B95" s="101">
        <v>80</v>
      </c>
      <c r="C95" s="101">
        <v>105</v>
      </c>
      <c r="D95" s="42" t="s">
        <v>102</v>
      </c>
      <c r="E95" s="58" t="s">
        <v>207</v>
      </c>
      <c r="F95" s="204">
        <v>1</v>
      </c>
      <c r="G95" s="98">
        <v>0</v>
      </c>
      <c r="H95" s="98">
        <v>0</v>
      </c>
      <c r="I95" s="58" t="s">
        <v>79</v>
      </c>
      <c r="J95" s="58" t="s">
        <v>282</v>
      </c>
    </row>
    <row r="96" spans="1:10" x14ac:dyDescent="0.25">
      <c r="A96" s="101">
        <v>81</v>
      </c>
      <c r="B96" s="101">
        <v>81</v>
      </c>
      <c r="C96" s="101">
        <v>106</v>
      </c>
      <c r="D96" s="42" t="s">
        <v>102</v>
      </c>
      <c r="E96" s="58" t="s">
        <v>207</v>
      </c>
      <c r="F96" s="204">
        <v>1</v>
      </c>
      <c r="G96" s="98">
        <v>0</v>
      </c>
      <c r="H96" s="98">
        <v>0</v>
      </c>
      <c r="I96" s="58" t="s">
        <v>79</v>
      </c>
      <c r="J96" s="58" t="s">
        <v>282</v>
      </c>
    </row>
    <row r="97" spans="1:10" x14ac:dyDescent="0.25">
      <c r="A97" s="101">
        <v>82</v>
      </c>
      <c r="B97" s="101">
        <v>82</v>
      </c>
      <c r="C97" s="101">
        <v>107</v>
      </c>
      <c r="D97" s="42" t="s">
        <v>102</v>
      </c>
      <c r="E97" s="58" t="s">
        <v>207</v>
      </c>
      <c r="F97" s="204">
        <v>1</v>
      </c>
      <c r="G97" s="98">
        <v>0</v>
      </c>
      <c r="H97" s="98">
        <v>0</v>
      </c>
      <c r="I97" s="58" t="s">
        <v>79</v>
      </c>
      <c r="J97" s="58" t="s">
        <v>282</v>
      </c>
    </row>
    <row r="98" spans="1:10" x14ac:dyDescent="0.25">
      <c r="A98" s="101">
        <v>83</v>
      </c>
      <c r="B98" s="101">
        <v>83</v>
      </c>
      <c r="C98" s="101">
        <v>108</v>
      </c>
      <c r="D98" s="42" t="s">
        <v>102</v>
      </c>
      <c r="E98" s="58" t="s">
        <v>207</v>
      </c>
      <c r="F98" s="204">
        <v>1</v>
      </c>
      <c r="G98" s="98">
        <v>0</v>
      </c>
      <c r="H98" s="98">
        <v>0</v>
      </c>
      <c r="I98" s="58" t="s">
        <v>79</v>
      </c>
      <c r="J98" s="58" t="s">
        <v>282</v>
      </c>
    </row>
    <row r="99" spans="1:10" x14ac:dyDescent="0.25">
      <c r="A99" s="101">
        <v>84</v>
      </c>
      <c r="B99" s="101">
        <v>84</v>
      </c>
      <c r="C99" s="101">
        <v>109</v>
      </c>
      <c r="D99" s="42" t="s">
        <v>102</v>
      </c>
      <c r="E99" s="58" t="s">
        <v>207</v>
      </c>
      <c r="F99" s="204">
        <v>1</v>
      </c>
      <c r="G99" s="98">
        <v>0</v>
      </c>
      <c r="H99" s="98">
        <v>0</v>
      </c>
      <c r="I99" s="58" t="s">
        <v>79</v>
      </c>
      <c r="J99" s="58" t="s">
        <v>282</v>
      </c>
    </row>
    <row r="100" spans="1:10" x14ac:dyDescent="0.25">
      <c r="A100" s="101">
        <v>85</v>
      </c>
      <c r="B100" s="101">
        <v>85</v>
      </c>
      <c r="C100" s="101">
        <v>110</v>
      </c>
      <c r="D100" s="42" t="s">
        <v>102</v>
      </c>
      <c r="E100" s="58" t="s">
        <v>207</v>
      </c>
      <c r="F100" s="204">
        <v>1</v>
      </c>
      <c r="G100" s="98">
        <v>0</v>
      </c>
      <c r="H100" s="98">
        <v>0</v>
      </c>
      <c r="I100" s="58" t="s">
        <v>79</v>
      </c>
      <c r="J100" s="58" t="s">
        <v>282</v>
      </c>
    </row>
    <row r="101" spans="1:10" x14ac:dyDescent="0.25">
      <c r="A101" s="101">
        <v>86</v>
      </c>
      <c r="B101" s="101">
        <v>86</v>
      </c>
      <c r="C101" s="101">
        <v>111</v>
      </c>
      <c r="D101" s="42" t="s">
        <v>102</v>
      </c>
      <c r="E101" s="58" t="s">
        <v>207</v>
      </c>
      <c r="F101" s="204">
        <v>1</v>
      </c>
      <c r="G101" s="98">
        <v>0</v>
      </c>
      <c r="H101" s="98">
        <v>0</v>
      </c>
      <c r="I101" s="58" t="s">
        <v>79</v>
      </c>
      <c r="J101" s="58" t="s">
        <v>282</v>
      </c>
    </row>
    <row r="102" spans="1:10" x14ac:dyDescent="0.25">
      <c r="A102" s="101">
        <v>87</v>
      </c>
      <c r="B102" s="101">
        <v>87</v>
      </c>
      <c r="C102" s="101">
        <v>112</v>
      </c>
      <c r="D102" s="42" t="s">
        <v>102</v>
      </c>
      <c r="E102" s="58" t="s">
        <v>207</v>
      </c>
      <c r="F102" s="204">
        <v>1</v>
      </c>
      <c r="G102" s="98">
        <v>0</v>
      </c>
      <c r="H102" s="98">
        <v>0</v>
      </c>
      <c r="I102" s="58" t="s">
        <v>79</v>
      </c>
      <c r="J102" s="58" t="s">
        <v>282</v>
      </c>
    </row>
    <row r="103" spans="1:10" x14ac:dyDescent="0.25">
      <c r="A103" s="101">
        <v>88</v>
      </c>
      <c r="B103" s="101">
        <v>88</v>
      </c>
      <c r="C103" s="101">
        <v>113</v>
      </c>
      <c r="D103" s="42" t="s">
        <v>102</v>
      </c>
      <c r="E103" s="58" t="s">
        <v>207</v>
      </c>
      <c r="F103" s="204">
        <v>1</v>
      </c>
      <c r="G103" s="98">
        <v>0</v>
      </c>
      <c r="H103" s="98">
        <v>0</v>
      </c>
      <c r="I103" s="58" t="s">
        <v>79</v>
      </c>
      <c r="J103" s="58" t="s">
        <v>282</v>
      </c>
    </row>
    <row r="104" spans="1:10" x14ac:dyDescent="0.25">
      <c r="A104" s="101">
        <v>89</v>
      </c>
      <c r="B104" s="101">
        <v>89</v>
      </c>
      <c r="C104" s="101">
        <v>114</v>
      </c>
      <c r="D104" s="42" t="s">
        <v>102</v>
      </c>
      <c r="E104" s="58" t="s">
        <v>207</v>
      </c>
      <c r="F104" s="204">
        <v>1</v>
      </c>
      <c r="G104" s="98">
        <v>0</v>
      </c>
      <c r="H104" s="98">
        <v>0</v>
      </c>
      <c r="I104" s="58" t="s">
        <v>79</v>
      </c>
      <c r="J104" s="58" t="s">
        <v>282</v>
      </c>
    </row>
    <row r="105" spans="1:10" x14ac:dyDescent="0.25">
      <c r="A105" s="101">
        <v>90</v>
      </c>
      <c r="B105" s="101">
        <v>90</v>
      </c>
      <c r="C105" s="101">
        <v>115</v>
      </c>
      <c r="D105" s="42" t="s">
        <v>102</v>
      </c>
      <c r="E105" s="58" t="s">
        <v>207</v>
      </c>
      <c r="F105" s="204">
        <v>1</v>
      </c>
      <c r="G105" s="98">
        <v>0</v>
      </c>
      <c r="H105" s="98">
        <v>0</v>
      </c>
      <c r="I105" s="58" t="s">
        <v>79</v>
      </c>
      <c r="J105" s="58" t="s">
        <v>282</v>
      </c>
    </row>
    <row r="106" spans="1:10" x14ac:dyDescent="0.25">
      <c r="A106" s="101">
        <v>91</v>
      </c>
      <c r="B106" s="101">
        <v>91</v>
      </c>
      <c r="C106" s="101">
        <v>116</v>
      </c>
      <c r="D106" s="42" t="s">
        <v>102</v>
      </c>
      <c r="E106" s="58" t="s">
        <v>207</v>
      </c>
      <c r="F106" s="204">
        <v>1</v>
      </c>
      <c r="G106" s="98">
        <v>0</v>
      </c>
      <c r="H106" s="98">
        <v>0</v>
      </c>
      <c r="I106" s="58" t="s">
        <v>79</v>
      </c>
      <c r="J106" s="58" t="s">
        <v>282</v>
      </c>
    </row>
    <row r="107" spans="1:10" x14ac:dyDescent="0.25">
      <c r="A107" s="101">
        <v>92</v>
      </c>
      <c r="B107" s="101">
        <v>92</v>
      </c>
      <c r="C107" s="101">
        <v>117</v>
      </c>
      <c r="D107" s="42" t="s">
        <v>102</v>
      </c>
      <c r="E107" s="58" t="s">
        <v>207</v>
      </c>
      <c r="F107" s="204">
        <v>1</v>
      </c>
      <c r="G107" s="98">
        <v>0</v>
      </c>
      <c r="H107" s="98">
        <v>0</v>
      </c>
      <c r="I107" s="58" t="s">
        <v>79</v>
      </c>
      <c r="J107" s="58" t="s">
        <v>282</v>
      </c>
    </row>
    <row r="108" spans="1:10" x14ac:dyDescent="0.25">
      <c r="A108" s="101">
        <v>93</v>
      </c>
      <c r="B108" s="101">
        <v>93</v>
      </c>
      <c r="C108" s="101">
        <v>118</v>
      </c>
      <c r="D108" s="42" t="s">
        <v>102</v>
      </c>
      <c r="E108" s="58" t="s">
        <v>207</v>
      </c>
      <c r="F108" s="204">
        <v>1</v>
      </c>
      <c r="G108" s="98">
        <v>0</v>
      </c>
      <c r="H108" s="98">
        <v>0</v>
      </c>
      <c r="I108" s="58" t="s">
        <v>79</v>
      </c>
      <c r="J108" s="58" t="s">
        <v>282</v>
      </c>
    </row>
    <row r="109" spans="1:10" x14ac:dyDescent="0.25">
      <c r="A109" s="101">
        <v>94</v>
      </c>
      <c r="B109" s="101">
        <v>94</v>
      </c>
      <c r="C109" s="101">
        <v>119</v>
      </c>
      <c r="D109" s="42" t="s">
        <v>102</v>
      </c>
      <c r="E109" s="58" t="s">
        <v>207</v>
      </c>
      <c r="F109" s="204">
        <v>1</v>
      </c>
      <c r="G109" s="98">
        <v>0</v>
      </c>
      <c r="H109" s="98">
        <v>0</v>
      </c>
      <c r="I109" s="58" t="s">
        <v>79</v>
      </c>
      <c r="J109" s="58" t="s">
        <v>282</v>
      </c>
    </row>
    <row r="110" spans="1:10" x14ac:dyDescent="0.25">
      <c r="A110" s="101">
        <v>95</v>
      </c>
      <c r="B110" s="101">
        <v>95</v>
      </c>
      <c r="C110" s="101">
        <v>120</v>
      </c>
      <c r="D110" s="42" t="s">
        <v>102</v>
      </c>
      <c r="E110" s="58" t="s">
        <v>207</v>
      </c>
      <c r="F110" s="204">
        <v>1</v>
      </c>
      <c r="G110" s="98">
        <v>0</v>
      </c>
      <c r="H110" s="98">
        <v>0</v>
      </c>
      <c r="I110" s="58" t="s">
        <v>79</v>
      </c>
      <c r="J110" s="58" t="s">
        <v>282</v>
      </c>
    </row>
    <row r="111" spans="1:10" x14ac:dyDescent="0.25">
      <c r="A111" s="101">
        <v>96</v>
      </c>
      <c r="B111" s="101">
        <v>96</v>
      </c>
      <c r="C111" s="101">
        <v>121</v>
      </c>
      <c r="D111" s="42" t="s">
        <v>102</v>
      </c>
      <c r="E111" s="58" t="s">
        <v>207</v>
      </c>
      <c r="F111" s="204">
        <v>1</v>
      </c>
      <c r="G111" s="98">
        <v>0</v>
      </c>
      <c r="H111" s="98">
        <v>0</v>
      </c>
      <c r="I111" s="58" t="s">
        <v>79</v>
      </c>
      <c r="J111" s="58" t="s">
        <v>282</v>
      </c>
    </row>
    <row r="112" spans="1:10" x14ac:dyDescent="0.25">
      <c r="A112" s="101">
        <v>97</v>
      </c>
      <c r="B112" s="101">
        <v>97</v>
      </c>
      <c r="C112" s="101">
        <v>122</v>
      </c>
      <c r="D112" s="42" t="s">
        <v>102</v>
      </c>
      <c r="E112" s="58" t="s">
        <v>207</v>
      </c>
      <c r="F112" s="204">
        <v>1</v>
      </c>
      <c r="G112" s="98">
        <v>0</v>
      </c>
      <c r="H112" s="98">
        <v>0</v>
      </c>
      <c r="I112" s="58" t="s">
        <v>79</v>
      </c>
      <c r="J112" s="58" t="s">
        <v>282</v>
      </c>
    </row>
    <row r="113" spans="1:10" x14ac:dyDescent="0.25">
      <c r="A113" s="101">
        <v>98</v>
      </c>
      <c r="B113" s="101">
        <v>98</v>
      </c>
      <c r="C113" s="101">
        <v>123</v>
      </c>
      <c r="D113" s="42" t="s">
        <v>102</v>
      </c>
      <c r="E113" s="58" t="s">
        <v>207</v>
      </c>
      <c r="F113" s="204">
        <v>1</v>
      </c>
      <c r="G113" s="98">
        <v>0</v>
      </c>
      <c r="H113" s="98">
        <v>0</v>
      </c>
      <c r="I113" s="58" t="s">
        <v>79</v>
      </c>
      <c r="J113" s="58" t="s">
        <v>282</v>
      </c>
    </row>
    <row r="114" spans="1:10" x14ac:dyDescent="0.25">
      <c r="A114" s="101">
        <v>99</v>
      </c>
      <c r="B114" s="101">
        <v>99</v>
      </c>
      <c r="C114" s="101">
        <v>124</v>
      </c>
      <c r="D114" s="42" t="s">
        <v>102</v>
      </c>
      <c r="E114" s="58" t="s">
        <v>207</v>
      </c>
      <c r="F114" s="204">
        <v>1</v>
      </c>
      <c r="G114" s="98">
        <v>0</v>
      </c>
      <c r="H114" s="98">
        <v>0</v>
      </c>
      <c r="I114" s="58" t="s">
        <v>79</v>
      </c>
      <c r="J114" s="58" t="s">
        <v>282</v>
      </c>
    </row>
    <row r="115" spans="1:10" x14ac:dyDescent="0.25">
      <c r="A115" s="101">
        <v>100</v>
      </c>
      <c r="B115" s="101">
        <v>100</v>
      </c>
      <c r="C115" s="101">
        <v>125</v>
      </c>
      <c r="D115" s="42" t="s">
        <v>102</v>
      </c>
      <c r="E115" s="58" t="s">
        <v>207</v>
      </c>
      <c r="F115" s="204">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C12" sqref="C12"/>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A12" sqref="A12"/>
    </sheetView>
  </sheetViews>
  <sheetFormatPr defaultRowHeight="15.75" x14ac:dyDescent="0.25"/>
  <cols>
    <col min="1" max="2" width="15.7109375" style="222" customWidth="1"/>
    <col min="3" max="8" width="10.7109375" style="223" customWidth="1"/>
    <col min="9" max="16384" width="9.140625" style="211"/>
  </cols>
  <sheetData>
    <row r="1" spans="1:8" x14ac:dyDescent="0.25">
      <c r="A1" s="213" t="s">
        <v>181</v>
      </c>
      <c r="B1" s="214"/>
      <c r="C1" s="214"/>
      <c r="D1" s="214"/>
      <c r="E1" s="214"/>
      <c r="F1" s="214"/>
      <c r="G1" s="214"/>
      <c r="H1" s="215"/>
    </row>
    <row r="2" spans="1:8" x14ac:dyDescent="0.25">
      <c r="A2" s="216" t="s">
        <v>352</v>
      </c>
      <c r="B2" s="217"/>
      <c r="C2" s="217"/>
      <c r="D2" s="217"/>
      <c r="E2" s="217"/>
      <c r="F2" s="217"/>
      <c r="G2" s="217"/>
      <c r="H2" s="218"/>
    </row>
    <row r="3" spans="1:8" x14ac:dyDescent="0.25">
      <c r="A3" s="216" t="s">
        <v>353</v>
      </c>
      <c r="B3" s="217"/>
      <c r="C3" s="217"/>
      <c r="D3" s="217"/>
      <c r="E3" s="217"/>
      <c r="F3" s="217"/>
      <c r="G3" s="217"/>
      <c r="H3" s="218"/>
    </row>
    <row r="4" spans="1:8" x14ac:dyDescent="0.25">
      <c r="A4" s="216" t="str">
        <f>"- FX: Force along global X-axis (Input as Float) ("&amp;'User Defined Units'!$B$10&amp;")"</f>
        <v>- FX: Force along global X-axis (Input as Float) (kN)</v>
      </c>
      <c r="B4" s="217"/>
      <c r="C4" s="217"/>
      <c r="D4" s="217"/>
      <c r="E4" s="217"/>
      <c r="F4" s="217"/>
      <c r="G4" s="217"/>
      <c r="H4" s="218"/>
    </row>
    <row r="5" spans="1:8" x14ac:dyDescent="0.25">
      <c r="A5" s="216" t="str">
        <f>"- FY: Force along global Y-axis (Input as Float) ("&amp;'User Defined Units'!$B$10&amp;")"</f>
        <v>- FY: Force along global Y-axis (Input as Float) (kN)</v>
      </c>
      <c r="B5" s="217"/>
      <c r="C5" s="217"/>
      <c r="D5" s="217"/>
      <c r="E5" s="217"/>
      <c r="F5" s="217"/>
      <c r="G5" s="217"/>
      <c r="H5" s="218"/>
    </row>
    <row r="6" spans="1:8" x14ac:dyDescent="0.25">
      <c r="A6" s="216" t="str">
        <f>"- FZ: Force along global Z-axis (Input as Float) ("&amp;'User Defined Units'!$B$10&amp;")"</f>
        <v>- FZ: Force along global Z-axis (Input as Float) (kN)</v>
      </c>
      <c r="B6" s="217"/>
      <c r="C6" s="217"/>
      <c r="D6" s="217"/>
      <c r="E6" s="217"/>
      <c r="F6" s="217"/>
      <c r="G6" s="217"/>
      <c r="H6" s="218"/>
    </row>
    <row r="7" spans="1:8" x14ac:dyDescent="0.25">
      <c r="A7" s="216" t="str">
        <f>"- MX: Moment about global X-axis (Input as Float) ("&amp;'User Defined Units'!$B$10&amp;"-"&amp;'User Defined Units'!$B$11&amp;")"</f>
        <v>- MX: Moment about global X-axis (Input as Float) (kN-m)</v>
      </c>
      <c r="B7" s="217"/>
      <c r="C7" s="217"/>
      <c r="D7" s="217"/>
      <c r="E7" s="217"/>
      <c r="F7" s="217"/>
      <c r="G7" s="217"/>
      <c r="H7" s="218"/>
    </row>
    <row r="8" spans="1:8" x14ac:dyDescent="0.25">
      <c r="A8" s="216" t="str">
        <f>"- MY: Moment about global Y-axis (Input as Float) ("&amp;'User Defined Units'!$B$10&amp;"-"&amp;'User Defined Units'!$B$11&amp;")"</f>
        <v>- MY: Moment about global Y-axis (Input as Float) (kN-m)</v>
      </c>
      <c r="B8" s="217"/>
      <c r="C8" s="217"/>
      <c r="D8" s="217"/>
      <c r="E8" s="217"/>
      <c r="F8" s="217"/>
      <c r="G8" s="217"/>
      <c r="H8" s="218"/>
    </row>
    <row r="9" spans="1:8" x14ac:dyDescent="0.25">
      <c r="A9" s="219" t="str">
        <f>"- MZ: Moment about global Z-axis (Input as Float) ("&amp;'User Defined Units'!$B$10&amp;"-"&amp;'User Defined Units'!$B$11&amp;")"</f>
        <v>- MZ: Moment about global Z-axis (Input as Float) (kN-m)</v>
      </c>
      <c r="B9" s="220"/>
      <c r="C9" s="220"/>
      <c r="D9" s="220"/>
      <c r="E9" s="220"/>
      <c r="F9" s="220"/>
      <c r="G9" s="220"/>
      <c r="H9" s="221"/>
    </row>
    <row r="10" spans="1:8" x14ac:dyDescent="0.25">
      <c r="A10" s="211"/>
      <c r="B10" s="211"/>
      <c r="C10" s="211"/>
      <c r="D10" s="211"/>
      <c r="E10" s="211"/>
      <c r="F10" s="211"/>
      <c r="G10" s="211"/>
      <c r="H10" s="211"/>
    </row>
    <row r="11" spans="1:8" s="196" customFormat="1" x14ac:dyDescent="0.25">
      <c r="A11" s="212" t="s">
        <v>298</v>
      </c>
      <c r="B11" s="212" t="s">
        <v>348</v>
      </c>
      <c r="C11" s="212" t="s">
        <v>342</v>
      </c>
      <c r="D11" s="212" t="s">
        <v>343</v>
      </c>
      <c r="E11" s="212" t="s">
        <v>344</v>
      </c>
      <c r="F11" s="212" t="s">
        <v>345</v>
      </c>
      <c r="G11" s="212" t="s">
        <v>346</v>
      </c>
      <c r="H11" s="212" t="s">
        <v>347</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A15" sqref="A15"/>
    </sheetView>
  </sheetViews>
  <sheetFormatPr defaultRowHeight="15.75" x14ac:dyDescent="0.25"/>
  <cols>
    <col min="1" max="3" width="15.7109375" style="222" customWidth="1"/>
    <col min="4" max="11" width="10.7109375" style="223" customWidth="1"/>
    <col min="12" max="16384" width="9.140625" style="211"/>
  </cols>
  <sheetData>
    <row r="1" spans="1:11" x14ac:dyDescent="0.25">
      <c r="A1" s="213" t="s">
        <v>181</v>
      </c>
      <c r="B1" s="214"/>
      <c r="C1" s="214"/>
      <c r="D1" s="214"/>
      <c r="E1" s="214"/>
      <c r="F1" s="214"/>
      <c r="G1" s="214"/>
      <c r="H1" s="214"/>
      <c r="I1" s="214"/>
      <c r="J1" s="214"/>
      <c r="K1" s="215"/>
    </row>
    <row r="2" spans="1:11" x14ac:dyDescent="0.25">
      <c r="A2" s="216" t="s">
        <v>354</v>
      </c>
      <c r="B2" s="217"/>
      <c r="C2" s="217"/>
      <c r="D2" s="217"/>
      <c r="E2" s="217"/>
      <c r="F2" s="217"/>
      <c r="G2" s="217"/>
      <c r="H2" s="217"/>
      <c r="I2" s="217"/>
      <c r="J2" s="217"/>
      <c r="K2" s="218"/>
    </row>
    <row r="3" spans="1:11" x14ac:dyDescent="0.25">
      <c r="A3" s="216" t="s">
        <v>355</v>
      </c>
      <c r="B3" s="217"/>
      <c r="C3" s="217"/>
      <c r="D3" s="217"/>
      <c r="E3" s="217"/>
      <c r="F3" s="217"/>
      <c r="G3" s="217"/>
      <c r="H3" s="217"/>
      <c r="I3" s="217"/>
      <c r="J3" s="217"/>
      <c r="K3" s="218"/>
    </row>
    <row r="4" spans="1:11" x14ac:dyDescent="0.25">
      <c r="A4" s="216" t="s">
        <v>372</v>
      </c>
      <c r="B4" s="217"/>
      <c r="C4" s="217"/>
      <c r="D4" s="217"/>
      <c r="E4" s="217"/>
      <c r="F4" s="217"/>
      <c r="G4" s="217"/>
      <c r="H4" s="217"/>
      <c r="I4" s="217"/>
      <c r="J4" s="217"/>
      <c r="K4" s="218"/>
    </row>
    <row r="5" spans="1:11" x14ac:dyDescent="0.25">
      <c r="A5" s="216" t="str">
        <f>"- Load 1: Value of subjected line point load 1 (Input as Float) ("&amp;'User Defined Units'!$B$10&amp;")"</f>
        <v>- Load 1: Value of subjected line point load 1 (Input as Float) (kN)</v>
      </c>
      <c r="B5" s="217"/>
      <c r="C5" s="217"/>
      <c r="D5" s="217"/>
      <c r="E5" s="217"/>
      <c r="F5" s="217"/>
      <c r="G5" s="217"/>
      <c r="H5" s="217"/>
      <c r="I5" s="217"/>
      <c r="J5" s="217"/>
      <c r="K5" s="218"/>
    </row>
    <row r="6" spans="1:11" x14ac:dyDescent="0.25">
      <c r="A6" s="216" t="str">
        <f>"- Location 1: Location of subjected line point load 1 (Input as Float) ("&amp;'User Defined Units'!$B$11&amp;")"</f>
        <v>- Location 1: Location of subjected line point load 1 (Input as Float) (m)</v>
      </c>
      <c r="B6" s="217"/>
      <c r="C6" s="217"/>
      <c r="D6" s="217"/>
      <c r="E6" s="217"/>
      <c r="F6" s="217"/>
      <c r="G6" s="217"/>
      <c r="H6" s="217"/>
      <c r="I6" s="217"/>
      <c r="J6" s="217"/>
      <c r="K6" s="218"/>
    </row>
    <row r="7" spans="1:11" x14ac:dyDescent="0.25">
      <c r="A7" s="216" t="str">
        <f>"- Load 2: Value of subjected line point load 2 (Input as Float) ("&amp;'User Defined Units'!$B$10&amp;")"</f>
        <v>- Load 2: Value of subjected line point load 2 (Input as Float) (kN)</v>
      </c>
      <c r="B7" s="217"/>
      <c r="C7" s="217"/>
      <c r="D7" s="217"/>
      <c r="E7" s="217"/>
      <c r="F7" s="217"/>
      <c r="G7" s="217"/>
      <c r="H7" s="217"/>
      <c r="I7" s="217"/>
      <c r="J7" s="217"/>
      <c r="K7" s="218"/>
    </row>
    <row r="8" spans="1:11" x14ac:dyDescent="0.25">
      <c r="A8" s="216" t="str">
        <f>"- Location 2: Location of subjected line point load 2 (Input as Float) ("&amp;'User Defined Units'!$B$11&amp;")"</f>
        <v>- Location 2: Location of subjected line point load 2 (Input as Float) (m)</v>
      </c>
      <c r="B8" s="217"/>
      <c r="C8" s="217"/>
      <c r="D8" s="217"/>
      <c r="E8" s="217"/>
      <c r="F8" s="217"/>
      <c r="G8" s="217"/>
      <c r="H8" s="217"/>
      <c r="I8" s="217"/>
      <c r="J8" s="217"/>
      <c r="K8" s="218"/>
    </row>
    <row r="9" spans="1:11" x14ac:dyDescent="0.25">
      <c r="A9" s="216" t="str">
        <f>"- Load 3: Value of subjected line point load 3 (Input as Float) ("&amp;'User Defined Units'!$B$10&amp;")"</f>
        <v>- Load 3: Value of subjected line point load 3 (Input as Float) (kN)</v>
      </c>
      <c r="B9" s="217"/>
      <c r="C9" s="217"/>
      <c r="D9" s="217"/>
      <c r="E9" s="217"/>
      <c r="F9" s="217"/>
      <c r="G9" s="217"/>
      <c r="H9" s="217"/>
      <c r="I9" s="217"/>
      <c r="J9" s="217"/>
      <c r="K9" s="218"/>
    </row>
    <row r="10" spans="1:11" x14ac:dyDescent="0.25">
      <c r="A10" s="216" t="str">
        <f>"- Location 3: Location of subjected line point load 3 (Input as Float) ("&amp;'User Defined Units'!$B$11&amp;")"</f>
        <v>- Location 3: Location of subjected line point load 3 (Input as Float) (m)</v>
      </c>
      <c r="B10" s="217"/>
      <c r="C10" s="217"/>
      <c r="D10" s="217"/>
      <c r="E10" s="217"/>
      <c r="F10" s="217"/>
      <c r="G10" s="217"/>
      <c r="H10" s="217"/>
      <c r="I10" s="217"/>
      <c r="J10" s="217"/>
      <c r="K10" s="218"/>
    </row>
    <row r="11" spans="1:11" x14ac:dyDescent="0.25">
      <c r="A11" s="216" t="str">
        <f>"- Load 4: Value of subjected line point load 4 (Input as Float) ("&amp;'User Defined Units'!$B$10&amp;")"</f>
        <v>- Load 4: Value of subjected line point load 4 (Input as Float) (kN)</v>
      </c>
      <c r="B11" s="217"/>
      <c r="C11" s="217"/>
      <c r="D11" s="217"/>
      <c r="E11" s="217"/>
      <c r="F11" s="217"/>
      <c r="G11" s="217"/>
      <c r="H11" s="217"/>
      <c r="I11" s="217"/>
      <c r="J11" s="217"/>
      <c r="K11" s="218"/>
    </row>
    <row r="12" spans="1:11" x14ac:dyDescent="0.25">
      <c r="A12" s="219" t="str">
        <f>"- Location 4: Location of subjected line point load 4 (Input as Float) ("&amp;'User Defined Units'!$B$11&amp;")"</f>
        <v>- Location 4: Location of subjected line point load 4 (Input as Float) (m)</v>
      </c>
      <c r="B12" s="220"/>
      <c r="C12" s="220"/>
      <c r="D12" s="220"/>
      <c r="E12" s="220"/>
      <c r="F12" s="220"/>
      <c r="G12" s="220"/>
      <c r="H12" s="220"/>
      <c r="I12" s="220"/>
      <c r="J12" s="220"/>
      <c r="K12" s="221"/>
    </row>
    <row r="13" spans="1:11" x14ac:dyDescent="0.25">
      <c r="A13" s="211"/>
      <c r="B13" s="211"/>
      <c r="C13" s="211"/>
      <c r="D13" s="211"/>
      <c r="E13" s="211"/>
      <c r="F13" s="211"/>
      <c r="G13" s="211"/>
      <c r="H13" s="211"/>
      <c r="I13" s="211"/>
      <c r="J13" s="211"/>
      <c r="K13" s="211"/>
    </row>
    <row r="14" spans="1:11" s="196" customFormat="1" x14ac:dyDescent="0.25">
      <c r="A14" s="212" t="s">
        <v>349</v>
      </c>
      <c r="B14" s="212" t="s">
        <v>348</v>
      </c>
      <c r="C14" s="212" t="s">
        <v>351</v>
      </c>
      <c r="D14" s="212" t="s">
        <v>361</v>
      </c>
      <c r="E14" s="212" t="s">
        <v>365</v>
      </c>
      <c r="F14" s="212" t="s">
        <v>362</v>
      </c>
      <c r="G14" s="212" t="s">
        <v>366</v>
      </c>
      <c r="H14" s="212" t="s">
        <v>363</v>
      </c>
      <c r="I14" s="212" t="s">
        <v>367</v>
      </c>
      <c r="J14" s="212" t="s">
        <v>364</v>
      </c>
      <c r="K14" s="212" t="s">
        <v>368</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abSelected="1" zoomScale="130" zoomScaleNormal="130" workbookViewId="0">
      <selection activeCell="F19" sqref="F19"/>
    </sheetView>
  </sheetViews>
  <sheetFormatPr defaultRowHeight="15.75" x14ac:dyDescent="0.25"/>
  <cols>
    <col min="1" max="3" width="15.7109375" style="222" customWidth="1"/>
    <col min="4" max="4" width="15.7109375" style="223" customWidth="1"/>
    <col min="5" max="12" width="10.7109375" style="223" customWidth="1"/>
    <col min="13" max="16384" width="9.140625" style="211"/>
  </cols>
  <sheetData>
    <row r="1" spans="1:12" x14ac:dyDescent="0.25">
      <c r="A1" s="213" t="s">
        <v>181</v>
      </c>
      <c r="B1" s="214"/>
      <c r="C1" s="214"/>
      <c r="D1" s="214"/>
      <c r="E1" s="214"/>
      <c r="F1" s="214"/>
      <c r="G1" s="214"/>
      <c r="H1" s="214"/>
      <c r="I1" s="214"/>
      <c r="J1" s="214"/>
      <c r="K1" s="214"/>
      <c r="L1" s="215"/>
    </row>
    <row r="2" spans="1:12" x14ac:dyDescent="0.25">
      <c r="A2" s="216" t="s">
        <v>370</v>
      </c>
      <c r="B2" s="217"/>
      <c r="C2" s="217"/>
      <c r="D2" s="217"/>
      <c r="E2" s="217"/>
      <c r="F2" s="217"/>
      <c r="G2" s="217"/>
      <c r="H2" s="217"/>
      <c r="I2" s="217"/>
      <c r="J2" s="217"/>
      <c r="K2" s="217"/>
      <c r="L2" s="218"/>
    </row>
    <row r="3" spans="1:12" x14ac:dyDescent="0.25">
      <c r="A3" s="216" t="s">
        <v>371</v>
      </c>
      <c r="B3" s="217"/>
      <c r="C3" s="217"/>
      <c r="D3" s="217"/>
      <c r="E3" s="217"/>
      <c r="F3" s="217"/>
      <c r="G3" s="217"/>
      <c r="H3" s="217"/>
      <c r="I3" s="217"/>
      <c r="J3" s="217"/>
      <c r="K3" s="217"/>
      <c r="L3" s="218"/>
    </row>
    <row r="4" spans="1:12" x14ac:dyDescent="0.25">
      <c r="A4" s="216" t="s">
        <v>373</v>
      </c>
      <c r="B4" s="217"/>
      <c r="C4" s="217"/>
      <c r="D4" s="217"/>
      <c r="E4" s="217"/>
      <c r="F4" s="217"/>
      <c r="G4" s="217"/>
      <c r="H4" s="217"/>
      <c r="I4" s="217"/>
      <c r="J4" s="217"/>
      <c r="K4" s="217"/>
      <c r="L4" s="218"/>
    </row>
    <row r="5" spans="1:12" x14ac:dyDescent="0.25">
      <c r="A5" s="216" t="str">
        <f>"- Uniform Load: Value of subjected uniform distributed line load (Input as Float) ("&amp;'User Defined Units'!$B$10&amp;"/"&amp;'User Defined Units'!$B$11&amp;")"</f>
        <v>- Uniform Load: Value of subjected uniform distributed line load (Input as Float) (kN/m)</v>
      </c>
      <c r="B5" s="217"/>
      <c r="C5" s="217"/>
      <c r="D5" s="217"/>
      <c r="E5" s="217"/>
      <c r="F5" s="217"/>
      <c r="G5" s="217"/>
      <c r="H5" s="217"/>
      <c r="I5" s="217"/>
      <c r="J5" s="217"/>
      <c r="K5" s="217"/>
      <c r="L5" s="218"/>
    </row>
    <row r="6" spans="1:12" x14ac:dyDescent="0.25">
      <c r="A6" s="216" t="str">
        <f>"- Load 1: Value of subjected distributed line load 1 (Input as Float) ("&amp;'User Defined Units'!$B$10&amp;"/"&amp;'User Defined Units'!$B$11&amp;")"</f>
        <v>- Load 1: Value of subjected distributed line load 1 (Input as Float) (kN/m)</v>
      </c>
      <c r="B6" s="217"/>
      <c r="C6" s="217"/>
      <c r="D6" s="217"/>
      <c r="E6" s="217"/>
      <c r="F6" s="217"/>
      <c r="G6" s="217"/>
      <c r="H6" s="217"/>
      <c r="I6" s="217"/>
      <c r="J6" s="217"/>
      <c r="K6" s="217"/>
      <c r="L6" s="218"/>
    </row>
    <row r="7" spans="1:12" x14ac:dyDescent="0.25">
      <c r="A7" s="216" t="str">
        <f>"- Location 1: Location of subjected distributed line load 1 (Input as Float) ("&amp;'User Defined Units'!$B$11&amp;")"</f>
        <v>- Location 1: Location of subjected distributed line load 1 (Input as Float) (m)</v>
      </c>
      <c r="B7" s="217"/>
      <c r="C7" s="217"/>
      <c r="D7" s="217"/>
      <c r="E7" s="217"/>
      <c r="F7" s="217"/>
      <c r="G7" s="217"/>
      <c r="H7" s="217"/>
      <c r="I7" s="217"/>
      <c r="J7" s="217"/>
      <c r="K7" s="217"/>
      <c r="L7" s="218"/>
    </row>
    <row r="8" spans="1:12" x14ac:dyDescent="0.25">
      <c r="A8" s="216" t="str">
        <f>"- Load 2: Value of subjected distributed line load 2 (Input as Float) ("&amp;'User Defined Units'!$B$10&amp;"/"&amp;'User Defined Units'!$B$11&amp;")"</f>
        <v>- Load 2: Value of subjected distributed line load 2 (Input as Float) (kN/m)</v>
      </c>
      <c r="B8" s="217"/>
      <c r="C8" s="217"/>
      <c r="D8" s="217"/>
      <c r="E8" s="217"/>
      <c r="F8" s="217"/>
      <c r="G8" s="217"/>
      <c r="H8" s="217"/>
      <c r="I8" s="217"/>
      <c r="J8" s="217"/>
      <c r="K8" s="217"/>
      <c r="L8" s="218"/>
    </row>
    <row r="9" spans="1:12" x14ac:dyDescent="0.25">
      <c r="A9" s="216" t="str">
        <f>"- Location 2: Location of subjected distributed line load 2 (Input as Float) ("&amp;'User Defined Units'!$B$11&amp;")"</f>
        <v>- Location 2: Location of subjected distributed line load 2 (Input as Float) (m)</v>
      </c>
      <c r="B9" s="217"/>
      <c r="C9" s="217"/>
      <c r="D9" s="217"/>
      <c r="E9" s="217"/>
      <c r="F9" s="217"/>
      <c r="G9" s="217"/>
      <c r="H9" s="217"/>
      <c r="I9" s="217"/>
      <c r="J9" s="217"/>
      <c r="K9" s="217"/>
      <c r="L9" s="218"/>
    </row>
    <row r="10" spans="1:12" x14ac:dyDescent="0.25">
      <c r="A10" s="216" t="str">
        <f>"- Load 3: Value of subjected distributed line load 3 (Input as Float) ("&amp;'User Defined Units'!$B$10&amp;"/"&amp;'User Defined Units'!$B$11&amp;")"</f>
        <v>- Load 3: Value of subjected distributed line load 3 (Input as Float) (kN/m)</v>
      </c>
      <c r="B10" s="217"/>
      <c r="C10" s="217"/>
      <c r="D10" s="217"/>
      <c r="E10" s="217"/>
      <c r="F10" s="217"/>
      <c r="G10" s="217"/>
      <c r="H10" s="217"/>
      <c r="I10" s="217"/>
      <c r="J10" s="217"/>
      <c r="K10" s="217"/>
      <c r="L10" s="218"/>
    </row>
    <row r="11" spans="1:12" x14ac:dyDescent="0.25">
      <c r="A11" s="216" t="str">
        <f>"- Location 3: Location of subjected distributed line load 3 (Input as Float) ("&amp;'User Defined Units'!$B$11&amp;")"</f>
        <v>- Location 3: Location of subjected distributed line load 3 (Input as Float) (m)</v>
      </c>
      <c r="B11" s="217"/>
      <c r="C11" s="217"/>
      <c r="D11" s="217"/>
      <c r="E11" s="217"/>
      <c r="F11" s="217"/>
      <c r="G11" s="217"/>
      <c r="H11" s="217"/>
      <c r="I11" s="217"/>
      <c r="J11" s="217"/>
      <c r="K11" s="217"/>
      <c r="L11" s="218"/>
    </row>
    <row r="12" spans="1:12" x14ac:dyDescent="0.25">
      <c r="A12" s="216" t="str">
        <f>"- Load 4: Value of subjected distributed line load 4 (Input as Float) ("&amp;'User Defined Units'!$B$10&amp;"/"&amp;'User Defined Units'!$B$11&amp;")"</f>
        <v>- Load 4: Value of subjected distributed line load 4 (Input as Float) (kN/m)</v>
      </c>
      <c r="B12" s="217"/>
      <c r="C12" s="217"/>
      <c r="D12" s="217"/>
      <c r="E12" s="217"/>
      <c r="F12" s="217"/>
      <c r="G12" s="217"/>
      <c r="H12" s="217"/>
      <c r="I12" s="217"/>
      <c r="J12" s="217"/>
      <c r="K12" s="217"/>
      <c r="L12" s="218"/>
    </row>
    <row r="13" spans="1:12" x14ac:dyDescent="0.25">
      <c r="A13" s="219" t="str">
        <f>"- Location 4: Location of subjected distributed line load 4 (Input as Float) ("&amp;'User Defined Units'!$B$11&amp;")"</f>
        <v>- Location 4: Location of subjected distributed line load 4 (Input as Float) (m)</v>
      </c>
      <c r="B13" s="220"/>
      <c r="C13" s="220"/>
      <c r="D13" s="220"/>
      <c r="E13" s="220"/>
      <c r="F13" s="220"/>
      <c r="G13" s="220"/>
      <c r="H13" s="220"/>
      <c r="I13" s="220"/>
      <c r="J13" s="220"/>
      <c r="K13" s="220"/>
      <c r="L13" s="221"/>
    </row>
    <row r="14" spans="1:12" x14ac:dyDescent="0.25">
      <c r="A14" s="211"/>
      <c r="B14" s="211"/>
      <c r="C14" s="211"/>
      <c r="D14" s="211"/>
      <c r="E14" s="211"/>
      <c r="F14" s="211"/>
      <c r="G14" s="211"/>
      <c r="H14" s="211"/>
      <c r="I14" s="211"/>
      <c r="J14" s="211"/>
      <c r="K14" s="211"/>
      <c r="L14" s="211"/>
    </row>
    <row r="15" spans="1:12" s="196" customFormat="1" x14ac:dyDescent="0.25">
      <c r="A15" s="212" t="s">
        <v>349</v>
      </c>
      <c r="B15" s="212" t="s">
        <v>348</v>
      </c>
      <c r="C15" s="212" t="s">
        <v>351</v>
      </c>
      <c r="D15" s="212" t="s">
        <v>369</v>
      </c>
      <c r="E15" s="212" t="s">
        <v>361</v>
      </c>
      <c r="F15" s="212" t="s">
        <v>365</v>
      </c>
      <c r="G15" s="212" t="s">
        <v>362</v>
      </c>
      <c r="H15" s="212" t="s">
        <v>366</v>
      </c>
      <c r="I15" s="212" t="s">
        <v>363</v>
      </c>
      <c r="J15" s="212" t="s">
        <v>367</v>
      </c>
      <c r="K15" s="212" t="s">
        <v>364</v>
      </c>
      <c r="L15" s="212" t="s">
        <v>368</v>
      </c>
    </row>
    <row r="16" spans="1:12" x14ac:dyDescent="0.25">
      <c r="A16" s="222">
        <v>101</v>
      </c>
      <c r="B16" s="222" t="s">
        <v>73</v>
      </c>
      <c r="C16" s="222" t="s">
        <v>350</v>
      </c>
      <c r="D16" s="223">
        <v>7.04</v>
      </c>
    </row>
    <row r="17" spans="1:4" x14ac:dyDescent="0.25">
      <c r="A17" s="222">
        <v>102</v>
      </c>
      <c r="B17" s="222" t="s">
        <v>73</v>
      </c>
      <c r="C17" s="222" t="s">
        <v>350</v>
      </c>
      <c r="D17" s="223">
        <v>7.04</v>
      </c>
    </row>
    <row r="18" spans="1:4" x14ac:dyDescent="0.25">
      <c r="A18" s="222">
        <v>103</v>
      </c>
      <c r="B18" s="222" t="s">
        <v>73</v>
      </c>
      <c r="C18" s="222" t="s">
        <v>350</v>
      </c>
      <c r="D18" s="223">
        <v>7.04</v>
      </c>
    </row>
    <row r="19" spans="1:4" x14ac:dyDescent="0.25">
      <c r="A19" s="222">
        <v>104</v>
      </c>
      <c r="B19" s="222" t="s">
        <v>73</v>
      </c>
      <c r="C19" s="222" t="s">
        <v>350</v>
      </c>
      <c r="D19" s="223">
        <v>7.04</v>
      </c>
    </row>
    <row r="20" spans="1:4" x14ac:dyDescent="0.25">
      <c r="A20" s="222">
        <v>117</v>
      </c>
      <c r="B20" s="222" t="s">
        <v>73</v>
      </c>
      <c r="C20" s="222" t="s">
        <v>350</v>
      </c>
      <c r="D20" s="223">
        <v>7.04</v>
      </c>
    </row>
    <row r="21" spans="1:4" x14ac:dyDescent="0.25">
      <c r="A21" s="222">
        <v>118</v>
      </c>
      <c r="B21" s="222" t="s">
        <v>73</v>
      </c>
      <c r="C21" s="222" t="s">
        <v>350</v>
      </c>
      <c r="D21" s="223">
        <v>7.04</v>
      </c>
    </row>
    <row r="22" spans="1:4" x14ac:dyDescent="0.25">
      <c r="A22" s="222">
        <v>119</v>
      </c>
      <c r="B22" s="222" t="s">
        <v>73</v>
      </c>
      <c r="C22" s="222" t="s">
        <v>350</v>
      </c>
      <c r="D22" s="223">
        <v>7.04</v>
      </c>
    </row>
    <row r="23" spans="1:4" x14ac:dyDescent="0.25">
      <c r="A23" s="222">
        <v>120</v>
      </c>
      <c r="B23" s="222" t="s">
        <v>73</v>
      </c>
      <c r="C23" s="222" t="s">
        <v>350</v>
      </c>
      <c r="D23" s="223">
        <v>7.04</v>
      </c>
    </row>
    <row r="24" spans="1:4" x14ac:dyDescent="0.25">
      <c r="A24" s="222">
        <v>181</v>
      </c>
      <c r="B24" s="222" t="s">
        <v>73</v>
      </c>
      <c r="C24" s="222" t="s">
        <v>350</v>
      </c>
      <c r="D24" s="223">
        <v>7.04</v>
      </c>
    </row>
    <row r="25" spans="1:4" x14ac:dyDescent="0.25">
      <c r="A25" s="222">
        <v>185</v>
      </c>
      <c r="B25" s="222" t="s">
        <v>73</v>
      </c>
      <c r="C25" s="222" t="s">
        <v>350</v>
      </c>
      <c r="D25" s="223">
        <v>7.04</v>
      </c>
    </row>
    <row r="26" spans="1:4" x14ac:dyDescent="0.25">
      <c r="A26" s="222">
        <v>186</v>
      </c>
      <c r="B26" s="222" t="s">
        <v>73</v>
      </c>
      <c r="C26" s="222" t="s">
        <v>350</v>
      </c>
      <c r="D26" s="223">
        <v>7.04</v>
      </c>
    </row>
    <row r="27" spans="1:4" x14ac:dyDescent="0.25">
      <c r="A27" s="222">
        <v>190</v>
      </c>
      <c r="B27" s="222" t="s">
        <v>73</v>
      </c>
      <c r="C27" s="222" t="s">
        <v>350</v>
      </c>
      <c r="D27" s="223">
        <v>7.04</v>
      </c>
    </row>
    <row r="28" spans="1:4" x14ac:dyDescent="0.25">
      <c r="A28" s="222">
        <v>191</v>
      </c>
      <c r="B28" s="222" t="s">
        <v>73</v>
      </c>
      <c r="C28" s="222" t="s">
        <v>350</v>
      </c>
      <c r="D28" s="223">
        <v>7.04</v>
      </c>
    </row>
    <row r="29" spans="1:4" x14ac:dyDescent="0.25">
      <c r="A29" s="222">
        <v>195</v>
      </c>
      <c r="B29" s="222" t="s">
        <v>73</v>
      </c>
      <c r="C29" s="222" t="s">
        <v>350</v>
      </c>
      <c r="D29" s="223">
        <v>7.04</v>
      </c>
    </row>
    <row r="30" spans="1:4" x14ac:dyDescent="0.25">
      <c r="A30" s="222">
        <v>196</v>
      </c>
      <c r="B30" s="222" t="s">
        <v>73</v>
      </c>
      <c r="C30" s="222" t="s">
        <v>350</v>
      </c>
      <c r="D30" s="223">
        <v>7.04</v>
      </c>
    </row>
    <row r="31" spans="1:4" x14ac:dyDescent="0.25">
      <c r="A31" s="222">
        <v>200</v>
      </c>
      <c r="B31" s="222" t="s">
        <v>73</v>
      </c>
      <c r="C31" s="222" t="s">
        <v>350</v>
      </c>
      <c r="D31" s="223">
        <v>7.04</v>
      </c>
    </row>
    <row r="32" spans="1:4" x14ac:dyDescent="0.25">
      <c r="A32" s="222">
        <v>121</v>
      </c>
      <c r="B32" s="222" t="s">
        <v>73</v>
      </c>
      <c r="C32" s="222" t="s">
        <v>350</v>
      </c>
      <c r="D32" s="223">
        <v>7.04</v>
      </c>
    </row>
    <row r="33" spans="1:4" x14ac:dyDescent="0.25">
      <c r="A33" s="222">
        <v>122</v>
      </c>
      <c r="B33" s="222" t="s">
        <v>73</v>
      </c>
      <c r="C33" s="222" t="s">
        <v>350</v>
      </c>
      <c r="D33" s="223">
        <v>7.04</v>
      </c>
    </row>
    <row r="34" spans="1:4" x14ac:dyDescent="0.25">
      <c r="A34" s="222">
        <v>123</v>
      </c>
      <c r="B34" s="222" t="s">
        <v>73</v>
      </c>
      <c r="C34" s="222" t="s">
        <v>350</v>
      </c>
      <c r="D34" s="223">
        <v>7.04</v>
      </c>
    </row>
    <row r="35" spans="1:4" x14ac:dyDescent="0.25">
      <c r="A35" s="222">
        <v>124</v>
      </c>
      <c r="B35" s="222" t="s">
        <v>73</v>
      </c>
      <c r="C35" s="222" t="s">
        <v>350</v>
      </c>
      <c r="D35" s="223">
        <v>7.04</v>
      </c>
    </row>
    <row r="36" spans="1:4" x14ac:dyDescent="0.25">
      <c r="A36" s="222">
        <v>137</v>
      </c>
      <c r="B36" s="222" t="s">
        <v>73</v>
      </c>
      <c r="C36" s="222" t="s">
        <v>350</v>
      </c>
      <c r="D36" s="223">
        <v>7.04</v>
      </c>
    </row>
    <row r="37" spans="1:4" x14ac:dyDescent="0.25">
      <c r="A37" s="222">
        <v>138</v>
      </c>
      <c r="B37" s="222" t="s">
        <v>73</v>
      </c>
      <c r="C37" s="222" t="s">
        <v>350</v>
      </c>
      <c r="D37" s="223">
        <v>7.04</v>
      </c>
    </row>
    <row r="38" spans="1:4" x14ac:dyDescent="0.25">
      <c r="A38" s="222">
        <v>139</v>
      </c>
      <c r="B38" s="222" t="s">
        <v>73</v>
      </c>
      <c r="C38" s="222" t="s">
        <v>350</v>
      </c>
      <c r="D38" s="223">
        <v>7.04</v>
      </c>
    </row>
    <row r="39" spans="1:4" x14ac:dyDescent="0.25">
      <c r="A39" s="222">
        <v>140</v>
      </c>
      <c r="B39" s="222" t="s">
        <v>73</v>
      </c>
      <c r="C39" s="222" t="s">
        <v>350</v>
      </c>
      <c r="D39" s="223">
        <v>7.04</v>
      </c>
    </row>
    <row r="40" spans="1:4" x14ac:dyDescent="0.25">
      <c r="A40" s="222">
        <v>201</v>
      </c>
      <c r="B40" s="222" t="s">
        <v>73</v>
      </c>
      <c r="C40" s="222" t="s">
        <v>350</v>
      </c>
      <c r="D40" s="223">
        <v>7.04</v>
      </c>
    </row>
    <row r="41" spans="1:4" x14ac:dyDescent="0.25">
      <c r="A41" s="222">
        <v>205</v>
      </c>
      <c r="B41" s="222" t="s">
        <v>73</v>
      </c>
      <c r="C41" s="222" t="s">
        <v>350</v>
      </c>
      <c r="D41" s="223">
        <v>7.04</v>
      </c>
    </row>
    <row r="42" spans="1:4" x14ac:dyDescent="0.25">
      <c r="A42" s="222">
        <v>206</v>
      </c>
      <c r="B42" s="222" t="s">
        <v>73</v>
      </c>
      <c r="C42" s="222" t="s">
        <v>350</v>
      </c>
      <c r="D42" s="223">
        <v>7.04</v>
      </c>
    </row>
    <row r="43" spans="1:4" x14ac:dyDescent="0.25">
      <c r="A43" s="222">
        <v>210</v>
      </c>
      <c r="B43" s="222" t="s">
        <v>73</v>
      </c>
      <c r="C43" s="222" t="s">
        <v>350</v>
      </c>
      <c r="D43" s="223">
        <v>7.04</v>
      </c>
    </row>
    <row r="44" spans="1:4" x14ac:dyDescent="0.25">
      <c r="A44" s="222">
        <v>211</v>
      </c>
      <c r="B44" s="222" t="s">
        <v>73</v>
      </c>
      <c r="C44" s="222" t="s">
        <v>350</v>
      </c>
      <c r="D44" s="223">
        <v>7.04</v>
      </c>
    </row>
    <row r="45" spans="1:4" x14ac:dyDescent="0.25">
      <c r="A45" s="222">
        <v>215</v>
      </c>
      <c r="B45" s="222" t="s">
        <v>73</v>
      </c>
      <c r="C45" s="222" t="s">
        <v>350</v>
      </c>
      <c r="D45" s="223">
        <v>7.04</v>
      </c>
    </row>
    <row r="46" spans="1:4" x14ac:dyDescent="0.25">
      <c r="A46" s="222">
        <v>216</v>
      </c>
      <c r="B46" s="222" t="s">
        <v>73</v>
      </c>
      <c r="C46" s="222" t="s">
        <v>350</v>
      </c>
      <c r="D46" s="223">
        <v>7.04</v>
      </c>
    </row>
    <row r="47" spans="1:4" x14ac:dyDescent="0.25">
      <c r="A47" s="222">
        <v>220</v>
      </c>
      <c r="B47" s="222" t="s">
        <v>73</v>
      </c>
      <c r="C47" s="222" t="s">
        <v>350</v>
      </c>
      <c r="D47" s="223">
        <v>7.04</v>
      </c>
    </row>
    <row r="48" spans="1:4" x14ac:dyDescent="0.25">
      <c r="A48" s="222">
        <v>141</v>
      </c>
      <c r="B48" s="222" t="s">
        <v>73</v>
      </c>
      <c r="C48" s="222" t="s">
        <v>350</v>
      </c>
      <c r="D48" s="223">
        <v>7.04</v>
      </c>
    </row>
    <row r="49" spans="1:4" x14ac:dyDescent="0.25">
      <c r="A49" s="222">
        <v>142</v>
      </c>
      <c r="B49" s="222" t="s">
        <v>73</v>
      </c>
      <c r="C49" s="222" t="s">
        <v>350</v>
      </c>
      <c r="D49" s="223">
        <v>7.04</v>
      </c>
    </row>
    <row r="50" spans="1:4" x14ac:dyDescent="0.25">
      <c r="A50" s="222">
        <v>143</v>
      </c>
      <c r="B50" s="222" t="s">
        <v>73</v>
      </c>
      <c r="C50" s="222" t="s">
        <v>350</v>
      </c>
      <c r="D50" s="223">
        <v>7.04</v>
      </c>
    </row>
    <row r="51" spans="1:4" x14ac:dyDescent="0.25">
      <c r="A51" s="222">
        <v>144</v>
      </c>
      <c r="B51" s="222" t="s">
        <v>73</v>
      </c>
      <c r="C51" s="222" t="s">
        <v>350</v>
      </c>
      <c r="D51" s="223">
        <v>7.04</v>
      </c>
    </row>
    <row r="52" spans="1:4" x14ac:dyDescent="0.25">
      <c r="A52" s="222">
        <v>157</v>
      </c>
      <c r="B52" s="222" t="s">
        <v>73</v>
      </c>
      <c r="C52" s="222" t="s">
        <v>350</v>
      </c>
      <c r="D52" s="223">
        <v>7.04</v>
      </c>
    </row>
    <row r="53" spans="1:4" x14ac:dyDescent="0.25">
      <c r="A53" s="222">
        <v>158</v>
      </c>
      <c r="B53" s="222" t="s">
        <v>73</v>
      </c>
      <c r="C53" s="222" t="s">
        <v>350</v>
      </c>
      <c r="D53" s="223">
        <v>7.04</v>
      </c>
    </row>
    <row r="54" spans="1:4" x14ac:dyDescent="0.25">
      <c r="A54" s="222">
        <v>159</v>
      </c>
      <c r="B54" s="222" t="s">
        <v>73</v>
      </c>
      <c r="C54" s="222" t="s">
        <v>350</v>
      </c>
      <c r="D54" s="223">
        <v>7.04</v>
      </c>
    </row>
    <row r="55" spans="1:4" x14ac:dyDescent="0.25">
      <c r="A55" s="222">
        <v>160</v>
      </c>
      <c r="B55" s="222" t="s">
        <v>73</v>
      </c>
      <c r="C55" s="222" t="s">
        <v>350</v>
      </c>
      <c r="D55" s="223">
        <v>7.04</v>
      </c>
    </row>
    <row r="56" spans="1:4" x14ac:dyDescent="0.25">
      <c r="A56" s="222">
        <v>221</v>
      </c>
      <c r="B56" s="222" t="s">
        <v>73</v>
      </c>
      <c r="C56" s="222" t="s">
        <v>350</v>
      </c>
      <c r="D56" s="223">
        <v>7.04</v>
      </c>
    </row>
    <row r="57" spans="1:4" x14ac:dyDescent="0.25">
      <c r="A57" s="222">
        <v>225</v>
      </c>
      <c r="B57" s="222" t="s">
        <v>73</v>
      </c>
      <c r="C57" s="222" t="s">
        <v>350</v>
      </c>
      <c r="D57" s="223">
        <v>7.04</v>
      </c>
    </row>
    <row r="58" spans="1:4" x14ac:dyDescent="0.25">
      <c r="A58" s="222">
        <v>226</v>
      </c>
      <c r="B58" s="222" t="s">
        <v>73</v>
      </c>
      <c r="C58" s="222" t="s">
        <v>350</v>
      </c>
      <c r="D58" s="223">
        <v>7.04</v>
      </c>
    </row>
    <row r="59" spans="1:4" x14ac:dyDescent="0.25">
      <c r="A59" s="222">
        <v>230</v>
      </c>
      <c r="B59" s="222" t="s">
        <v>73</v>
      </c>
      <c r="C59" s="222" t="s">
        <v>350</v>
      </c>
      <c r="D59" s="223">
        <v>7.04</v>
      </c>
    </row>
    <row r="60" spans="1:4" x14ac:dyDescent="0.25">
      <c r="A60" s="222">
        <v>231</v>
      </c>
      <c r="B60" s="222" t="s">
        <v>73</v>
      </c>
      <c r="C60" s="222" t="s">
        <v>350</v>
      </c>
      <c r="D60" s="223">
        <v>7.04</v>
      </c>
    </row>
    <row r="61" spans="1:4" x14ac:dyDescent="0.25">
      <c r="A61" s="222">
        <v>235</v>
      </c>
      <c r="B61" s="222" t="s">
        <v>73</v>
      </c>
      <c r="C61" s="222" t="s">
        <v>350</v>
      </c>
      <c r="D61" s="223">
        <v>7.04</v>
      </c>
    </row>
    <row r="62" spans="1:4" x14ac:dyDescent="0.25">
      <c r="A62" s="222">
        <v>236</v>
      </c>
      <c r="B62" s="222" t="s">
        <v>73</v>
      </c>
      <c r="C62" s="222" t="s">
        <v>350</v>
      </c>
      <c r="D62" s="223">
        <v>7.04</v>
      </c>
    </row>
    <row r="63" spans="1:4" x14ac:dyDescent="0.25">
      <c r="A63" s="222">
        <v>240</v>
      </c>
      <c r="B63" s="222" t="s">
        <v>73</v>
      </c>
      <c r="C63" s="222" t="s">
        <v>350</v>
      </c>
      <c r="D63" s="223">
        <v>7.04</v>
      </c>
    </row>
    <row r="64" spans="1:4" x14ac:dyDescent="0.25">
      <c r="A64" s="222">
        <v>161</v>
      </c>
      <c r="B64" s="222" t="s">
        <v>73</v>
      </c>
      <c r="C64" s="222" t="s">
        <v>350</v>
      </c>
      <c r="D64" s="223">
        <v>2.41</v>
      </c>
    </row>
    <row r="65" spans="1:4" x14ac:dyDescent="0.25">
      <c r="A65" s="222">
        <v>162</v>
      </c>
      <c r="B65" s="222" t="s">
        <v>73</v>
      </c>
      <c r="C65" s="222" t="s">
        <v>350</v>
      </c>
      <c r="D65" s="223">
        <v>2.41</v>
      </c>
    </row>
    <row r="66" spans="1:4" x14ac:dyDescent="0.25">
      <c r="A66" s="222">
        <v>163</v>
      </c>
      <c r="B66" s="222" t="s">
        <v>73</v>
      </c>
      <c r="C66" s="222" t="s">
        <v>350</v>
      </c>
      <c r="D66" s="223">
        <v>2.41</v>
      </c>
    </row>
    <row r="67" spans="1:4" x14ac:dyDescent="0.25">
      <c r="A67" s="222">
        <v>164</v>
      </c>
      <c r="B67" s="222" t="s">
        <v>73</v>
      </c>
      <c r="C67" s="222" t="s">
        <v>350</v>
      </c>
      <c r="D67" s="223">
        <v>2.41</v>
      </c>
    </row>
    <row r="68" spans="1:4" x14ac:dyDescent="0.25">
      <c r="A68" s="222">
        <v>177</v>
      </c>
      <c r="B68" s="222" t="s">
        <v>73</v>
      </c>
      <c r="C68" s="222" t="s">
        <v>350</v>
      </c>
      <c r="D68" s="223">
        <v>2.41</v>
      </c>
    </row>
    <row r="69" spans="1:4" x14ac:dyDescent="0.25">
      <c r="A69" s="222">
        <v>178</v>
      </c>
      <c r="B69" s="222" t="s">
        <v>73</v>
      </c>
      <c r="C69" s="222" t="s">
        <v>350</v>
      </c>
      <c r="D69" s="223">
        <v>2.41</v>
      </c>
    </row>
    <row r="70" spans="1:4" x14ac:dyDescent="0.25">
      <c r="A70" s="222">
        <v>179</v>
      </c>
      <c r="B70" s="222" t="s">
        <v>73</v>
      </c>
      <c r="C70" s="222" t="s">
        <v>350</v>
      </c>
      <c r="D70" s="223">
        <v>2.41</v>
      </c>
    </row>
    <row r="71" spans="1:4" x14ac:dyDescent="0.25">
      <c r="A71" s="222">
        <v>180</v>
      </c>
      <c r="B71" s="222" t="s">
        <v>73</v>
      </c>
      <c r="C71" s="222" t="s">
        <v>350</v>
      </c>
      <c r="D71" s="223">
        <v>2.41</v>
      </c>
    </row>
    <row r="72" spans="1:4" x14ac:dyDescent="0.25">
      <c r="A72" s="222">
        <v>241</v>
      </c>
      <c r="B72" s="222" t="s">
        <v>73</v>
      </c>
      <c r="C72" s="222" t="s">
        <v>350</v>
      </c>
      <c r="D72" s="223">
        <v>2.41</v>
      </c>
    </row>
    <row r="73" spans="1:4" x14ac:dyDescent="0.25">
      <c r="A73" s="222">
        <v>245</v>
      </c>
      <c r="B73" s="222" t="s">
        <v>73</v>
      </c>
      <c r="C73" s="222" t="s">
        <v>350</v>
      </c>
      <c r="D73" s="223">
        <v>2.41</v>
      </c>
    </row>
    <row r="74" spans="1:4" x14ac:dyDescent="0.25">
      <c r="A74" s="222">
        <v>246</v>
      </c>
      <c r="B74" s="222" t="s">
        <v>73</v>
      </c>
      <c r="C74" s="222" t="s">
        <v>350</v>
      </c>
      <c r="D74" s="223">
        <v>2.41</v>
      </c>
    </row>
    <row r="75" spans="1:4" x14ac:dyDescent="0.25">
      <c r="A75" s="222">
        <v>250</v>
      </c>
      <c r="B75" s="222" t="s">
        <v>73</v>
      </c>
      <c r="C75" s="222" t="s">
        <v>350</v>
      </c>
      <c r="D75" s="223">
        <v>2.41</v>
      </c>
    </row>
    <row r="76" spans="1:4" x14ac:dyDescent="0.25">
      <c r="A76" s="222">
        <v>251</v>
      </c>
      <c r="B76" s="222" t="s">
        <v>73</v>
      </c>
      <c r="C76" s="222" t="s">
        <v>350</v>
      </c>
      <c r="D76" s="223">
        <v>2.41</v>
      </c>
    </row>
    <row r="77" spans="1:4" x14ac:dyDescent="0.25">
      <c r="A77" s="222">
        <v>255</v>
      </c>
      <c r="B77" s="222" t="s">
        <v>73</v>
      </c>
      <c r="C77" s="222" t="s">
        <v>350</v>
      </c>
      <c r="D77" s="223">
        <v>2.41</v>
      </c>
    </row>
    <row r="78" spans="1:4" x14ac:dyDescent="0.25">
      <c r="A78" s="222">
        <v>256</v>
      </c>
      <c r="B78" s="222" t="s">
        <v>73</v>
      </c>
      <c r="C78" s="222" t="s">
        <v>350</v>
      </c>
      <c r="D78" s="223">
        <v>2.41</v>
      </c>
    </row>
    <row r="79" spans="1:4" x14ac:dyDescent="0.25">
      <c r="A79" s="222">
        <v>260</v>
      </c>
      <c r="B79" s="222" t="s">
        <v>73</v>
      </c>
      <c r="C79" s="222" t="s">
        <v>350</v>
      </c>
      <c r="D79" s="223">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F121" sqref="F121"/>
    </sheetView>
  </sheetViews>
  <sheetFormatPr defaultRowHeight="15.75" x14ac:dyDescent="0.25"/>
  <cols>
    <col min="1" max="3" width="15.7109375" style="222" customWidth="1"/>
    <col min="4" max="4" width="15.7109375" style="223" customWidth="1"/>
    <col min="5" max="16384" width="9.140625" style="211"/>
  </cols>
  <sheetData>
    <row r="1" spans="1:5" x14ac:dyDescent="0.25">
      <c r="A1" s="213" t="s">
        <v>181</v>
      </c>
      <c r="B1" s="214"/>
      <c r="C1" s="214"/>
      <c r="D1" s="214"/>
      <c r="E1" s="215"/>
    </row>
    <row r="2" spans="1:5" x14ac:dyDescent="0.25">
      <c r="A2" s="216" t="s">
        <v>357</v>
      </c>
      <c r="B2" s="217"/>
      <c r="C2" s="217"/>
      <c r="D2" s="217"/>
      <c r="E2" s="218"/>
    </row>
    <row r="3" spans="1:5" x14ac:dyDescent="0.25">
      <c r="A3" s="216" t="s">
        <v>359</v>
      </c>
      <c r="B3" s="217"/>
      <c r="C3" s="217"/>
      <c r="D3" s="217"/>
      <c r="E3" s="218"/>
    </row>
    <row r="4" spans="1:5" x14ac:dyDescent="0.25">
      <c r="A4" s="216" t="s">
        <v>360</v>
      </c>
      <c r="B4" s="217"/>
      <c r="C4" s="217"/>
      <c r="D4" s="217"/>
      <c r="E4" s="218"/>
    </row>
    <row r="5" spans="1:5" x14ac:dyDescent="0.25">
      <c r="A5" s="219" t="str">
        <f>"- Load: Value of subjected surface load (Input as Float) ("&amp;'User Defined Units'!$B$10&amp;"/"&amp;'User Defined Units'!$B$11&amp;"2)"</f>
        <v>- Load: Value of subjected surface load (Input as Float) (kN/m2)</v>
      </c>
      <c r="B5" s="220"/>
      <c r="C5" s="220"/>
      <c r="D5" s="220"/>
      <c r="E5" s="221"/>
    </row>
    <row r="6" spans="1:5" x14ac:dyDescent="0.25">
      <c r="A6" s="211"/>
      <c r="B6" s="211"/>
      <c r="C6" s="211"/>
      <c r="D6" s="211"/>
    </row>
    <row r="7" spans="1:5" s="196" customFormat="1" x14ac:dyDescent="0.25">
      <c r="A7" s="212" t="s">
        <v>356</v>
      </c>
      <c r="B7" s="212" t="s">
        <v>348</v>
      </c>
      <c r="C7" s="212" t="s">
        <v>351</v>
      </c>
      <c r="D7" s="212" t="s">
        <v>358</v>
      </c>
    </row>
    <row r="8" spans="1:5" x14ac:dyDescent="0.25">
      <c r="A8" s="222">
        <v>1</v>
      </c>
      <c r="B8" s="222" t="s">
        <v>73</v>
      </c>
      <c r="C8" s="222" t="s">
        <v>350</v>
      </c>
      <c r="D8" s="223">
        <v>1.1100000000000001</v>
      </c>
    </row>
    <row r="9" spans="1:5" x14ac:dyDescent="0.25">
      <c r="A9" s="222">
        <v>2</v>
      </c>
      <c r="B9" s="222" t="s">
        <v>73</v>
      </c>
      <c r="C9" s="222" t="s">
        <v>350</v>
      </c>
      <c r="D9" s="223">
        <v>1.1100000000000001</v>
      </c>
    </row>
    <row r="10" spans="1:5" x14ac:dyDescent="0.25">
      <c r="A10" s="222">
        <v>3</v>
      </c>
      <c r="B10" s="222" t="s">
        <v>73</v>
      </c>
      <c r="C10" s="222" t="s">
        <v>350</v>
      </c>
      <c r="D10" s="223">
        <v>1.1100000000000001</v>
      </c>
    </row>
    <row r="11" spans="1:5" x14ac:dyDescent="0.25">
      <c r="A11" s="222">
        <v>4</v>
      </c>
      <c r="B11" s="222" t="s">
        <v>73</v>
      </c>
      <c r="C11" s="222" t="s">
        <v>350</v>
      </c>
      <c r="D11" s="223">
        <v>1.1100000000000001</v>
      </c>
    </row>
    <row r="12" spans="1:5" x14ac:dyDescent="0.25">
      <c r="A12" s="222">
        <v>5</v>
      </c>
      <c r="B12" s="222" t="s">
        <v>73</v>
      </c>
      <c r="C12" s="222" t="s">
        <v>350</v>
      </c>
      <c r="D12" s="223">
        <v>1.1100000000000001</v>
      </c>
    </row>
    <row r="13" spans="1:5" x14ac:dyDescent="0.25">
      <c r="A13" s="222">
        <v>6</v>
      </c>
      <c r="B13" s="222" t="s">
        <v>73</v>
      </c>
      <c r="C13" s="222" t="s">
        <v>350</v>
      </c>
      <c r="D13" s="223">
        <v>1.1100000000000001</v>
      </c>
    </row>
    <row r="14" spans="1:5" x14ac:dyDescent="0.25">
      <c r="A14" s="222">
        <v>7</v>
      </c>
      <c r="B14" s="222" t="s">
        <v>73</v>
      </c>
      <c r="C14" s="222" t="s">
        <v>350</v>
      </c>
      <c r="D14" s="223">
        <v>1.1100000000000001</v>
      </c>
    </row>
    <row r="15" spans="1:5" x14ac:dyDescent="0.25">
      <c r="A15" s="222">
        <v>8</v>
      </c>
      <c r="B15" s="222" t="s">
        <v>73</v>
      </c>
      <c r="C15" s="222" t="s">
        <v>350</v>
      </c>
      <c r="D15" s="223">
        <v>1.1100000000000001</v>
      </c>
    </row>
    <row r="16" spans="1:5" x14ac:dyDescent="0.25">
      <c r="A16" s="222">
        <v>9</v>
      </c>
      <c r="B16" s="222" t="s">
        <v>73</v>
      </c>
      <c r="C16" s="222" t="s">
        <v>350</v>
      </c>
      <c r="D16" s="223">
        <v>1.1100000000000001</v>
      </c>
    </row>
    <row r="17" spans="1:4" x14ac:dyDescent="0.25">
      <c r="A17" s="222">
        <v>10</v>
      </c>
      <c r="B17" s="222" t="s">
        <v>73</v>
      </c>
      <c r="C17" s="222" t="s">
        <v>350</v>
      </c>
      <c r="D17" s="223">
        <v>1.1100000000000001</v>
      </c>
    </row>
    <row r="18" spans="1:4" x14ac:dyDescent="0.25">
      <c r="A18" s="222">
        <v>11</v>
      </c>
      <c r="B18" s="222" t="s">
        <v>73</v>
      </c>
      <c r="C18" s="222" t="s">
        <v>350</v>
      </c>
      <c r="D18" s="223">
        <v>1.1100000000000001</v>
      </c>
    </row>
    <row r="19" spans="1:4" x14ac:dyDescent="0.25">
      <c r="A19" s="222">
        <v>12</v>
      </c>
      <c r="B19" s="222" t="s">
        <v>73</v>
      </c>
      <c r="C19" s="222" t="s">
        <v>350</v>
      </c>
      <c r="D19" s="223">
        <v>1.1100000000000001</v>
      </c>
    </row>
    <row r="20" spans="1:4" x14ac:dyDescent="0.25">
      <c r="A20" s="222">
        <v>13</v>
      </c>
      <c r="B20" s="222" t="s">
        <v>73</v>
      </c>
      <c r="C20" s="222" t="s">
        <v>350</v>
      </c>
      <c r="D20" s="223">
        <v>1.1100000000000001</v>
      </c>
    </row>
    <row r="21" spans="1:4" x14ac:dyDescent="0.25">
      <c r="A21" s="222">
        <v>14</v>
      </c>
      <c r="B21" s="222" t="s">
        <v>73</v>
      </c>
      <c r="C21" s="222" t="s">
        <v>350</v>
      </c>
      <c r="D21" s="223">
        <v>1.1100000000000001</v>
      </c>
    </row>
    <row r="22" spans="1:4" x14ac:dyDescent="0.25">
      <c r="A22" s="222">
        <v>15</v>
      </c>
      <c r="B22" s="222" t="s">
        <v>73</v>
      </c>
      <c r="C22" s="222" t="s">
        <v>350</v>
      </c>
      <c r="D22" s="223">
        <v>1.1100000000000001</v>
      </c>
    </row>
    <row r="23" spans="1:4" x14ac:dyDescent="0.25">
      <c r="A23" s="222">
        <v>16</v>
      </c>
      <c r="B23" s="222" t="s">
        <v>73</v>
      </c>
      <c r="C23" s="222" t="s">
        <v>350</v>
      </c>
      <c r="D23" s="223">
        <v>1.1100000000000001</v>
      </c>
    </row>
    <row r="24" spans="1:4" x14ac:dyDescent="0.25">
      <c r="A24" s="222">
        <v>17</v>
      </c>
      <c r="B24" s="222" t="s">
        <v>73</v>
      </c>
      <c r="C24" s="222" t="s">
        <v>350</v>
      </c>
      <c r="D24" s="223">
        <v>1.1100000000000001</v>
      </c>
    </row>
    <row r="25" spans="1:4" x14ac:dyDescent="0.25">
      <c r="A25" s="222">
        <v>18</v>
      </c>
      <c r="B25" s="222" t="s">
        <v>73</v>
      </c>
      <c r="C25" s="222" t="s">
        <v>350</v>
      </c>
      <c r="D25" s="223">
        <v>1.1100000000000001</v>
      </c>
    </row>
    <row r="26" spans="1:4" x14ac:dyDescent="0.25">
      <c r="A26" s="222">
        <v>19</v>
      </c>
      <c r="B26" s="222" t="s">
        <v>73</v>
      </c>
      <c r="C26" s="222" t="s">
        <v>350</v>
      </c>
      <c r="D26" s="223">
        <v>1.1100000000000001</v>
      </c>
    </row>
    <row r="27" spans="1:4" x14ac:dyDescent="0.25">
      <c r="A27" s="222">
        <v>20</v>
      </c>
      <c r="B27" s="222" t="s">
        <v>73</v>
      </c>
      <c r="C27" s="222" t="s">
        <v>350</v>
      </c>
      <c r="D27" s="223">
        <v>1.1100000000000001</v>
      </c>
    </row>
    <row r="28" spans="1:4" x14ac:dyDescent="0.25">
      <c r="A28" s="222">
        <v>21</v>
      </c>
      <c r="B28" s="222" t="s">
        <v>73</v>
      </c>
      <c r="C28" s="222" t="s">
        <v>350</v>
      </c>
      <c r="D28" s="223">
        <v>1.1100000000000001</v>
      </c>
    </row>
    <row r="29" spans="1:4" x14ac:dyDescent="0.25">
      <c r="A29" s="222">
        <v>22</v>
      </c>
      <c r="B29" s="222" t="s">
        <v>73</v>
      </c>
      <c r="C29" s="222" t="s">
        <v>350</v>
      </c>
      <c r="D29" s="223">
        <v>1.1100000000000001</v>
      </c>
    </row>
    <row r="30" spans="1:4" x14ac:dyDescent="0.25">
      <c r="A30" s="222">
        <v>23</v>
      </c>
      <c r="B30" s="222" t="s">
        <v>73</v>
      </c>
      <c r="C30" s="222" t="s">
        <v>350</v>
      </c>
      <c r="D30" s="223">
        <v>1.1100000000000001</v>
      </c>
    </row>
    <row r="31" spans="1:4" x14ac:dyDescent="0.25">
      <c r="A31" s="222">
        <v>24</v>
      </c>
      <c r="B31" s="222" t="s">
        <v>73</v>
      </c>
      <c r="C31" s="222" t="s">
        <v>350</v>
      </c>
      <c r="D31" s="223">
        <v>1.1100000000000001</v>
      </c>
    </row>
    <row r="32" spans="1:4" x14ac:dyDescent="0.25">
      <c r="A32" s="222">
        <v>25</v>
      </c>
      <c r="B32" s="222" t="s">
        <v>73</v>
      </c>
      <c r="C32" s="222" t="s">
        <v>350</v>
      </c>
      <c r="D32" s="223">
        <v>1.1100000000000001</v>
      </c>
    </row>
    <row r="33" spans="1:4" x14ac:dyDescent="0.25">
      <c r="A33" s="222">
        <v>26</v>
      </c>
      <c r="B33" s="222" t="s">
        <v>73</v>
      </c>
      <c r="C33" s="222" t="s">
        <v>350</v>
      </c>
      <c r="D33" s="223">
        <v>1.1100000000000001</v>
      </c>
    </row>
    <row r="34" spans="1:4" x14ac:dyDescent="0.25">
      <c r="A34" s="222">
        <v>27</v>
      </c>
      <c r="B34" s="222" t="s">
        <v>73</v>
      </c>
      <c r="C34" s="222" t="s">
        <v>350</v>
      </c>
      <c r="D34" s="223">
        <v>1.1100000000000001</v>
      </c>
    </row>
    <row r="35" spans="1:4" x14ac:dyDescent="0.25">
      <c r="A35" s="222">
        <v>28</v>
      </c>
      <c r="B35" s="222" t="s">
        <v>73</v>
      </c>
      <c r="C35" s="222" t="s">
        <v>350</v>
      </c>
      <c r="D35" s="223">
        <v>1.1100000000000001</v>
      </c>
    </row>
    <row r="36" spans="1:4" x14ac:dyDescent="0.25">
      <c r="A36" s="222">
        <v>29</v>
      </c>
      <c r="B36" s="222" t="s">
        <v>73</v>
      </c>
      <c r="C36" s="222" t="s">
        <v>350</v>
      </c>
      <c r="D36" s="223">
        <v>1.1100000000000001</v>
      </c>
    </row>
    <row r="37" spans="1:4" x14ac:dyDescent="0.25">
      <c r="A37" s="222">
        <v>30</v>
      </c>
      <c r="B37" s="222" t="s">
        <v>73</v>
      </c>
      <c r="C37" s="222" t="s">
        <v>350</v>
      </c>
      <c r="D37" s="223">
        <v>1.1100000000000001</v>
      </c>
    </row>
    <row r="38" spans="1:4" x14ac:dyDescent="0.25">
      <c r="A38" s="222">
        <v>31</v>
      </c>
      <c r="B38" s="222" t="s">
        <v>73</v>
      </c>
      <c r="C38" s="222" t="s">
        <v>350</v>
      </c>
      <c r="D38" s="223">
        <v>1.1100000000000001</v>
      </c>
    </row>
    <row r="39" spans="1:4" x14ac:dyDescent="0.25">
      <c r="A39" s="222">
        <v>32</v>
      </c>
      <c r="B39" s="222" t="s">
        <v>73</v>
      </c>
      <c r="C39" s="222" t="s">
        <v>350</v>
      </c>
      <c r="D39" s="223">
        <v>1.1100000000000001</v>
      </c>
    </row>
    <row r="40" spans="1:4" x14ac:dyDescent="0.25">
      <c r="A40" s="222">
        <v>33</v>
      </c>
      <c r="B40" s="222" t="s">
        <v>73</v>
      </c>
      <c r="C40" s="222" t="s">
        <v>350</v>
      </c>
      <c r="D40" s="223">
        <v>1.1100000000000001</v>
      </c>
    </row>
    <row r="41" spans="1:4" x14ac:dyDescent="0.25">
      <c r="A41" s="222">
        <v>34</v>
      </c>
      <c r="B41" s="222" t="s">
        <v>73</v>
      </c>
      <c r="C41" s="222" t="s">
        <v>350</v>
      </c>
      <c r="D41" s="223">
        <v>1.1100000000000001</v>
      </c>
    </row>
    <row r="42" spans="1:4" x14ac:dyDescent="0.25">
      <c r="A42" s="222">
        <v>35</v>
      </c>
      <c r="B42" s="222" t="s">
        <v>73</v>
      </c>
      <c r="C42" s="222" t="s">
        <v>350</v>
      </c>
      <c r="D42" s="223">
        <v>1.1100000000000001</v>
      </c>
    </row>
    <row r="43" spans="1:4" x14ac:dyDescent="0.25">
      <c r="A43" s="222">
        <v>36</v>
      </c>
      <c r="B43" s="222" t="s">
        <v>73</v>
      </c>
      <c r="C43" s="222" t="s">
        <v>350</v>
      </c>
      <c r="D43" s="223">
        <v>1.1100000000000001</v>
      </c>
    </row>
    <row r="44" spans="1:4" x14ac:dyDescent="0.25">
      <c r="A44" s="222">
        <v>37</v>
      </c>
      <c r="B44" s="222" t="s">
        <v>73</v>
      </c>
      <c r="C44" s="222" t="s">
        <v>350</v>
      </c>
      <c r="D44" s="223">
        <v>1.1100000000000001</v>
      </c>
    </row>
    <row r="45" spans="1:4" x14ac:dyDescent="0.25">
      <c r="A45" s="222">
        <v>38</v>
      </c>
      <c r="B45" s="222" t="s">
        <v>73</v>
      </c>
      <c r="C45" s="222" t="s">
        <v>350</v>
      </c>
      <c r="D45" s="223">
        <v>1.1100000000000001</v>
      </c>
    </row>
    <row r="46" spans="1:4" x14ac:dyDescent="0.25">
      <c r="A46" s="222">
        <v>39</v>
      </c>
      <c r="B46" s="222" t="s">
        <v>73</v>
      </c>
      <c r="C46" s="222" t="s">
        <v>350</v>
      </c>
      <c r="D46" s="223">
        <v>1.1100000000000001</v>
      </c>
    </row>
    <row r="47" spans="1:4" x14ac:dyDescent="0.25">
      <c r="A47" s="222">
        <v>40</v>
      </c>
      <c r="B47" s="222" t="s">
        <v>73</v>
      </c>
      <c r="C47" s="222" t="s">
        <v>350</v>
      </c>
      <c r="D47" s="223">
        <v>1.1100000000000001</v>
      </c>
    </row>
    <row r="48" spans="1:4" x14ac:dyDescent="0.25">
      <c r="A48" s="222">
        <v>41</v>
      </c>
      <c r="B48" s="222" t="s">
        <v>73</v>
      </c>
      <c r="C48" s="222" t="s">
        <v>350</v>
      </c>
      <c r="D48" s="223">
        <v>1.1100000000000001</v>
      </c>
    </row>
    <row r="49" spans="1:4" x14ac:dyDescent="0.25">
      <c r="A49" s="222">
        <v>42</v>
      </c>
      <c r="B49" s="222" t="s">
        <v>73</v>
      </c>
      <c r="C49" s="222" t="s">
        <v>350</v>
      </c>
      <c r="D49" s="223">
        <v>1.1100000000000001</v>
      </c>
    </row>
    <row r="50" spans="1:4" x14ac:dyDescent="0.25">
      <c r="A50" s="222">
        <v>43</v>
      </c>
      <c r="B50" s="222" t="s">
        <v>73</v>
      </c>
      <c r="C50" s="222" t="s">
        <v>350</v>
      </c>
      <c r="D50" s="223">
        <v>1.1100000000000001</v>
      </c>
    </row>
    <row r="51" spans="1:4" x14ac:dyDescent="0.25">
      <c r="A51" s="222">
        <v>44</v>
      </c>
      <c r="B51" s="222" t="s">
        <v>73</v>
      </c>
      <c r="C51" s="222" t="s">
        <v>350</v>
      </c>
      <c r="D51" s="223">
        <v>1.1100000000000001</v>
      </c>
    </row>
    <row r="52" spans="1:4" x14ac:dyDescent="0.25">
      <c r="A52" s="222">
        <v>45</v>
      </c>
      <c r="B52" s="222" t="s">
        <v>73</v>
      </c>
      <c r="C52" s="222" t="s">
        <v>350</v>
      </c>
      <c r="D52" s="223">
        <v>1.1100000000000001</v>
      </c>
    </row>
    <row r="53" spans="1:4" x14ac:dyDescent="0.25">
      <c r="A53" s="222">
        <v>46</v>
      </c>
      <c r="B53" s="222" t="s">
        <v>73</v>
      </c>
      <c r="C53" s="222" t="s">
        <v>350</v>
      </c>
      <c r="D53" s="223">
        <v>1.1100000000000001</v>
      </c>
    </row>
    <row r="54" spans="1:4" x14ac:dyDescent="0.25">
      <c r="A54" s="222">
        <v>47</v>
      </c>
      <c r="B54" s="222" t="s">
        <v>73</v>
      </c>
      <c r="C54" s="222" t="s">
        <v>350</v>
      </c>
      <c r="D54" s="223">
        <v>1.1100000000000001</v>
      </c>
    </row>
    <row r="55" spans="1:4" x14ac:dyDescent="0.25">
      <c r="A55" s="222">
        <v>48</v>
      </c>
      <c r="B55" s="222" t="s">
        <v>73</v>
      </c>
      <c r="C55" s="222" t="s">
        <v>350</v>
      </c>
      <c r="D55" s="223">
        <v>1.1100000000000001</v>
      </c>
    </row>
    <row r="56" spans="1:4" x14ac:dyDescent="0.25">
      <c r="A56" s="222">
        <v>49</v>
      </c>
      <c r="B56" s="222" t="s">
        <v>73</v>
      </c>
      <c r="C56" s="222" t="s">
        <v>350</v>
      </c>
      <c r="D56" s="223">
        <v>0.41</v>
      </c>
    </row>
    <row r="57" spans="1:4" x14ac:dyDescent="0.25">
      <c r="A57" s="222">
        <v>50</v>
      </c>
      <c r="B57" s="222" t="s">
        <v>73</v>
      </c>
      <c r="C57" s="222" t="s">
        <v>350</v>
      </c>
      <c r="D57" s="223">
        <v>0.41</v>
      </c>
    </row>
    <row r="58" spans="1:4" x14ac:dyDescent="0.25">
      <c r="A58" s="222">
        <v>51</v>
      </c>
      <c r="B58" s="222" t="s">
        <v>73</v>
      </c>
      <c r="C58" s="222" t="s">
        <v>350</v>
      </c>
      <c r="D58" s="223">
        <v>0.41</v>
      </c>
    </row>
    <row r="59" spans="1:4" x14ac:dyDescent="0.25">
      <c r="A59" s="222">
        <v>52</v>
      </c>
      <c r="B59" s="222" t="s">
        <v>73</v>
      </c>
      <c r="C59" s="222" t="s">
        <v>350</v>
      </c>
      <c r="D59" s="223">
        <v>0.41</v>
      </c>
    </row>
    <row r="60" spans="1:4" x14ac:dyDescent="0.25">
      <c r="A60" s="222">
        <v>53</v>
      </c>
      <c r="B60" s="222" t="s">
        <v>73</v>
      </c>
      <c r="C60" s="222" t="s">
        <v>350</v>
      </c>
      <c r="D60" s="223">
        <v>0.41</v>
      </c>
    </row>
    <row r="61" spans="1:4" x14ac:dyDescent="0.25">
      <c r="A61" s="222">
        <v>54</v>
      </c>
      <c r="B61" s="222" t="s">
        <v>73</v>
      </c>
      <c r="C61" s="222" t="s">
        <v>350</v>
      </c>
      <c r="D61" s="223">
        <v>0.41</v>
      </c>
    </row>
    <row r="62" spans="1:4" x14ac:dyDescent="0.25">
      <c r="A62" s="222">
        <v>55</v>
      </c>
      <c r="B62" s="222" t="s">
        <v>73</v>
      </c>
      <c r="C62" s="222" t="s">
        <v>350</v>
      </c>
      <c r="D62" s="223">
        <v>0.41</v>
      </c>
    </row>
    <row r="63" spans="1:4" x14ac:dyDescent="0.25">
      <c r="A63" s="222">
        <v>56</v>
      </c>
      <c r="B63" s="222" t="s">
        <v>73</v>
      </c>
      <c r="C63" s="222" t="s">
        <v>350</v>
      </c>
      <c r="D63" s="223">
        <v>0.41</v>
      </c>
    </row>
    <row r="64" spans="1:4" x14ac:dyDescent="0.25">
      <c r="A64" s="222">
        <v>57</v>
      </c>
      <c r="B64" s="222" t="s">
        <v>73</v>
      </c>
      <c r="C64" s="222" t="s">
        <v>350</v>
      </c>
      <c r="D64" s="223">
        <v>0.41</v>
      </c>
    </row>
    <row r="65" spans="1:4" x14ac:dyDescent="0.25">
      <c r="A65" s="222">
        <v>58</v>
      </c>
      <c r="B65" s="222" t="s">
        <v>73</v>
      </c>
      <c r="C65" s="222" t="s">
        <v>350</v>
      </c>
      <c r="D65" s="223">
        <v>0.41</v>
      </c>
    </row>
    <row r="66" spans="1:4" x14ac:dyDescent="0.25">
      <c r="A66" s="222">
        <v>59</v>
      </c>
      <c r="B66" s="222" t="s">
        <v>73</v>
      </c>
      <c r="C66" s="222" t="s">
        <v>350</v>
      </c>
      <c r="D66" s="223">
        <v>0.41</v>
      </c>
    </row>
    <row r="67" spans="1:4" x14ac:dyDescent="0.25">
      <c r="A67" s="222">
        <v>60</v>
      </c>
      <c r="B67" s="222" t="s">
        <v>73</v>
      </c>
      <c r="C67" s="222" t="s">
        <v>350</v>
      </c>
      <c r="D67" s="223">
        <v>0.41</v>
      </c>
    </row>
    <row r="68" spans="1:4" x14ac:dyDescent="0.25">
      <c r="A68" s="222">
        <v>61</v>
      </c>
      <c r="B68" s="222" t="s">
        <v>73</v>
      </c>
      <c r="C68" s="222" t="s">
        <v>350</v>
      </c>
      <c r="D68" s="223">
        <v>0.41</v>
      </c>
    </row>
    <row r="69" spans="1:4" x14ac:dyDescent="0.25">
      <c r="A69" s="222">
        <v>62</v>
      </c>
      <c r="B69" s="222" t="s">
        <v>73</v>
      </c>
      <c r="C69" s="222" t="s">
        <v>350</v>
      </c>
      <c r="D69" s="223">
        <v>0.41</v>
      </c>
    </row>
    <row r="70" spans="1:4" x14ac:dyDescent="0.25">
      <c r="A70" s="222">
        <v>63</v>
      </c>
      <c r="B70" s="222" t="s">
        <v>73</v>
      </c>
      <c r="C70" s="222" t="s">
        <v>350</v>
      </c>
      <c r="D70" s="223">
        <v>0.41</v>
      </c>
    </row>
    <row r="71" spans="1:4" x14ac:dyDescent="0.25">
      <c r="A71" s="222">
        <v>64</v>
      </c>
      <c r="B71" s="222" t="s">
        <v>73</v>
      </c>
      <c r="C71" s="222" t="s">
        <v>350</v>
      </c>
      <c r="D71" s="223">
        <v>0.41</v>
      </c>
    </row>
    <row r="72" spans="1:4" x14ac:dyDescent="0.25">
      <c r="A72" s="222">
        <v>1</v>
      </c>
      <c r="B72" s="222" t="s">
        <v>74</v>
      </c>
      <c r="C72" s="222" t="s">
        <v>350</v>
      </c>
      <c r="D72" s="223">
        <v>2.69</v>
      </c>
    </row>
    <row r="73" spans="1:4" x14ac:dyDescent="0.25">
      <c r="A73" s="222">
        <v>2</v>
      </c>
      <c r="B73" s="222" t="s">
        <v>74</v>
      </c>
      <c r="C73" s="222" t="s">
        <v>350</v>
      </c>
      <c r="D73" s="223">
        <v>2.69</v>
      </c>
    </row>
    <row r="74" spans="1:4" x14ac:dyDescent="0.25">
      <c r="A74" s="222">
        <v>3</v>
      </c>
      <c r="B74" s="222" t="s">
        <v>74</v>
      </c>
      <c r="C74" s="222" t="s">
        <v>350</v>
      </c>
      <c r="D74" s="223">
        <v>2.69</v>
      </c>
    </row>
    <row r="75" spans="1:4" x14ac:dyDescent="0.25">
      <c r="A75" s="222">
        <v>4</v>
      </c>
      <c r="B75" s="222" t="s">
        <v>74</v>
      </c>
      <c r="C75" s="222" t="s">
        <v>350</v>
      </c>
      <c r="D75" s="223">
        <v>2.69</v>
      </c>
    </row>
    <row r="76" spans="1:4" x14ac:dyDescent="0.25">
      <c r="A76" s="222">
        <v>5</v>
      </c>
      <c r="B76" s="222" t="s">
        <v>74</v>
      </c>
      <c r="C76" s="222" t="s">
        <v>350</v>
      </c>
      <c r="D76" s="223">
        <v>2.69</v>
      </c>
    </row>
    <row r="77" spans="1:4" x14ac:dyDescent="0.25">
      <c r="A77" s="222">
        <v>6</v>
      </c>
      <c r="B77" s="222" t="s">
        <v>74</v>
      </c>
      <c r="C77" s="222" t="s">
        <v>350</v>
      </c>
      <c r="D77" s="223">
        <v>2.69</v>
      </c>
    </row>
    <row r="78" spans="1:4" x14ac:dyDescent="0.25">
      <c r="A78" s="222">
        <v>7</v>
      </c>
      <c r="B78" s="222" t="s">
        <v>74</v>
      </c>
      <c r="C78" s="222" t="s">
        <v>350</v>
      </c>
      <c r="D78" s="223">
        <v>2.69</v>
      </c>
    </row>
    <row r="79" spans="1:4" x14ac:dyDescent="0.25">
      <c r="A79" s="222">
        <v>8</v>
      </c>
      <c r="B79" s="222" t="s">
        <v>74</v>
      </c>
      <c r="C79" s="222" t="s">
        <v>350</v>
      </c>
      <c r="D79" s="223">
        <v>2.69</v>
      </c>
    </row>
    <row r="80" spans="1:4" x14ac:dyDescent="0.25">
      <c r="A80" s="222">
        <v>9</v>
      </c>
      <c r="B80" s="222" t="s">
        <v>74</v>
      </c>
      <c r="C80" s="222" t="s">
        <v>350</v>
      </c>
      <c r="D80" s="223">
        <v>2.69</v>
      </c>
    </row>
    <row r="81" spans="1:4" x14ac:dyDescent="0.25">
      <c r="A81" s="222">
        <v>10</v>
      </c>
      <c r="B81" s="222" t="s">
        <v>74</v>
      </c>
      <c r="C81" s="222" t="s">
        <v>350</v>
      </c>
      <c r="D81" s="223">
        <v>2.69</v>
      </c>
    </row>
    <row r="82" spans="1:4" x14ac:dyDescent="0.25">
      <c r="A82" s="222">
        <v>11</v>
      </c>
      <c r="B82" s="222" t="s">
        <v>74</v>
      </c>
      <c r="C82" s="222" t="s">
        <v>350</v>
      </c>
      <c r="D82" s="223">
        <v>2.69</v>
      </c>
    </row>
    <row r="83" spans="1:4" x14ac:dyDescent="0.25">
      <c r="A83" s="222">
        <v>12</v>
      </c>
      <c r="B83" s="222" t="s">
        <v>74</v>
      </c>
      <c r="C83" s="222" t="s">
        <v>350</v>
      </c>
      <c r="D83" s="223">
        <v>2.69</v>
      </c>
    </row>
    <row r="84" spans="1:4" x14ac:dyDescent="0.25">
      <c r="A84" s="222">
        <v>13</v>
      </c>
      <c r="B84" s="222" t="s">
        <v>74</v>
      </c>
      <c r="C84" s="222" t="s">
        <v>350</v>
      </c>
      <c r="D84" s="223">
        <v>2.69</v>
      </c>
    </row>
    <row r="85" spans="1:4" x14ac:dyDescent="0.25">
      <c r="A85" s="222">
        <v>14</v>
      </c>
      <c r="B85" s="222" t="s">
        <v>74</v>
      </c>
      <c r="C85" s="222" t="s">
        <v>350</v>
      </c>
      <c r="D85" s="223">
        <v>2.69</v>
      </c>
    </row>
    <row r="86" spans="1:4" x14ac:dyDescent="0.25">
      <c r="A86" s="222">
        <v>15</v>
      </c>
      <c r="B86" s="222" t="s">
        <v>74</v>
      </c>
      <c r="C86" s="222" t="s">
        <v>350</v>
      </c>
      <c r="D86" s="223">
        <v>2.69</v>
      </c>
    </row>
    <row r="87" spans="1:4" x14ac:dyDescent="0.25">
      <c r="A87" s="222">
        <v>16</v>
      </c>
      <c r="B87" s="222" t="s">
        <v>74</v>
      </c>
      <c r="C87" s="222" t="s">
        <v>350</v>
      </c>
      <c r="D87" s="223">
        <v>2.69</v>
      </c>
    </row>
    <row r="88" spans="1:4" x14ac:dyDescent="0.25">
      <c r="A88" s="222">
        <v>17</v>
      </c>
      <c r="B88" s="222" t="s">
        <v>74</v>
      </c>
      <c r="C88" s="222" t="s">
        <v>350</v>
      </c>
      <c r="D88" s="223">
        <v>2.69</v>
      </c>
    </row>
    <row r="89" spans="1:4" x14ac:dyDescent="0.25">
      <c r="A89" s="222">
        <v>18</v>
      </c>
      <c r="B89" s="222" t="s">
        <v>74</v>
      </c>
      <c r="C89" s="222" t="s">
        <v>350</v>
      </c>
      <c r="D89" s="223">
        <v>2.69</v>
      </c>
    </row>
    <row r="90" spans="1:4" x14ac:dyDescent="0.25">
      <c r="A90" s="222">
        <v>19</v>
      </c>
      <c r="B90" s="222" t="s">
        <v>74</v>
      </c>
      <c r="C90" s="222" t="s">
        <v>350</v>
      </c>
      <c r="D90" s="223">
        <v>2.69</v>
      </c>
    </row>
    <row r="91" spans="1:4" x14ac:dyDescent="0.25">
      <c r="A91" s="222">
        <v>20</v>
      </c>
      <c r="B91" s="222" t="s">
        <v>74</v>
      </c>
      <c r="C91" s="222" t="s">
        <v>350</v>
      </c>
      <c r="D91" s="223">
        <v>2.69</v>
      </c>
    </row>
    <row r="92" spans="1:4" x14ac:dyDescent="0.25">
      <c r="A92" s="222">
        <v>21</v>
      </c>
      <c r="B92" s="222" t="s">
        <v>74</v>
      </c>
      <c r="C92" s="222" t="s">
        <v>350</v>
      </c>
      <c r="D92" s="223">
        <v>2.69</v>
      </c>
    </row>
    <row r="93" spans="1:4" x14ac:dyDescent="0.25">
      <c r="A93" s="222">
        <v>22</v>
      </c>
      <c r="B93" s="222" t="s">
        <v>74</v>
      </c>
      <c r="C93" s="222" t="s">
        <v>350</v>
      </c>
      <c r="D93" s="223">
        <v>2.69</v>
      </c>
    </row>
    <row r="94" spans="1:4" x14ac:dyDescent="0.25">
      <c r="A94" s="222">
        <v>23</v>
      </c>
      <c r="B94" s="222" t="s">
        <v>74</v>
      </c>
      <c r="C94" s="222" t="s">
        <v>350</v>
      </c>
      <c r="D94" s="223">
        <v>2.69</v>
      </c>
    </row>
    <row r="95" spans="1:4" x14ac:dyDescent="0.25">
      <c r="A95" s="222">
        <v>24</v>
      </c>
      <c r="B95" s="222" t="s">
        <v>74</v>
      </c>
      <c r="C95" s="222" t="s">
        <v>350</v>
      </c>
      <c r="D95" s="223">
        <v>2.69</v>
      </c>
    </row>
    <row r="96" spans="1:4" x14ac:dyDescent="0.25">
      <c r="A96" s="222">
        <v>25</v>
      </c>
      <c r="B96" s="222" t="s">
        <v>74</v>
      </c>
      <c r="C96" s="222" t="s">
        <v>350</v>
      </c>
      <c r="D96" s="223">
        <v>2.69</v>
      </c>
    </row>
    <row r="97" spans="1:4" x14ac:dyDescent="0.25">
      <c r="A97" s="222">
        <v>26</v>
      </c>
      <c r="B97" s="222" t="s">
        <v>74</v>
      </c>
      <c r="C97" s="222" t="s">
        <v>350</v>
      </c>
      <c r="D97" s="223">
        <v>2.69</v>
      </c>
    </row>
    <row r="98" spans="1:4" x14ac:dyDescent="0.25">
      <c r="A98" s="222">
        <v>27</v>
      </c>
      <c r="B98" s="222" t="s">
        <v>74</v>
      </c>
      <c r="C98" s="222" t="s">
        <v>350</v>
      </c>
      <c r="D98" s="223">
        <v>2.69</v>
      </c>
    </row>
    <row r="99" spans="1:4" x14ac:dyDescent="0.25">
      <c r="A99" s="222">
        <v>28</v>
      </c>
      <c r="B99" s="222" t="s">
        <v>74</v>
      </c>
      <c r="C99" s="222" t="s">
        <v>350</v>
      </c>
      <c r="D99" s="223">
        <v>2.69</v>
      </c>
    </row>
    <row r="100" spans="1:4" x14ac:dyDescent="0.25">
      <c r="A100" s="222">
        <v>29</v>
      </c>
      <c r="B100" s="222" t="s">
        <v>74</v>
      </c>
      <c r="C100" s="222" t="s">
        <v>350</v>
      </c>
      <c r="D100" s="223">
        <v>2.69</v>
      </c>
    </row>
    <row r="101" spans="1:4" x14ac:dyDescent="0.25">
      <c r="A101" s="222">
        <v>30</v>
      </c>
      <c r="B101" s="222" t="s">
        <v>74</v>
      </c>
      <c r="C101" s="222" t="s">
        <v>350</v>
      </c>
      <c r="D101" s="223">
        <v>2.69</v>
      </c>
    </row>
    <row r="102" spans="1:4" x14ac:dyDescent="0.25">
      <c r="A102" s="222">
        <v>31</v>
      </c>
      <c r="B102" s="222" t="s">
        <v>74</v>
      </c>
      <c r="C102" s="222" t="s">
        <v>350</v>
      </c>
      <c r="D102" s="223">
        <v>2.69</v>
      </c>
    </row>
    <row r="103" spans="1:4" x14ac:dyDescent="0.25">
      <c r="A103" s="222">
        <v>32</v>
      </c>
      <c r="B103" s="222" t="s">
        <v>74</v>
      </c>
      <c r="C103" s="222" t="s">
        <v>350</v>
      </c>
      <c r="D103" s="223">
        <v>2.69</v>
      </c>
    </row>
    <row r="104" spans="1:4" x14ac:dyDescent="0.25">
      <c r="A104" s="222">
        <v>33</v>
      </c>
      <c r="B104" s="222" t="s">
        <v>74</v>
      </c>
      <c r="C104" s="222" t="s">
        <v>350</v>
      </c>
      <c r="D104" s="223">
        <v>2.69</v>
      </c>
    </row>
    <row r="105" spans="1:4" x14ac:dyDescent="0.25">
      <c r="A105" s="222">
        <v>34</v>
      </c>
      <c r="B105" s="222" t="s">
        <v>74</v>
      </c>
      <c r="C105" s="222" t="s">
        <v>350</v>
      </c>
      <c r="D105" s="223">
        <v>2.69</v>
      </c>
    </row>
    <row r="106" spans="1:4" x14ac:dyDescent="0.25">
      <c r="A106" s="222">
        <v>35</v>
      </c>
      <c r="B106" s="222" t="s">
        <v>74</v>
      </c>
      <c r="C106" s="222" t="s">
        <v>350</v>
      </c>
      <c r="D106" s="223">
        <v>2.69</v>
      </c>
    </row>
    <row r="107" spans="1:4" x14ac:dyDescent="0.25">
      <c r="A107" s="222">
        <v>36</v>
      </c>
      <c r="B107" s="222" t="s">
        <v>74</v>
      </c>
      <c r="C107" s="222" t="s">
        <v>350</v>
      </c>
      <c r="D107" s="223">
        <v>2.69</v>
      </c>
    </row>
    <row r="108" spans="1:4" x14ac:dyDescent="0.25">
      <c r="A108" s="222">
        <v>37</v>
      </c>
      <c r="B108" s="222" t="s">
        <v>74</v>
      </c>
      <c r="C108" s="222" t="s">
        <v>350</v>
      </c>
      <c r="D108" s="223">
        <v>2.69</v>
      </c>
    </row>
    <row r="109" spans="1:4" x14ac:dyDescent="0.25">
      <c r="A109" s="222">
        <v>38</v>
      </c>
      <c r="B109" s="222" t="s">
        <v>74</v>
      </c>
      <c r="C109" s="222" t="s">
        <v>350</v>
      </c>
      <c r="D109" s="223">
        <v>2.69</v>
      </c>
    </row>
    <row r="110" spans="1:4" x14ac:dyDescent="0.25">
      <c r="A110" s="222">
        <v>39</v>
      </c>
      <c r="B110" s="222" t="s">
        <v>74</v>
      </c>
      <c r="C110" s="222" t="s">
        <v>350</v>
      </c>
      <c r="D110" s="223">
        <v>2.69</v>
      </c>
    </row>
    <row r="111" spans="1:4" x14ac:dyDescent="0.25">
      <c r="A111" s="222">
        <v>40</v>
      </c>
      <c r="B111" s="222" t="s">
        <v>74</v>
      </c>
      <c r="C111" s="222" t="s">
        <v>350</v>
      </c>
      <c r="D111" s="223">
        <v>2.69</v>
      </c>
    </row>
    <row r="112" spans="1:4" x14ac:dyDescent="0.25">
      <c r="A112" s="222">
        <v>41</v>
      </c>
      <c r="B112" s="222" t="s">
        <v>74</v>
      </c>
      <c r="C112" s="222" t="s">
        <v>350</v>
      </c>
      <c r="D112" s="223">
        <v>2.69</v>
      </c>
    </row>
    <row r="113" spans="1:4" x14ac:dyDescent="0.25">
      <c r="A113" s="222">
        <v>42</v>
      </c>
      <c r="B113" s="222" t="s">
        <v>74</v>
      </c>
      <c r="C113" s="222" t="s">
        <v>350</v>
      </c>
      <c r="D113" s="223">
        <v>2.69</v>
      </c>
    </row>
    <row r="114" spans="1:4" x14ac:dyDescent="0.25">
      <c r="A114" s="222">
        <v>43</v>
      </c>
      <c r="B114" s="222" t="s">
        <v>74</v>
      </c>
      <c r="C114" s="222" t="s">
        <v>350</v>
      </c>
      <c r="D114" s="223">
        <v>2.69</v>
      </c>
    </row>
    <row r="115" spans="1:4" x14ac:dyDescent="0.25">
      <c r="A115" s="222">
        <v>44</v>
      </c>
      <c r="B115" s="222" t="s">
        <v>74</v>
      </c>
      <c r="C115" s="222" t="s">
        <v>350</v>
      </c>
      <c r="D115" s="223">
        <v>2.69</v>
      </c>
    </row>
    <row r="116" spans="1:4" x14ac:dyDescent="0.25">
      <c r="A116" s="222">
        <v>45</v>
      </c>
      <c r="B116" s="222" t="s">
        <v>74</v>
      </c>
      <c r="C116" s="222" t="s">
        <v>350</v>
      </c>
      <c r="D116" s="223">
        <v>2.69</v>
      </c>
    </row>
    <row r="117" spans="1:4" x14ac:dyDescent="0.25">
      <c r="A117" s="222">
        <v>46</v>
      </c>
      <c r="B117" s="222" t="s">
        <v>74</v>
      </c>
      <c r="C117" s="222" t="s">
        <v>350</v>
      </c>
      <c r="D117" s="223">
        <v>2.69</v>
      </c>
    </row>
    <row r="118" spans="1:4" x14ac:dyDescent="0.25">
      <c r="A118" s="222">
        <v>47</v>
      </c>
      <c r="B118" s="222" t="s">
        <v>74</v>
      </c>
      <c r="C118" s="222" t="s">
        <v>350</v>
      </c>
      <c r="D118" s="223">
        <v>2.69</v>
      </c>
    </row>
    <row r="119" spans="1:4" x14ac:dyDescent="0.25">
      <c r="A119" s="222">
        <v>48</v>
      </c>
      <c r="B119" s="222" t="s">
        <v>74</v>
      </c>
      <c r="C119" s="222" t="s">
        <v>350</v>
      </c>
      <c r="D119" s="223">
        <v>2.69</v>
      </c>
    </row>
    <row r="120" spans="1:4" x14ac:dyDescent="0.25">
      <c r="A120" s="222">
        <v>49</v>
      </c>
      <c r="B120" s="222" t="s">
        <v>74</v>
      </c>
      <c r="C120" s="222" t="s">
        <v>350</v>
      </c>
      <c r="D120" s="223">
        <v>0.57999999999999996</v>
      </c>
    </row>
    <row r="121" spans="1:4" x14ac:dyDescent="0.25">
      <c r="A121" s="222">
        <v>50</v>
      </c>
      <c r="B121" s="222" t="s">
        <v>74</v>
      </c>
      <c r="C121" s="222" t="s">
        <v>350</v>
      </c>
      <c r="D121" s="223">
        <v>0.57999999999999996</v>
      </c>
    </row>
    <row r="122" spans="1:4" x14ac:dyDescent="0.25">
      <c r="A122" s="222">
        <v>51</v>
      </c>
      <c r="B122" s="222" t="s">
        <v>74</v>
      </c>
      <c r="C122" s="222" t="s">
        <v>350</v>
      </c>
      <c r="D122" s="223">
        <v>0.57999999999999996</v>
      </c>
    </row>
    <row r="123" spans="1:4" x14ac:dyDescent="0.25">
      <c r="A123" s="222">
        <v>52</v>
      </c>
      <c r="B123" s="222" t="s">
        <v>74</v>
      </c>
      <c r="C123" s="222" t="s">
        <v>350</v>
      </c>
      <c r="D123" s="223">
        <v>0.57999999999999996</v>
      </c>
    </row>
    <row r="124" spans="1:4" x14ac:dyDescent="0.25">
      <c r="A124" s="222">
        <v>53</v>
      </c>
      <c r="B124" s="222" t="s">
        <v>74</v>
      </c>
      <c r="C124" s="222" t="s">
        <v>350</v>
      </c>
      <c r="D124" s="223">
        <v>0.57999999999999996</v>
      </c>
    </row>
    <row r="125" spans="1:4" x14ac:dyDescent="0.25">
      <c r="A125" s="222">
        <v>54</v>
      </c>
      <c r="B125" s="222" t="s">
        <v>74</v>
      </c>
      <c r="C125" s="222" t="s">
        <v>350</v>
      </c>
      <c r="D125" s="223">
        <v>0.57999999999999996</v>
      </c>
    </row>
    <row r="126" spans="1:4" x14ac:dyDescent="0.25">
      <c r="A126" s="222">
        <v>55</v>
      </c>
      <c r="B126" s="222" t="s">
        <v>74</v>
      </c>
      <c r="C126" s="222" t="s">
        <v>350</v>
      </c>
      <c r="D126" s="223">
        <v>0.57999999999999996</v>
      </c>
    </row>
    <row r="127" spans="1:4" x14ac:dyDescent="0.25">
      <c r="A127" s="222">
        <v>56</v>
      </c>
      <c r="B127" s="222" t="s">
        <v>74</v>
      </c>
      <c r="C127" s="222" t="s">
        <v>350</v>
      </c>
      <c r="D127" s="223">
        <v>0.57999999999999996</v>
      </c>
    </row>
    <row r="128" spans="1:4" x14ac:dyDescent="0.25">
      <c r="A128" s="222">
        <v>57</v>
      </c>
      <c r="B128" s="222" t="s">
        <v>74</v>
      </c>
      <c r="C128" s="222" t="s">
        <v>350</v>
      </c>
      <c r="D128" s="223">
        <v>0.57999999999999996</v>
      </c>
    </row>
    <row r="129" spans="1:4" x14ac:dyDescent="0.25">
      <c r="A129" s="222">
        <v>58</v>
      </c>
      <c r="B129" s="222" t="s">
        <v>74</v>
      </c>
      <c r="C129" s="222" t="s">
        <v>350</v>
      </c>
      <c r="D129" s="223">
        <v>0.57999999999999996</v>
      </c>
    </row>
    <row r="130" spans="1:4" x14ac:dyDescent="0.25">
      <c r="A130" s="222">
        <v>59</v>
      </c>
      <c r="B130" s="222" t="s">
        <v>74</v>
      </c>
      <c r="C130" s="222" t="s">
        <v>350</v>
      </c>
      <c r="D130" s="223">
        <v>0.57999999999999996</v>
      </c>
    </row>
    <row r="131" spans="1:4" x14ac:dyDescent="0.25">
      <c r="A131" s="222">
        <v>60</v>
      </c>
      <c r="B131" s="222" t="s">
        <v>74</v>
      </c>
      <c r="C131" s="222" t="s">
        <v>350</v>
      </c>
      <c r="D131" s="223">
        <v>0.57999999999999996</v>
      </c>
    </row>
    <row r="132" spans="1:4" x14ac:dyDescent="0.25">
      <c r="A132" s="222">
        <v>61</v>
      </c>
      <c r="B132" s="222" t="s">
        <v>74</v>
      </c>
      <c r="C132" s="222" t="s">
        <v>350</v>
      </c>
      <c r="D132" s="223">
        <v>0.57999999999999996</v>
      </c>
    </row>
    <row r="133" spans="1:4" x14ac:dyDescent="0.25">
      <c r="A133" s="222">
        <v>62</v>
      </c>
      <c r="B133" s="222" t="s">
        <v>74</v>
      </c>
      <c r="C133" s="222" t="s">
        <v>350</v>
      </c>
      <c r="D133" s="223">
        <v>0.57999999999999996</v>
      </c>
    </row>
    <row r="134" spans="1:4" x14ac:dyDescent="0.25">
      <c r="A134" s="222">
        <v>63</v>
      </c>
      <c r="B134" s="222" t="s">
        <v>74</v>
      </c>
      <c r="C134" s="222" t="s">
        <v>350</v>
      </c>
      <c r="D134" s="223">
        <v>0.57999999999999996</v>
      </c>
    </row>
    <row r="135" spans="1:4" x14ac:dyDescent="0.25">
      <c r="A135" s="222">
        <v>64</v>
      </c>
      <c r="B135" s="222" t="s">
        <v>74</v>
      </c>
      <c r="C135" s="222" t="s">
        <v>350</v>
      </c>
      <c r="D135" s="223">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27</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2026-08-05T09:30:41Z</dcterms:modified>
</cp:coreProperties>
</file>