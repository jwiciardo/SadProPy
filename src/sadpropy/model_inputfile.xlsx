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9BACA04F-352C-4FD2-9C25-787800F02463}" xr6:coauthVersionLast="47" xr6:coauthVersionMax="47" xr10:uidLastSave="{00000000-0000-0000-0000-000000000000}"/>
  <bookViews>
    <workbookView xWindow="-120" yWindow="-120" windowWidth="29040" windowHeight="15720" firstSheet="11" activeTab="13"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ListDB!$FC$2:$FC$1001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C_Type">ListDB!$V$2:$V$1001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NL_Mat_Name">ListDB!$M$2:$M$1001</definedName>
    <definedName name="Node_ID">'Node Objects'!$A$8:$A$1048576</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ListDB!$AB$2:$AB$3</definedName>
    <definedName name="Unit_Force">ListDB!$W$2:$W$8</definedName>
    <definedName name="Unit_Length">ListDB!$X$2:$X$6</definedName>
    <definedName name="Unit_Mass">ListDB!$Y$2:$Y$6</definedName>
    <definedName name="Unit_Stress">ListDB!$Z$2:$Z$9</definedName>
    <definedName name="Unit_Time">ListDB!$AA$2:$AA$3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2" i="1" l="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<sst xmlns="http://schemas.openxmlformats.org/spreadsheetml/2006/main" count="1988" uniqueCount="362">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</sst>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8">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4"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B9"/>
  <sheetViews>
    <sheetView zoomScale="130" zoomScaleNormal="130" workbookViewId="0">
      <selection activeCell="B2" sqref="B2"/>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2" width="15.7109375" style="49" customWidth="1"/>
    <col min="23" max="28" width="10.7109375" style="49" customWidth="1"/>
    <col min="29" max="16384" width="9.140625" style="49"/>
  </cols>
  <sheetData>
    <row r="1" spans="1:28" s="98" customFormat="1" ht="47.25" x14ac:dyDescent="0.25">
      <c r="A1" s="122" t="s">
        <v>171</v>
      </c>
      <c r="B1" s="122" t="s">
        <v>357</v>
      </c>
      <c r="C1" s="122" t="s">
        <v>8</v>
      </c>
      <c r="D1" s="122" t="s">
        <v>232</v>
      </c>
      <c r="E1" s="122" t="s">
        <v>233</v>
      </c>
      <c r="F1" s="122" t="s">
        <v>234</v>
      </c>
      <c r="G1" s="122" t="s">
        <v>337</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22</v>
      </c>
      <c r="W1" s="122" t="s">
        <v>58</v>
      </c>
      <c r="X1" s="122" t="s">
        <v>59</v>
      </c>
      <c r="Y1" s="122" t="s">
        <v>60</v>
      </c>
      <c r="Z1" s="122" t="s">
        <v>61</v>
      </c>
      <c r="AA1" s="122" t="s">
        <v>62</v>
      </c>
      <c r="AB1" s="122" t="s">
        <v>63</v>
      </c>
    </row>
    <row r="2" spans="1:28" ht="31.5" x14ac:dyDescent="0.25">
      <c r="A2" s="99" t="s">
        <v>173</v>
      </c>
      <c r="B2" s="245" t="s">
        <v>358</v>
      </c>
      <c r="C2" s="100" t="s">
        <v>2</v>
      </c>
      <c r="D2" s="139" t="s">
        <v>229</v>
      </c>
      <c r="E2" s="139" t="s">
        <v>229</v>
      </c>
      <c r="F2" s="139" t="s">
        <v>235</v>
      </c>
      <c r="G2" s="222" t="s">
        <v>340</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12" t="s">
        <v>304</v>
      </c>
      <c r="W2" s="101" t="s">
        <v>64</v>
      </c>
      <c r="X2" s="101" t="s">
        <v>71</v>
      </c>
      <c r="Y2" s="101" t="s">
        <v>76</v>
      </c>
      <c r="Z2" s="101" t="s">
        <v>81</v>
      </c>
      <c r="AA2" s="101" t="s">
        <v>89</v>
      </c>
      <c r="AB2" s="101" t="s">
        <v>90</v>
      </c>
    </row>
    <row r="3" spans="1:28" ht="31.5" x14ac:dyDescent="0.25">
      <c r="A3" s="99" t="s">
        <v>174</v>
      </c>
      <c r="B3" s="245" t="s">
        <v>359</v>
      </c>
      <c r="C3" s="100" t="s">
        <v>3</v>
      </c>
      <c r="D3" s="139" t="s">
        <v>230</v>
      </c>
      <c r="E3" s="139" t="s">
        <v>231</v>
      </c>
      <c r="F3" s="139" t="s">
        <v>182</v>
      </c>
      <c r="G3" s="222" t="s">
        <v>341</v>
      </c>
      <c r="H3" s="121"/>
      <c r="I3" s="121" t="str">
        <v>Rebar420</v>
      </c>
      <c r="J3" s="121"/>
      <c r="K3" s="121"/>
      <c r="L3" s="121" t="str">
        <v>Rebar420</v>
      </c>
      <c r="M3" s="121"/>
      <c r="N3" s="100" t="str">
        <v>Hinge Radau</v>
      </c>
      <c r="O3" s="100"/>
      <c r="P3" s="100"/>
      <c r="Q3" s="120" t="s">
        <v>35</v>
      </c>
      <c r="R3" s="100"/>
      <c r="S3" s="164" t="s">
        <v>278</v>
      </c>
      <c r="T3" s="121" t="str">
        <v>B1</v>
      </c>
      <c r="U3" s="121" t="str">
        <v>B1</v>
      </c>
      <c r="V3" s="212" t="s">
        <v>305</v>
      </c>
      <c r="W3" s="101" t="s">
        <v>65</v>
      </c>
      <c r="X3" s="101" t="s">
        <v>72</v>
      </c>
      <c r="Y3" s="101" t="s">
        <v>77</v>
      </c>
      <c r="Z3" s="101" t="s">
        <v>82</v>
      </c>
      <c r="AA3" s="101" t="s">
        <v>101</v>
      </c>
      <c r="AB3" s="101" t="s">
        <v>91</v>
      </c>
    </row>
    <row r="4" spans="1:28" x14ac:dyDescent="0.25">
      <c r="A4" s="99" t="s">
        <v>175</v>
      </c>
      <c r="B4" s="99"/>
      <c r="C4" s="100" t="s">
        <v>9</v>
      </c>
      <c r="D4" s="139" t="s">
        <v>266</v>
      </c>
      <c r="E4" s="139" t="s">
        <v>267</v>
      </c>
      <c r="F4" s="139" t="s">
        <v>236</v>
      </c>
      <c r="G4" s="222" t="s">
        <v>338</v>
      </c>
      <c r="H4" s="121"/>
      <c r="I4" s="121"/>
      <c r="J4" s="121"/>
      <c r="K4" s="121"/>
      <c r="L4" s="121"/>
      <c r="M4" s="121"/>
      <c r="N4" s="100"/>
      <c r="O4" s="100"/>
      <c r="P4" s="100"/>
      <c r="Q4" s="120" t="s">
        <v>204</v>
      </c>
      <c r="R4" s="100"/>
      <c r="S4" s="212" t="s">
        <v>300</v>
      </c>
      <c r="T4" s="121"/>
      <c r="U4" s="121"/>
      <c r="V4" s="212" t="s">
        <v>306</v>
      </c>
      <c r="W4" s="101" t="s">
        <v>66</v>
      </c>
      <c r="X4" s="101" t="s">
        <v>73</v>
      </c>
      <c r="Y4" s="101" t="s">
        <v>78</v>
      </c>
      <c r="Z4" s="101" t="s">
        <v>83</v>
      </c>
      <c r="AA4" s="100"/>
      <c r="AB4" s="100"/>
    </row>
    <row r="5" spans="1:28" x14ac:dyDescent="0.25">
      <c r="A5" s="102"/>
      <c r="B5" s="102"/>
      <c r="C5" s="139" t="s">
        <v>237</v>
      </c>
      <c r="D5" s="139"/>
      <c r="E5" s="139"/>
      <c r="F5" s="139"/>
      <c r="G5" s="222" t="s">
        <v>342</v>
      </c>
      <c r="H5" s="121"/>
      <c r="I5" s="121"/>
      <c r="J5" s="121"/>
      <c r="K5" s="121"/>
      <c r="L5" s="121"/>
      <c r="M5" s="121"/>
      <c r="N5" s="100"/>
      <c r="O5" s="100"/>
      <c r="P5" s="100"/>
      <c r="Q5" s="212" t="s">
        <v>302</v>
      </c>
      <c r="R5" s="100"/>
      <c r="S5" s="230" t="s">
        <v>347</v>
      </c>
      <c r="T5" s="121"/>
      <c r="U5" s="121"/>
      <c r="V5" s="212" t="s">
        <v>43</v>
      </c>
      <c r="W5" s="101" t="s">
        <v>67</v>
      </c>
      <c r="X5" s="101" t="s">
        <v>74</v>
      </c>
      <c r="Y5" s="101" t="s">
        <v>79</v>
      </c>
      <c r="Z5" s="101" t="s">
        <v>84</v>
      </c>
      <c r="AA5" s="100"/>
      <c r="AB5" s="100"/>
    </row>
    <row r="6" spans="1:28" x14ac:dyDescent="0.25">
      <c r="A6" s="102"/>
      <c r="B6" s="102"/>
      <c r="C6" s="222" t="s">
        <v>300</v>
      </c>
      <c r="D6" s="100"/>
      <c r="E6" s="100"/>
      <c r="F6" s="100"/>
      <c r="G6" s="222" t="s">
        <v>343</v>
      </c>
      <c r="H6" s="121"/>
      <c r="I6" s="121"/>
      <c r="J6" s="121"/>
      <c r="K6" s="121"/>
      <c r="L6" s="121"/>
      <c r="M6" s="121"/>
      <c r="N6" s="100"/>
      <c r="O6" s="100"/>
      <c r="P6" s="100"/>
      <c r="Q6" s="212" t="s">
        <v>303</v>
      </c>
      <c r="R6" s="100"/>
      <c r="S6" s="100"/>
      <c r="T6" s="121"/>
      <c r="U6" s="121"/>
      <c r="V6" s="212" t="s">
        <v>307</v>
      </c>
      <c r="W6" s="101" t="s">
        <v>68</v>
      </c>
      <c r="X6" s="101" t="s">
        <v>75</v>
      </c>
      <c r="Y6" s="101" t="s">
        <v>80</v>
      </c>
      <c r="Z6" s="101" t="s">
        <v>85</v>
      </c>
      <c r="AA6" s="100"/>
      <c r="AB6" s="100"/>
    </row>
    <row r="7" spans="1:28" x14ac:dyDescent="0.25">
      <c r="A7" s="102"/>
      <c r="B7" s="102"/>
      <c r="C7" s="100"/>
      <c r="D7" s="100"/>
      <c r="E7" s="100"/>
      <c r="F7" s="100"/>
      <c r="G7" s="222" t="s">
        <v>344</v>
      </c>
      <c r="H7" s="121"/>
      <c r="I7" s="121"/>
      <c r="J7" s="121"/>
      <c r="K7" s="121"/>
      <c r="L7" s="121"/>
      <c r="M7" s="121"/>
      <c r="N7" s="100"/>
      <c r="O7" s="100"/>
      <c r="P7" s="100"/>
      <c r="Q7" s="100"/>
      <c r="R7" s="100"/>
      <c r="S7" s="100"/>
      <c r="T7" s="121"/>
      <c r="U7" s="121"/>
      <c r="V7" s="212" t="s">
        <v>308</v>
      </c>
      <c r="W7" s="101" t="s">
        <v>69</v>
      </c>
      <c r="X7" s="100"/>
      <c r="Y7" s="100"/>
      <c r="Z7" s="101" t="s">
        <v>86</v>
      </c>
      <c r="AA7" s="100"/>
      <c r="AB7" s="100"/>
    </row>
    <row r="8" spans="1:28" x14ac:dyDescent="0.25">
      <c r="A8" s="102"/>
      <c r="B8" s="102"/>
      <c r="C8" s="100"/>
      <c r="D8" s="100"/>
      <c r="E8" s="100"/>
      <c r="F8" s="100"/>
      <c r="G8" s="100"/>
      <c r="H8" s="121"/>
      <c r="I8" s="121"/>
      <c r="J8" s="121"/>
      <c r="K8" s="121"/>
      <c r="L8" s="121"/>
      <c r="M8" s="121"/>
      <c r="N8" s="100"/>
      <c r="O8" s="100"/>
      <c r="P8" s="100"/>
      <c r="Q8" s="100"/>
      <c r="R8" s="100"/>
      <c r="S8" s="100"/>
      <c r="T8" s="121"/>
      <c r="U8" s="121"/>
      <c r="V8" s="212" t="s">
        <v>309</v>
      </c>
      <c r="W8" s="101" t="s">
        <v>70</v>
      </c>
      <c r="X8" s="100"/>
      <c r="Y8" s="100"/>
      <c r="Z8" s="101" t="s">
        <v>87</v>
      </c>
      <c r="AA8" s="100"/>
      <c r="AB8" s="100"/>
    </row>
    <row r="9" spans="1:28" x14ac:dyDescent="0.25">
      <c r="A9" s="102"/>
      <c r="B9" s="102"/>
      <c r="C9" s="100"/>
      <c r="D9" s="100"/>
      <c r="E9" s="100"/>
      <c r="F9" s="100"/>
      <c r="G9" s="100"/>
      <c r="H9" s="121"/>
      <c r="I9" s="121"/>
      <c r="J9" s="121"/>
      <c r="K9" s="121"/>
      <c r="L9" s="121"/>
      <c r="M9" s="121"/>
      <c r="N9" s="100"/>
      <c r="O9" s="100"/>
      <c r="P9" s="100"/>
      <c r="Q9" s="100"/>
      <c r="R9" s="100"/>
      <c r="S9" s="100"/>
      <c r="T9" s="121"/>
      <c r="U9" s="121"/>
      <c r="V9" s="212" t="s">
        <v>310</v>
      </c>
      <c r="W9" s="100"/>
      <c r="X9" s="100"/>
      <c r="Y9" s="100"/>
      <c r="Z9" s="101" t="s">
        <v>88</v>
      </c>
      <c r="AA9" s="100"/>
      <c r="AB9" s="10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4" sqref="A4"/>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47" t="s">
        <v>361</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44" t="s">
        <v>360</v>
      </c>
      <c r="B9" s="246" t="s">
        <v>358</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1" zoomScale="130" zoomScaleNormal="130" workbookViewId="0">
      <selection activeCell="C43" sqref="C43"/>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6" t="str">
        <f>"- EA: Axial rigidity of material aggregator (Input as Float) ("&amp;'User Defined Units'!$B$10&amp;")"</f>
        <v>- EA: Axial rigidity of material aggregator (Input as Float) (kN)</v>
      </c>
      <c r="AB2" s="224"/>
      <c r="AC2" s="224"/>
      <c r="AD2" s="224"/>
      <c r="AE2" s="224"/>
      <c r="AF2" s="224"/>
      <c r="AG2" s="224"/>
      <c r="AH2" s="225"/>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6" t="str">
        <f>"- EIz: Flexural rigidity of material aggregator about local z-axis (Input as Float) ("&amp;'User Defined Units'!$B$10&amp;"-"&amp;'User Defined Units'!$B$11&amp;"2)"</f>
        <v>- EIz: Flexural rigidity of material aggregator about local z-axis (Input as Float) (kN-m2)</v>
      </c>
      <c r="AB3" s="224"/>
      <c r="AC3" s="224"/>
      <c r="AD3" s="224"/>
      <c r="AE3" s="224"/>
      <c r="AF3" s="224"/>
      <c r="AG3" s="224"/>
      <c r="AH3" s="225"/>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6" t="str">
        <f>"- GAvy: Shear rigidity of material aggregator along local y-axis (Input as Float) ("&amp;'User Defined Units'!$B$10&amp;")"</f>
        <v>- GAvy: Shear rigidity of material aggregator along local y-axis (Input as Float) (kN)</v>
      </c>
      <c r="AB4" s="224"/>
      <c r="AC4" s="224"/>
      <c r="AD4" s="224"/>
      <c r="AE4" s="224"/>
      <c r="AF4" s="224"/>
      <c r="AG4" s="224"/>
      <c r="AH4" s="225"/>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6" t="str">
        <f>"- EIy: Flexural rigidity of material aggregator about local y-axis (Input as Float) ("&amp;'User Defined Units'!$B$10&amp;"-"&amp;'User Defined Units'!$B$11&amp;"2)"</f>
        <v>- EIy: Flexural rigidity of material aggregator about local y-axis (Input as Float) (kN-m2)</v>
      </c>
      <c r="AB5" s="224"/>
      <c r="AC5" s="224"/>
      <c r="AD5" s="224"/>
      <c r="AE5" s="224"/>
      <c r="AF5" s="224"/>
      <c r="AG5" s="224"/>
      <c r="AH5" s="225"/>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6" t="str">
        <f>"- GAvz: Shear rigidity of material aggregator along local z-axis (Input as Float) ("&amp;'User Defined Units'!$B$10&amp;")"</f>
        <v>- GAvz: Shear rigidity of material aggregator along local z-axis (Input as Float) (kN)</v>
      </c>
      <c r="AB6" s="224"/>
      <c r="AC6" s="224"/>
      <c r="AD6" s="224"/>
      <c r="AE6" s="224"/>
      <c r="AF6" s="224"/>
      <c r="AG6" s="224"/>
      <c r="AH6" s="225"/>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6" t="str">
        <f>"- GJxx: Torsional rigidity of material aggregator (Input as Float) ("&amp;'User Defined Units'!$B$10&amp;"-"&amp;'User Defined Units'!$B$11&amp;"2)"</f>
        <v>- GJxx: Torsional rigidity of material aggregator (Input as Float) (kN-m2)</v>
      </c>
      <c r="AB7" s="227"/>
      <c r="AC7" s="227"/>
      <c r="AD7" s="227"/>
      <c r="AE7" s="227"/>
      <c r="AF7" s="227"/>
      <c r="AG7" s="227"/>
      <c r="AH7" s="228"/>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26"/>
      <c r="AB8" s="224"/>
      <c r="AC8" s="224"/>
      <c r="AD8" s="224"/>
      <c r="AE8" s="224"/>
      <c r="AF8" s="224"/>
      <c r="AG8" s="224"/>
      <c r="AH8" s="225"/>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1" t="s">
        <v>273</v>
      </c>
      <c r="AB9" s="232"/>
      <c r="AC9" s="232"/>
      <c r="AD9" s="232"/>
      <c r="AE9" s="232"/>
      <c r="AF9" s="232"/>
      <c r="AG9" s="232"/>
      <c r="AH9" s="233"/>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4" t="s">
        <v>272</v>
      </c>
      <c r="AB10" s="235"/>
      <c r="AC10" s="235"/>
      <c r="AD10" s="235"/>
      <c r="AE10" s="235"/>
      <c r="AF10" s="235"/>
      <c r="AG10" s="235"/>
      <c r="AH10" s="236"/>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4" t="s">
        <v>271</v>
      </c>
      <c r="AB11" s="235"/>
      <c r="AC11" s="235"/>
      <c r="AD11" s="235"/>
      <c r="AE11" s="235"/>
      <c r="AF11" s="235"/>
      <c r="AG11" s="235"/>
      <c r="AH11" s="236"/>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4" t="s">
        <v>270</v>
      </c>
      <c r="AB12" s="235"/>
      <c r="AC12" s="235"/>
      <c r="AD12" s="235"/>
      <c r="AE12" s="235"/>
      <c r="AF12" s="235"/>
      <c r="AG12" s="235"/>
      <c r="AH12" s="236"/>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4" t="s">
        <v>269</v>
      </c>
      <c r="AB13" s="235"/>
      <c r="AC13" s="235"/>
      <c r="AD13" s="235"/>
      <c r="AE13" s="235"/>
      <c r="AF13" s="235"/>
      <c r="AG13" s="235"/>
      <c r="AH13" s="236"/>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4" t="s">
        <v>268</v>
      </c>
      <c r="AB14" s="235"/>
      <c r="AC14" s="235"/>
      <c r="AD14" s="235"/>
      <c r="AE14" s="235"/>
      <c r="AF14" s="235"/>
      <c r="AG14" s="235"/>
      <c r="AH14" s="236"/>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4"/>
      <c r="AB15" s="235"/>
      <c r="AC15" s="235"/>
      <c r="AD15" s="235"/>
      <c r="AE15" s="235"/>
      <c r="AF15" s="235"/>
      <c r="AG15" s="235"/>
      <c r="AH15" s="236"/>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4" t="s">
        <v>274</v>
      </c>
      <c r="AB16" s="235"/>
      <c r="AC16" s="235"/>
      <c r="AD16" s="235"/>
      <c r="AE16" s="235"/>
      <c r="AF16" s="235"/>
      <c r="AG16" s="235"/>
      <c r="AH16" s="236"/>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4"/>
      <c r="AB17" s="235"/>
      <c r="AC17" s="235"/>
      <c r="AD17" s="235"/>
      <c r="AE17" s="235"/>
      <c r="AF17" s="235"/>
      <c r="AG17" s="235"/>
      <c r="AH17" s="236"/>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4"/>
      <c r="AB18" s="235"/>
      <c r="AC18" s="235"/>
      <c r="AD18" s="235"/>
      <c r="AE18" s="235"/>
      <c r="AF18" s="235"/>
      <c r="AG18" s="235"/>
      <c r="AH18" s="236"/>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1" t="s">
        <v>275</v>
      </c>
      <c r="AB19" s="232"/>
      <c r="AC19" s="232"/>
      <c r="AD19" s="232"/>
      <c r="AE19" s="232"/>
      <c r="AF19" s="232"/>
      <c r="AG19" s="232"/>
      <c r="AH19" s="233"/>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1"/>
      <c r="AB20" s="232"/>
      <c r="AC20" s="232"/>
      <c r="AD20" s="232"/>
      <c r="AE20" s="232"/>
      <c r="AF20" s="232"/>
      <c r="AG20" s="232"/>
      <c r="AH20" s="233"/>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1"/>
      <c r="AB21" s="232"/>
      <c r="AC21" s="232"/>
      <c r="AD21" s="232"/>
      <c r="AE21" s="232"/>
      <c r="AF21" s="232"/>
      <c r="AG21" s="232"/>
      <c r="AH21" s="233"/>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4" t="s">
        <v>276</v>
      </c>
      <c r="AB22" s="235"/>
      <c r="AC22" s="235"/>
      <c r="AD22" s="235"/>
      <c r="AE22" s="235"/>
      <c r="AF22" s="235"/>
      <c r="AG22" s="235"/>
      <c r="AH22" s="236"/>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4"/>
      <c r="AB23" s="235"/>
      <c r="AC23" s="235"/>
      <c r="AD23" s="235"/>
      <c r="AE23" s="235"/>
      <c r="AF23" s="235"/>
      <c r="AG23" s="235"/>
      <c r="AH23" s="236"/>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4"/>
      <c r="AB24" s="235"/>
      <c r="AC24" s="235"/>
      <c r="AD24" s="235"/>
      <c r="AE24" s="235"/>
      <c r="AF24" s="235"/>
      <c r="AG24" s="235"/>
      <c r="AH24" s="236"/>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4"/>
      <c r="AB25" s="235"/>
      <c r="AC25" s="235"/>
      <c r="AD25" s="235"/>
      <c r="AE25" s="235"/>
      <c r="AF25" s="235"/>
      <c r="AG25" s="235"/>
      <c r="AH25" s="236"/>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37" t="s">
        <v>339</v>
      </c>
      <c r="AB26" s="238"/>
      <c r="AC26" s="238"/>
      <c r="AD26" s="238"/>
      <c r="AE26" s="238"/>
      <c r="AF26" s="238"/>
      <c r="AG26" s="238"/>
      <c r="AH26" s="239"/>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9"/>
    </row>
    <row r="40" spans="1:34" x14ac:dyDescent="0.25">
      <c r="A40" s="219"/>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18" priority="2">
      <formula>OR($B33="Aggregator")</formula>
    </cfRule>
    <cfRule type="expression" dxfId="17" priority="6">
      <formula>OR($B33="Spring")</formula>
    </cfRule>
  </conditionalFormatting>
  <conditionalFormatting sqref="H33:AH1048576">
    <cfRule type="expression" dxfId="16" priority="9">
      <formula>AND($B33="Concrete",$C33="Elastic")</formula>
    </cfRule>
  </conditionalFormatting>
  <conditionalFormatting sqref="I33:AH1048576">
    <cfRule type="expression" dxfId="15" priority="8">
      <formula>AND(OR($B33="Rebar",$B33="Steel"),$C33="Elastic")</formula>
    </cfRule>
  </conditionalFormatting>
  <conditionalFormatting sqref="M33:AH1048576">
    <cfRule type="expression" dxfId="14" priority="1">
      <formula>AND($B33="Aggregator",$C33="ElasticAggregator")</formula>
    </cfRule>
    <cfRule type="expression" dxfId="13" priority="20">
      <formula>AND($B33="Concrete",$C33="Concrete04")</formula>
    </cfRule>
  </conditionalFormatting>
  <conditionalFormatting sqref="O33:AH1048576">
    <cfRule type="expression" dxfId="12" priority="11">
      <formula>AND($B33="Concrete",$C33="Concrete04+MinMax")</formula>
    </cfRule>
  </conditionalFormatting>
  <conditionalFormatting sqref="S33:AH1048576">
    <cfRule type="expression" dxfId="11" priority="7">
      <formula>AND(OR($B33="Rebar",$B33="Steel"),$C33="Steel02")</formula>
    </cfRule>
  </conditionalFormatting>
  <conditionalFormatting sqref="U33:AH1048576">
    <cfRule type="expression" dxfId="10" priority="10">
      <formula>AND(OR($B33="Rebar",$B33="Steel"),$C33="Steel02+MinMax")</formula>
    </cfRule>
  </conditionalFormatting>
  <conditionalFormatting sqref="AF33:AH1048576">
    <cfRule type="expression" dxfId="9" priority="4">
      <formula>AND($B33="Spring",$C33="IMKPeakOriented")</formula>
    </cfRule>
  </conditionalFormatting>
  <conditionalFormatting sqref="AG33:AH1048576">
    <cfRule type="expression" dxfId="8"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opLeftCell="J1" zoomScale="130" zoomScaleNormal="130" workbookViewId="0">
      <selection activeCell="E29" sqref="E29"/>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177"/>
      <c r="V1" s="177"/>
      <c r="W1" s="196"/>
      <c r="X1" s="196"/>
      <c r="Y1" s="196"/>
      <c r="Z1" s="196"/>
      <c r="AA1" s="196"/>
      <c r="AB1" s="196"/>
      <c r="AC1" s="196"/>
      <c r="AD1" s="197"/>
    </row>
    <row r="2" spans="1:30" x14ac:dyDescent="0.25">
      <c r="A2" s="180" t="s">
        <v>165</v>
      </c>
      <c r="B2" s="121"/>
      <c r="C2" s="121"/>
      <c r="D2" s="121"/>
      <c r="E2" s="121"/>
      <c r="F2" s="121"/>
      <c r="G2" s="121"/>
      <c r="H2" s="121"/>
      <c r="I2" s="121"/>
      <c r="J2" s="205"/>
      <c r="K2" s="205"/>
      <c r="L2" s="205"/>
      <c r="M2" s="205"/>
      <c r="N2" s="182" t="s">
        <v>197</v>
      </c>
      <c r="O2" s="208"/>
      <c r="P2" s="208"/>
      <c r="Q2" s="208"/>
      <c r="R2" s="209"/>
      <c r="S2" s="208"/>
      <c r="T2" s="214"/>
      <c r="U2" s="209" t="s">
        <v>296</v>
      </c>
      <c r="V2" s="209"/>
      <c r="W2" s="210"/>
      <c r="X2" s="210"/>
      <c r="Y2" s="210"/>
      <c r="Z2" s="210"/>
      <c r="AA2" s="210"/>
      <c r="AB2" s="210"/>
      <c r="AC2" s="210"/>
      <c r="AD2" s="198"/>
    </row>
    <row r="3" spans="1:30" x14ac:dyDescent="0.25">
      <c r="A3" s="180" t="s">
        <v>166</v>
      </c>
      <c r="B3" s="121"/>
      <c r="C3" s="121"/>
      <c r="D3" s="121"/>
      <c r="E3" s="121"/>
      <c r="F3" s="121"/>
      <c r="G3" s="121"/>
      <c r="H3" s="121"/>
      <c r="I3" s="121"/>
      <c r="J3" s="205"/>
      <c r="K3" s="205"/>
      <c r="L3" s="205"/>
      <c r="M3" s="205"/>
      <c r="N3" s="182" t="s">
        <v>198</v>
      </c>
      <c r="O3" s="208"/>
      <c r="P3" s="208"/>
      <c r="Q3" s="208"/>
      <c r="R3" s="209"/>
      <c r="S3" s="208"/>
      <c r="T3" s="214"/>
      <c r="U3" s="209" t="s">
        <v>295</v>
      </c>
      <c r="V3" s="209"/>
      <c r="W3" s="210"/>
      <c r="X3" s="210"/>
      <c r="Y3" s="210"/>
      <c r="Z3" s="210"/>
      <c r="AA3" s="210"/>
      <c r="AB3" s="210"/>
      <c r="AC3" s="210"/>
      <c r="AD3" s="198"/>
    </row>
    <row r="4" spans="1:30" x14ac:dyDescent="0.25">
      <c r="A4" s="173" t="s">
        <v>279</v>
      </c>
      <c r="B4" s="121"/>
      <c r="C4" s="121"/>
      <c r="D4" s="121"/>
      <c r="E4" s="121"/>
      <c r="F4" s="121"/>
      <c r="G4" s="121"/>
      <c r="H4" s="121"/>
      <c r="I4" s="121"/>
      <c r="J4" s="205"/>
      <c r="K4" s="205"/>
      <c r="L4" s="205"/>
      <c r="M4" s="205"/>
      <c r="N4" s="182" t="s">
        <v>199</v>
      </c>
      <c r="O4" s="208"/>
      <c r="P4" s="208"/>
      <c r="Q4" s="208"/>
      <c r="R4" s="205"/>
      <c r="S4" s="208"/>
      <c r="T4" s="181"/>
      <c r="U4" s="208"/>
      <c r="V4" s="208"/>
      <c r="W4" s="210"/>
      <c r="X4" s="210"/>
      <c r="Y4" s="210"/>
      <c r="Z4" s="210"/>
      <c r="AA4" s="210"/>
      <c r="AB4" s="210"/>
      <c r="AC4" s="210"/>
      <c r="AD4" s="198"/>
    </row>
    <row r="5" spans="1:30" ht="15.95" customHeight="1" x14ac:dyDescent="0.25">
      <c r="A5" s="240" t="s">
        <v>348</v>
      </c>
      <c r="B5" s="241"/>
      <c r="C5" s="241"/>
      <c r="D5" s="241"/>
      <c r="E5" s="241"/>
      <c r="F5" s="241"/>
      <c r="G5" s="241"/>
      <c r="H5" s="241"/>
      <c r="I5" s="241"/>
      <c r="J5" s="241"/>
      <c r="K5" s="218"/>
      <c r="L5" s="218"/>
      <c r="M5" s="218"/>
      <c r="N5" s="182" t="s">
        <v>200</v>
      </c>
      <c r="O5" s="202"/>
      <c r="P5" s="202"/>
      <c r="Q5" s="202"/>
      <c r="R5" s="205"/>
      <c r="S5" s="208"/>
      <c r="T5" s="181"/>
      <c r="U5" s="208"/>
      <c r="V5" s="208"/>
      <c r="W5" s="210"/>
      <c r="X5" s="210"/>
      <c r="Y5" s="210"/>
      <c r="Z5" s="210"/>
      <c r="AA5" s="210"/>
      <c r="AB5" s="210"/>
      <c r="AC5" s="210"/>
      <c r="AD5" s="198"/>
    </row>
    <row r="6" spans="1:30" x14ac:dyDescent="0.25">
      <c r="A6" s="242"/>
      <c r="B6" s="241"/>
      <c r="C6" s="241"/>
      <c r="D6" s="241"/>
      <c r="E6" s="241"/>
      <c r="F6" s="241"/>
      <c r="G6" s="241"/>
      <c r="H6" s="241"/>
      <c r="I6" s="241"/>
      <c r="J6" s="241"/>
      <c r="K6" s="218"/>
      <c r="L6" s="218"/>
      <c r="M6" s="218"/>
      <c r="N6" s="182" t="s">
        <v>201</v>
      </c>
      <c r="O6" s="202"/>
      <c r="P6" s="202"/>
      <c r="Q6" s="202"/>
      <c r="R6" s="205"/>
      <c r="S6" s="208"/>
      <c r="T6" s="181"/>
      <c r="U6" s="208"/>
      <c r="V6" s="208"/>
      <c r="W6" s="210"/>
      <c r="X6" s="210"/>
      <c r="Y6" s="210"/>
      <c r="Z6" s="210"/>
      <c r="AA6" s="210"/>
      <c r="AB6" s="210"/>
      <c r="AC6" s="210"/>
      <c r="AD6" s="198"/>
    </row>
    <row r="7" spans="1:30" ht="15.95" customHeight="1" x14ac:dyDescent="0.25">
      <c r="A7" s="240" t="s">
        <v>349</v>
      </c>
      <c r="B7" s="241"/>
      <c r="C7" s="241"/>
      <c r="D7" s="241"/>
      <c r="E7" s="241"/>
      <c r="F7" s="241"/>
      <c r="G7" s="241"/>
      <c r="H7" s="241"/>
      <c r="I7" s="241"/>
      <c r="J7" s="241"/>
      <c r="K7" s="218"/>
      <c r="L7" s="218"/>
      <c r="M7" s="218"/>
      <c r="N7" s="182" t="s">
        <v>202</v>
      </c>
      <c r="O7" s="202"/>
      <c r="P7" s="202"/>
      <c r="Q7" s="202"/>
      <c r="R7" s="205"/>
      <c r="S7" s="208"/>
      <c r="T7" s="181"/>
      <c r="U7" s="208"/>
      <c r="V7" s="208"/>
      <c r="W7" s="210"/>
      <c r="X7" s="210"/>
      <c r="Y7" s="210"/>
      <c r="Z7" s="210"/>
      <c r="AA7" s="210"/>
      <c r="AB7" s="210"/>
      <c r="AC7" s="210"/>
      <c r="AD7" s="198"/>
    </row>
    <row r="8" spans="1:30" ht="15.95" customHeight="1" x14ac:dyDescent="0.25">
      <c r="A8" s="240" t="s">
        <v>350</v>
      </c>
      <c r="B8" s="241"/>
      <c r="C8" s="241"/>
      <c r="D8" s="241"/>
      <c r="E8" s="241"/>
      <c r="F8" s="241"/>
      <c r="G8" s="241"/>
      <c r="H8" s="241"/>
      <c r="I8" s="241"/>
      <c r="J8" s="241"/>
      <c r="K8" s="218"/>
      <c r="L8" s="218"/>
      <c r="M8" s="218"/>
      <c r="N8" s="180" t="str">
        <f>"- h: Height of rectangular section (Input as Float) ("&amp;'User Defined Units'!$B$11&amp;")"</f>
        <v>- h: Height of rectangular section (Input as Float) (m)</v>
      </c>
      <c r="O8" s="202"/>
      <c r="P8" s="202"/>
      <c r="Q8" s="202"/>
      <c r="R8" s="206"/>
      <c r="S8" s="208"/>
      <c r="T8" s="181"/>
      <c r="U8" s="208"/>
      <c r="V8" s="208"/>
      <c r="W8" s="210"/>
      <c r="X8" s="210"/>
      <c r="Y8" s="210"/>
      <c r="Z8" s="210"/>
      <c r="AA8" s="210"/>
      <c r="AB8" s="210"/>
      <c r="AC8" s="210"/>
      <c r="AD8" s="198"/>
    </row>
    <row r="9" spans="1:30" ht="15.95" customHeight="1" x14ac:dyDescent="0.25">
      <c r="A9" s="240" t="s">
        <v>351</v>
      </c>
      <c r="B9" s="241"/>
      <c r="C9" s="241"/>
      <c r="D9" s="241"/>
      <c r="E9" s="241"/>
      <c r="F9" s="241"/>
      <c r="G9" s="241"/>
      <c r="H9" s="241"/>
      <c r="I9" s="241"/>
      <c r="J9" s="241"/>
      <c r="K9" s="218"/>
      <c r="L9" s="218"/>
      <c r="M9" s="218"/>
      <c r="N9" s="180" t="str">
        <f>"- b: Width of rectangular section (Input as Float) ("&amp;'User Defined Units'!$B$11&amp;")"</f>
        <v>- b: Width of rectangular section (Input as Float) (m)</v>
      </c>
      <c r="O9" s="202"/>
      <c r="P9" s="202"/>
      <c r="Q9" s="202"/>
      <c r="R9" s="206"/>
      <c r="S9" s="208"/>
      <c r="T9" s="181"/>
      <c r="U9" s="208"/>
      <c r="V9" s="208"/>
      <c r="W9" s="210"/>
      <c r="X9" s="210"/>
      <c r="Y9" s="210"/>
      <c r="Z9" s="210"/>
      <c r="AA9" s="210"/>
      <c r="AB9" s="210"/>
      <c r="AC9" s="210"/>
      <c r="AD9" s="198"/>
    </row>
    <row r="10" spans="1:30" ht="15.95" customHeight="1" x14ac:dyDescent="0.25">
      <c r="A10" s="240" t="s">
        <v>352</v>
      </c>
      <c r="B10" s="241"/>
      <c r="C10" s="241"/>
      <c r="D10" s="241"/>
      <c r="E10" s="241"/>
      <c r="F10" s="241"/>
      <c r="G10" s="241"/>
      <c r="H10" s="241"/>
      <c r="I10" s="241"/>
      <c r="J10" s="241"/>
      <c r="K10" s="218"/>
      <c r="L10" s="218"/>
      <c r="M10" s="218"/>
      <c r="N10" s="173" t="str">
        <f>"- c: Concrete cover (Input as Float) ("&amp;'User Defined Units'!$B$11&amp;")"</f>
        <v>- c: Concrete cover (Input as Float) (m)</v>
      </c>
      <c r="O10" s="202"/>
      <c r="P10" s="202"/>
      <c r="Q10" s="202"/>
      <c r="R10" s="207"/>
      <c r="S10" s="208"/>
      <c r="T10" s="181"/>
      <c r="U10" s="208"/>
      <c r="V10" s="208"/>
      <c r="W10" s="210"/>
      <c r="X10" s="210"/>
      <c r="Y10" s="210"/>
      <c r="Z10" s="210"/>
      <c r="AA10" s="210"/>
      <c r="AB10" s="210"/>
      <c r="AC10" s="210"/>
      <c r="AD10" s="198"/>
    </row>
    <row r="11" spans="1:30" ht="15.95" customHeight="1" x14ac:dyDescent="0.25">
      <c r="A11" s="240" t="s">
        <v>353</v>
      </c>
      <c r="B11" s="241"/>
      <c r="C11" s="241"/>
      <c r="D11" s="241"/>
      <c r="E11" s="241"/>
      <c r="F11" s="241"/>
      <c r="G11" s="241"/>
      <c r="H11" s="241"/>
      <c r="I11" s="241"/>
      <c r="J11" s="241"/>
      <c r="K11" s="218"/>
      <c r="L11" s="218"/>
      <c r="M11" s="218"/>
      <c r="N11" s="180" t="str">
        <f>"- barDiaHoop: Diameter of hoops (Input as Float) ("&amp;'User Defined Units'!$B$11&amp;")"</f>
        <v>- barDiaHoop: Diameter of hoops (Input as Float) (m)</v>
      </c>
      <c r="O11" s="202"/>
      <c r="P11" s="202"/>
      <c r="Q11" s="202"/>
      <c r="R11" s="206"/>
      <c r="S11" s="208"/>
      <c r="T11" s="181"/>
      <c r="U11" s="208"/>
      <c r="V11" s="208"/>
      <c r="W11" s="210"/>
      <c r="X11" s="210"/>
      <c r="Y11" s="210"/>
      <c r="Z11" s="210"/>
      <c r="AA11" s="210"/>
      <c r="AB11" s="210"/>
      <c r="AC11" s="210"/>
      <c r="AD11" s="198"/>
    </row>
    <row r="12" spans="1:30" ht="15.95" customHeight="1" x14ac:dyDescent="0.25">
      <c r="A12" s="220" t="s">
        <v>334</v>
      </c>
      <c r="B12" s="202"/>
      <c r="C12" s="202"/>
      <c r="D12" s="202"/>
      <c r="E12" s="202"/>
      <c r="F12" s="202"/>
      <c r="G12" s="202"/>
      <c r="H12" s="202"/>
      <c r="I12" s="202"/>
      <c r="J12" s="206"/>
      <c r="K12" s="206"/>
      <c r="L12" s="206"/>
      <c r="M12" s="206"/>
      <c r="N12" s="180" t="str">
        <f>"- barDiaTop: Diameter of top reinforcements (Input as Float) ("&amp;'User Defined Units'!$B$11&amp;")"</f>
        <v>- barDiaTop: Diameter of top reinforcements (Input as Float) (m)</v>
      </c>
      <c r="O12" s="208"/>
      <c r="P12" s="208"/>
      <c r="Q12" s="208"/>
      <c r="R12" s="206"/>
      <c r="S12" s="208"/>
      <c r="T12" s="181"/>
      <c r="U12" s="208"/>
      <c r="V12" s="208"/>
      <c r="W12" s="210"/>
      <c r="X12" s="210"/>
      <c r="Y12" s="210"/>
      <c r="Z12" s="210"/>
      <c r="AA12" s="210"/>
      <c r="AB12" s="210"/>
      <c r="AC12" s="210"/>
      <c r="AD12" s="198"/>
    </row>
    <row r="13" spans="1:30" ht="15.95" customHeight="1" x14ac:dyDescent="0.25">
      <c r="A13" s="220" t="s">
        <v>335</v>
      </c>
      <c r="B13" s="204"/>
      <c r="C13" s="204"/>
      <c r="D13" s="204"/>
      <c r="E13" s="204"/>
      <c r="F13" s="204"/>
      <c r="G13" s="204"/>
      <c r="H13" s="204"/>
      <c r="I13" s="204"/>
      <c r="J13" s="206"/>
      <c r="K13" s="206"/>
      <c r="L13" s="206"/>
      <c r="M13" s="206"/>
      <c r="N13" s="180" t="str">
        <f>"- barDiaBot: Diameter of bottom reinforcements (Input as Float) ("&amp;'User Defined Units'!$B$11&amp;")"</f>
        <v>- barDiaBot: Diameter of bottom reinforcements (Input as Float) (m)</v>
      </c>
      <c r="O13" s="208"/>
      <c r="P13" s="208"/>
      <c r="Q13" s="208"/>
      <c r="R13" s="206"/>
      <c r="S13" s="208"/>
      <c r="T13" s="181"/>
      <c r="U13" s="208"/>
      <c r="V13" s="208"/>
      <c r="W13" s="210"/>
      <c r="X13" s="210"/>
      <c r="Y13" s="210"/>
      <c r="Z13" s="210"/>
      <c r="AA13" s="210"/>
      <c r="AB13" s="210"/>
      <c r="AC13" s="210"/>
      <c r="AD13" s="198"/>
    </row>
    <row r="14" spans="1:30" ht="15.95" customHeight="1" x14ac:dyDescent="0.25">
      <c r="A14" s="201" t="s">
        <v>301</v>
      </c>
      <c r="B14" s="204"/>
      <c r="C14" s="204"/>
      <c r="D14" s="204"/>
      <c r="E14" s="204"/>
      <c r="F14" s="204"/>
      <c r="G14" s="204"/>
      <c r="H14" s="204"/>
      <c r="I14" s="204"/>
      <c r="J14" s="206"/>
      <c r="K14" s="206"/>
      <c r="L14" s="206"/>
      <c r="M14" s="206"/>
      <c r="N14" s="180" t="str">
        <f>"- barDiaInt: Diameter of intermediate reinforcements (Input as Float) ("&amp;'User Defined Units'!$B$11&amp;")"</f>
        <v>- barDiaInt: Diameter of intermediate reinforcements (Input as Float) (m)</v>
      </c>
      <c r="O14" s="208"/>
      <c r="P14" s="208"/>
      <c r="Q14" s="208"/>
      <c r="R14" s="206"/>
      <c r="S14" s="208"/>
      <c r="T14" s="181"/>
      <c r="U14" s="208"/>
      <c r="V14" s="208"/>
      <c r="W14" s="210"/>
      <c r="X14" s="210"/>
      <c r="Y14" s="210"/>
      <c r="Z14" s="210"/>
      <c r="AA14" s="210"/>
      <c r="AB14" s="210"/>
      <c r="AC14" s="210"/>
      <c r="AD14" s="198"/>
    </row>
    <row r="15" spans="1:30" ht="15.95" customHeight="1" x14ac:dyDescent="0.25">
      <c r="A15" s="203"/>
      <c r="B15" s="204"/>
      <c r="C15" s="204"/>
      <c r="D15" s="204"/>
      <c r="E15" s="204"/>
      <c r="F15" s="204"/>
      <c r="G15" s="204"/>
      <c r="H15" s="204"/>
      <c r="I15" s="204"/>
      <c r="J15" s="206"/>
      <c r="K15" s="206"/>
      <c r="L15" s="206"/>
      <c r="M15" s="206"/>
      <c r="N15" s="180" t="s">
        <v>168</v>
      </c>
      <c r="O15" s="208"/>
      <c r="P15" s="208"/>
      <c r="Q15" s="208"/>
      <c r="R15" s="206"/>
      <c r="S15" s="208"/>
      <c r="T15" s="181"/>
      <c r="U15" s="208"/>
      <c r="V15" s="208"/>
      <c r="W15" s="210"/>
      <c r="X15" s="210"/>
      <c r="Y15" s="210"/>
      <c r="Z15" s="210"/>
      <c r="AA15" s="210"/>
      <c r="AB15" s="210"/>
      <c r="AC15" s="210"/>
      <c r="AD15" s="198"/>
    </row>
    <row r="16" spans="1:30" ht="15.95" customHeight="1" x14ac:dyDescent="0.25">
      <c r="A16" s="183" t="s">
        <v>114</v>
      </c>
      <c r="B16" s="204"/>
      <c r="C16" s="204"/>
      <c r="D16" s="204"/>
      <c r="E16" s="204"/>
      <c r="F16" s="204"/>
      <c r="G16" s="204"/>
      <c r="H16" s="204"/>
      <c r="I16" s="204"/>
      <c r="J16" s="206"/>
      <c r="K16" s="206"/>
      <c r="L16" s="206"/>
      <c r="M16" s="206"/>
      <c r="N16" s="180" t="s">
        <v>169</v>
      </c>
      <c r="O16" s="208"/>
      <c r="P16" s="208"/>
      <c r="Q16" s="208"/>
      <c r="R16" s="206"/>
      <c r="S16" s="208"/>
      <c r="T16" s="181"/>
      <c r="U16" s="208"/>
      <c r="V16" s="208"/>
      <c r="W16" s="210"/>
      <c r="X16" s="210"/>
      <c r="Y16" s="210"/>
      <c r="Z16" s="210"/>
      <c r="AA16" s="210"/>
      <c r="AB16" s="210"/>
      <c r="AC16" s="210"/>
      <c r="AD16" s="198"/>
    </row>
    <row r="17" spans="1:30" x14ac:dyDescent="0.25">
      <c r="A17" s="184" t="s">
        <v>293</v>
      </c>
      <c r="B17" s="185"/>
      <c r="C17" s="185"/>
      <c r="D17" s="185"/>
      <c r="E17" s="185"/>
      <c r="F17" s="185"/>
      <c r="G17" s="185"/>
      <c r="H17" s="185"/>
      <c r="I17" s="185"/>
      <c r="J17" s="211"/>
      <c r="K17" s="211"/>
      <c r="L17" s="211"/>
      <c r="M17" s="211"/>
      <c r="N17" s="213" t="s">
        <v>170</v>
      </c>
      <c r="O17" s="186"/>
      <c r="P17" s="186"/>
      <c r="Q17" s="186"/>
      <c r="R17" s="211"/>
      <c r="S17" s="186"/>
      <c r="T17" s="187"/>
      <c r="U17" s="186"/>
      <c r="V17" s="186"/>
      <c r="W17" s="199"/>
      <c r="X17" s="199"/>
      <c r="Y17" s="199"/>
      <c r="Z17" s="199"/>
      <c r="AA17" s="199"/>
      <c r="AB17" s="199"/>
      <c r="AC17" s="199"/>
      <c r="AD17" s="200"/>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333</v>
      </c>
      <c r="L19" s="125" t="s">
        <v>346</v>
      </c>
      <c r="M19" s="125" t="s">
        <v>345</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v>
      </c>
      <c r="V20" s="192">
        <v>0.7</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195"/>
    </row>
    <row r="23" spans="1:30" x14ac:dyDescent="0.25">
      <c r="A23" s="223"/>
    </row>
    <row r="24" spans="1:30" x14ac:dyDescent="0.25">
      <c r="A24" s="229"/>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7" priority="2">
      <formula>OR($C20="Elastic")</formula>
    </cfRule>
  </conditionalFormatting>
  <conditionalFormatting sqref="K20:K1048576">
    <cfRule type="expression" dxfId="6" priority="1">
      <formula>OR(AND($A20&lt;&gt;"",$J20=""),$J20="Hinge Radau")</formula>
    </cfRule>
  </conditionalFormatting>
  <conditionalFormatting sqref="L20:M1048576">
    <cfRule type="expression" dxfId="5" priority="3">
      <formula>OR(AND($A20&lt;&gt;"",$J20=""),$J20="Lobatto")</formula>
    </cfRule>
  </conditionalFormatting>
  <conditionalFormatting sqref="N20:N1048576">
    <cfRule type="expression" dxfId="4" priority="9">
      <formula>OR($C20="Elastic",$C20="Fiber")</formula>
    </cfRule>
  </conditionalFormatting>
  <conditionalFormatting sqref="O20:AD1048576">
    <cfRule type="expression" dxfId="3" priority="8">
      <formula>AND($C20="Aggregator",$N20&lt;&gt;"")</formula>
    </cfRule>
  </conditionalFormatting>
  <conditionalFormatting sqref="W20:AD1048576">
    <cfRule type="expression" dxfId="2"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15" t="s">
        <v>311</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D16" sqref="D16"/>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5" t="s">
        <v>314</v>
      </c>
      <c r="B2" s="78"/>
      <c r="C2" s="78"/>
      <c r="D2" s="34"/>
      <c r="E2" s="79"/>
      <c r="F2" s="79"/>
      <c r="G2" s="79"/>
      <c r="H2" s="79"/>
      <c r="I2" s="78"/>
      <c r="J2" s="114"/>
    </row>
    <row r="3" spans="1:10" x14ac:dyDescent="0.25">
      <c r="A3" s="215" t="s">
        <v>316</v>
      </c>
      <c r="B3" s="78"/>
      <c r="C3" s="78"/>
      <c r="D3" s="34"/>
      <c r="E3" s="79"/>
      <c r="F3" s="79"/>
      <c r="G3" s="79"/>
      <c r="H3" s="79"/>
      <c r="I3" s="78"/>
      <c r="J3" s="114"/>
    </row>
    <row r="4" spans="1:10" x14ac:dyDescent="0.25">
      <c r="A4" s="215" t="s">
        <v>315</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5" t="s">
        <v>317</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5" t="s">
        <v>318</v>
      </c>
      <c r="B2" s="78"/>
      <c r="C2" s="78"/>
      <c r="D2" s="78"/>
      <c r="E2" s="78"/>
      <c r="F2" s="78"/>
      <c r="G2" s="79"/>
      <c r="H2" s="79"/>
      <c r="I2" s="79"/>
      <c r="J2" s="80"/>
    </row>
    <row r="3" spans="1:10" x14ac:dyDescent="0.25">
      <c r="A3" s="221" t="s">
        <v>336</v>
      </c>
      <c r="B3" s="78"/>
      <c r="C3" s="78"/>
      <c r="D3" s="78"/>
      <c r="E3" s="78"/>
      <c r="F3" s="78"/>
      <c r="G3" s="79"/>
      <c r="H3" s="79"/>
      <c r="I3" s="79"/>
      <c r="J3" s="80"/>
    </row>
    <row r="4" spans="1:10" x14ac:dyDescent="0.25">
      <c r="A4" s="243" t="s">
        <v>354</v>
      </c>
      <c r="B4" s="78"/>
      <c r="C4" s="78"/>
      <c r="D4" s="78"/>
      <c r="E4" s="78"/>
      <c r="F4" s="78"/>
      <c r="G4" s="79"/>
      <c r="H4" s="79"/>
      <c r="I4" s="79"/>
      <c r="J4" s="80"/>
    </row>
    <row r="5" spans="1:10" x14ac:dyDescent="0.25">
      <c r="A5" s="243" t="s">
        <v>355</v>
      </c>
      <c r="B5" s="78"/>
      <c r="C5" s="78"/>
      <c r="D5" s="78"/>
      <c r="E5" s="78"/>
      <c r="F5" s="78"/>
      <c r="G5" s="79"/>
      <c r="H5" s="79"/>
      <c r="I5" s="79"/>
      <c r="J5" s="80"/>
    </row>
    <row r="6" spans="1:10" x14ac:dyDescent="0.25">
      <c r="A6" s="243" t="s">
        <v>356</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7" t="s">
        <v>319</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6" t="s">
        <v>313</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312</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tabSelected="1" zoomScale="130" zoomScaleNormal="130" workbookViewId="0">
      <selection activeCell="E18" sqref="A12:E18"/>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3" t="s">
        <v>320</v>
      </c>
      <c r="B2" s="130"/>
      <c r="C2" s="130"/>
      <c r="D2" s="130"/>
      <c r="E2" s="130"/>
      <c r="F2" s="130"/>
      <c r="G2" s="130"/>
      <c r="H2" s="131"/>
    </row>
    <row r="3" spans="1:8" x14ac:dyDescent="0.25">
      <c r="A3" s="203" t="s">
        <v>321</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312</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I16" sqref="A15:I16"/>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3" t="s">
        <v>323</v>
      </c>
      <c r="B2" s="130"/>
      <c r="C2" s="130"/>
      <c r="D2" s="130"/>
      <c r="E2" s="130"/>
      <c r="F2" s="130"/>
      <c r="G2" s="130"/>
      <c r="H2" s="130"/>
      <c r="I2" s="130"/>
      <c r="J2" s="130"/>
      <c r="K2" s="131"/>
    </row>
    <row r="3" spans="1:11" x14ac:dyDescent="0.25">
      <c r="A3" s="203" t="s">
        <v>324</v>
      </c>
      <c r="B3" s="130"/>
      <c r="C3" s="130"/>
      <c r="D3" s="130"/>
      <c r="E3" s="130"/>
      <c r="F3" s="130"/>
      <c r="G3" s="130"/>
      <c r="H3" s="130"/>
      <c r="I3" s="130"/>
      <c r="J3" s="130"/>
      <c r="K3" s="131"/>
    </row>
    <row r="4" spans="1:11" x14ac:dyDescent="0.25">
      <c r="A4" s="203" t="s">
        <v>325</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322</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E16" sqref="E16:H16"/>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3" t="s">
        <v>326</v>
      </c>
      <c r="B2" s="130"/>
      <c r="C2" s="130"/>
      <c r="D2" s="130"/>
      <c r="E2" s="130"/>
      <c r="F2" s="130"/>
      <c r="G2" s="130"/>
      <c r="H2" s="130"/>
      <c r="I2" s="130"/>
      <c r="J2" s="130"/>
      <c r="K2" s="130"/>
      <c r="L2" s="131"/>
    </row>
    <row r="3" spans="1:12" x14ac:dyDescent="0.25">
      <c r="A3" s="203" t="s">
        <v>327</v>
      </c>
      <c r="B3" s="130"/>
      <c r="C3" s="130"/>
      <c r="D3" s="130"/>
      <c r="E3" s="130"/>
      <c r="F3" s="130"/>
      <c r="G3" s="130"/>
      <c r="H3" s="130"/>
      <c r="I3" s="130"/>
      <c r="J3" s="130"/>
      <c r="K3" s="130"/>
      <c r="L3" s="131"/>
    </row>
    <row r="4" spans="1:12" x14ac:dyDescent="0.25">
      <c r="A4" s="203" t="s">
        <v>328</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322</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305</v>
      </c>
      <c r="C16" s="135" t="s">
        <v>216</v>
      </c>
      <c r="D16" s="136">
        <v>7.04</v>
      </c>
    </row>
    <row r="17" spans="1:4" x14ac:dyDescent="0.25">
      <c r="A17" s="135">
        <v>102</v>
      </c>
      <c r="B17" s="135" t="s">
        <v>305</v>
      </c>
      <c r="C17" s="135" t="s">
        <v>216</v>
      </c>
      <c r="D17" s="136">
        <v>7.04</v>
      </c>
    </row>
    <row r="18" spans="1:4" x14ac:dyDescent="0.25">
      <c r="A18" s="135">
        <v>103</v>
      </c>
      <c r="B18" s="135" t="s">
        <v>305</v>
      </c>
      <c r="C18" s="135" t="s">
        <v>216</v>
      </c>
      <c r="D18" s="136">
        <v>7.04</v>
      </c>
    </row>
    <row r="19" spans="1:4" x14ac:dyDescent="0.25">
      <c r="A19" s="135">
        <v>104</v>
      </c>
      <c r="B19" s="135" t="s">
        <v>305</v>
      </c>
      <c r="C19" s="135" t="s">
        <v>216</v>
      </c>
      <c r="D19" s="136">
        <v>7.04</v>
      </c>
    </row>
    <row r="20" spans="1:4" x14ac:dyDescent="0.25">
      <c r="A20" s="135">
        <v>117</v>
      </c>
      <c r="B20" s="135" t="s">
        <v>305</v>
      </c>
      <c r="C20" s="135" t="s">
        <v>216</v>
      </c>
      <c r="D20" s="136">
        <v>7.04</v>
      </c>
    </row>
    <row r="21" spans="1:4" x14ac:dyDescent="0.25">
      <c r="A21" s="135">
        <v>118</v>
      </c>
      <c r="B21" s="135" t="s">
        <v>305</v>
      </c>
      <c r="C21" s="135" t="s">
        <v>216</v>
      </c>
      <c r="D21" s="136">
        <v>7.04</v>
      </c>
    </row>
    <row r="22" spans="1:4" x14ac:dyDescent="0.25">
      <c r="A22" s="135">
        <v>119</v>
      </c>
      <c r="B22" s="135" t="s">
        <v>305</v>
      </c>
      <c r="C22" s="135" t="s">
        <v>216</v>
      </c>
      <c r="D22" s="136">
        <v>7.04</v>
      </c>
    </row>
    <row r="23" spans="1:4" x14ac:dyDescent="0.25">
      <c r="A23" s="135">
        <v>120</v>
      </c>
      <c r="B23" s="135" t="s">
        <v>305</v>
      </c>
      <c r="C23" s="135" t="s">
        <v>216</v>
      </c>
      <c r="D23" s="136">
        <v>7.04</v>
      </c>
    </row>
    <row r="24" spans="1:4" x14ac:dyDescent="0.25">
      <c r="A24" s="135">
        <v>181</v>
      </c>
      <c r="B24" s="135" t="s">
        <v>305</v>
      </c>
      <c r="C24" s="135" t="s">
        <v>216</v>
      </c>
      <c r="D24" s="136">
        <v>7.04</v>
      </c>
    </row>
    <row r="25" spans="1:4" x14ac:dyDescent="0.25">
      <c r="A25" s="135">
        <v>185</v>
      </c>
      <c r="B25" s="135" t="s">
        <v>305</v>
      </c>
      <c r="C25" s="135" t="s">
        <v>216</v>
      </c>
      <c r="D25" s="136">
        <v>7.04</v>
      </c>
    </row>
    <row r="26" spans="1:4" x14ac:dyDescent="0.25">
      <c r="A26" s="135">
        <v>186</v>
      </c>
      <c r="B26" s="135" t="s">
        <v>305</v>
      </c>
      <c r="C26" s="135" t="s">
        <v>216</v>
      </c>
      <c r="D26" s="136">
        <v>7.04</v>
      </c>
    </row>
    <row r="27" spans="1:4" x14ac:dyDescent="0.25">
      <c r="A27" s="135">
        <v>190</v>
      </c>
      <c r="B27" s="135" t="s">
        <v>305</v>
      </c>
      <c r="C27" s="135" t="s">
        <v>216</v>
      </c>
      <c r="D27" s="136">
        <v>7.04</v>
      </c>
    </row>
    <row r="28" spans="1:4" x14ac:dyDescent="0.25">
      <c r="A28" s="135">
        <v>191</v>
      </c>
      <c r="B28" s="135" t="s">
        <v>305</v>
      </c>
      <c r="C28" s="135" t="s">
        <v>216</v>
      </c>
      <c r="D28" s="136">
        <v>7.04</v>
      </c>
    </row>
    <row r="29" spans="1:4" x14ac:dyDescent="0.25">
      <c r="A29" s="135">
        <v>195</v>
      </c>
      <c r="B29" s="135" t="s">
        <v>305</v>
      </c>
      <c r="C29" s="135" t="s">
        <v>216</v>
      </c>
      <c r="D29" s="136">
        <v>7.04</v>
      </c>
    </row>
    <row r="30" spans="1:4" x14ac:dyDescent="0.25">
      <c r="A30" s="135">
        <v>196</v>
      </c>
      <c r="B30" s="135" t="s">
        <v>305</v>
      </c>
      <c r="C30" s="135" t="s">
        <v>216</v>
      </c>
      <c r="D30" s="136">
        <v>7.04</v>
      </c>
    </row>
    <row r="31" spans="1:4" x14ac:dyDescent="0.25">
      <c r="A31" s="135">
        <v>200</v>
      </c>
      <c r="B31" s="135" t="s">
        <v>305</v>
      </c>
      <c r="C31" s="135" t="s">
        <v>216</v>
      </c>
      <c r="D31" s="136">
        <v>7.04</v>
      </c>
    </row>
    <row r="32" spans="1:4" x14ac:dyDescent="0.25">
      <c r="A32" s="135">
        <v>121</v>
      </c>
      <c r="B32" s="135" t="s">
        <v>305</v>
      </c>
      <c r="C32" s="135" t="s">
        <v>216</v>
      </c>
      <c r="D32" s="136">
        <v>7.04</v>
      </c>
    </row>
    <row r="33" spans="1:4" x14ac:dyDescent="0.25">
      <c r="A33" s="135">
        <v>122</v>
      </c>
      <c r="B33" s="135" t="s">
        <v>305</v>
      </c>
      <c r="C33" s="135" t="s">
        <v>216</v>
      </c>
      <c r="D33" s="136">
        <v>7.04</v>
      </c>
    </row>
    <row r="34" spans="1:4" x14ac:dyDescent="0.25">
      <c r="A34" s="135">
        <v>123</v>
      </c>
      <c r="B34" s="135" t="s">
        <v>305</v>
      </c>
      <c r="C34" s="135" t="s">
        <v>216</v>
      </c>
      <c r="D34" s="136">
        <v>7.04</v>
      </c>
    </row>
    <row r="35" spans="1:4" x14ac:dyDescent="0.25">
      <c r="A35" s="135">
        <v>124</v>
      </c>
      <c r="B35" s="135" t="s">
        <v>305</v>
      </c>
      <c r="C35" s="135" t="s">
        <v>216</v>
      </c>
      <c r="D35" s="136">
        <v>7.04</v>
      </c>
    </row>
    <row r="36" spans="1:4" x14ac:dyDescent="0.25">
      <c r="A36" s="135">
        <v>137</v>
      </c>
      <c r="B36" s="135" t="s">
        <v>305</v>
      </c>
      <c r="C36" s="135" t="s">
        <v>216</v>
      </c>
      <c r="D36" s="136">
        <v>7.04</v>
      </c>
    </row>
    <row r="37" spans="1:4" x14ac:dyDescent="0.25">
      <c r="A37" s="135">
        <v>138</v>
      </c>
      <c r="B37" s="135" t="s">
        <v>305</v>
      </c>
      <c r="C37" s="135" t="s">
        <v>216</v>
      </c>
      <c r="D37" s="136">
        <v>7.04</v>
      </c>
    </row>
    <row r="38" spans="1:4" x14ac:dyDescent="0.25">
      <c r="A38" s="135">
        <v>139</v>
      </c>
      <c r="B38" s="135" t="s">
        <v>305</v>
      </c>
      <c r="C38" s="135" t="s">
        <v>216</v>
      </c>
      <c r="D38" s="136">
        <v>7.04</v>
      </c>
    </row>
    <row r="39" spans="1:4" x14ac:dyDescent="0.25">
      <c r="A39" s="135">
        <v>140</v>
      </c>
      <c r="B39" s="135" t="s">
        <v>305</v>
      </c>
      <c r="C39" s="135" t="s">
        <v>216</v>
      </c>
      <c r="D39" s="136">
        <v>7.04</v>
      </c>
    </row>
    <row r="40" spans="1:4" x14ac:dyDescent="0.25">
      <c r="A40" s="135">
        <v>201</v>
      </c>
      <c r="B40" s="135" t="s">
        <v>305</v>
      </c>
      <c r="C40" s="135" t="s">
        <v>216</v>
      </c>
      <c r="D40" s="136">
        <v>7.04</v>
      </c>
    </row>
    <row r="41" spans="1:4" x14ac:dyDescent="0.25">
      <c r="A41" s="135">
        <v>205</v>
      </c>
      <c r="B41" s="135" t="s">
        <v>305</v>
      </c>
      <c r="C41" s="135" t="s">
        <v>216</v>
      </c>
      <c r="D41" s="136">
        <v>7.04</v>
      </c>
    </row>
    <row r="42" spans="1:4" x14ac:dyDescent="0.25">
      <c r="A42" s="135">
        <v>206</v>
      </c>
      <c r="B42" s="135" t="s">
        <v>305</v>
      </c>
      <c r="C42" s="135" t="s">
        <v>216</v>
      </c>
      <c r="D42" s="136">
        <v>7.04</v>
      </c>
    </row>
    <row r="43" spans="1:4" x14ac:dyDescent="0.25">
      <c r="A43" s="135">
        <v>210</v>
      </c>
      <c r="B43" s="135" t="s">
        <v>305</v>
      </c>
      <c r="C43" s="135" t="s">
        <v>216</v>
      </c>
      <c r="D43" s="136">
        <v>7.04</v>
      </c>
    </row>
    <row r="44" spans="1:4" x14ac:dyDescent="0.25">
      <c r="A44" s="135">
        <v>211</v>
      </c>
      <c r="B44" s="135" t="s">
        <v>305</v>
      </c>
      <c r="C44" s="135" t="s">
        <v>216</v>
      </c>
      <c r="D44" s="136">
        <v>7.04</v>
      </c>
    </row>
    <row r="45" spans="1:4" x14ac:dyDescent="0.25">
      <c r="A45" s="135">
        <v>215</v>
      </c>
      <c r="B45" s="135" t="s">
        <v>305</v>
      </c>
      <c r="C45" s="135" t="s">
        <v>216</v>
      </c>
      <c r="D45" s="136">
        <v>7.04</v>
      </c>
    </row>
    <row r="46" spans="1:4" x14ac:dyDescent="0.25">
      <c r="A46" s="135">
        <v>216</v>
      </c>
      <c r="B46" s="135" t="s">
        <v>305</v>
      </c>
      <c r="C46" s="135" t="s">
        <v>216</v>
      </c>
      <c r="D46" s="136">
        <v>7.04</v>
      </c>
    </row>
    <row r="47" spans="1:4" x14ac:dyDescent="0.25">
      <c r="A47" s="135">
        <v>220</v>
      </c>
      <c r="B47" s="135" t="s">
        <v>305</v>
      </c>
      <c r="C47" s="135" t="s">
        <v>216</v>
      </c>
      <c r="D47" s="136">
        <v>7.04</v>
      </c>
    </row>
    <row r="48" spans="1:4" x14ac:dyDescent="0.25">
      <c r="A48" s="135">
        <v>141</v>
      </c>
      <c r="B48" s="135" t="s">
        <v>305</v>
      </c>
      <c r="C48" s="135" t="s">
        <v>216</v>
      </c>
      <c r="D48" s="136">
        <v>7.04</v>
      </c>
    </row>
    <row r="49" spans="1:4" x14ac:dyDescent="0.25">
      <c r="A49" s="135">
        <v>142</v>
      </c>
      <c r="B49" s="135" t="s">
        <v>305</v>
      </c>
      <c r="C49" s="135" t="s">
        <v>216</v>
      </c>
      <c r="D49" s="136">
        <v>7.04</v>
      </c>
    </row>
    <row r="50" spans="1:4" x14ac:dyDescent="0.25">
      <c r="A50" s="135">
        <v>143</v>
      </c>
      <c r="B50" s="135" t="s">
        <v>305</v>
      </c>
      <c r="C50" s="135" t="s">
        <v>216</v>
      </c>
      <c r="D50" s="136">
        <v>7.04</v>
      </c>
    </row>
    <row r="51" spans="1:4" x14ac:dyDescent="0.25">
      <c r="A51" s="135">
        <v>144</v>
      </c>
      <c r="B51" s="135" t="s">
        <v>305</v>
      </c>
      <c r="C51" s="135" t="s">
        <v>216</v>
      </c>
      <c r="D51" s="136">
        <v>7.04</v>
      </c>
    </row>
    <row r="52" spans="1:4" x14ac:dyDescent="0.25">
      <c r="A52" s="135">
        <v>157</v>
      </c>
      <c r="B52" s="135" t="s">
        <v>305</v>
      </c>
      <c r="C52" s="135" t="s">
        <v>216</v>
      </c>
      <c r="D52" s="136">
        <v>7.04</v>
      </c>
    </row>
    <row r="53" spans="1:4" x14ac:dyDescent="0.25">
      <c r="A53" s="135">
        <v>158</v>
      </c>
      <c r="B53" s="135" t="s">
        <v>305</v>
      </c>
      <c r="C53" s="135" t="s">
        <v>216</v>
      </c>
      <c r="D53" s="136">
        <v>7.04</v>
      </c>
    </row>
    <row r="54" spans="1:4" x14ac:dyDescent="0.25">
      <c r="A54" s="135">
        <v>159</v>
      </c>
      <c r="B54" s="135" t="s">
        <v>305</v>
      </c>
      <c r="C54" s="135" t="s">
        <v>216</v>
      </c>
      <c r="D54" s="136">
        <v>7.04</v>
      </c>
    </row>
    <row r="55" spans="1:4" x14ac:dyDescent="0.25">
      <c r="A55" s="135">
        <v>160</v>
      </c>
      <c r="B55" s="135" t="s">
        <v>305</v>
      </c>
      <c r="C55" s="135" t="s">
        <v>216</v>
      </c>
      <c r="D55" s="136">
        <v>7.04</v>
      </c>
    </row>
    <row r="56" spans="1:4" x14ac:dyDescent="0.25">
      <c r="A56" s="135">
        <v>221</v>
      </c>
      <c r="B56" s="135" t="s">
        <v>305</v>
      </c>
      <c r="C56" s="135" t="s">
        <v>216</v>
      </c>
      <c r="D56" s="136">
        <v>7.04</v>
      </c>
    </row>
    <row r="57" spans="1:4" x14ac:dyDescent="0.25">
      <c r="A57" s="135">
        <v>225</v>
      </c>
      <c r="B57" s="135" t="s">
        <v>305</v>
      </c>
      <c r="C57" s="135" t="s">
        <v>216</v>
      </c>
      <c r="D57" s="136">
        <v>7.04</v>
      </c>
    </row>
    <row r="58" spans="1:4" x14ac:dyDescent="0.25">
      <c r="A58" s="135">
        <v>226</v>
      </c>
      <c r="B58" s="135" t="s">
        <v>305</v>
      </c>
      <c r="C58" s="135" t="s">
        <v>216</v>
      </c>
      <c r="D58" s="136">
        <v>7.04</v>
      </c>
    </row>
    <row r="59" spans="1:4" x14ac:dyDescent="0.25">
      <c r="A59" s="135">
        <v>230</v>
      </c>
      <c r="B59" s="135" t="s">
        <v>305</v>
      </c>
      <c r="C59" s="135" t="s">
        <v>216</v>
      </c>
      <c r="D59" s="136">
        <v>7.04</v>
      </c>
    </row>
    <row r="60" spans="1:4" x14ac:dyDescent="0.25">
      <c r="A60" s="135">
        <v>231</v>
      </c>
      <c r="B60" s="135" t="s">
        <v>305</v>
      </c>
      <c r="C60" s="135" t="s">
        <v>216</v>
      </c>
      <c r="D60" s="136">
        <v>7.04</v>
      </c>
    </row>
    <row r="61" spans="1:4" x14ac:dyDescent="0.25">
      <c r="A61" s="135">
        <v>235</v>
      </c>
      <c r="B61" s="135" t="s">
        <v>305</v>
      </c>
      <c r="C61" s="135" t="s">
        <v>216</v>
      </c>
      <c r="D61" s="136">
        <v>7.04</v>
      </c>
    </row>
    <row r="62" spans="1:4" x14ac:dyDescent="0.25">
      <c r="A62" s="135">
        <v>236</v>
      </c>
      <c r="B62" s="135" t="s">
        <v>305</v>
      </c>
      <c r="C62" s="135" t="s">
        <v>216</v>
      </c>
      <c r="D62" s="136">
        <v>7.04</v>
      </c>
    </row>
    <row r="63" spans="1:4" x14ac:dyDescent="0.25">
      <c r="A63" s="135">
        <v>240</v>
      </c>
      <c r="B63" s="135" t="s">
        <v>305</v>
      </c>
      <c r="C63" s="135" t="s">
        <v>216</v>
      </c>
      <c r="D63" s="136">
        <v>7.04</v>
      </c>
    </row>
    <row r="64" spans="1:4" x14ac:dyDescent="0.25">
      <c r="A64" s="135">
        <v>161</v>
      </c>
      <c r="B64" s="135" t="s">
        <v>305</v>
      </c>
      <c r="C64" s="135" t="s">
        <v>216</v>
      </c>
      <c r="D64" s="136">
        <v>2.41</v>
      </c>
    </row>
    <row r="65" spans="1:4" x14ac:dyDescent="0.25">
      <c r="A65" s="135">
        <v>162</v>
      </c>
      <c r="B65" s="135" t="s">
        <v>305</v>
      </c>
      <c r="C65" s="135" t="s">
        <v>216</v>
      </c>
      <c r="D65" s="136">
        <v>2.41</v>
      </c>
    </row>
    <row r="66" spans="1:4" x14ac:dyDescent="0.25">
      <c r="A66" s="135">
        <v>163</v>
      </c>
      <c r="B66" s="135" t="s">
        <v>305</v>
      </c>
      <c r="C66" s="135" t="s">
        <v>216</v>
      </c>
      <c r="D66" s="136">
        <v>2.41</v>
      </c>
    </row>
    <row r="67" spans="1:4" x14ac:dyDescent="0.25">
      <c r="A67" s="135">
        <v>164</v>
      </c>
      <c r="B67" s="135" t="s">
        <v>305</v>
      </c>
      <c r="C67" s="135" t="s">
        <v>216</v>
      </c>
      <c r="D67" s="136">
        <v>2.41</v>
      </c>
    </row>
    <row r="68" spans="1:4" x14ac:dyDescent="0.25">
      <c r="A68" s="135">
        <v>177</v>
      </c>
      <c r="B68" s="135" t="s">
        <v>305</v>
      </c>
      <c r="C68" s="135" t="s">
        <v>216</v>
      </c>
      <c r="D68" s="136">
        <v>2.41</v>
      </c>
    </row>
    <row r="69" spans="1:4" x14ac:dyDescent="0.25">
      <c r="A69" s="135">
        <v>178</v>
      </c>
      <c r="B69" s="135" t="s">
        <v>305</v>
      </c>
      <c r="C69" s="135" t="s">
        <v>216</v>
      </c>
      <c r="D69" s="136">
        <v>2.41</v>
      </c>
    </row>
    <row r="70" spans="1:4" x14ac:dyDescent="0.25">
      <c r="A70" s="135">
        <v>179</v>
      </c>
      <c r="B70" s="135" t="s">
        <v>305</v>
      </c>
      <c r="C70" s="135" t="s">
        <v>216</v>
      </c>
      <c r="D70" s="136">
        <v>2.41</v>
      </c>
    </row>
    <row r="71" spans="1:4" x14ac:dyDescent="0.25">
      <c r="A71" s="135">
        <v>180</v>
      </c>
      <c r="B71" s="135" t="s">
        <v>305</v>
      </c>
      <c r="C71" s="135" t="s">
        <v>216</v>
      </c>
      <c r="D71" s="136">
        <v>2.41</v>
      </c>
    </row>
    <row r="72" spans="1:4" x14ac:dyDescent="0.25">
      <c r="A72" s="135">
        <v>241</v>
      </c>
      <c r="B72" s="135" t="s">
        <v>305</v>
      </c>
      <c r="C72" s="135" t="s">
        <v>216</v>
      </c>
      <c r="D72" s="136">
        <v>2.41</v>
      </c>
    </row>
    <row r="73" spans="1:4" x14ac:dyDescent="0.25">
      <c r="A73" s="135">
        <v>245</v>
      </c>
      <c r="B73" s="135" t="s">
        <v>305</v>
      </c>
      <c r="C73" s="135" t="s">
        <v>216</v>
      </c>
      <c r="D73" s="136">
        <v>2.41</v>
      </c>
    </row>
    <row r="74" spans="1:4" x14ac:dyDescent="0.25">
      <c r="A74" s="135">
        <v>246</v>
      </c>
      <c r="B74" s="135" t="s">
        <v>305</v>
      </c>
      <c r="C74" s="135" t="s">
        <v>216</v>
      </c>
      <c r="D74" s="136">
        <v>2.41</v>
      </c>
    </row>
    <row r="75" spans="1:4" x14ac:dyDescent="0.25">
      <c r="A75" s="135">
        <v>250</v>
      </c>
      <c r="B75" s="135" t="s">
        <v>305</v>
      </c>
      <c r="C75" s="135" t="s">
        <v>216</v>
      </c>
      <c r="D75" s="136">
        <v>2.41</v>
      </c>
    </row>
    <row r="76" spans="1:4" x14ac:dyDescent="0.25">
      <c r="A76" s="135">
        <v>251</v>
      </c>
      <c r="B76" s="135" t="s">
        <v>305</v>
      </c>
      <c r="C76" s="135" t="s">
        <v>216</v>
      </c>
      <c r="D76" s="136">
        <v>2.41</v>
      </c>
    </row>
    <row r="77" spans="1:4" x14ac:dyDescent="0.25">
      <c r="A77" s="135">
        <v>255</v>
      </c>
      <c r="B77" s="135" t="s">
        <v>305</v>
      </c>
      <c r="C77" s="135" t="s">
        <v>216</v>
      </c>
      <c r="D77" s="136">
        <v>2.41</v>
      </c>
    </row>
    <row r="78" spans="1:4" x14ac:dyDescent="0.25">
      <c r="A78" s="135">
        <v>256</v>
      </c>
      <c r="B78" s="135" t="s">
        <v>305</v>
      </c>
      <c r="C78" s="135" t="s">
        <v>216</v>
      </c>
      <c r="D78" s="136">
        <v>2.41</v>
      </c>
    </row>
    <row r="79" spans="1:4" x14ac:dyDescent="0.25">
      <c r="A79" s="135">
        <v>260</v>
      </c>
      <c r="B79" s="135" t="s">
        <v>305</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3" t="s">
        <v>330</v>
      </c>
      <c r="B2" s="130"/>
      <c r="C2" s="130"/>
      <c r="D2" s="130"/>
      <c r="E2" s="130"/>
      <c r="F2" s="131"/>
    </row>
    <row r="3" spans="1:6" x14ac:dyDescent="0.25">
      <c r="A3" s="203" t="s">
        <v>331</v>
      </c>
      <c r="B3" s="130"/>
      <c r="C3" s="130"/>
      <c r="D3" s="130"/>
      <c r="E3" s="130"/>
      <c r="F3" s="131"/>
    </row>
    <row r="4" spans="1:6" x14ac:dyDescent="0.25">
      <c r="A4" s="203" t="s">
        <v>332</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329</v>
      </c>
      <c r="B7" s="125" t="s">
        <v>215</v>
      </c>
      <c r="C7" s="125" t="s">
        <v>217</v>
      </c>
      <c r="D7" s="125" t="s">
        <v>218</v>
      </c>
    </row>
    <row r="8" spans="1:6" x14ac:dyDescent="0.25">
      <c r="A8" s="135">
        <v>1</v>
      </c>
      <c r="B8" s="135" t="s">
        <v>305</v>
      </c>
      <c r="C8" s="135" t="s">
        <v>216</v>
      </c>
      <c r="D8" s="136">
        <v>1.1100000000000001</v>
      </c>
    </row>
    <row r="9" spans="1:6" x14ac:dyDescent="0.25">
      <c r="A9" s="135">
        <v>2</v>
      </c>
      <c r="B9" s="135" t="s">
        <v>305</v>
      </c>
      <c r="C9" s="135" t="s">
        <v>216</v>
      </c>
      <c r="D9" s="136">
        <v>1.1100000000000001</v>
      </c>
    </row>
    <row r="10" spans="1:6" x14ac:dyDescent="0.25">
      <c r="A10" s="135">
        <v>3</v>
      </c>
      <c r="B10" s="135" t="s">
        <v>305</v>
      </c>
      <c r="C10" s="135" t="s">
        <v>216</v>
      </c>
      <c r="D10" s="136">
        <v>1.1100000000000001</v>
      </c>
    </row>
    <row r="11" spans="1:6" x14ac:dyDescent="0.25">
      <c r="A11" s="135">
        <v>4</v>
      </c>
      <c r="B11" s="135" t="s">
        <v>305</v>
      </c>
      <c r="C11" s="135" t="s">
        <v>216</v>
      </c>
      <c r="D11" s="136">
        <v>1.1100000000000001</v>
      </c>
    </row>
    <row r="12" spans="1:6" x14ac:dyDescent="0.25">
      <c r="A12" s="135">
        <v>5</v>
      </c>
      <c r="B12" s="135" t="s">
        <v>305</v>
      </c>
      <c r="C12" s="135" t="s">
        <v>216</v>
      </c>
      <c r="D12" s="136">
        <v>1.1100000000000001</v>
      </c>
    </row>
    <row r="13" spans="1:6" x14ac:dyDescent="0.25">
      <c r="A13" s="135">
        <v>6</v>
      </c>
      <c r="B13" s="135" t="s">
        <v>305</v>
      </c>
      <c r="C13" s="135" t="s">
        <v>216</v>
      </c>
      <c r="D13" s="136">
        <v>1.1100000000000001</v>
      </c>
    </row>
    <row r="14" spans="1:6" x14ac:dyDescent="0.25">
      <c r="A14" s="135">
        <v>7</v>
      </c>
      <c r="B14" s="135" t="s">
        <v>305</v>
      </c>
      <c r="C14" s="135" t="s">
        <v>216</v>
      </c>
      <c r="D14" s="136">
        <v>1.1100000000000001</v>
      </c>
    </row>
    <row r="15" spans="1:6" x14ac:dyDescent="0.25">
      <c r="A15" s="135">
        <v>8</v>
      </c>
      <c r="B15" s="135" t="s">
        <v>305</v>
      </c>
      <c r="C15" s="135" t="s">
        <v>216</v>
      </c>
      <c r="D15" s="136">
        <v>1.1100000000000001</v>
      </c>
    </row>
    <row r="16" spans="1:6" x14ac:dyDescent="0.25">
      <c r="A16" s="135">
        <v>9</v>
      </c>
      <c r="B16" s="135" t="s">
        <v>305</v>
      </c>
      <c r="C16" s="135" t="s">
        <v>216</v>
      </c>
      <c r="D16" s="136">
        <v>1.1100000000000001</v>
      </c>
    </row>
    <row r="17" spans="1:4" x14ac:dyDescent="0.25">
      <c r="A17" s="135">
        <v>10</v>
      </c>
      <c r="B17" s="135" t="s">
        <v>305</v>
      </c>
      <c r="C17" s="135" t="s">
        <v>216</v>
      </c>
      <c r="D17" s="136">
        <v>1.1100000000000001</v>
      </c>
    </row>
    <row r="18" spans="1:4" x14ac:dyDescent="0.25">
      <c r="A18" s="135">
        <v>11</v>
      </c>
      <c r="B18" s="135" t="s">
        <v>305</v>
      </c>
      <c r="C18" s="135" t="s">
        <v>216</v>
      </c>
      <c r="D18" s="136">
        <v>1.1100000000000001</v>
      </c>
    </row>
    <row r="19" spans="1:4" x14ac:dyDescent="0.25">
      <c r="A19" s="135">
        <v>12</v>
      </c>
      <c r="B19" s="135" t="s">
        <v>305</v>
      </c>
      <c r="C19" s="135" t="s">
        <v>216</v>
      </c>
      <c r="D19" s="136">
        <v>1.1100000000000001</v>
      </c>
    </row>
    <row r="20" spans="1:4" x14ac:dyDescent="0.25">
      <c r="A20" s="135">
        <v>13</v>
      </c>
      <c r="B20" s="135" t="s">
        <v>305</v>
      </c>
      <c r="C20" s="135" t="s">
        <v>216</v>
      </c>
      <c r="D20" s="136">
        <v>1.1100000000000001</v>
      </c>
    </row>
    <row r="21" spans="1:4" x14ac:dyDescent="0.25">
      <c r="A21" s="135">
        <v>14</v>
      </c>
      <c r="B21" s="135" t="s">
        <v>305</v>
      </c>
      <c r="C21" s="135" t="s">
        <v>216</v>
      </c>
      <c r="D21" s="136">
        <v>1.1100000000000001</v>
      </c>
    </row>
    <row r="22" spans="1:4" x14ac:dyDescent="0.25">
      <c r="A22" s="135">
        <v>15</v>
      </c>
      <c r="B22" s="135" t="s">
        <v>305</v>
      </c>
      <c r="C22" s="135" t="s">
        <v>216</v>
      </c>
      <c r="D22" s="136">
        <v>1.1100000000000001</v>
      </c>
    </row>
    <row r="23" spans="1:4" x14ac:dyDescent="0.25">
      <c r="A23" s="135">
        <v>16</v>
      </c>
      <c r="B23" s="135" t="s">
        <v>305</v>
      </c>
      <c r="C23" s="135" t="s">
        <v>216</v>
      </c>
      <c r="D23" s="136">
        <v>1.1100000000000001</v>
      </c>
    </row>
    <row r="24" spans="1:4" x14ac:dyDescent="0.25">
      <c r="A24" s="135">
        <v>17</v>
      </c>
      <c r="B24" s="135" t="s">
        <v>305</v>
      </c>
      <c r="C24" s="135" t="s">
        <v>216</v>
      </c>
      <c r="D24" s="136">
        <v>1.1100000000000001</v>
      </c>
    </row>
    <row r="25" spans="1:4" x14ac:dyDescent="0.25">
      <c r="A25" s="135">
        <v>18</v>
      </c>
      <c r="B25" s="135" t="s">
        <v>305</v>
      </c>
      <c r="C25" s="135" t="s">
        <v>216</v>
      </c>
      <c r="D25" s="136">
        <v>1.1100000000000001</v>
      </c>
    </row>
    <row r="26" spans="1:4" x14ac:dyDescent="0.25">
      <c r="A26" s="135">
        <v>19</v>
      </c>
      <c r="B26" s="135" t="s">
        <v>305</v>
      </c>
      <c r="C26" s="135" t="s">
        <v>216</v>
      </c>
      <c r="D26" s="136">
        <v>1.1100000000000001</v>
      </c>
    </row>
    <row r="27" spans="1:4" x14ac:dyDescent="0.25">
      <c r="A27" s="135">
        <v>20</v>
      </c>
      <c r="B27" s="135" t="s">
        <v>305</v>
      </c>
      <c r="C27" s="135" t="s">
        <v>216</v>
      </c>
      <c r="D27" s="136">
        <v>1.1100000000000001</v>
      </c>
    </row>
    <row r="28" spans="1:4" x14ac:dyDescent="0.25">
      <c r="A28" s="135">
        <v>21</v>
      </c>
      <c r="B28" s="135" t="s">
        <v>305</v>
      </c>
      <c r="C28" s="135" t="s">
        <v>216</v>
      </c>
      <c r="D28" s="136">
        <v>1.1100000000000001</v>
      </c>
    </row>
    <row r="29" spans="1:4" x14ac:dyDescent="0.25">
      <c r="A29" s="135">
        <v>22</v>
      </c>
      <c r="B29" s="135" t="s">
        <v>305</v>
      </c>
      <c r="C29" s="135" t="s">
        <v>216</v>
      </c>
      <c r="D29" s="136">
        <v>1.1100000000000001</v>
      </c>
    </row>
    <row r="30" spans="1:4" x14ac:dyDescent="0.25">
      <c r="A30" s="135">
        <v>23</v>
      </c>
      <c r="B30" s="135" t="s">
        <v>305</v>
      </c>
      <c r="C30" s="135" t="s">
        <v>216</v>
      </c>
      <c r="D30" s="136">
        <v>1.1100000000000001</v>
      </c>
    </row>
    <row r="31" spans="1:4" x14ac:dyDescent="0.25">
      <c r="A31" s="135">
        <v>24</v>
      </c>
      <c r="B31" s="135" t="s">
        <v>305</v>
      </c>
      <c r="C31" s="135" t="s">
        <v>216</v>
      </c>
      <c r="D31" s="136">
        <v>1.1100000000000001</v>
      </c>
    </row>
    <row r="32" spans="1:4" x14ac:dyDescent="0.25">
      <c r="A32" s="135">
        <v>25</v>
      </c>
      <c r="B32" s="135" t="s">
        <v>305</v>
      </c>
      <c r="C32" s="135" t="s">
        <v>216</v>
      </c>
      <c r="D32" s="136">
        <v>1.1100000000000001</v>
      </c>
    </row>
    <row r="33" spans="1:4" x14ac:dyDescent="0.25">
      <c r="A33" s="135">
        <v>26</v>
      </c>
      <c r="B33" s="135" t="s">
        <v>305</v>
      </c>
      <c r="C33" s="135" t="s">
        <v>216</v>
      </c>
      <c r="D33" s="136">
        <v>1.1100000000000001</v>
      </c>
    </row>
    <row r="34" spans="1:4" x14ac:dyDescent="0.25">
      <c r="A34" s="135">
        <v>27</v>
      </c>
      <c r="B34" s="135" t="s">
        <v>305</v>
      </c>
      <c r="C34" s="135" t="s">
        <v>216</v>
      </c>
      <c r="D34" s="136">
        <v>1.1100000000000001</v>
      </c>
    </row>
    <row r="35" spans="1:4" x14ac:dyDescent="0.25">
      <c r="A35" s="135">
        <v>28</v>
      </c>
      <c r="B35" s="135" t="s">
        <v>305</v>
      </c>
      <c r="C35" s="135" t="s">
        <v>216</v>
      </c>
      <c r="D35" s="136">
        <v>1.1100000000000001</v>
      </c>
    </row>
    <row r="36" spans="1:4" x14ac:dyDescent="0.25">
      <c r="A36" s="135">
        <v>29</v>
      </c>
      <c r="B36" s="135" t="s">
        <v>305</v>
      </c>
      <c r="C36" s="135" t="s">
        <v>216</v>
      </c>
      <c r="D36" s="136">
        <v>1.1100000000000001</v>
      </c>
    </row>
    <row r="37" spans="1:4" x14ac:dyDescent="0.25">
      <c r="A37" s="135">
        <v>30</v>
      </c>
      <c r="B37" s="135" t="s">
        <v>305</v>
      </c>
      <c r="C37" s="135" t="s">
        <v>216</v>
      </c>
      <c r="D37" s="136">
        <v>1.1100000000000001</v>
      </c>
    </row>
    <row r="38" spans="1:4" x14ac:dyDescent="0.25">
      <c r="A38" s="135">
        <v>31</v>
      </c>
      <c r="B38" s="135" t="s">
        <v>305</v>
      </c>
      <c r="C38" s="135" t="s">
        <v>216</v>
      </c>
      <c r="D38" s="136">
        <v>1.1100000000000001</v>
      </c>
    </row>
    <row r="39" spans="1:4" x14ac:dyDescent="0.25">
      <c r="A39" s="135">
        <v>32</v>
      </c>
      <c r="B39" s="135" t="s">
        <v>305</v>
      </c>
      <c r="C39" s="135" t="s">
        <v>216</v>
      </c>
      <c r="D39" s="136">
        <v>1.1100000000000001</v>
      </c>
    </row>
    <row r="40" spans="1:4" x14ac:dyDescent="0.25">
      <c r="A40" s="135">
        <v>33</v>
      </c>
      <c r="B40" s="135" t="s">
        <v>305</v>
      </c>
      <c r="C40" s="135" t="s">
        <v>216</v>
      </c>
      <c r="D40" s="136">
        <v>1.1100000000000001</v>
      </c>
    </row>
    <row r="41" spans="1:4" x14ac:dyDescent="0.25">
      <c r="A41" s="135">
        <v>34</v>
      </c>
      <c r="B41" s="135" t="s">
        <v>305</v>
      </c>
      <c r="C41" s="135" t="s">
        <v>216</v>
      </c>
      <c r="D41" s="136">
        <v>1.1100000000000001</v>
      </c>
    </row>
    <row r="42" spans="1:4" x14ac:dyDescent="0.25">
      <c r="A42" s="135">
        <v>35</v>
      </c>
      <c r="B42" s="135" t="s">
        <v>305</v>
      </c>
      <c r="C42" s="135" t="s">
        <v>216</v>
      </c>
      <c r="D42" s="136">
        <v>1.1100000000000001</v>
      </c>
    </row>
    <row r="43" spans="1:4" x14ac:dyDescent="0.25">
      <c r="A43" s="135">
        <v>36</v>
      </c>
      <c r="B43" s="135" t="s">
        <v>305</v>
      </c>
      <c r="C43" s="135" t="s">
        <v>216</v>
      </c>
      <c r="D43" s="136">
        <v>1.1100000000000001</v>
      </c>
    </row>
    <row r="44" spans="1:4" x14ac:dyDescent="0.25">
      <c r="A44" s="135">
        <v>37</v>
      </c>
      <c r="B44" s="135" t="s">
        <v>305</v>
      </c>
      <c r="C44" s="135" t="s">
        <v>216</v>
      </c>
      <c r="D44" s="136">
        <v>1.1100000000000001</v>
      </c>
    </row>
    <row r="45" spans="1:4" x14ac:dyDescent="0.25">
      <c r="A45" s="135">
        <v>38</v>
      </c>
      <c r="B45" s="135" t="s">
        <v>305</v>
      </c>
      <c r="C45" s="135" t="s">
        <v>216</v>
      </c>
      <c r="D45" s="136">
        <v>1.1100000000000001</v>
      </c>
    </row>
    <row r="46" spans="1:4" x14ac:dyDescent="0.25">
      <c r="A46" s="135">
        <v>39</v>
      </c>
      <c r="B46" s="135" t="s">
        <v>305</v>
      </c>
      <c r="C46" s="135" t="s">
        <v>216</v>
      </c>
      <c r="D46" s="136">
        <v>1.1100000000000001</v>
      </c>
    </row>
    <row r="47" spans="1:4" x14ac:dyDescent="0.25">
      <c r="A47" s="135">
        <v>40</v>
      </c>
      <c r="B47" s="135" t="s">
        <v>305</v>
      </c>
      <c r="C47" s="135" t="s">
        <v>216</v>
      </c>
      <c r="D47" s="136">
        <v>1.1100000000000001</v>
      </c>
    </row>
    <row r="48" spans="1:4" x14ac:dyDescent="0.25">
      <c r="A48" s="135">
        <v>41</v>
      </c>
      <c r="B48" s="135" t="s">
        <v>305</v>
      </c>
      <c r="C48" s="135" t="s">
        <v>216</v>
      </c>
      <c r="D48" s="136">
        <v>1.1100000000000001</v>
      </c>
    </row>
    <row r="49" spans="1:4" x14ac:dyDescent="0.25">
      <c r="A49" s="135">
        <v>42</v>
      </c>
      <c r="B49" s="135" t="s">
        <v>305</v>
      </c>
      <c r="C49" s="135" t="s">
        <v>216</v>
      </c>
      <c r="D49" s="136">
        <v>1.1100000000000001</v>
      </c>
    </row>
    <row r="50" spans="1:4" x14ac:dyDescent="0.25">
      <c r="A50" s="135">
        <v>43</v>
      </c>
      <c r="B50" s="135" t="s">
        <v>305</v>
      </c>
      <c r="C50" s="135" t="s">
        <v>216</v>
      </c>
      <c r="D50" s="136">
        <v>1.1100000000000001</v>
      </c>
    </row>
    <row r="51" spans="1:4" x14ac:dyDescent="0.25">
      <c r="A51" s="135">
        <v>44</v>
      </c>
      <c r="B51" s="135" t="s">
        <v>305</v>
      </c>
      <c r="C51" s="135" t="s">
        <v>216</v>
      </c>
      <c r="D51" s="136">
        <v>1.1100000000000001</v>
      </c>
    </row>
    <row r="52" spans="1:4" x14ac:dyDescent="0.25">
      <c r="A52" s="135">
        <v>45</v>
      </c>
      <c r="B52" s="135" t="s">
        <v>305</v>
      </c>
      <c r="C52" s="135" t="s">
        <v>216</v>
      </c>
      <c r="D52" s="136">
        <v>1.1100000000000001</v>
      </c>
    </row>
    <row r="53" spans="1:4" x14ac:dyDescent="0.25">
      <c r="A53" s="135">
        <v>46</v>
      </c>
      <c r="B53" s="135" t="s">
        <v>305</v>
      </c>
      <c r="C53" s="135" t="s">
        <v>216</v>
      </c>
      <c r="D53" s="136">
        <v>1.1100000000000001</v>
      </c>
    </row>
    <row r="54" spans="1:4" x14ac:dyDescent="0.25">
      <c r="A54" s="135">
        <v>47</v>
      </c>
      <c r="B54" s="135" t="s">
        <v>305</v>
      </c>
      <c r="C54" s="135" t="s">
        <v>216</v>
      </c>
      <c r="D54" s="136">
        <v>1.1100000000000001</v>
      </c>
    </row>
    <row r="55" spans="1:4" x14ac:dyDescent="0.25">
      <c r="A55" s="135">
        <v>48</v>
      </c>
      <c r="B55" s="135" t="s">
        <v>305</v>
      </c>
      <c r="C55" s="135" t="s">
        <v>216</v>
      </c>
      <c r="D55" s="136">
        <v>1.1100000000000001</v>
      </c>
    </row>
    <row r="56" spans="1:4" x14ac:dyDescent="0.25">
      <c r="A56" s="135">
        <v>49</v>
      </c>
      <c r="B56" s="135" t="s">
        <v>305</v>
      </c>
      <c r="C56" s="135" t="s">
        <v>216</v>
      </c>
      <c r="D56" s="136">
        <v>0.41</v>
      </c>
    </row>
    <row r="57" spans="1:4" x14ac:dyDescent="0.25">
      <c r="A57" s="135">
        <v>50</v>
      </c>
      <c r="B57" s="135" t="s">
        <v>305</v>
      </c>
      <c r="C57" s="135" t="s">
        <v>216</v>
      </c>
      <c r="D57" s="136">
        <v>0.41</v>
      </c>
    </row>
    <row r="58" spans="1:4" x14ac:dyDescent="0.25">
      <c r="A58" s="135">
        <v>51</v>
      </c>
      <c r="B58" s="135" t="s">
        <v>305</v>
      </c>
      <c r="C58" s="135" t="s">
        <v>216</v>
      </c>
      <c r="D58" s="136">
        <v>0.41</v>
      </c>
    </row>
    <row r="59" spans="1:4" x14ac:dyDescent="0.25">
      <c r="A59" s="135">
        <v>52</v>
      </c>
      <c r="B59" s="135" t="s">
        <v>305</v>
      </c>
      <c r="C59" s="135" t="s">
        <v>216</v>
      </c>
      <c r="D59" s="136">
        <v>0.41</v>
      </c>
    </row>
    <row r="60" spans="1:4" x14ac:dyDescent="0.25">
      <c r="A60" s="135">
        <v>53</v>
      </c>
      <c r="B60" s="135" t="s">
        <v>305</v>
      </c>
      <c r="C60" s="135" t="s">
        <v>216</v>
      </c>
      <c r="D60" s="136">
        <v>0.41</v>
      </c>
    </row>
    <row r="61" spans="1:4" x14ac:dyDescent="0.25">
      <c r="A61" s="135">
        <v>54</v>
      </c>
      <c r="B61" s="135" t="s">
        <v>305</v>
      </c>
      <c r="C61" s="135" t="s">
        <v>216</v>
      </c>
      <c r="D61" s="136">
        <v>0.41</v>
      </c>
    </row>
    <row r="62" spans="1:4" x14ac:dyDescent="0.25">
      <c r="A62" s="135">
        <v>55</v>
      </c>
      <c r="B62" s="135" t="s">
        <v>305</v>
      </c>
      <c r="C62" s="135" t="s">
        <v>216</v>
      </c>
      <c r="D62" s="136">
        <v>0.41</v>
      </c>
    </row>
    <row r="63" spans="1:4" x14ac:dyDescent="0.25">
      <c r="A63" s="135">
        <v>56</v>
      </c>
      <c r="B63" s="135" t="s">
        <v>305</v>
      </c>
      <c r="C63" s="135" t="s">
        <v>216</v>
      </c>
      <c r="D63" s="136">
        <v>0.41</v>
      </c>
    </row>
    <row r="64" spans="1:4" x14ac:dyDescent="0.25">
      <c r="A64" s="135">
        <v>57</v>
      </c>
      <c r="B64" s="135" t="s">
        <v>305</v>
      </c>
      <c r="C64" s="135" t="s">
        <v>216</v>
      </c>
      <c r="D64" s="136">
        <v>0.41</v>
      </c>
    </row>
    <row r="65" spans="1:4" x14ac:dyDescent="0.25">
      <c r="A65" s="135">
        <v>58</v>
      </c>
      <c r="B65" s="135" t="s">
        <v>305</v>
      </c>
      <c r="C65" s="135" t="s">
        <v>216</v>
      </c>
      <c r="D65" s="136">
        <v>0.41</v>
      </c>
    </row>
    <row r="66" spans="1:4" x14ac:dyDescent="0.25">
      <c r="A66" s="135">
        <v>59</v>
      </c>
      <c r="B66" s="135" t="s">
        <v>305</v>
      </c>
      <c r="C66" s="135" t="s">
        <v>216</v>
      </c>
      <c r="D66" s="136">
        <v>0.41</v>
      </c>
    </row>
    <row r="67" spans="1:4" x14ac:dyDescent="0.25">
      <c r="A67" s="135">
        <v>60</v>
      </c>
      <c r="B67" s="135" t="s">
        <v>305</v>
      </c>
      <c r="C67" s="135" t="s">
        <v>216</v>
      </c>
      <c r="D67" s="136">
        <v>0.41</v>
      </c>
    </row>
    <row r="68" spans="1:4" x14ac:dyDescent="0.25">
      <c r="A68" s="135">
        <v>61</v>
      </c>
      <c r="B68" s="135" t="s">
        <v>305</v>
      </c>
      <c r="C68" s="135" t="s">
        <v>216</v>
      </c>
      <c r="D68" s="136">
        <v>0.41</v>
      </c>
    </row>
    <row r="69" spans="1:4" x14ac:dyDescent="0.25">
      <c r="A69" s="135">
        <v>62</v>
      </c>
      <c r="B69" s="135" t="s">
        <v>305</v>
      </c>
      <c r="C69" s="135" t="s">
        <v>216</v>
      </c>
      <c r="D69" s="136">
        <v>0.41</v>
      </c>
    </row>
    <row r="70" spans="1:4" x14ac:dyDescent="0.25">
      <c r="A70" s="135">
        <v>63</v>
      </c>
      <c r="B70" s="135" t="s">
        <v>305</v>
      </c>
      <c r="C70" s="135" t="s">
        <v>216</v>
      </c>
      <c r="D70" s="136">
        <v>0.41</v>
      </c>
    </row>
    <row r="71" spans="1:4" x14ac:dyDescent="0.25">
      <c r="A71" s="135">
        <v>64</v>
      </c>
      <c r="B71" s="135" t="s">
        <v>305</v>
      </c>
      <c r="C71" s="135" t="s">
        <v>216</v>
      </c>
      <c r="D71" s="136">
        <v>0.41</v>
      </c>
    </row>
    <row r="72" spans="1:4" x14ac:dyDescent="0.25">
      <c r="A72" s="135">
        <v>1</v>
      </c>
      <c r="B72" s="135" t="s">
        <v>306</v>
      </c>
      <c r="C72" s="135" t="s">
        <v>216</v>
      </c>
      <c r="D72" s="136">
        <v>2.69</v>
      </c>
    </row>
    <row r="73" spans="1:4" x14ac:dyDescent="0.25">
      <c r="A73" s="135">
        <v>2</v>
      </c>
      <c r="B73" s="135" t="s">
        <v>306</v>
      </c>
      <c r="C73" s="135" t="s">
        <v>216</v>
      </c>
      <c r="D73" s="136">
        <v>2.69</v>
      </c>
    </row>
    <row r="74" spans="1:4" x14ac:dyDescent="0.25">
      <c r="A74" s="135">
        <v>3</v>
      </c>
      <c r="B74" s="135" t="s">
        <v>306</v>
      </c>
      <c r="C74" s="135" t="s">
        <v>216</v>
      </c>
      <c r="D74" s="136">
        <v>2.69</v>
      </c>
    </row>
    <row r="75" spans="1:4" x14ac:dyDescent="0.25">
      <c r="A75" s="135">
        <v>4</v>
      </c>
      <c r="B75" s="135" t="s">
        <v>306</v>
      </c>
      <c r="C75" s="135" t="s">
        <v>216</v>
      </c>
      <c r="D75" s="136">
        <v>2.69</v>
      </c>
    </row>
    <row r="76" spans="1:4" x14ac:dyDescent="0.25">
      <c r="A76" s="135">
        <v>5</v>
      </c>
      <c r="B76" s="135" t="s">
        <v>306</v>
      </c>
      <c r="C76" s="135" t="s">
        <v>216</v>
      </c>
      <c r="D76" s="136">
        <v>2.69</v>
      </c>
    </row>
    <row r="77" spans="1:4" x14ac:dyDescent="0.25">
      <c r="A77" s="135">
        <v>6</v>
      </c>
      <c r="B77" s="135" t="s">
        <v>306</v>
      </c>
      <c r="C77" s="135" t="s">
        <v>216</v>
      </c>
      <c r="D77" s="136">
        <v>2.69</v>
      </c>
    </row>
    <row r="78" spans="1:4" x14ac:dyDescent="0.25">
      <c r="A78" s="135">
        <v>7</v>
      </c>
      <c r="B78" s="135" t="s">
        <v>306</v>
      </c>
      <c r="C78" s="135" t="s">
        <v>216</v>
      </c>
      <c r="D78" s="136">
        <v>2.69</v>
      </c>
    </row>
    <row r="79" spans="1:4" x14ac:dyDescent="0.25">
      <c r="A79" s="135">
        <v>8</v>
      </c>
      <c r="B79" s="135" t="s">
        <v>306</v>
      </c>
      <c r="C79" s="135" t="s">
        <v>216</v>
      </c>
      <c r="D79" s="136">
        <v>2.69</v>
      </c>
    </row>
    <row r="80" spans="1:4" x14ac:dyDescent="0.25">
      <c r="A80" s="135">
        <v>9</v>
      </c>
      <c r="B80" s="135" t="s">
        <v>306</v>
      </c>
      <c r="C80" s="135" t="s">
        <v>216</v>
      </c>
      <c r="D80" s="136">
        <v>2.69</v>
      </c>
    </row>
    <row r="81" spans="1:4" x14ac:dyDescent="0.25">
      <c r="A81" s="135">
        <v>10</v>
      </c>
      <c r="B81" s="135" t="s">
        <v>306</v>
      </c>
      <c r="C81" s="135" t="s">
        <v>216</v>
      </c>
      <c r="D81" s="136">
        <v>2.69</v>
      </c>
    </row>
    <row r="82" spans="1:4" x14ac:dyDescent="0.25">
      <c r="A82" s="135">
        <v>11</v>
      </c>
      <c r="B82" s="135" t="s">
        <v>306</v>
      </c>
      <c r="C82" s="135" t="s">
        <v>216</v>
      </c>
      <c r="D82" s="136">
        <v>2.69</v>
      </c>
    </row>
    <row r="83" spans="1:4" x14ac:dyDescent="0.25">
      <c r="A83" s="135">
        <v>12</v>
      </c>
      <c r="B83" s="135" t="s">
        <v>306</v>
      </c>
      <c r="C83" s="135" t="s">
        <v>216</v>
      </c>
      <c r="D83" s="136">
        <v>2.69</v>
      </c>
    </row>
    <row r="84" spans="1:4" x14ac:dyDescent="0.25">
      <c r="A84" s="135">
        <v>13</v>
      </c>
      <c r="B84" s="135" t="s">
        <v>306</v>
      </c>
      <c r="C84" s="135" t="s">
        <v>216</v>
      </c>
      <c r="D84" s="136">
        <v>2.69</v>
      </c>
    </row>
    <row r="85" spans="1:4" x14ac:dyDescent="0.25">
      <c r="A85" s="135">
        <v>14</v>
      </c>
      <c r="B85" s="135" t="s">
        <v>306</v>
      </c>
      <c r="C85" s="135" t="s">
        <v>216</v>
      </c>
      <c r="D85" s="136">
        <v>2.69</v>
      </c>
    </row>
    <row r="86" spans="1:4" x14ac:dyDescent="0.25">
      <c r="A86" s="135">
        <v>15</v>
      </c>
      <c r="B86" s="135" t="s">
        <v>306</v>
      </c>
      <c r="C86" s="135" t="s">
        <v>216</v>
      </c>
      <c r="D86" s="136">
        <v>2.69</v>
      </c>
    </row>
    <row r="87" spans="1:4" x14ac:dyDescent="0.25">
      <c r="A87" s="135">
        <v>16</v>
      </c>
      <c r="B87" s="135" t="s">
        <v>306</v>
      </c>
      <c r="C87" s="135" t="s">
        <v>216</v>
      </c>
      <c r="D87" s="136">
        <v>2.69</v>
      </c>
    </row>
    <row r="88" spans="1:4" x14ac:dyDescent="0.25">
      <c r="A88" s="135">
        <v>17</v>
      </c>
      <c r="B88" s="135" t="s">
        <v>306</v>
      </c>
      <c r="C88" s="135" t="s">
        <v>216</v>
      </c>
      <c r="D88" s="136">
        <v>2.69</v>
      </c>
    </row>
    <row r="89" spans="1:4" x14ac:dyDescent="0.25">
      <c r="A89" s="135">
        <v>18</v>
      </c>
      <c r="B89" s="135" t="s">
        <v>306</v>
      </c>
      <c r="C89" s="135" t="s">
        <v>216</v>
      </c>
      <c r="D89" s="136">
        <v>2.69</v>
      </c>
    </row>
    <row r="90" spans="1:4" x14ac:dyDescent="0.25">
      <c r="A90" s="135">
        <v>19</v>
      </c>
      <c r="B90" s="135" t="s">
        <v>306</v>
      </c>
      <c r="C90" s="135" t="s">
        <v>216</v>
      </c>
      <c r="D90" s="136">
        <v>2.69</v>
      </c>
    </row>
    <row r="91" spans="1:4" x14ac:dyDescent="0.25">
      <c r="A91" s="135">
        <v>20</v>
      </c>
      <c r="B91" s="135" t="s">
        <v>306</v>
      </c>
      <c r="C91" s="135" t="s">
        <v>216</v>
      </c>
      <c r="D91" s="136">
        <v>2.69</v>
      </c>
    </row>
    <row r="92" spans="1:4" x14ac:dyDescent="0.25">
      <c r="A92" s="135">
        <v>21</v>
      </c>
      <c r="B92" s="135" t="s">
        <v>306</v>
      </c>
      <c r="C92" s="135" t="s">
        <v>216</v>
      </c>
      <c r="D92" s="136">
        <v>2.69</v>
      </c>
    </row>
    <row r="93" spans="1:4" x14ac:dyDescent="0.25">
      <c r="A93" s="135">
        <v>22</v>
      </c>
      <c r="B93" s="135" t="s">
        <v>306</v>
      </c>
      <c r="C93" s="135" t="s">
        <v>216</v>
      </c>
      <c r="D93" s="136">
        <v>2.69</v>
      </c>
    </row>
    <row r="94" spans="1:4" x14ac:dyDescent="0.25">
      <c r="A94" s="135">
        <v>23</v>
      </c>
      <c r="B94" s="135" t="s">
        <v>306</v>
      </c>
      <c r="C94" s="135" t="s">
        <v>216</v>
      </c>
      <c r="D94" s="136">
        <v>2.69</v>
      </c>
    </row>
    <row r="95" spans="1:4" x14ac:dyDescent="0.25">
      <c r="A95" s="135">
        <v>24</v>
      </c>
      <c r="B95" s="135" t="s">
        <v>306</v>
      </c>
      <c r="C95" s="135" t="s">
        <v>216</v>
      </c>
      <c r="D95" s="136">
        <v>2.69</v>
      </c>
    </row>
    <row r="96" spans="1:4" x14ac:dyDescent="0.25">
      <c r="A96" s="135">
        <v>25</v>
      </c>
      <c r="B96" s="135" t="s">
        <v>306</v>
      </c>
      <c r="C96" s="135" t="s">
        <v>216</v>
      </c>
      <c r="D96" s="136">
        <v>2.69</v>
      </c>
    </row>
    <row r="97" spans="1:4" x14ac:dyDescent="0.25">
      <c r="A97" s="135">
        <v>26</v>
      </c>
      <c r="B97" s="135" t="s">
        <v>306</v>
      </c>
      <c r="C97" s="135" t="s">
        <v>216</v>
      </c>
      <c r="D97" s="136">
        <v>2.69</v>
      </c>
    </row>
    <row r="98" spans="1:4" x14ac:dyDescent="0.25">
      <c r="A98" s="135">
        <v>27</v>
      </c>
      <c r="B98" s="135" t="s">
        <v>306</v>
      </c>
      <c r="C98" s="135" t="s">
        <v>216</v>
      </c>
      <c r="D98" s="136">
        <v>2.69</v>
      </c>
    </row>
    <row r="99" spans="1:4" x14ac:dyDescent="0.25">
      <c r="A99" s="135">
        <v>28</v>
      </c>
      <c r="B99" s="135" t="s">
        <v>306</v>
      </c>
      <c r="C99" s="135" t="s">
        <v>216</v>
      </c>
      <c r="D99" s="136">
        <v>2.69</v>
      </c>
    </row>
    <row r="100" spans="1:4" x14ac:dyDescent="0.25">
      <c r="A100" s="135">
        <v>29</v>
      </c>
      <c r="B100" s="135" t="s">
        <v>306</v>
      </c>
      <c r="C100" s="135" t="s">
        <v>216</v>
      </c>
      <c r="D100" s="136">
        <v>2.69</v>
      </c>
    </row>
    <row r="101" spans="1:4" x14ac:dyDescent="0.25">
      <c r="A101" s="135">
        <v>30</v>
      </c>
      <c r="B101" s="135" t="s">
        <v>306</v>
      </c>
      <c r="C101" s="135" t="s">
        <v>216</v>
      </c>
      <c r="D101" s="136">
        <v>2.69</v>
      </c>
    </row>
    <row r="102" spans="1:4" x14ac:dyDescent="0.25">
      <c r="A102" s="135">
        <v>31</v>
      </c>
      <c r="B102" s="135" t="s">
        <v>306</v>
      </c>
      <c r="C102" s="135" t="s">
        <v>216</v>
      </c>
      <c r="D102" s="136">
        <v>2.69</v>
      </c>
    </row>
    <row r="103" spans="1:4" x14ac:dyDescent="0.25">
      <c r="A103" s="135">
        <v>32</v>
      </c>
      <c r="B103" s="135" t="s">
        <v>306</v>
      </c>
      <c r="C103" s="135" t="s">
        <v>216</v>
      </c>
      <c r="D103" s="136">
        <v>2.69</v>
      </c>
    </row>
    <row r="104" spans="1:4" x14ac:dyDescent="0.25">
      <c r="A104" s="135">
        <v>33</v>
      </c>
      <c r="B104" s="135" t="s">
        <v>306</v>
      </c>
      <c r="C104" s="135" t="s">
        <v>216</v>
      </c>
      <c r="D104" s="136">
        <v>2.69</v>
      </c>
    </row>
    <row r="105" spans="1:4" x14ac:dyDescent="0.25">
      <c r="A105" s="135">
        <v>34</v>
      </c>
      <c r="B105" s="135" t="s">
        <v>306</v>
      </c>
      <c r="C105" s="135" t="s">
        <v>216</v>
      </c>
      <c r="D105" s="136">
        <v>2.69</v>
      </c>
    </row>
    <row r="106" spans="1:4" x14ac:dyDescent="0.25">
      <c r="A106" s="135">
        <v>35</v>
      </c>
      <c r="B106" s="135" t="s">
        <v>306</v>
      </c>
      <c r="C106" s="135" t="s">
        <v>216</v>
      </c>
      <c r="D106" s="136">
        <v>2.69</v>
      </c>
    </row>
    <row r="107" spans="1:4" x14ac:dyDescent="0.25">
      <c r="A107" s="135">
        <v>36</v>
      </c>
      <c r="B107" s="135" t="s">
        <v>306</v>
      </c>
      <c r="C107" s="135" t="s">
        <v>216</v>
      </c>
      <c r="D107" s="136">
        <v>2.69</v>
      </c>
    </row>
    <row r="108" spans="1:4" x14ac:dyDescent="0.25">
      <c r="A108" s="135">
        <v>37</v>
      </c>
      <c r="B108" s="135" t="s">
        <v>306</v>
      </c>
      <c r="C108" s="135" t="s">
        <v>216</v>
      </c>
      <c r="D108" s="136">
        <v>2.69</v>
      </c>
    </row>
    <row r="109" spans="1:4" x14ac:dyDescent="0.25">
      <c r="A109" s="135">
        <v>38</v>
      </c>
      <c r="B109" s="135" t="s">
        <v>306</v>
      </c>
      <c r="C109" s="135" t="s">
        <v>216</v>
      </c>
      <c r="D109" s="136">
        <v>2.69</v>
      </c>
    </row>
    <row r="110" spans="1:4" x14ac:dyDescent="0.25">
      <c r="A110" s="135">
        <v>39</v>
      </c>
      <c r="B110" s="135" t="s">
        <v>306</v>
      </c>
      <c r="C110" s="135" t="s">
        <v>216</v>
      </c>
      <c r="D110" s="136">
        <v>2.69</v>
      </c>
    </row>
    <row r="111" spans="1:4" x14ac:dyDescent="0.25">
      <c r="A111" s="135">
        <v>40</v>
      </c>
      <c r="B111" s="135" t="s">
        <v>306</v>
      </c>
      <c r="C111" s="135" t="s">
        <v>216</v>
      </c>
      <c r="D111" s="136">
        <v>2.69</v>
      </c>
    </row>
    <row r="112" spans="1:4" x14ac:dyDescent="0.25">
      <c r="A112" s="135">
        <v>41</v>
      </c>
      <c r="B112" s="135" t="s">
        <v>306</v>
      </c>
      <c r="C112" s="135" t="s">
        <v>216</v>
      </c>
      <c r="D112" s="136">
        <v>2.69</v>
      </c>
    </row>
    <row r="113" spans="1:4" x14ac:dyDescent="0.25">
      <c r="A113" s="135">
        <v>42</v>
      </c>
      <c r="B113" s="135" t="s">
        <v>306</v>
      </c>
      <c r="C113" s="135" t="s">
        <v>216</v>
      </c>
      <c r="D113" s="136">
        <v>2.69</v>
      </c>
    </row>
    <row r="114" spans="1:4" x14ac:dyDescent="0.25">
      <c r="A114" s="135">
        <v>43</v>
      </c>
      <c r="B114" s="135" t="s">
        <v>306</v>
      </c>
      <c r="C114" s="135" t="s">
        <v>216</v>
      </c>
      <c r="D114" s="136">
        <v>2.69</v>
      </c>
    </row>
    <row r="115" spans="1:4" x14ac:dyDescent="0.25">
      <c r="A115" s="135">
        <v>44</v>
      </c>
      <c r="B115" s="135" t="s">
        <v>306</v>
      </c>
      <c r="C115" s="135" t="s">
        <v>216</v>
      </c>
      <c r="D115" s="136">
        <v>2.69</v>
      </c>
    </row>
    <row r="116" spans="1:4" x14ac:dyDescent="0.25">
      <c r="A116" s="135">
        <v>45</v>
      </c>
      <c r="B116" s="135" t="s">
        <v>306</v>
      </c>
      <c r="C116" s="135" t="s">
        <v>216</v>
      </c>
      <c r="D116" s="136">
        <v>2.69</v>
      </c>
    </row>
    <row r="117" spans="1:4" x14ac:dyDescent="0.25">
      <c r="A117" s="135">
        <v>46</v>
      </c>
      <c r="B117" s="135" t="s">
        <v>306</v>
      </c>
      <c r="C117" s="135" t="s">
        <v>216</v>
      </c>
      <c r="D117" s="136">
        <v>2.69</v>
      </c>
    </row>
    <row r="118" spans="1:4" x14ac:dyDescent="0.25">
      <c r="A118" s="135">
        <v>47</v>
      </c>
      <c r="B118" s="135" t="s">
        <v>306</v>
      </c>
      <c r="C118" s="135" t="s">
        <v>216</v>
      </c>
      <c r="D118" s="136">
        <v>2.69</v>
      </c>
    </row>
    <row r="119" spans="1:4" x14ac:dyDescent="0.25">
      <c r="A119" s="135">
        <v>48</v>
      </c>
      <c r="B119" s="135" t="s">
        <v>306</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34</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2026-08-22T15:12:29Z</dcterms:modified>
</cp:coreProperties>
</file>