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codeName="ThisWorkbook" defaultThemeVersion="202300"/>
  <mc:AlternateContent xmlns:mc="http://schemas.openxmlformats.org/markup-compatibility/2006">
    <mc:Choice Requires="x15">
      <x15ac:absPath xmlns:x15ac="http://schemas.microsoft.com/office/spreadsheetml/2010/11/ac" url="/Users/jwiciardo/Projects/SadProPy/src/sadpropy/"/>
    </mc:Choice>
  </mc:AlternateContent>
  <xr:revisionPtr revIDLastSave="0" documentId="13_ncr:1_{30B4025C-0991-124D-86AC-F275FF305F05}" xr6:coauthVersionLast="47" xr6:coauthVersionMax="47" xr10:uidLastSave="{00000000-0000-0000-0000-000000000000}"/>
  <bookViews>
    <workbookView xWindow="0" yWindow="0" windowWidth="33600" windowHeight="21000" firstSheet="5" activeTab="14"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Point Objects" sheetId="26" r:id="rId10"/>
    <sheet name="Line Objects" sheetId="28" r:id="rId11"/>
    <sheet name="Surface Objects" sheetId="29" r:id="rId12"/>
    <sheet name="Restraints" sheetId="18" r:id="rId13"/>
    <sheet name="Point Loads" sheetId="32" r:id="rId14"/>
    <sheet name="Concentrated Line Loads" sheetId="33" r:id="rId15"/>
    <sheet name="Distributed Line Loads" sheetId="34" r:id="rId16"/>
    <sheet name="Surface Loads" sheetId="36" r:id="rId17"/>
    <sheet name="Loads" sheetId="19" r:id="rId18"/>
  </sheets>
  <definedNames>
    <definedName name="Base_Sec">'Frame Sections'!$A$20:$A$1019</definedName>
    <definedName name="Elastic_Mat_Name">ListDB!$J$2:$J$1001</definedName>
    <definedName name="Ele_Type">ListDB!$N$2:$N$1001</definedName>
    <definedName name="Int_Type_Con">ListDB!$M$2:$M$1001</definedName>
    <definedName name="Int_Type_Dist">ListDB!$L$2:$L$1001</definedName>
    <definedName name="LC_Type">ListDB!$S$2:$S$1001</definedName>
    <definedName name="Line_ID">'Line Objects'!$A$16:$A$1048576</definedName>
    <definedName name="Mat_Concrete">ListDB!$H$2:$H$1001</definedName>
    <definedName name="Mat_Model_Concrete">ListDB!$C$2:$C$1001</definedName>
    <definedName name="Mat_Model_Hysteretic">ListDB!$E$2:$E$1001</definedName>
    <definedName name="Mat_Model_Steel">ListDB!$D$2:$D$1001</definedName>
    <definedName name="Mat_Name">ListDB!$G$2:$G$1001</definedName>
    <definedName name="Mat_Steel">ListDB!$I$2:$I$1001</definedName>
    <definedName name="Mat_Type">ListDB!$B$2:$B$1001</definedName>
    <definedName name="NL_Mat_Name">ListDB!$K$2:$K$1001</definedName>
    <definedName name="Point_ID">'Point Objects'!$A$8:$A$1048576</definedName>
    <definedName name="Sec_Model">ListDB!$P$2:$P$1001</definedName>
    <definedName name="Sec_Name">ListDB!$R$2:$R$1001</definedName>
    <definedName name="Sec_name_wo_agg">ListDB!$Q$2:$Q$1001</definedName>
    <definedName name="Sec_Shape">ListDB!$O$2:$O$1001</definedName>
    <definedName name="SecDB">'Frame Sections'!$A$20:$S$1019</definedName>
    <definedName name="SecFiberDB">#REF!</definedName>
    <definedName name="Slab_Sec">'Slab Sections'!$A$7:$A$1006</definedName>
    <definedName name="Spring_Mat_Name">ListDB!$F$2:$F$1048576</definedName>
    <definedName name="Surface_ID">'Surface Objects'!$A$11:$A$1048576</definedName>
    <definedName name="Unit_Angle">ListDB!$Y$2:$Y$3</definedName>
    <definedName name="Unit_Force">ListDB!$T$2:$T$8</definedName>
    <definedName name="Unit_Length">ListDB!$U$2:$U$6</definedName>
    <definedName name="Unit_Mass">ListDB!$V$2:$V$6</definedName>
    <definedName name="Unit_Stress">ListDB!$W$2:$W$9</definedName>
    <definedName name="Unit_Time">ListDB!$X$2:$X$3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4" i="10" l="1"/>
  <c r="K13" i="10"/>
  <c r="K12" i="10"/>
  <c r="K11" i="10"/>
  <c r="K10" i="10"/>
  <c r="K9" i="10"/>
  <c r="K8" i="10"/>
  <c r="J2" i="1" a="1"/>
  <c r="J2" i="1" s="1"/>
  <c r="X22" i="10"/>
  <c r="W22" i="10"/>
  <c r="V22" i="10"/>
  <c r="U22" i="10"/>
  <c r="T22" i="10"/>
  <c r="G2" i="1" a="1"/>
  <c r="G2" i="1" s="1"/>
  <c r="F2" i="1" a="1"/>
  <c r="F2" i="1" s="1"/>
  <c r="K2" i="1" a="1"/>
  <c r="K2" i="1" s="1"/>
  <c r="K8" i="5"/>
  <c r="K7" i="5"/>
  <c r="K6" i="5"/>
  <c r="K5" i="5"/>
  <c r="K2" i="5"/>
  <c r="D37" i="5"/>
  <c r="G36" i="5"/>
  <c r="J36" i="5" s="1"/>
  <c r="E35" i="5"/>
  <c r="J35" i="5"/>
  <c r="A25" i="5"/>
  <c r="A15" i="5"/>
  <c r="A14" i="5"/>
  <c r="A8" i="5"/>
  <c r="A11" i="5"/>
  <c r="A13" i="34"/>
  <c r="A11" i="34"/>
  <c r="A9" i="34"/>
  <c r="A7" i="34"/>
  <c r="A12" i="34"/>
  <c r="A10" i="34"/>
  <c r="A8" i="34"/>
  <c r="A6" i="34"/>
  <c r="A5" i="34"/>
  <c r="A12" i="33"/>
  <c r="A10" i="33"/>
  <c r="A8" i="33"/>
  <c r="A6" i="33"/>
  <c r="A11" i="33"/>
  <c r="A9" i="33"/>
  <c r="A7" i="33"/>
  <c r="A5" i="33"/>
  <c r="A5" i="36"/>
  <c r="A8" i="32"/>
  <c r="A9" i="32"/>
  <c r="A7" i="32"/>
  <c r="A6" i="32"/>
  <c r="A5" i="32"/>
  <c r="A4" i="32"/>
  <c r="A5" i="26"/>
  <c r="E36" i="5" l="1"/>
  <c r="A4" i="13"/>
  <c r="A5" i="5"/>
  <c r="A6" i="5"/>
  <c r="A9" i="28"/>
  <c r="A8" i="28"/>
  <c r="A4" i="26"/>
  <c r="A3" i="26"/>
  <c r="E34" i="5" l="1"/>
  <c r="D34" i="5"/>
  <c r="G33" i="5"/>
  <c r="E33" i="5" s="1"/>
  <c r="I2" i="1" l="1" a="1"/>
  <c r="I2" i="1" s="1"/>
  <c r="H2" i="1" a="1"/>
  <c r="H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R2" i="1" l="1" a="1"/>
  <c r="R2" i="1" s="1"/>
  <c r="Q2" i="1" a="1"/>
  <c r="Q2"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<sst xmlns="http://schemas.openxmlformats.org/spreadsheetml/2006/main" count="2027" uniqueCount="370">
  <si>
    <t>SI (N-m)</t>
  </si>
  <si>
    <t>Unitweight</t>
  </si>
  <si>
    <t>Concrete</t>
  </si>
  <si>
    <t>Rebar</t>
  </si>
  <si>
    <t>Default Units</t>
  </si>
  <si>
    <t>Value</t>
  </si>
  <si>
    <t>Nonlinear Analysis</t>
  </si>
  <si>
    <t>P-Delta</t>
  </si>
  <si>
    <t>Material Type</t>
  </si>
  <si>
    <t>Steel</t>
  </si>
  <si>
    <t>Material Name</t>
  </si>
  <si>
    <t>E</t>
  </si>
  <si>
    <t>nu</t>
  </si>
  <si>
    <t>RC30</t>
  </si>
  <si>
    <t>Rebar420</t>
  </si>
  <si>
    <t>Material Model</t>
  </si>
  <si>
    <t>RC Unconfined</t>
  </si>
  <si>
    <t>RC Confined</t>
  </si>
  <si>
    <t>Rebar420NL</t>
  </si>
  <si>
    <t>NL Material Name</t>
  </si>
  <si>
    <t>Integration Type for Distributed Plasticity</t>
  </si>
  <si>
    <t>Integration Type for Concentrated Plasticity</t>
  </si>
  <si>
    <t>Lobatto</t>
  </si>
  <si>
    <t>Section Shape</t>
  </si>
  <si>
    <t>Section Name</t>
  </si>
  <si>
    <t>Load Case Type</t>
  </si>
  <si>
    <t>Rectangular</t>
  </si>
  <si>
    <t>D</t>
  </si>
  <si>
    <t>L</t>
  </si>
  <si>
    <t>Lr</t>
  </si>
  <si>
    <t>Section Model</t>
  </si>
  <si>
    <t>C1</t>
  </si>
  <si>
    <t>B1</t>
  </si>
  <si>
    <t>Integration Type</t>
  </si>
  <si>
    <t>Aggregated Section</t>
  </si>
  <si>
    <t>t</t>
  </si>
  <si>
    <t>S1</t>
  </si>
  <si>
    <t>X</t>
  </si>
  <si>
    <t>Y</t>
  </si>
  <si>
    <t>Z</t>
  </si>
  <si>
    <t>Element Type</t>
  </si>
  <si>
    <t>Column</t>
  </si>
  <si>
    <t>Beam</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</si>
  <si>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</si>
  <si>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</si>
  <si>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</si>
  <si>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</si>
  <si>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</si>
  <si>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</si>
  <si>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</si>
  <si>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</si>
  <si>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</si>
  <si>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</si>
  <si>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</si>
  <si>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</si>
  <si>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</si>
  <si>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</si>
  <si>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</si>
  <si>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</si>
  <si>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</si>
  <si>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</si>
  <si>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</si>
  <si>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</si>
  <si>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</si>
  <si>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</si>
  <si>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</si>
  <si>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</si>
  <si>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</si>
  <si>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</si>
  <si>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</si>
  <si>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</si>
  <si>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</si>
  <si>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</si>
  <si>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</si>
  <si>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</si>
  <si>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</si>
  <si>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</si>
  <si>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</si>
  <si>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</si>
  <si>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</si>
  <si>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</si>
  <si>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</si>
  <si>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</si>
  <si>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</si>
  <si>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</si>
  <si>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</si>
  <si>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</si>
  <si>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</si>
  <si>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</si>
  <si>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</si>
  <si>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</si>
  <si>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</si>
  <si>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</si>
  <si>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</si>
  <si>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</si>
  <si>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</si>
  <si>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</si>
  <si>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</si>
  <si>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</si>
  <si>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</si>
  <si>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</si>
  <si>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</si>
  <si>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</si>
  <si>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</si>
  <si>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</si>
  <si>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</si>
  <si>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</si>
  <si>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</si>
  <si>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</si>
  <si>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</si>
  <si>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</si>
  <si>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</si>
  <si>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</si>
  <si>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</si>
  <si>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</si>
  <si>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</si>
  <si>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</si>
  <si>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</si>
  <si>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</si>
  <si>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</si>
  <si>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</si>
  <si>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</si>
  <si>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</si>
  <si>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</si>
  <si>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</si>
  <si>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</si>
  <si>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</si>
  <si>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</si>
  <si>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</si>
  <si>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</si>
  <si>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</si>
  <si>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</si>
  <si>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</si>
  <si>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</si>
  <si>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</si>
  <si>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</si>
  <si>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</si>
  <si>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</si>
  <si>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</si>
  <si>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</si>
  <si>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</si>
  <si>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</si>
  <si>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</si>
  <si>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</si>
  <si>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</si>
  <si>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</si>
  <si>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</si>
  <si>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</si>
  <si>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</si>
  <si>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</si>
  <si>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</si>
  <si>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</si>
  <si>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</si>
  <si>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</si>
  <si>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</si>
  <si>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</si>
  <si>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</si>
  <si>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</si>
  <si>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</si>
  <si>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</si>
  <si>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</si>
  <si>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</si>
  <si>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</si>
  <si>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</si>
  <si>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</si>
  <si>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</si>
  <si>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</si>
  <si>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</si>
  <si>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</si>
  <si>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</si>
  <si>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</si>
  <si>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</si>
  <si>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</si>
  <si>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</si>
  <si>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</si>
  <si>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</si>
  <si>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</si>
  <si>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</si>
  <si>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</si>
  <si>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</si>
  <si>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</si>
  <si>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</si>
  <si>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</si>
  <si>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</si>
  <si>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</si>
  <si>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</si>
  <si>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</si>
  <si>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</si>
  <si>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</si>
  <si>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</si>
  <si>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</si>
  <si>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</si>
  <si>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</si>
  <si>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</si>
  <si>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</si>
  <si>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</si>
  <si>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</si>
  <si>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</si>
  <si>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</si>
  <si>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</si>
  <si>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</si>
  <si>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</si>
  <si>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</si>
  <si>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</si>
  <si>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</si>
  <si>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</si>
  <si>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</si>
  <si>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</si>
  <si>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</si>
  <si>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</si>
  <si>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</si>
  <si>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</si>
  <si>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</si>
  <si>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</si>
  <si>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</si>
  <si>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</si>
  <si>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</si>
  <si>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</si>
  <si>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</si>
  <si>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</si>
  <si>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</si>
  <si>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</si>
  <si>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</si>
  <si>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</si>
  <si>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</si>
  <si>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</si>
  <si>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</si>
  <si>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</si>
  <si>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</si>
  <si>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</si>
  <si>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</si>
  <si>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</si>
  <si>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</si>
  <si>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</si>
  <si>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</si>
  <si>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</si>
  <si>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</si>
  <si>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</si>
  <si>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</si>
  <si>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</si>
  <si>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</si>
  <si>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</si>
  <si>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</si>
  <si>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</si>
  <si>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</si>
  <si>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</si>
  <si>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</si>
  <si>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FX</t>
  </si>
  <si>
    <t>FY</t>
  </si>
  <si>
    <t>FZ</t>
  </si>
  <si>
    <t>MX</t>
  </si>
  <si>
    <t>MY</t>
  </si>
  <si>
    <t>MZ</t>
  </si>
  <si>
    <t>Load Case</t>
  </si>
  <si>
    <t>Line</t>
  </si>
  <si>
    <t>Gravity</t>
  </si>
  <si>
    <t>Direction</t>
  </si>
  <si>
    <t>- Point: Point name to be subjected point load (Choose from the list)</t>
  </si>
  <si>
    <t>- Load Case: Load case of subjected point load (Choose from the list)</t>
  </si>
  <si>
    <t>- Line: Line name to be subjected line point load (Choose from the list)</t>
  </si>
  <si>
    <t>- Load Case: Load case of subjected line point load (Choose from the list)</t>
  </si>
  <si>
    <t>Surface</t>
  </si>
  <si>
    <t>- Surface: Surface name to be subjected surface load (Choose from the list)</t>
  </si>
  <si>
    <t>Load</t>
  </si>
  <si>
    <t>- Load Case: Load case of subjected surface load (Choose from the list)</t>
  </si>
  <si>
    <t>- Direction: Direction of subjected surface load (Choose from the list)</t>
  </si>
  <si>
    <t>Load 1</t>
  </si>
  <si>
    <t>Load 2</t>
  </si>
  <si>
    <t>Load 3</t>
  </si>
  <si>
    <t>Load 4</t>
  </si>
  <si>
    <t>Location 1</t>
  </si>
  <si>
    <t>Location 2</t>
  </si>
  <si>
    <t>Location 3</t>
  </si>
  <si>
    <t>Location 4</t>
  </si>
  <si>
    <t>Uniform Load</t>
  </si>
  <si>
    <t>- Line: Line name to be subjected distributed line load (Choose from the list)</t>
  </si>
  <si>
    <t>- Load Case: Load case of subjected distributed line load (Choose from the list)</t>
  </si>
  <si>
    <t>- Direction: Direction of all subjected line point load (Load 1 - Load 4) (Choose from the list)</t>
  </si>
  <si>
    <t>- Direction: Direction of all subjected distributed line load (Uniform, Load 1 - Load 4) (Choose from the list)</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</si>
  <si>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</si>
  <si>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</si>
  <si>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</si>
  <si>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</si>
  <si>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</si>
  <si>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</si>
  <si>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</si>
  <si>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</si>
  <si>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</si>
  <si>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</si>
  <si>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</si>
  <si>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</si>
  <si>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</si>
  <si>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</si>
  <si>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</si>
  <si>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</si>
  <si>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</si>
  <si>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</si>
  <si>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</si>
  <si>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</si>
  <si>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</si>
  <si>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</si>
  <si>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</si>
  <si>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</si>
  <si>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</si>
  <si>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</si>
  <si>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</si>
  <si>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</si>
  <si>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</si>
  <si>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</si>
  <si>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</si>
  <si>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</si>
  <si>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</si>
  <si>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</si>
  <si>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</si>
  <si>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</si>
  <si>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</si>
  <si>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</si>
  <si>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</si>
  <si>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</si>
  <si>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</si>
  <si>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</si>
  <si>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</si>
  <si>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</si>
  <si>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</si>
  <si>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</si>
  <si>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</si>
  <si>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</si>
  <si>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</si>
  <si>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</si>
  <si>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</si>
  <si>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</si>
  <si>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</si>
  <si>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</si>
  <si>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</si>
  <si>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</si>
  <si>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</si>
  <si>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C1Fiber</t>
  </si>
  <si>
    <t>FiberProp1</t>
  </si>
  <si>
    <t>FiberProp2</t>
  </si>
  <si>
    <t>FiberProp3</t>
  </si>
  <si>
    <t>FiberProp4</t>
  </si>
  <si>
    <t>FiberProp5</t>
  </si>
  <si>
    <t>FiberProp6</t>
  </si>
  <si>
    <t>FiberProp7</t>
  </si>
  <si>
    <t>FiberProp8</t>
  </si>
  <si>
    <t>- Keep red-colored cells with either blank or a value of 0.0</t>
  </si>
  <si>
    <t>C1Fiber_Agg</t>
  </si>
  <si>
    <t>Hinge Radau</t>
  </si>
  <si>
    <t>- Fiber properties of Rectangular concrete section: 1=c, 2=barDiaHoop, 3=barDiaTop, 4=barDiaBot, 5=barDiaInt, 6=nBarsTop, 7=nBarsBot, 8=nBarsInt</t>
  </si>
  <si>
    <t>- Dimension of rectangular section: 1=h, 2=b</t>
  </si>
  <si>
    <t>Material4</t>
  </si>
  <si>
    <t>Material5</t>
  </si>
  <si>
    <t>Material6</t>
  </si>
  <si>
    <t>- Material: Material 1 of section (main material). If it is fiber section which is concrete, set this as material of concrete core. If it is section aggregator which refers to "P" Axial force-deformation. Multiple or all force-deformation relationship can be used together but there is no interaction between responses (Choose from the list)</t>
  </si>
  <si>
    <t>- Material4 : Material 4 of section. If it is section aggregator which refers to "My" Moment-curvature about section local y-axis (Choose from the list)</t>
  </si>
  <si>
    <t>- Material2: Material 2 of section. If it is fiber section which is concrete, set this as material of concrete cover. If it is section aggregator which refers to "Mz" Moment-curvature about section local z-axis (Choose from the list)</t>
  </si>
  <si>
    <t>- Material3: Material 3 of section. If it is fiber section which is concrete, set this as material of reinforcement. If it is section aggregator which refers to "Vy" Shear force-deformation along section local y-axis (Choose from the list)</t>
  </si>
  <si>
    <t>- Material5 : Material 5 of section. If its is section aggregator which refers to "Vz" Shear force-deformation along section local z-axis (Choose from the list)</t>
  </si>
  <si>
    <t>- Material6 : Material 6 of section. If it is section aggregator which refers to "T" Torsion Force-Deformation (Choose from the list)</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</si>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</sst>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8"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34">
    <xf numFmtId="0" fontId="0" fillId="0" borderId="0" xfId="0"/>
    <xf numFmtId="0" fontId="10" fillId="0" borderId="0" xfId="0" applyFont="1" applyAlignment="1">
      <alignment horizontal="center"/>
    </xf>
    <xf numFmtId="0" fontId="10" fillId="0" borderId="0" xfId="0" applyFont="1"/>
    <xf numFmtId="2" fontId="10" fillId="0" borderId="0" xfId="0" applyNumberFormat="1" applyFont="1"/>
    <xf numFmtId="0" fontId="12" fillId="0" borderId="0" xfId="0" applyFont="1"/>
    <xf numFmtId="0" fontId="12" fillId="0" borderId="0" xfId="0" applyFont="1" applyAlignment="1">
      <alignment horizontal="center"/>
    </xf>
    <xf numFmtId="49" fontId="10" fillId="0" borderId="0" xfId="0" applyNumberFormat="1" applyFont="1"/>
    <xf numFmtId="0" fontId="12" fillId="0" borderId="0" xfId="0" applyFont="1" applyAlignment="1">
      <alignment horizontal="center" vertical="top"/>
    </xf>
    <xf numFmtId="0" fontId="9" fillId="0" borderId="0" xfId="0" applyFont="1" applyAlignment="1">
      <alignment vertical="top"/>
    </xf>
    <xf numFmtId="0" fontId="9" fillId="0" borderId="0" xfId="0" applyFont="1" applyAlignment="1">
      <alignment vertical="top" wrapText="1"/>
    </xf>
    <xf numFmtId="49" fontId="9" fillId="0" borderId="0" xfId="0" applyNumberFormat="1" applyFont="1" applyAlignment="1">
      <alignment vertical="top"/>
    </xf>
    <xf numFmtId="0" fontId="12" fillId="2" borderId="1" xfId="0" applyFont="1" applyFill="1" applyBorder="1" applyAlignment="1">
      <alignment horizontal="center" vertical="top"/>
    </xf>
    <xf numFmtId="0" fontId="9" fillId="2" borderId="1" xfId="0" applyFont="1" applyFill="1" applyBorder="1" applyAlignment="1">
      <alignment vertical="top"/>
    </xf>
    <xf numFmtId="0" fontId="11" fillId="2" borderId="2" xfId="0" applyFont="1" applyFill="1" applyBorder="1" applyAlignment="1">
      <alignment vertical="top"/>
    </xf>
    <xf numFmtId="0" fontId="9" fillId="2" borderId="3" xfId="0" applyFont="1" applyFill="1" applyBorder="1" applyAlignment="1">
      <alignment vertical="top"/>
    </xf>
    <xf numFmtId="0" fontId="9" fillId="2" borderId="5" xfId="0" applyFont="1" applyFill="1" applyBorder="1" applyAlignment="1">
      <alignment vertical="top"/>
    </xf>
    <xf numFmtId="0" fontId="8" fillId="2" borderId="6" xfId="0" quotePrefix="1" applyFont="1" applyFill="1" applyBorder="1" applyAlignment="1">
      <alignment vertical="top"/>
    </xf>
    <xf numFmtId="0" fontId="9" fillId="2" borderId="7" xfId="0" applyFont="1" applyFill="1" applyBorder="1" applyAlignment="1">
      <alignment vertical="top"/>
    </xf>
    <xf numFmtId="0" fontId="8" fillId="0" borderId="1" xfId="0" applyFont="1" applyBorder="1" applyAlignment="1" applyProtection="1">
      <alignment vertical="top"/>
      <protection locked="0"/>
    </xf>
    <xf numFmtId="0" fontId="8" fillId="0" borderId="1" xfId="0" applyFont="1" applyBorder="1" applyAlignment="1" applyProtection="1">
      <alignment vertical="top" wrapText="1"/>
      <protection locked="0"/>
    </xf>
    <xf numFmtId="0" fontId="8" fillId="2" borderId="1" xfId="0" applyFont="1" applyFill="1" applyBorder="1" applyAlignment="1">
      <alignment vertical="top"/>
    </xf>
    <xf numFmtId="0" fontId="8" fillId="2" borderId="1" xfId="0" applyFont="1" applyFill="1" applyBorder="1"/>
    <xf numFmtId="49" fontId="9" fillId="0" borderId="1" xfId="0" applyNumberFormat="1" applyFont="1" applyBorder="1" applyAlignment="1" applyProtection="1">
      <alignment horizontal="center" vertical="top"/>
      <protection locked="0"/>
    </xf>
    <xf numFmtId="49" fontId="10" fillId="0" borderId="1" xfId="0" applyNumberFormat="1" applyFont="1" applyBorder="1" applyAlignment="1" applyProtection="1">
      <alignment horizontal="center"/>
      <protection locked="0"/>
    </xf>
    <xf numFmtId="0" fontId="8" fillId="2" borderId="4" xfId="0" quotePrefix="1" applyFont="1" applyFill="1" applyBorder="1" applyAlignment="1">
      <alignment vertical="top"/>
    </xf>
    <xf numFmtId="0" fontId="11" fillId="2" borderId="1" xfId="0" applyFont="1" applyFill="1" applyBorder="1" applyAlignment="1">
      <alignment horizontal="center"/>
    </xf>
    <xf numFmtId="0" fontId="12" fillId="2" borderId="1" xfId="0" applyFont="1" applyFill="1" applyBorder="1" applyAlignment="1">
      <alignment horizontal="center"/>
    </xf>
    <xf numFmtId="0" fontId="11" fillId="2" borderId="2" xfId="0" applyFont="1" applyFill="1" applyBorder="1" applyAlignment="1">
      <alignment horizontal="left"/>
    </xf>
    <xf numFmtId="0" fontId="10" fillId="0" borderId="0" xfId="0" applyFont="1" applyAlignment="1">
      <alignment horizontal="left"/>
    </xf>
    <xf numFmtId="49" fontId="9" fillId="2" borderId="8" xfId="0" applyNumberFormat="1" applyFont="1" applyFill="1" applyBorder="1" applyAlignment="1">
      <alignment vertical="top"/>
    </xf>
    <xf numFmtId="0" fontId="9" fillId="2" borderId="8" xfId="0" applyFont="1" applyFill="1" applyBorder="1" applyAlignment="1">
      <alignment vertical="top"/>
    </xf>
    <xf numFmtId="49" fontId="9" fillId="2" borderId="9" xfId="0" applyNumberFormat="1" applyFont="1" applyFill="1" applyBorder="1" applyAlignment="1">
      <alignment vertical="top"/>
    </xf>
    <xf numFmtId="0" fontId="9" fillId="2" borderId="9" xfId="0" applyFont="1" applyFill="1" applyBorder="1" applyAlignment="1">
      <alignment vertical="top"/>
    </xf>
    <xf numFmtId="0" fontId="10" fillId="2" borderId="8" xfId="0" applyFont="1" applyFill="1" applyBorder="1" applyAlignment="1">
      <alignment horizontal="center"/>
    </xf>
    <xf numFmtId="0" fontId="10" fillId="2" borderId="3" xfId="0" applyFont="1" applyFill="1" applyBorder="1"/>
    <xf numFmtId="0" fontId="10" fillId="2" borderId="0" xfId="0" applyFont="1" applyFill="1" applyAlignment="1">
      <alignment horizontal="center"/>
    </xf>
    <xf numFmtId="0" fontId="10" fillId="2" borderId="5" xfId="0" applyFont="1" applyFill="1" applyBorder="1"/>
    <xf numFmtId="0" fontId="10" fillId="2" borderId="9" xfId="0" applyFont="1" applyFill="1" applyBorder="1" applyAlignment="1">
      <alignment horizontal="center"/>
    </xf>
    <xf numFmtId="0" fontId="10" fillId="2" borderId="7" xfId="0" applyFont="1" applyFill="1" applyBorder="1"/>
    <xf numFmtId="0" fontId="10" fillId="0" borderId="0" xfId="0" applyFont="1" applyAlignment="1" applyProtection="1">
      <alignment horizontal="center"/>
      <protection locked="0"/>
    </xf>
    <xf numFmtId="2" fontId="10" fillId="2" borderId="8" xfId="0" applyNumberFormat="1" applyFont="1" applyFill="1" applyBorder="1"/>
    <xf numFmtId="0" fontId="5" fillId="2" borderId="4" xfId="0" quotePrefix="1" applyFont="1" applyFill="1" applyBorder="1" applyAlignment="1">
      <alignment horizontal="left"/>
    </xf>
    <xf numFmtId="2" fontId="10" fillId="2" borderId="9" xfId="0" applyNumberFormat="1" applyFont="1" applyFill="1" applyBorder="1"/>
    <xf numFmtId="2" fontId="10" fillId="0" borderId="0" xfId="0" applyNumberFormat="1" applyFont="1" applyProtection="1">
      <protection locked="0"/>
    </xf>
    <xf numFmtId="0" fontId="5" fillId="2" borderId="6" xfId="0" quotePrefix="1" applyFont="1" applyFill="1" applyBorder="1" applyAlignment="1">
      <alignment horizontal="left"/>
    </xf>
    <xf numFmtId="0" fontId="5" fillId="2" borderId="4" xfId="0" quotePrefix="1" applyFont="1" applyFill="1" applyBorder="1" applyAlignment="1">
      <alignment vertical="top"/>
    </xf>
    <xf numFmtId="49" fontId="9" fillId="2" borderId="0" xfId="0" applyNumberFormat="1" applyFont="1" applyFill="1" applyAlignment="1">
      <alignment vertical="top"/>
    </xf>
    <xf numFmtId="0" fontId="9" fillId="2" borderId="0" xfId="0" applyFont="1" applyFill="1" applyAlignment="1">
      <alignment vertical="top"/>
    </xf>
    <xf numFmtId="2" fontId="10" fillId="2" borderId="0" xfId="0" applyNumberFormat="1" applyFont="1" applyFill="1"/>
    <xf numFmtId="0" fontId="11" fillId="0" borderId="0" xfId="0" applyFont="1" applyAlignment="1">
      <alignment horizontal="center" vertical="top"/>
    </xf>
    <xf numFmtId="0" fontId="10" fillId="0" borderId="0" xfId="0" applyFont="1" applyAlignment="1">
      <alignment horizontal="center" vertical="top"/>
    </xf>
    <xf numFmtId="0" fontId="8" fillId="0" borderId="0" xfId="0" applyFont="1" applyAlignment="1">
      <alignment horizontal="center" vertical="top"/>
    </xf>
    <xf numFmtId="0" fontId="11" fillId="0" borderId="0" xfId="0" applyFont="1" applyAlignment="1">
      <alignment horizontal="left" vertical="top"/>
    </xf>
    <xf numFmtId="0" fontId="8" fillId="0" borderId="0" xfId="0" applyFont="1" applyAlignment="1">
      <alignment vertical="top"/>
    </xf>
    <xf numFmtId="0" fontId="5" fillId="0" borderId="0" xfId="0" applyFont="1" applyAlignment="1">
      <alignment vertical="top"/>
    </xf>
    <xf numFmtId="0" fontId="5" fillId="0" borderId="0" xfId="0" quotePrefix="1" applyFont="1" applyAlignment="1">
      <alignment vertical="top"/>
    </xf>
    <xf numFmtId="0" fontId="8" fillId="0" borderId="0" xfId="0" quotePrefix="1" applyFont="1" applyAlignment="1">
      <alignment vertical="top"/>
    </xf>
    <xf numFmtId="0" fontId="5" fillId="2" borderId="1" xfId="0" applyFont="1" applyFill="1" applyBorder="1" applyAlignment="1">
      <alignment vertical="top"/>
    </xf>
    <xf numFmtId="0" fontId="10" fillId="0" borderId="1" xfId="0" applyFont="1" applyBorder="1" applyAlignment="1" applyProtection="1">
      <alignment horizontal="center" vertical="top"/>
      <protection locked="0"/>
    </xf>
    <xf numFmtId="2" fontId="10" fillId="0" borderId="1" xfId="0" applyNumberFormat="1" applyFont="1" applyBorder="1" applyAlignment="1" applyProtection="1">
      <alignment vertical="top"/>
      <protection locked="0"/>
    </xf>
    <xf numFmtId="0" fontId="11" fillId="2" borderId="2" xfId="0" applyFont="1" applyFill="1" applyBorder="1" applyAlignment="1">
      <alignment horizontal="left" vertical="top"/>
    </xf>
    <xf numFmtId="165" fontId="13" fillId="2" borderId="8" xfId="0" applyNumberFormat="1" applyFont="1" applyFill="1" applyBorder="1" applyAlignment="1">
      <alignment vertical="top"/>
    </xf>
    <xf numFmtId="0" fontId="13" fillId="2" borderId="8" xfId="0" applyFont="1" applyFill="1" applyBorder="1" applyAlignment="1">
      <alignment vertical="top"/>
    </xf>
    <xf numFmtId="0" fontId="13" fillId="2" borderId="3" xfId="0" applyFont="1" applyFill="1" applyBorder="1" applyAlignment="1">
      <alignment vertical="top"/>
    </xf>
    <xf numFmtId="0" fontId="13" fillId="0" borderId="0" xfId="0" applyFont="1" applyAlignment="1">
      <alignment vertical="top"/>
    </xf>
    <xf numFmtId="0" fontId="6" fillId="2" borderId="4" xfId="0" quotePrefix="1" applyFont="1" applyFill="1" applyBorder="1" applyAlignment="1">
      <alignment horizontal="left" vertical="top"/>
    </xf>
    <xf numFmtId="0" fontId="13" fillId="2" borderId="5" xfId="0" applyFont="1" applyFill="1" applyBorder="1" applyAlignment="1">
      <alignment vertical="top"/>
    </xf>
    <xf numFmtId="0" fontId="8" fillId="2" borderId="4" xfId="0" quotePrefix="1" applyFont="1" applyFill="1" applyBorder="1" applyAlignment="1">
      <alignment horizontal="left" vertical="top"/>
    </xf>
    <xf numFmtId="0" fontId="8" fillId="2" borderId="6" xfId="0" quotePrefix="1" applyFont="1" applyFill="1" applyBorder="1" applyAlignment="1">
      <alignment horizontal="left" vertical="top"/>
    </xf>
    <xf numFmtId="165" fontId="13" fillId="2" borderId="9" xfId="0" applyNumberFormat="1" applyFont="1" applyFill="1" applyBorder="1" applyAlignment="1">
      <alignment vertical="top"/>
    </xf>
    <xf numFmtId="0" fontId="13" fillId="2" borderId="9" xfId="0" applyFont="1" applyFill="1" applyBorder="1" applyAlignment="1">
      <alignment vertical="top"/>
    </xf>
    <xf numFmtId="0" fontId="13" fillId="2" borderId="7" xfId="0" applyFont="1" applyFill="1" applyBorder="1" applyAlignment="1">
      <alignment vertical="top"/>
    </xf>
    <xf numFmtId="0" fontId="13" fillId="0" borderId="0" xfId="0" applyFont="1" applyAlignment="1">
      <alignment horizontal="left" vertical="top"/>
    </xf>
    <xf numFmtId="165" fontId="13" fillId="0" borderId="0" xfId="0" applyNumberFormat="1" applyFont="1" applyAlignment="1">
      <alignment vertical="top"/>
    </xf>
    <xf numFmtId="0" fontId="11" fillId="2" borderId="1" xfId="0" applyFont="1" applyFill="1" applyBorder="1" applyAlignment="1">
      <alignment horizontal="center" vertical="top"/>
    </xf>
    <xf numFmtId="0" fontId="13" fillId="0" borderId="0" xfId="0" applyFont="1" applyAlignment="1">
      <alignment horizontal="center" vertical="top"/>
    </xf>
    <xf numFmtId="165" fontId="13" fillId="0" borderId="0" xfId="0" applyNumberFormat="1" applyFont="1" applyAlignment="1" applyProtection="1">
      <alignment vertical="top"/>
      <protection locked="0"/>
    </xf>
    <xf numFmtId="0" fontId="10" fillId="2" borderId="8" xfId="0" applyFont="1" applyFill="1" applyBorder="1" applyAlignment="1">
      <alignment horizontal="center"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10" fillId="2" borderId="0" xfId="0" applyFont="1" applyFill="1" applyAlignment="1">
      <alignment horizontal="center" vertical="top"/>
    </xf>
    <xf numFmtId="0" fontId="10" fillId="2" borderId="0" xfId="0" applyFont="1" applyFill="1" applyAlignment="1">
      <alignment vertical="top"/>
    </xf>
    <xf numFmtId="0" fontId="10" fillId="2" borderId="5" xfId="0" applyFont="1" applyFill="1" applyBorder="1" applyAlignment="1">
      <alignment vertical="top"/>
    </xf>
    <xf numFmtId="0" fontId="5" fillId="2" borderId="4" xfId="0" quotePrefix="1" applyFont="1" applyFill="1" applyBorder="1" applyAlignment="1">
      <alignment horizontal="left" vertical="top"/>
    </xf>
    <xf numFmtId="0" fontId="12" fillId="2" borderId="4" xfId="0" applyFont="1" applyFill="1" applyBorder="1" applyAlignment="1">
      <alignment horizontal="left" vertical="top"/>
    </xf>
    <xf numFmtId="0" fontId="11" fillId="2" borderId="6" xfId="0" quotePrefix="1" applyFont="1" applyFill="1" applyBorder="1" applyAlignment="1">
      <alignment horizontal="left" vertical="top"/>
    </xf>
    <xf numFmtId="0" fontId="10" fillId="2" borderId="9" xfId="0" applyFont="1" applyFill="1" applyBorder="1" applyAlignment="1">
      <alignment horizontal="center" vertical="top"/>
    </xf>
    <xf numFmtId="2" fontId="10" fillId="2" borderId="9" xfId="0" applyNumberFormat="1" applyFont="1" applyFill="1" applyBorder="1" applyAlignment="1">
      <alignment vertical="top"/>
    </xf>
    <xf numFmtId="2" fontId="10" fillId="0" borderId="0" xfId="0" applyNumberFormat="1" applyFont="1" applyAlignment="1">
      <alignment vertical="top"/>
    </xf>
    <xf numFmtId="0" fontId="10" fillId="0" borderId="0" xfId="0" applyFont="1" applyAlignment="1">
      <alignment horizontal="left" vertical="top"/>
    </xf>
    <xf numFmtId="2" fontId="11" fillId="2" borderId="1" xfId="0" applyNumberFormat="1" applyFont="1" applyFill="1" applyBorder="1" applyAlignment="1">
      <alignment horizontal="center" vertical="top"/>
    </xf>
    <xf numFmtId="0" fontId="10" fillId="0" borderId="0" xfId="0" applyFont="1" applyAlignment="1" applyProtection="1">
      <alignment horizontal="center" vertical="top"/>
      <protection locked="0"/>
    </xf>
    <xf numFmtId="0" fontId="12" fillId="2" borderId="2" xfId="0" applyFont="1" applyFill="1" applyBorder="1" applyAlignment="1">
      <alignment horizontal="left" vertical="top"/>
    </xf>
    <xf numFmtId="0" fontId="7" fillId="2" borderId="4" xfId="0" quotePrefix="1" applyFont="1" applyFill="1" applyBorder="1" applyAlignment="1">
      <alignment horizontal="left" vertical="top"/>
    </xf>
    <xf numFmtId="0" fontId="10" fillId="2" borderId="9" xfId="0" applyFont="1" applyFill="1" applyBorder="1" applyAlignment="1">
      <alignment vertical="top"/>
    </xf>
    <xf numFmtId="0" fontId="10" fillId="2" borderId="7" xfId="0" applyFont="1" applyFill="1" applyBorder="1" applyAlignment="1">
      <alignment vertical="top"/>
    </xf>
    <xf numFmtId="2" fontId="10" fillId="2" borderId="8" xfId="0" applyNumberFormat="1" applyFont="1" applyFill="1" applyBorder="1" applyAlignment="1">
      <alignment vertical="top"/>
    </xf>
    <xf numFmtId="2" fontId="10" fillId="2" borderId="0" xfId="0" applyNumberFormat="1" applyFont="1" applyFill="1" applyAlignment="1">
      <alignment vertical="top"/>
    </xf>
    <xf numFmtId="2" fontId="5" fillId="2" borderId="4" xfId="0" quotePrefix="1" applyNumberFormat="1" applyFont="1" applyFill="1" applyBorder="1" applyAlignment="1">
      <alignment vertical="top"/>
    </xf>
    <xf numFmtId="2" fontId="5" fillId="2" borderId="6" xfId="0" quotePrefix="1" applyNumberFormat="1" applyFont="1" applyFill="1" applyBorder="1" applyAlignment="1">
      <alignment vertical="top"/>
    </xf>
    <xf numFmtId="0" fontId="5" fillId="2" borderId="5" xfId="0" quotePrefix="1" applyFont="1" applyFill="1" applyBorder="1" applyAlignment="1">
      <alignment vertical="top"/>
    </xf>
    <xf numFmtId="0" fontId="10" fillId="0" borderId="0" xfId="0" applyFont="1" applyAlignment="1">
      <alignment horizontal="center" vertical="top" wrapText="1"/>
    </xf>
    <xf numFmtId="0" fontId="5" fillId="0" borderId="0" xfId="0" applyFont="1" applyAlignment="1">
      <alignment horizontal="center" vertical="center" wrapText="1"/>
    </xf>
    <xf numFmtId="0" fontId="10" fillId="0" borderId="0" xfId="0" applyFont="1" applyAlignment="1">
      <alignment horizontal="center" vertical="center"/>
    </xf>
    <xf numFmtId="0" fontId="8" fillId="0" borderId="0" xfId="0" applyFont="1" applyAlignment="1">
      <alignment horizontal="center" vertical="center"/>
    </xf>
    <xf numFmtId="0" fontId="10" fillId="0" borderId="0" xfId="0" applyFont="1" applyAlignment="1">
      <alignment horizontal="center" vertical="center" wrapText="1"/>
    </xf>
    <xf numFmtId="0" fontId="5" fillId="0" borderId="0" xfId="0" applyFont="1" applyAlignment="1" applyProtection="1">
      <alignment horizontal="center" vertical="top"/>
      <protection locked="0"/>
    </xf>
    <xf numFmtId="0" fontId="5" fillId="2" borderId="6" xfId="0" quotePrefix="1" applyFont="1" applyFill="1" applyBorder="1" applyAlignment="1">
      <alignment vertical="top"/>
    </xf>
    <xf numFmtId="0" fontId="13" fillId="0" borderId="0" xfId="0" applyFont="1" applyAlignment="1" applyProtection="1">
      <alignment horizontal="center" vertical="top"/>
      <protection locked="0"/>
    </xf>
    <xf numFmtId="0" fontId="10" fillId="2" borderId="0" xfId="0" applyFont="1" applyFill="1"/>
    <xf numFmtId="0" fontId="10" fillId="2" borderId="8" xfId="0" applyFont="1" applyFill="1" applyBorder="1"/>
    <xf numFmtId="0" fontId="10" fillId="2" borderId="9" xfId="0" applyFont="1" applyFill="1" applyBorder="1"/>
    <xf numFmtId="0" fontId="5" fillId="2" borderId="5" xfId="0" quotePrefix="1" applyFont="1" applyFill="1" applyBorder="1" applyAlignment="1">
      <alignment vertical="top" wrapText="1"/>
    </xf>
    <xf numFmtId="0" fontId="4" fillId="2" borderId="6" xfId="0" quotePrefix="1" applyFont="1" applyFill="1" applyBorder="1" applyAlignment="1">
      <alignment horizontal="left" vertical="top"/>
    </xf>
    <xf numFmtId="165" fontId="13" fillId="2" borderId="0" xfId="0" applyNumberFormat="1" applyFont="1" applyFill="1" applyAlignment="1">
      <alignment vertical="top"/>
    </xf>
    <xf numFmtId="0" fontId="13" fillId="2" borderId="0" xfId="0" applyFont="1" applyFill="1" applyAlignment="1">
      <alignment vertical="top"/>
    </xf>
    <xf numFmtId="0" fontId="4" fillId="2" borderId="4" xfId="0" quotePrefix="1" applyFont="1" applyFill="1" applyBorder="1" applyAlignment="1">
      <alignment horizontal="left" vertical="top"/>
    </xf>
    <xf numFmtId="0" fontId="10" fillId="2" borderId="3" xfId="0" applyFont="1" applyFill="1" applyBorder="1" applyAlignment="1">
      <alignment horizontal="center" vertical="top"/>
    </xf>
    <xf numFmtId="0" fontId="10" fillId="2" borderId="5" xfId="0" applyFont="1" applyFill="1" applyBorder="1" applyAlignment="1">
      <alignment horizontal="center" vertical="top"/>
    </xf>
    <xf numFmtId="2" fontId="10" fillId="2" borderId="7" xfId="0" applyNumberFormat="1" applyFont="1" applyFill="1" applyBorder="1" applyAlignment="1">
      <alignment horizontal="center" vertical="top"/>
    </xf>
    <xf numFmtId="0" fontId="4" fillId="2" borderId="4" xfId="0" quotePrefix="1" applyFont="1" applyFill="1" applyBorder="1" applyAlignment="1">
      <alignment horizontal="left"/>
    </xf>
    <xf numFmtId="0" fontId="4" fillId="2" borderId="6" xfId="0" quotePrefix="1" applyFont="1" applyFill="1" applyBorder="1" applyAlignment="1">
      <alignment horizontal="left"/>
    </xf>
    <xf numFmtId="2" fontId="10" fillId="2" borderId="9" xfId="0" applyNumberFormat="1" applyFont="1" applyFill="1" applyBorder="1" applyAlignment="1">
      <alignment horizontal="center" vertical="top"/>
    </xf>
    <xf numFmtId="0" fontId="11" fillId="0" borderId="4" xfId="0" applyFont="1" applyBorder="1" applyAlignment="1">
      <alignment horizontal="center" vertical="top" wrapText="1"/>
    </xf>
    <xf numFmtId="0" fontId="4" fillId="0" borderId="0" xfId="0" applyFont="1" applyAlignment="1">
      <alignment horizontal="center" vertical="center"/>
    </xf>
    <xf numFmtId="0" fontId="10" fillId="2" borderId="0" xfId="0" applyFont="1" applyFill="1" applyAlignment="1">
      <alignment horizontal="center" vertical="center"/>
    </xf>
    <xf numFmtId="0" fontId="11" fillId="2" borderId="1" xfId="0" applyFont="1" applyFill="1" applyBorder="1" applyAlignment="1">
      <alignment horizontal="center" vertical="center" wrapText="1"/>
    </xf>
    <xf numFmtId="0" fontId="4" fillId="0" borderId="0" xfId="0" applyFont="1" applyAlignment="1">
      <alignment horizontal="center" vertical="top"/>
    </xf>
    <xf numFmtId="0" fontId="4"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vertical="center"/>
    </xf>
    <xf numFmtId="0" fontId="4" fillId="2" borderId="8" xfId="0" applyFont="1" applyFill="1" applyBorder="1" applyAlignment="1">
      <alignment vertical="center"/>
    </xf>
    <xf numFmtId="0" fontId="4" fillId="2" borderId="3" xfId="0" applyFont="1" applyFill="1" applyBorder="1" applyAlignment="1">
      <alignment vertical="center"/>
    </xf>
    <xf numFmtId="0" fontId="4" fillId="2" borderId="4" xfId="0" quotePrefix="1" applyFont="1" applyFill="1" applyBorder="1" applyAlignment="1">
      <alignment vertical="center"/>
    </xf>
    <xf numFmtId="0" fontId="4" fillId="2" borderId="0" xfId="0" applyFont="1" applyFill="1" applyAlignment="1">
      <alignment vertical="center"/>
    </xf>
    <xf numFmtId="0" fontId="4" fillId="2" borderId="5" xfId="0" applyFont="1" applyFill="1" applyBorder="1" applyAlignment="1">
      <alignment vertical="center"/>
    </xf>
    <xf numFmtId="0" fontId="4" fillId="2" borderId="6" xfId="0" quotePrefix="1" applyFont="1" applyFill="1" applyBorder="1" applyAlignment="1">
      <alignment vertical="center"/>
    </xf>
    <xf numFmtId="0" fontId="4" fillId="2" borderId="9" xfId="0" applyFont="1" applyFill="1" applyBorder="1" applyAlignment="1">
      <alignment vertical="center"/>
    </xf>
    <xf numFmtId="0" fontId="4" fillId="2" borderId="7" xfId="0" applyFont="1" applyFill="1" applyBorder="1" applyAlignment="1">
      <alignment vertical="center"/>
    </xf>
    <xf numFmtId="49" fontId="4" fillId="0" borderId="0" xfId="0" applyNumberFormat="1" applyFont="1" applyAlignment="1">
      <alignment horizontal="center" vertical="center"/>
    </xf>
    <xf numFmtId="2" fontId="4" fillId="0" borderId="0" xfId="0" applyNumberFormat="1" applyFont="1" applyAlignment="1">
      <alignment horizontal="center" vertical="center"/>
    </xf>
    <xf numFmtId="0" fontId="4" fillId="0" borderId="1" xfId="0" applyFont="1" applyBorder="1" applyAlignment="1" applyProtection="1">
      <alignment horizontal="left" vertical="top"/>
      <protection locked="0"/>
    </xf>
    <xf numFmtId="0" fontId="15" fillId="3" borderId="4" xfId="0" applyFont="1" applyFill="1" applyBorder="1" applyAlignment="1">
      <alignment horizontal="left" vertical="top"/>
    </xf>
    <xf numFmtId="0" fontId="3" fillId="0" borderId="0" xfId="0" applyFont="1" applyAlignment="1">
      <alignment horizontal="center" vertical="center"/>
    </xf>
    <xf numFmtId="164" fontId="10" fillId="2" borderId="8" xfId="0" applyNumberFormat="1" applyFont="1" applyFill="1" applyBorder="1" applyAlignment="1">
      <alignment vertical="top"/>
    </xf>
    <xf numFmtId="164" fontId="10" fillId="2" borderId="3" xfId="0" applyNumberFormat="1" applyFont="1" applyFill="1" applyBorder="1" applyAlignment="1">
      <alignment vertical="top"/>
    </xf>
    <xf numFmtId="164" fontId="10" fillId="2" borderId="0" xfId="0" applyNumberFormat="1" applyFont="1" applyFill="1" applyAlignment="1">
      <alignment vertical="top"/>
    </xf>
    <xf numFmtId="164" fontId="10" fillId="2" borderId="5" xfId="0" applyNumberFormat="1" applyFont="1" applyFill="1" applyBorder="1" applyAlignment="1">
      <alignment vertical="top"/>
    </xf>
    <xf numFmtId="164" fontId="10" fillId="2" borderId="9" xfId="0" applyNumberFormat="1" applyFont="1" applyFill="1" applyBorder="1" applyAlignment="1">
      <alignment vertical="top"/>
    </xf>
    <xf numFmtId="164" fontId="10" fillId="2" borderId="7" xfId="0" applyNumberFormat="1" applyFont="1" applyFill="1" applyBorder="1" applyAlignment="1">
      <alignment vertical="top"/>
    </xf>
    <xf numFmtId="164" fontId="10" fillId="0" borderId="0" xfId="0" applyNumberFormat="1" applyFont="1" applyAlignment="1">
      <alignment vertical="top"/>
    </xf>
    <xf numFmtId="164" fontId="11" fillId="2" borderId="1" xfId="0" applyNumberFormat="1" applyFont="1" applyFill="1" applyBorder="1" applyAlignment="1">
      <alignment horizontal="center" vertical="top"/>
    </xf>
    <xf numFmtId="166" fontId="10" fillId="0" borderId="0" xfId="0" applyNumberFormat="1" applyFont="1" applyAlignment="1" applyProtection="1">
      <alignment vertical="top"/>
      <protection locked="0"/>
    </xf>
    <xf numFmtId="2" fontId="3" fillId="2" borderId="4" xfId="0" quotePrefix="1" applyNumberFormat="1" applyFont="1" applyFill="1" applyBorder="1" applyAlignment="1">
      <alignment vertical="top"/>
    </xf>
    <xf numFmtId="0" fontId="16" fillId="2" borderId="4" xfId="0" quotePrefix="1" applyFont="1" applyFill="1" applyBorder="1" applyAlignment="1">
      <alignment horizontal="left" vertical="top"/>
    </xf>
    <xf numFmtId="0" fontId="10" fillId="2" borderId="0" xfId="0" applyFont="1" applyFill="1" applyAlignment="1" applyProtection="1">
      <alignment horizontal="center" vertical="top"/>
      <protection locked="0"/>
    </xf>
    <xf numFmtId="0" fontId="16" fillId="2" borderId="6" xfId="0" quotePrefix="1" applyFont="1" applyFill="1" applyBorder="1" applyAlignment="1">
      <alignment horizontal="left" vertical="top"/>
    </xf>
    <xf numFmtId="166" fontId="10" fillId="2" borderId="9" xfId="0" applyNumberFormat="1" applyFont="1" applyFill="1" applyBorder="1" applyAlignment="1" applyProtection="1">
      <alignment vertical="top"/>
      <protection locked="0"/>
    </xf>
    <xf numFmtId="164" fontId="10" fillId="2" borderId="2" xfId="0" applyNumberFormat="1" applyFont="1" applyFill="1" applyBorder="1" applyAlignment="1">
      <alignment vertical="top"/>
    </xf>
    <xf numFmtId="164" fontId="10" fillId="2" borderId="4" xfId="0" applyNumberFormat="1" applyFont="1" applyFill="1" applyBorder="1" applyAlignment="1">
      <alignment vertical="top"/>
    </xf>
    <xf numFmtId="164" fontId="3" fillId="2" borderId="4" xfId="0" quotePrefix="1" applyNumberFormat="1" applyFont="1" applyFill="1" applyBorder="1" applyAlignment="1">
      <alignment vertical="top"/>
    </xf>
    <xf numFmtId="164" fontId="17" fillId="2" borderId="4" xfId="0" quotePrefix="1" applyNumberFormat="1" applyFont="1" applyFill="1" applyBorder="1" applyAlignment="1">
      <alignment vertical="top"/>
    </xf>
    <xf numFmtId="0" fontId="3" fillId="0" borderId="0" xfId="0" applyFont="1" applyAlignment="1" applyProtection="1">
      <alignment horizontal="center" vertical="top"/>
      <protection locked="0"/>
    </xf>
    <xf numFmtId="164" fontId="10" fillId="2" borderId="6" xfId="0" applyNumberFormat="1" applyFont="1" applyFill="1" applyBorder="1" applyAlignment="1">
      <alignment vertical="top"/>
    </xf>
    <xf numFmtId="164" fontId="3" fillId="2" borderId="5" xfId="0" quotePrefix="1" applyNumberFormat="1" applyFont="1" applyFill="1" applyBorder="1" applyAlignment="1">
      <alignment vertical="top"/>
    </xf>
    <xf numFmtId="164" fontId="11" fillId="0" borderId="4" xfId="0" applyNumberFormat="1" applyFont="1" applyBorder="1" applyAlignment="1">
      <alignment horizontal="center" vertical="top"/>
    </xf>
    <xf numFmtId="164" fontId="3" fillId="2" borderId="0" xfId="0" quotePrefix="1" applyNumberFormat="1" applyFont="1" applyFill="1" applyAlignment="1">
      <alignment vertical="top"/>
    </xf>
    <xf numFmtId="0" fontId="5" fillId="2" borderId="0" xfId="0" quotePrefix="1" applyFont="1" applyFill="1" applyAlignment="1">
      <alignment vertical="top" wrapText="1"/>
    </xf>
    <xf numFmtId="0" fontId="5" fillId="2" borderId="0" xfId="0" quotePrefix="1" applyFont="1" applyFill="1" applyAlignment="1">
      <alignment vertical="top"/>
    </xf>
    <xf numFmtId="164" fontId="2" fillId="2" borderId="0" xfId="0" quotePrefix="1" applyNumberFormat="1" applyFont="1" applyFill="1" applyAlignment="1">
      <alignment vertical="top" wrapText="1"/>
    </xf>
    <xf numFmtId="164" fontId="2" fillId="2" borderId="5" xfId="0" quotePrefix="1" applyNumberFormat="1" applyFont="1" applyFill="1" applyBorder="1" applyAlignment="1">
      <alignment vertical="top" wrapText="1"/>
    </xf>
    <xf numFmtId="0" fontId="2" fillId="0" borderId="0" xfId="0" applyFont="1" applyAlignment="1">
      <alignment horizontal="center" vertical="center"/>
    </xf>
    <xf numFmtId="0" fontId="2" fillId="2" borderId="0" xfId="0" quotePrefix="1" applyFont="1" applyFill="1" applyAlignment="1" applyProtection="1">
      <alignment horizontal="left" vertical="top"/>
      <protection locked="0"/>
    </xf>
    <xf numFmtId="167" fontId="10" fillId="0" borderId="8" xfId="0" applyNumberFormat="1" applyFont="1" applyBorder="1" applyAlignment="1" applyProtection="1">
      <alignment vertical="top"/>
      <protection locked="0"/>
    </xf>
    <xf numFmtId="167" fontId="10" fillId="0" borderId="0" xfId="0" applyNumberFormat="1" applyFont="1" applyAlignment="1" applyProtection="1">
      <alignment vertical="top"/>
      <protection locked="0"/>
    </xf>
    <xf numFmtId="166" fontId="10" fillId="2" borderId="0" xfId="0" applyNumberFormat="1" applyFont="1" applyFill="1" applyAlignment="1" applyProtection="1">
      <alignment vertical="top"/>
      <protection locked="0"/>
    </xf>
    <xf numFmtId="0" fontId="3" fillId="0" borderId="0" xfId="0" quotePrefix="1" applyFont="1" applyAlignment="1">
      <alignment vertical="top" wrapText="1"/>
    </xf>
    <xf numFmtId="164" fontId="3" fillId="0" borderId="0" xfId="0" quotePrefix="1" applyNumberFormat="1" applyFont="1" applyAlignment="1">
      <alignment vertical="top" wrapText="1"/>
    </xf>
    <xf numFmtId="164" fontId="2" fillId="0" borderId="0" xfId="0" quotePrefix="1" applyNumberFormat="1" applyFont="1" applyAlignment="1">
      <alignment vertical="top" wrapText="1"/>
    </xf>
    <xf numFmtId="164" fontId="3" fillId="0" borderId="0" xfId="0" quotePrefix="1" applyNumberFormat="1" applyFont="1" applyAlignment="1">
      <alignment vertical="top"/>
    </xf>
    <xf numFmtId="0" fontId="2" fillId="2" borderId="4" xfId="0" quotePrefix="1" applyFont="1" applyFill="1" applyBorder="1" applyAlignment="1">
      <alignment horizontal="left" vertical="center"/>
    </xf>
    <xf numFmtId="0" fontId="11" fillId="2" borderId="2" xfId="0" applyFont="1" applyFill="1" applyBorder="1" applyAlignment="1">
      <alignment horizontal="left" vertical="center"/>
    </xf>
    <xf numFmtId="0" fontId="10" fillId="2" borderId="8" xfId="0" applyFont="1" applyFill="1" applyBorder="1" applyAlignment="1">
      <alignment horizontal="center" vertical="center"/>
    </xf>
    <xf numFmtId="0" fontId="10" fillId="2" borderId="2" xfId="0" applyFont="1" applyFill="1" applyBorder="1" applyAlignment="1">
      <alignment horizontal="center" vertical="center"/>
    </xf>
    <xf numFmtId="2" fontId="10" fillId="2" borderId="8" xfId="0" applyNumberFormat="1" applyFont="1" applyFill="1" applyBorder="1" applyAlignment="1">
      <alignment vertical="center"/>
    </xf>
    <xf numFmtId="2" fontId="10" fillId="2" borderId="3" xfId="0" applyNumberFormat="1" applyFont="1" applyFill="1" applyBorder="1" applyAlignment="1">
      <alignment vertical="center"/>
    </xf>
    <xf numFmtId="0" fontId="10" fillId="0" borderId="0" xfId="0" applyFont="1" applyAlignment="1">
      <alignment vertical="center"/>
    </xf>
    <xf numFmtId="0" fontId="5" fillId="2" borderId="4" xfId="0" quotePrefix="1" applyFont="1" applyFill="1" applyBorder="1" applyAlignment="1">
      <alignment horizontal="left" vertical="center"/>
    </xf>
    <xf numFmtId="2" fontId="10" fillId="2" borderId="5" xfId="0" applyNumberFormat="1" applyFont="1" applyFill="1" applyBorder="1" applyAlignment="1">
      <alignment vertical="center"/>
    </xf>
    <xf numFmtId="0" fontId="4" fillId="2" borderId="4" xfId="0" quotePrefix="1" applyFont="1" applyFill="1" applyBorder="1" applyAlignment="1">
      <alignment horizontal="left" vertical="center"/>
    </xf>
    <xf numFmtId="0" fontId="12" fillId="2" borderId="4" xfId="0" applyFont="1" applyFill="1" applyBorder="1" applyAlignment="1">
      <alignment horizontal="left" vertical="center"/>
    </xf>
    <xf numFmtId="0" fontId="11" fillId="2" borderId="6" xfId="0" quotePrefix="1" applyFont="1" applyFill="1" applyBorder="1" applyAlignment="1">
      <alignment horizontal="left" vertical="center"/>
    </xf>
    <xf numFmtId="0" fontId="10" fillId="2" borderId="9" xfId="0" applyFont="1" applyFill="1" applyBorder="1" applyAlignment="1">
      <alignment horizontal="center" vertical="center"/>
    </xf>
    <xf numFmtId="2" fontId="10" fillId="2" borderId="9" xfId="0" applyNumberFormat="1" applyFont="1" applyFill="1" applyBorder="1" applyAlignment="1">
      <alignment vertical="center"/>
    </xf>
    <xf numFmtId="2" fontId="10" fillId="2" borderId="7" xfId="0" applyNumberFormat="1" applyFont="1" applyFill="1" applyBorder="1" applyAlignment="1">
      <alignment vertical="center"/>
    </xf>
    <xf numFmtId="0" fontId="10" fillId="0" borderId="0" xfId="0" applyFont="1" applyAlignment="1">
      <alignment horizontal="left" vertical="center"/>
    </xf>
    <xf numFmtId="2" fontId="10" fillId="0" borderId="0" xfId="0" applyNumberFormat="1" applyFont="1" applyAlignment="1">
      <alignment vertical="center"/>
    </xf>
    <xf numFmtId="0" fontId="11" fillId="0" borderId="0" xfId="0" applyFont="1" applyAlignment="1">
      <alignment horizontal="center" vertical="center"/>
    </xf>
    <xf numFmtId="0" fontId="10" fillId="0" borderId="0" xfId="0" applyFont="1" applyAlignment="1" applyProtection="1">
      <alignment horizontal="center" vertical="center"/>
      <protection locked="0"/>
    </xf>
    <xf numFmtId="167" fontId="10" fillId="0" borderId="0" xfId="0" applyNumberFormat="1" applyFont="1" applyAlignment="1" applyProtection="1">
      <alignment vertical="center"/>
      <protection locked="0"/>
    </xf>
    <xf numFmtId="167" fontId="10" fillId="0" borderId="0" xfId="0" applyNumberFormat="1" applyFont="1" applyAlignment="1">
      <alignment vertical="center"/>
    </xf>
    <xf numFmtId="1" fontId="10" fillId="0" borderId="0" xfId="0" applyNumberFormat="1" applyFont="1" applyAlignment="1">
      <alignment vertical="center"/>
    </xf>
    <xf numFmtId="0" fontId="2" fillId="0" borderId="0" xfId="0" applyFont="1" applyAlignment="1" applyProtection="1">
      <alignment horizontal="center" vertical="center"/>
      <protection locked="0"/>
    </xf>
    <xf numFmtId="0" fontId="10" fillId="2" borderId="8" xfId="0" applyFont="1" applyFill="1" applyBorder="1" applyAlignment="1">
      <alignment vertical="center"/>
    </xf>
    <xf numFmtId="0" fontId="10" fillId="2" borderId="3" xfId="0" applyFont="1" applyFill="1" applyBorder="1" applyAlignment="1">
      <alignment vertical="center"/>
    </xf>
    <xf numFmtId="0" fontId="10" fillId="2" borderId="5" xfId="0" applyFont="1" applyFill="1" applyBorder="1" applyAlignment="1">
      <alignment vertical="center"/>
    </xf>
    <xf numFmtId="0" fontId="10" fillId="2" borderId="9" xfId="0" applyFont="1" applyFill="1" applyBorder="1" applyAlignment="1">
      <alignment vertical="center"/>
    </xf>
    <xf numFmtId="0" fontId="10" fillId="2" borderId="7" xfId="0" applyFont="1" applyFill="1" applyBorder="1" applyAlignment="1">
      <alignment vertical="center"/>
    </xf>
    <xf numFmtId="164" fontId="2" fillId="2" borderId="4" xfId="0" quotePrefix="1" applyNumberFormat="1" applyFont="1" applyFill="1" applyBorder="1" applyAlignment="1">
      <alignment horizontal="left" vertical="top" wrapText="1"/>
    </xf>
    <xf numFmtId="164" fontId="10" fillId="2" borderId="0" xfId="0" applyNumberFormat="1" applyFont="1" applyFill="1" applyAlignment="1">
      <alignment horizontal="left" vertical="top" wrapText="1"/>
    </xf>
    <xf numFmtId="164" fontId="10" fillId="2" borderId="5" xfId="0" applyNumberFormat="1" applyFont="1" applyFill="1" applyBorder="1" applyAlignment="1">
      <alignment horizontal="left" vertical="top" wrapText="1"/>
    </xf>
    <xf numFmtId="164" fontId="10" fillId="2" borderId="4" xfId="0"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xf>
    <xf numFmtId="164" fontId="1" fillId="2" borderId="4"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wrapText="1"/>
    </xf>
    <xf numFmtId="0" fontId="1" fillId="2" borderId="0" xfId="0" quotePrefix="1" applyFont="1" applyFill="1" applyBorder="1" applyAlignment="1">
      <alignment horizontal="left" vertical="center" wrapText="1"/>
    </xf>
    <xf numFmtId="0" fontId="1" fillId="2" borderId="0" xfId="0" quotePrefix="1" applyFont="1" applyFill="1" applyBorder="1" applyAlignment="1">
      <alignment vertical="center" wrapText="1"/>
    </xf>
    <xf numFmtId="0" fontId="1" fillId="2" borderId="4" xfId="0" quotePrefix="1" applyFont="1" applyFill="1" applyBorder="1" applyAlignment="1">
      <alignment vertical="center"/>
    </xf>
    <xf numFmtId="0" fontId="1" fillId="2" borderId="0" xfId="0" quotePrefix="1" applyFont="1" applyFill="1" applyBorder="1" applyAlignment="1">
      <alignment vertical="center"/>
    </xf>
    <xf numFmtId="0" fontId="4" fillId="2" borderId="0" xfId="0" quotePrefix="1" applyFont="1" applyFill="1" applyBorder="1" applyAlignment="1">
      <alignment horizontal="left" vertical="center"/>
    </xf>
    <xf numFmtId="0" fontId="5" fillId="2" borderId="0" xfId="0" quotePrefix="1" applyFont="1" applyFill="1" applyBorder="1" applyAlignment="1">
      <alignment horizontal="left" vertical="center"/>
    </xf>
    <xf numFmtId="0" fontId="2" fillId="2" borderId="0" xfId="0" quotePrefix="1" applyFont="1" applyFill="1" applyBorder="1" applyAlignment="1">
      <alignment horizontal="left" vertical="center"/>
    </xf>
    <xf numFmtId="2" fontId="10" fillId="2" borderId="0" xfId="0" applyNumberFormat="1" applyFont="1" applyFill="1" applyBorder="1" applyAlignment="1">
      <alignment vertical="center"/>
    </xf>
    <xf numFmtId="0" fontId="10" fillId="2" borderId="0" xfId="0" applyFont="1" applyFill="1" applyBorder="1" applyAlignment="1">
      <alignment horizontal="center" vertical="center"/>
    </xf>
    <xf numFmtId="0" fontId="1" fillId="2" borderId="0" xfId="0" quotePrefix="1" applyFont="1" applyFill="1" applyBorder="1" applyAlignment="1">
      <alignment horizontal="left" vertical="center"/>
    </xf>
    <xf numFmtId="0" fontId="10" fillId="2" borderId="0" xfId="0" applyFont="1" applyFill="1" applyBorder="1" applyAlignment="1">
      <alignment vertical="center"/>
    </xf>
    <xf numFmtId="0" fontId="5" fillId="2" borderId="9" xfId="0" quotePrefix="1" applyFont="1" applyFill="1" applyBorder="1" applyAlignment="1">
      <alignment horizontal="left" vertical="center"/>
    </xf>
    <xf numFmtId="0" fontId="1" fillId="0" borderId="0" xfId="0" applyFont="1" applyAlignment="1">
      <alignment horizontal="center" vertical="center"/>
    </xf>
    <xf numFmtId="0" fontId="1" fillId="0" borderId="0" xfId="0" applyFont="1" applyAlignment="1" applyProtection="1">
      <alignment horizontal="center" vertical="center"/>
      <protection locked="0"/>
    </xf>
    <xf numFmtId="0" fontId="5" fillId="2" borderId="6" xfId="0" quotePrefix="1" applyFont="1" applyFill="1" applyBorder="1" applyAlignment="1">
      <alignment horizontal="left" vertical="center"/>
    </xf>
    <xf numFmtId="0" fontId="1" fillId="2" borderId="5" xfId="0" quotePrefix="1" applyFont="1" applyFill="1" applyBorder="1" applyAlignment="1">
      <alignment horizontal="left" vertical="center"/>
    </xf>
  </cellXfs>
  <cellStyles count="1">
    <cellStyle name="Normal" xfId="0" builtinId="0"/>
  </cellStyles>
  <dxfs count="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baseColWidth="10" defaultColWidth="10.83203125" defaultRowHeight="16" x14ac:dyDescent="0.2"/>
  <cols>
    <col min="1" max="1" width="20.83203125" style="8" customWidth="1"/>
    <col min="2" max="2" width="50.83203125" style="8" customWidth="1"/>
    <col min="3" max="16384" width="10.83203125" style="8"/>
  </cols>
  <sheetData>
    <row r="1" spans="1:2" s="7" customFormat="1" x14ac:dyDescent="0.2">
      <c r="A1" s="7" t="s">
        <v>65</v>
      </c>
      <c r="B1" s="7" t="s">
        <v>5</v>
      </c>
    </row>
    <row r="2" spans="1:2" x14ac:dyDescent="0.2">
      <c r="A2" s="8" t="s">
        <v>66</v>
      </c>
      <c r="B2" s="8" t="s">
        <v>68</v>
      </c>
    </row>
    <row r="3" spans="1:2" ht="50" customHeight="1" x14ac:dyDescent="0.2">
      <c r="A3" s="8" t="s">
        <v>67</v>
      </c>
      <c r="B3" s="9" t="s">
        <v>69</v>
      </c>
    </row>
    <row r="4" spans="1:2" x14ac:dyDescent="0.2">
      <c r="A4" s="8" t="s">
        <v>4</v>
      </c>
      <c r="B4" s="8"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Y9"/>
  <sheetViews>
    <sheetView topLeftCell="M1" zoomScale="130" zoomScaleNormal="130" workbookViewId="0">
      <selection activeCell="S10" sqref="S10"/>
    </sheetView>
  </sheetViews>
  <sheetFormatPr baseColWidth="10" defaultColWidth="9.1640625" defaultRowHeight="16" x14ac:dyDescent="0.2"/>
  <cols>
    <col min="1" max="1" width="30.6640625" style="102" customWidth="1"/>
    <col min="2" max="5" width="20.6640625" style="50" customWidth="1"/>
    <col min="6" max="11" width="20.6640625" style="81" customWidth="1"/>
    <col min="12" max="16" width="20.6640625" style="50" customWidth="1"/>
    <col min="17" max="18" width="20.6640625" style="81" customWidth="1"/>
    <col min="19" max="19" width="15.6640625" style="50" customWidth="1"/>
    <col min="20" max="25" width="10.6640625" style="50" customWidth="1"/>
    <col min="26" max="16384" width="9.1640625" style="50"/>
  </cols>
  <sheetData>
    <row r="1" spans="1:25" s="102" customFormat="1" ht="51" x14ac:dyDescent="0.2">
      <c r="A1" s="127" t="s">
        <v>199</v>
      </c>
      <c r="B1" s="127" t="s">
        <v>8</v>
      </c>
      <c r="C1" s="127" t="s">
        <v>283</v>
      </c>
      <c r="D1" s="127" t="s">
        <v>284</v>
      </c>
      <c r="E1" s="127" t="s">
        <v>285</v>
      </c>
      <c r="F1" s="127" t="s">
        <v>331</v>
      </c>
      <c r="G1" s="127" t="s">
        <v>10</v>
      </c>
      <c r="H1" s="127" t="s">
        <v>72</v>
      </c>
      <c r="I1" s="127" t="s">
        <v>73</v>
      </c>
      <c r="J1" s="127" t="s">
        <v>328</v>
      </c>
      <c r="K1" s="127" t="s">
        <v>19</v>
      </c>
      <c r="L1" s="127" t="s">
        <v>20</v>
      </c>
      <c r="M1" s="127" t="s">
        <v>21</v>
      </c>
      <c r="N1" s="127" t="s">
        <v>40</v>
      </c>
      <c r="O1" s="127" t="s">
        <v>23</v>
      </c>
      <c r="P1" s="127" t="s">
        <v>30</v>
      </c>
      <c r="Q1" s="127" t="s">
        <v>239</v>
      </c>
      <c r="R1" s="127" t="s">
        <v>24</v>
      </c>
      <c r="S1" s="127" t="s">
        <v>25</v>
      </c>
      <c r="T1" s="127" t="s">
        <v>81</v>
      </c>
      <c r="U1" s="127" t="s">
        <v>82</v>
      </c>
      <c r="V1" s="127" t="s">
        <v>83</v>
      </c>
      <c r="W1" s="127" t="s">
        <v>84</v>
      </c>
      <c r="X1" s="127" t="s">
        <v>85</v>
      </c>
      <c r="Y1" s="127" t="s">
        <v>86</v>
      </c>
    </row>
    <row r="2" spans="1:25" ht="34" x14ac:dyDescent="0.2">
      <c r="A2" s="103" t="s">
        <v>201</v>
      </c>
      <c r="B2" s="104" t="s">
        <v>2</v>
      </c>
      <c r="C2" s="144" t="s">
        <v>280</v>
      </c>
      <c r="D2" s="144" t="s">
        <v>280</v>
      </c>
      <c r="E2" s="144" t="s">
        <v>286</v>
      </c>
      <c r="F2" s="126" t="str" cm="1">
        <f t="array" ref="F2">_xlfn._xlws.FILTER(Materials!A33:A1032,(Materials!B33:B1032="Spring")*(Materials!A33:A1032&lt;&gt;""))</f>
        <v>Rotational Spring</v>
      </c>
      <c r="G2" s="126" t="str" cm="1">
        <f t="array" ref="G2:G6">_xlfn._xlws.FILTER(Materials!A33:A1032,((Materials!C33:C1032="Elastic")+(Materials!C33:C1032="Concrete04")+(Materials!C33:C1032="Concrete04+MinMax")+(Materials!C33:C1032="Steel02")+(Materials!C33:C1032="Steel02+MinMax"))*(Materials!A33:A1032&lt;&gt;""))</f>
        <v>RC30</v>
      </c>
      <c r="H2" s="126" t="str" cm="1">
        <f t="array" ref="H2:H4">_xlfn._xlws.FILTER(Materials!A33:A1032,(Materials!B33:B1032="Concrete")*(Materials!A33:A1032&lt;&gt;""))</f>
        <v>RC30</v>
      </c>
      <c r="I2" s="126" t="str" cm="1">
        <f t="array" ref="I2:I3">_xlfn._xlws.FILTER(Materials!A33:A1032,((Materials!B33:B1032="Rebar")+(Materials!B33:B1032="Steel"))*(Materials!A33:A1032&lt;&gt;""))</f>
        <v>Rebar420</v>
      </c>
      <c r="J2" s="126" t="str" cm="1">
        <f t="array" ref="J2:J3">_xlfn._xlws.FILTER(Materials!A33:A1032,(Materials!C33:C1032="Elastic")*(Materials!A33:A1032&lt;&gt;""))</f>
        <v>RC30</v>
      </c>
      <c r="K2" s="126" t="str" cm="1">
        <f t="array" ref="K2:K4">_xlfn._xlws.FILTER(Materials!A33:A1032,((Materials!C33:C1032="Concrete04")+(Materials!C33:C1032="Concrete04+MinMax")+(Materials!C33:C1032="Steel02")+(Materials!C33:C1032="Steel02+MinMax"))*(Materials!A33:A1032&lt;&gt;""))</f>
        <v>RC Unconfined</v>
      </c>
      <c r="L2" s="104" t="s">
        <v>22</v>
      </c>
      <c r="M2" s="172" t="s">
        <v>347</v>
      </c>
      <c r="N2" s="125" t="s">
        <v>42</v>
      </c>
      <c r="O2" s="104" t="s">
        <v>26</v>
      </c>
      <c r="P2" s="172" t="s">
        <v>280</v>
      </c>
      <c r="Q2" s="126" t="str" cm="1">
        <f t="array" ref="Q2:Q4">_xlfn._xlws.FILTER('Frame Sections'!A20:A1019,(('Frame Sections'!C20:C1019="Elastic")+('Frame Sections'!C20:C1019="Fiber"))*('Frame Sections'!A20:A1019&lt;&gt;""))</f>
        <v>C1</v>
      </c>
      <c r="R2" s="126" t="str" cm="1">
        <f t="array" ref="R2:R5">_xlfn._xlws.FILTER('Frame Sections'!A20:A1019,(('Frame Sections'!C20:C1019="Elastic")+('Frame Sections'!C20:C1019="Fiber")+('Frame Sections'!C20:C1019="Aggregator"))*('Frame Sections'!A20:A1019&lt;&gt;""))</f>
        <v>C1</v>
      </c>
      <c r="S2" s="230" t="s">
        <v>363</v>
      </c>
      <c r="T2" s="105" t="s">
        <v>87</v>
      </c>
      <c r="U2" s="105" t="s">
        <v>94</v>
      </c>
      <c r="V2" s="105" t="s">
        <v>99</v>
      </c>
      <c r="W2" s="105" t="s">
        <v>104</v>
      </c>
      <c r="X2" s="105" t="s">
        <v>112</v>
      </c>
      <c r="Y2" s="105" t="s">
        <v>113</v>
      </c>
    </row>
    <row r="3" spans="1:25" ht="34" x14ac:dyDescent="0.2">
      <c r="A3" s="103" t="s">
        <v>202</v>
      </c>
      <c r="B3" s="104" t="s">
        <v>3</v>
      </c>
      <c r="C3" s="144" t="s">
        <v>281</v>
      </c>
      <c r="D3" s="144" t="s">
        <v>282</v>
      </c>
      <c r="E3" s="144" t="s">
        <v>213</v>
      </c>
      <c r="F3" s="126"/>
      <c r="G3" s="126" t="str">
        <v>Rebar420</v>
      </c>
      <c r="H3" s="126" t="str">
        <v>RC Unconfined</v>
      </c>
      <c r="I3" s="126" t="str">
        <v>Rebar420NL</v>
      </c>
      <c r="J3" s="126" t="str">
        <v>Rebar420</v>
      </c>
      <c r="K3" s="126" t="str">
        <v>RC Confined</v>
      </c>
      <c r="L3" s="104"/>
      <c r="M3" s="104"/>
      <c r="N3" s="125" t="s">
        <v>41</v>
      </c>
      <c r="O3" s="104"/>
      <c r="P3" s="172" t="s">
        <v>329</v>
      </c>
      <c r="Q3" s="126" t="str">
        <v>B1</v>
      </c>
      <c r="R3" s="126" t="str">
        <v>B1</v>
      </c>
      <c r="S3" s="230" t="s">
        <v>364</v>
      </c>
      <c r="T3" s="105" t="s">
        <v>88</v>
      </c>
      <c r="U3" s="105" t="s">
        <v>95</v>
      </c>
      <c r="V3" s="105" t="s">
        <v>100</v>
      </c>
      <c r="W3" s="105" t="s">
        <v>105</v>
      </c>
      <c r="X3" s="105" t="s">
        <v>124</v>
      </c>
      <c r="Y3" s="105" t="s">
        <v>114</v>
      </c>
    </row>
    <row r="4" spans="1:25" ht="17" x14ac:dyDescent="0.2">
      <c r="A4" s="103" t="s">
        <v>203</v>
      </c>
      <c r="B4" s="104" t="s">
        <v>9</v>
      </c>
      <c r="C4" s="144" t="s">
        <v>317</v>
      </c>
      <c r="D4" s="144" t="s">
        <v>318</v>
      </c>
      <c r="E4" s="144" t="s">
        <v>287</v>
      </c>
      <c r="F4" s="126"/>
      <c r="G4" s="126" t="str">
        <v>RC Unconfined</v>
      </c>
      <c r="H4" s="126" t="str">
        <v>RC Confined</v>
      </c>
      <c r="I4" s="126"/>
      <c r="J4" s="126"/>
      <c r="K4" s="126" t="str">
        <v>Rebar420NL</v>
      </c>
      <c r="L4" s="104"/>
      <c r="M4" s="104"/>
      <c r="N4" s="125" t="s">
        <v>240</v>
      </c>
      <c r="O4" s="104"/>
      <c r="P4" s="230" t="s">
        <v>359</v>
      </c>
      <c r="Q4" s="126" t="str">
        <v>C1Fiber</v>
      </c>
      <c r="R4" s="126" t="str">
        <v>C1Fiber</v>
      </c>
      <c r="S4" s="230" t="s">
        <v>365</v>
      </c>
      <c r="T4" s="105" t="s">
        <v>89</v>
      </c>
      <c r="U4" s="105" t="s">
        <v>96</v>
      </c>
      <c r="V4" s="105" t="s">
        <v>101</v>
      </c>
      <c r="W4" s="105" t="s">
        <v>106</v>
      </c>
      <c r="X4" s="104"/>
      <c r="Y4" s="104"/>
    </row>
    <row r="5" spans="1:25" x14ac:dyDescent="0.2">
      <c r="A5" s="106"/>
      <c r="B5" s="144" t="s">
        <v>288</v>
      </c>
      <c r="C5" s="144"/>
      <c r="D5" s="144"/>
      <c r="E5" s="144"/>
      <c r="F5" s="126"/>
      <c r="G5" s="126" t="str">
        <v>RC Confined</v>
      </c>
      <c r="H5" s="126"/>
      <c r="I5" s="126"/>
      <c r="J5" s="126"/>
      <c r="K5" s="126"/>
      <c r="L5" s="104"/>
      <c r="M5" s="104"/>
      <c r="N5" s="230" t="s">
        <v>361</v>
      </c>
      <c r="O5" s="104"/>
      <c r="P5" s="104"/>
      <c r="Q5" s="126"/>
      <c r="R5" s="126" t="str">
        <v>C1Fiber_Agg</v>
      </c>
      <c r="S5" s="230" t="s">
        <v>54</v>
      </c>
      <c r="T5" s="105" t="s">
        <v>90</v>
      </c>
      <c r="U5" s="105" t="s">
        <v>97</v>
      </c>
      <c r="V5" s="105" t="s">
        <v>102</v>
      </c>
      <c r="W5" s="105" t="s">
        <v>107</v>
      </c>
      <c r="X5" s="104"/>
      <c r="Y5" s="104"/>
    </row>
    <row r="6" spans="1:25" x14ac:dyDescent="0.2">
      <c r="A6" s="106"/>
      <c r="B6" s="104"/>
      <c r="C6" s="104"/>
      <c r="D6" s="104"/>
      <c r="E6" s="104"/>
      <c r="F6" s="126"/>
      <c r="G6" s="126" t="str">
        <v>Rebar420NL</v>
      </c>
      <c r="H6" s="126"/>
      <c r="I6" s="126"/>
      <c r="J6" s="126"/>
      <c r="K6" s="126"/>
      <c r="L6" s="104"/>
      <c r="M6" s="104"/>
      <c r="N6" s="230" t="s">
        <v>362</v>
      </c>
      <c r="O6" s="104"/>
      <c r="P6" s="104"/>
      <c r="Q6" s="126"/>
      <c r="R6" s="126"/>
      <c r="S6" s="230" t="s">
        <v>366</v>
      </c>
      <c r="T6" s="105" t="s">
        <v>91</v>
      </c>
      <c r="U6" s="105" t="s">
        <v>98</v>
      </c>
      <c r="V6" s="105" t="s">
        <v>103</v>
      </c>
      <c r="W6" s="105" t="s">
        <v>108</v>
      </c>
      <c r="X6" s="104"/>
      <c r="Y6" s="104"/>
    </row>
    <row r="7" spans="1:25" x14ac:dyDescent="0.2">
      <c r="A7" s="106"/>
      <c r="B7" s="104"/>
      <c r="C7" s="104"/>
      <c r="D7" s="104"/>
      <c r="E7" s="104"/>
      <c r="F7" s="126"/>
      <c r="G7" s="126"/>
      <c r="H7" s="126"/>
      <c r="I7" s="126"/>
      <c r="J7" s="126"/>
      <c r="K7" s="126"/>
      <c r="L7" s="104"/>
      <c r="M7" s="104"/>
      <c r="N7" s="104"/>
      <c r="O7" s="104"/>
      <c r="P7" s="104"/>
      <c r="Q7" s="126"/>
      <c r="R7" s="126"/>
      <c r="S7" s="230" t="s">
        <v>367</v>
      </c>
      <c r="T7" s="105" t="s">
        <v>92</v>
      </c>
      <c r="U7" s="104"/>
      <c r="V7" s="104"/>
      <c r="W7" s="105" t="s">
        <v>109</v>
      </c>
      <c r="X7" s="104"/>
      <c r="Y7" s="104"/>
    </row>
    <row r="8" spans="1:25" x14ac:dyDescent="0.2">
      <c r="A8" s="106"/>
      <c r="B8" s="104"/>
      <c r="C8" s="104"/>
      <c r="D8" s="104"/>
      <c r="E8" s="104"/>
      <c r="F8" s="126"/>
      <c r="G8" s="126"/>
      <c r="H8" s="126"/>
      <c r="I8" s="126"/>
      <c r="J8" s="126"/>
      <c r="K8" s="126"/>
      <c r="L8" s="104"/>
      <c r="M8" s="104"/>
      <c r="N8" s="104"/>
      <c r="O8" s="104"/>
      <c r="P8" s="104"/>
      <c r="Q8" s="126"/>
      <c r="R8" s="126"/>
      <c r="S8" s="230" t="s">
        <v>368</v>
      </c>
      <c r="T8" s="105" t="s">
        <v>93</v>
      </c>
      <c r="U8" s="104"/>
      <c r="V8" s="104"/>
      <c r="W8" s="105" t="s">
        <v>110</v>
      </c>
      <c r="X8" s="104"/>
      <c r="Y8" s="104"/>
    </row>
    <row r="9" spans="1:25" x14ac:dyDescent="0.2">
      <c r="A9" s="106"/>
      <c r="B9" s="104"/>
      <c r="C9" s="104"/>
      <c r="D9" s="104"/>
      <c r="E9" s="104"/>
      <c r="F9" s="126"/>
      <c r="G9" s="126"/>
      <c r="H9" s="126"/>
      <c r="I9" s="126"/>
      <c r="J9" s="126"/>
      <c r="K9" s="126"/>
      <c r="L9" s="104"/>
      <c r="M9" s="104"/>
      <c r="N9" s="104"/>
      <c r="O9" s="104"/>
      <c r="P9" s="104"/>
      <c r="Q9" s="126"/>
      <c r="R9" s="126"/>
      <c r="S9" s="230" t="s">
        <v>369</v>
      </c>
      <c r="T9" s="104"/>
      <c r="U9" s="104"/>
      <c r="V9" s="104"/>
      <c r="W9" s="105" t="s">
        <v>111</v>
      </c>
      <c r="X9" s="104"/>
      <c r="Y9" s="104"/>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baseColWidth="10" defaultColWidth="9.1640625" defaultRowHeight="16" x14ac:dyDescent="0.2"/>
  <cols>
    <col min="1" max="1" width="4.6640625" style="51" customWidth="1"/>
    <col min="2" max="16384" width="9.1640625" style="53"/>
  </cols>
  <sheetData>
    <row r="1" spans="1:2" x14ac:dyDescent="0.2">
      <c r="A1" s="52" t="s">
        <v>119</v>
      </c>
    </row>
    <row r="2" spans="1:2" x14ac:dyDescent="0.2">
      <c r="A2" s="51">
        <v>1</v>
      </c>
      <c r="B2" s="53" t="s">
        <v>121</v>
      </c>
    </row>
    <row r="3" spans="1:2" x14ac:dyDescent="0.2">
      <c r="A3" s="51">
        <v>2</v>
      </c>
      <c r="B3" s="53" t="s">
        <v>122</v>
      </c>
    </row>
    <row r="4" spans="1:2" x14ac:dyDescent="0.2">
      <c r="A4" s="51">
        <v>3</v>
      </c>
      <c r="B4" s="53" t="s">
        <v>123</v>
      </c>
    </row>
    <row r="5" spans="1:2" x14ac:dyDescent="0.2">
      <c r="A5" s="51">
        <v>4</v>
      </c>
      <c r="B5" s="54" t="s">
        <v>153</v>
      </c>
    </row>
    <row r="6" spans="1:2" x14ac:dyDescent="0.2">
      <c r="A6" s="51">
        <v>5</v>
      </c>
      <c r="B6" s="55" t="s">
        <v>154</v>
      </c>
    </row>
    <row r="7" spans="1:2" x14ac:dyDescent="0.2">
      <c r="B7" s="5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baseColWidth="10" defaultColWidth="10.83203125" defaultRowHeight="16" x14ac:dyDescent="0.2"/>
  <cols>
    <col min="1" max="1" width="25.6640625" style="8" customWidth="1"/>
    <col min="2" max="2" width="75.6640625" style="8" customWidth="1"/>
    <col min="3" max="16384" width="10.83203125" style="8"/>
  </cols>
  <sheetData>
    <row r="1" spans="1:2" x14ac:dyDescent="0.2">
      <c r="A1" s="13" t="s">
        <v>120</v>
      </c>
      <c r="B1" s="14"/>
    </row>
    <row r="2" spans="1:2" x14ac:dyDescent="0.2">
      <c r="A2" s="45" t="s">
        <v>205</v>
      </c>
      <c r="B2" s="15"/>
    </row>
    <row r="3" spans="1:2" x14ac:dyDescent="0.2">
      <c r="A3" s="24" t="s">
        <v>135</v>
      </c>
      <c r="B3" s="15"/>
    </row>
    <row r="4" spans="1:2" x14ac:dyDescent="0.2">
      <c r="A4" s="108" t="s">
        <v>206</v>
      </c>
      <c r="B4" s="17"/>
    </row>
    <row r="6" spans="1:2" s="7" customFormat="1" x14ac:dyDescent="0.2">
      <c r="A6" s="11" t="s">
        <v>74</v>
      </c>
      <c r="B6" s="11" t="s">
        <v>5</v>
      </c>
    </row>
    <row r="7" spans="1:2" x14ac:dyDescent="0.2">
      <c r="A7" s="12" t="s">
        <v>66</v>
      </c>
      <c r="B7" s="18" t="s">
        <v>68</v>
      </c>
    </row>
    <row r="8" spans="1:2" ht="50" customHeight="1" x14ac:dyDescent="0.2">
      <c r="A8" s="20" t="s">
        <v>67</v>
      </c>
      <c r="B8" s="19" t="s">
        <v>69</v>
      </c>
    </row>
    <row r="9" spans="1:2" x14ac:dyDescent="0.2">
      <c r="A9" s="57" t="s">
        <v>200</v>
      </c>
      <c r="B9" s="142" t="s">
        <v>279</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C12" sqref="C12"/>
    </sheetView>
  </sheetViews>
  <sheetFormatPr baseColWidth="10" defaultColWidth="10.83203125" defaultRowHeight="16" x14ac:dyDescent="0.2"/>
  <cols>
    <col min="1" max="1" width="20.6640625" style="8" customWidth="1"/>
    <col min="2" max="2" width="10.6640625" style="10" customWidth="1"/>
    <col min="3" max="16384" width="10.83203125" style="8"/>
  </cols>
  <sheetData>
    <row r="1" spans="1:5" x14ac:dyDescent="0.2">
      <c r="A1" s="13" t="s">
        <v>120</v>
      </c>
      <c r="B1" s="29"/>
      <c r="C1" s="30"/>
      <c r="D1" s="30"/>
      <c r="E1" s="14"/>
    </row>
    <row r="2" spans="1:5" x14ac:dyDescent="0.2">
      <c r="A2" s="24" t="s">
        <v>127</v>
      </c>
      <c r="B2" s="46"/>
      <c r="C2" s="47"/>
      <c r="D2" s="47"/>
      <c r="E2" s="15"/>
    </row>
    <row r="3" spans="1:5" x14ac:dyDescent="0.2">
      <c r="A3" s="24" t="s">
        <v>128</v>
      </c>
      <c r="B3" s="46"/>
      <c r="C3" s="47"/>
      <c r="D3" s="47"/>
      <c r="E3" s="15"/>
    </row>
    <row r="4" spans="1:5" x14ac:dyDescent="0.2">
      <c r="A4" s="24" t="s">
        <v>129</v>
      </c>
      <c r="B4" s="46"/>
      <c r="C4" s="47"/>
      <c r="D4" s="47"/>
      <c r="E4" s="15"/>
    </row>
    <row r="5" spans="1:5" x14ac:dyDescent="0.2">
      <c r="A5" s="24" t="s">
        <v>130</v>
      </c>
      <c r="B5" s="46"/>
      <c r="C5" s="47"/>
      <c r="D5" s="47"/>
      <c r="E5" s="15"/>
    </row>
    <row r="6" spans="1:5" x14ac:dyDescent="0.2">
      <c r="A6" s="24" t="s">
        <v>131</v>
      </c>
      <c r="B6" s="46"/>
      <c r="C6" s="47"/>
      <c r="D6" s="47"/>
      <c r="E6" s="15"/>
    </row>
    <row r="7" spans="1:5" x14ac:dyDescent="0.2">
      <c r="A7" s="16" t="s">
        <v>132</v>
      </c>
      <c r="B7" s="31"/>
      <c r="C7" s="32"/>
      <c r="D7" s="32"/>
      <c r="E7" s="17"/>
    </row>
    <row r="9" spans="1:5" s="7" customFormat="1" x14ac:dyDescent="0.2">
      <c r="A9" s="11" t="s">
        <v>74</v>
      </c>
      <c r="B9" s="11" t="s">
        <v>5</v>
      </c>
    </row>
    <row r="10" spans="1:5" x14ac:dyDescent="0.2">
      <c r="A10" s="20" t="s">
        <v>75</v>
      </c>
      <c r="B10" s="22" t="s">
        <v>88</v>
      </c>
    </row>
    <row r="11" spans="1:5" x14ac:dyDescent="0.2">
      <c r="A11" s="21" t="s">
        <v>76</v>
      </c>
      <c r="B11" s="23" t="s">
        <v>94</v>
      </c>
    </row>
    <row r="12" spans="1:5" x14ac:dyDescent="0.2">
      <c r="A12" s="20" t="s">
        <v>77</v>
      </c>
      <c r="B12" s="22" t="s">
        <v>99</v>
      </c>
    </row>
    <row r="13" spans="1:5" x14ac:dyDescent="0.2">
      <c r="A13" s="20" t="s">
        <v>78</v>
      </c>
      <c r="B13" s="22" t="s">
        <v>106</v>
      </c>
    </row>
    <row r="14" spans="1:5" x14ac:dyDescent="0.2">
      <c r="A14" s="20" t="s">
        <v>79</v>
      </c>
      <c r="B14" s="22" t="s">
        <v>112</v>
      </c>
    </row>
    <row r="15" spans="1:5" x14ac:dyDescent="0.2">
      <c r="A15" s="20" t="s">
        <v>80</v>
      </c>
      <c r="B15" s="22" t="s">
        <v>113</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baseColWidth="10" defaultColWidth="10.83203125" defaultRowHeight="16" x14ac:dyDescent="0.2"/>
  <cols>
    <col min="1" max="1" width="60.6640625" style="8" customWidth="1"/>
    <col min="2" max="2" width="10.6640625" style="8" customWidth="1"/>
    <col min="3" max="16384" width="10.83203125" style="8"/>
  </cols>
  <sheetData>
    <row r="1" spans="1:5" x14ac:dyDescent="0.2">
      <c r="A1" s="13" t="s">
        <v>120</v>
      </c>
      <c r="B1" s="30"/>
      <c r="C1" s="30"/>
      <c r="D1" s="30"/>
      <c r="E1" s="14"/>
    </row>
    <row r="2" spans="1:5" x14ac:dyDescent="0.2">
      <c r="A2" s="24" t="s">
        <v>133</v>
      </c>
      <c r="B2" s="47"/>
      <c r="C2" s="47"/>
      <c r="D2" s="47"/>
      <c r="E2" s="15"/>
    </row>
    <row r="3" spans="1:5" x14ac:dyDescent="0.2">
      <c r="A3" s="24" t="s">
        <v>134</v>
      </c>
      <c r="B3" s="47"/>
      <c r="C3" s="47"/>
      <c r="D3" s="47"/>
      <c r="E3" s="15"/>
    </row>
    <row r="4" spans="1:5" x14ac:dyDescent="0.2">
      <c r="A4" s="16" t="s">
        <v>136</v>
      </c>
      <c r="B4" s="32"/>
      <c r="C4" s="32"/>
      <c r="D4" s="32"/>
      <c r="E4" s="17"/>
    </row>
    <row r="6" spans="1:5" s="7" customFormat="1" x14ac:dyDescent="0.2">
      <c r="A6" s="11" t="s">
        <v>74</v>
      </c>
      <c r="B6" s="11" t="s">
        <v>5</v>
      </c>
    </row>
    <row r="7" spans="1:5" x14ac:dyDescent="0.2">
      <c r="A7" s="57" t="s">
        <v>6</v>
      </c>
      <c r="B7" s="58" t="s">
        <v>204</v>
      </c>
    </row>
    <row r="8" spans="1:5" x14ac:dyDescent="0.2">
      <c r="A8" s="57" t="s">
        <v>7</v>
      </c>
      <c r="B8" s="58" t="s">
        <v>70</v>
      </c>
    </row>
    <row r="9" spans="1:5" x14ac:dyDescent="0.2">
      <c r="A9" s="20" t="s">
        <v>71</v>
      </c>
      <c r="B9" s="59">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38"/>
  <sheetViews>
    <sheetView topLeftCell="A13" zoomScale="130" zoomScaleNormal="130" workbookViewId="0">
      <selection activeCell="AB29" sqref="AB29"/>
    </sheetView>
  </sheetViews>
  <sheetFormatPr baseColWidth="10" defaultColWidth="8.83203125" defaultRowHeight="16" x14ac:dyDescent="0.2"/>
  <cols>
    <col min="1" max="3" width="20.6640625" style="92" customWidth="1"/>
    <col min="4" max="34" width="15.6640625" style="175" customWidth="1"/>
    <col min="35" max="35" width="10.6640625" style="153" customWidth="1"/>
    <col min="36" max="16384" width="8.83203125" style="80"/>
  </cols>
  <sheetData>
    <row r="1" spans="1:41" x14ac:dyDescent="0.2">
      <c r="A1" s="93" t="s">
        <v>120</v>
      </c>
      <c r="B1" s="77"/>
      <c r="C1" s="77"/>
      <c r="D1" s="97"/>
      <c r="E1" s="97"/>
      <c r="F1" s="97"/>
      <c r="G1" s="145"/>
      <c r="H1" s="145"/>
      <c r="I1" s="145"/>
      <c r="J1" s="146"/>
      <c r="K1" s="159"/>
      <c r="L1" s="145"/>
      <c r="M1" s="145"/>
      <c r="N1" s="145"/>
      <c r="O1" s="145"/>
      <c r="P1" s="145"/>
      <c r="Q1" s="145"/>
      <c r="R1" s="145"/>
      <c r="S1" s="145"/>
      <c r="T1" s="145"/>
      <c r="U1" s="145"/>
      <c r="V1" s="145"/>
      <c r="W1" s="145"/>
      <c r="X1" s="145"/>
      <c r="Y1" s="145"/>
      <c r="Z1" s="145"/>
      <c r="AA1" s="159"/>
      <c r="AB1" s="145"/>
      <c r="AC1" s="145"/>
      <c r="AD1" s="145"/>
      <c r="AE1" s="145"/>
      <c r="AF1" s="145"/>
      <c r="AG1" s="145"/>
      <c r="AH1" s="146"/>
      <c r="AI1" s="151"/>
    </row>
    <row r="2" spans="1:41" x14ac:dyDescent="0.2">
      <c r="A2" s="84" t="s">
        <v>148</v>
      </c>
      <c r="B2" s="81"/>
      <c r="C2" s="81"/>
      <c r="D2" s="98"/>
      <c r="E2" s="98"/>
      <c r="F2" s="98"/>
      <c r="G2" s="147"/>
      <c r="H2" s="147"/>
      <c r="I2" s="147"/>
      <c r="J2" s="148"/>
      <c r="K2" s="160" t="str">
        <f>"- K0: Elastic stiffness (Input as Float) ("&amp;'User Defined Units'!$B$10&amp;"-"&amp;'User Defined Units'!$B$11&amp;"/"&amp;'User Defined Units'!$B$15&amp;")"</f>
        <v>- K0: Elastic stiffness (Input as Float) (kN-m/rad)</v>
      </c>
      <c r="L2" s="176"/>
      <c r="M2" s="147"/>
      <c r="N2" s="147"/>
      <c r="O2" s="147"/>
      <c r="P2" s="147"/>
      <c r="Q2" s="147"/>
      <c r="R2" s="147"/>
      <c r="S2" s="147"/>
      <c r="T2" s="147"/>
      <c r="U2" s="147"/>
      <c r="V2" s="147"/>
      <c r="W2" s="147"/>
      <c r="X2" s="147"/>
      <c r="Y2" s="147"/>
      <c r="Z2" s="147"/>
      <c r="AA2" s="216" t="s">
        <v>324</v>
      </c>
      <c r="AB2" s="213"/>
      <c r="AC2" s="213"/>
      <c r="AD2" s="213"/>
      <c r="AE2" s="213"/>
      <c r="AF2" s="213"/>
      <c r="AG2" s="213"/>
      <c r="AH2" s="214"/>
      <c r="AI2" s="177"/>
      <c r="AJ2" s="177"/>
      <c r="AK2" s="177"/>
      <c r="AL2" s="177"/>
      <c r="AM2" s="177"/>
      <c r="AN2" s="177"/>
      <c r="AO2" s="177"/>
    </row>
    <row r="3" spans="1:41" ht="15.75" customHeight="1" x14ac:dyDescent="0.2">
      <c r="A3" s="84" t="s">
        <v>149</v>
      </c>
      <c r="B3" s="81"/>
      <c r="C3" s="81"/>
      <c r="D3" s="98"/>
      <c r="E3" s="98"/>
      <c r="F3" s="98"/>
      <c r="G3" s="147"/>
      <c r="H3" s="147"/>
      <c r="I3" s="147"/>
      <c r="J3" s="148"/>
      <c r="K3" s="161" t="s">
        <v>169</v>
      </c>
      <c r="L3" s="167"/>
      <c r="M3" s="167"/>
      <c r="N3" s="167"/>
      <c r="O3" s="167"/>
      <c r="P3" s="167"/>
      <c r="Q3" s="167"/>
      <c r="R3" s="167"/>
      <c r="S3" s="167"/>
      <c r="T3" s="167"/>
      <c r="U3" s="167"/>
      <c r="V3" s="167"/>
      <c r="W3" s="167"/>
      <c r="X3" s="167"/>
      <c r="Y3" s="167"/>
      <c r="Z3" s="167"/>
      <c r="AA3" s="209" t="s">
        <v>323</v>
      </c>
      <c r="AB3" s="213"/>
      <c r="AC3" s="213"/>
      <c r="AD3" s="213"/>
      <c r="AE3" s="213"/>
      <c r="AF3" s="213"/>
      <c r="AG3" s="213"/>
      <c r="AH3" s="214"/>
      <c r="AI3" s="177"/>
      <c r="AJ3" s="177"/>
      <c r="AK3" s="177"/>
      <c r="AL3" s="177"/>
      <c r="AM3" s="177"/>
      <c r="AN3" s="177"/>
      <c r="AO3" s="177"/>
    </row>
    <row r="4" spans="1:41" ht="15.75" customHeight="1" x14ac:dyDescent="0.2">
      <c r="A4" s="173" t="s">
        <v>168</v>
      </c>
      <c r="B4" s="81"/>
      <c r="C4" s="81"/>
      <c r="D4" s="98"/>
      <c r="E4" s="98"/>
      <c r="F4" s="98"/>
      <c r="G4" s="147"/>
      <c r="H4" s="147"/>
      <c r="I4" s="147"/>
      <c r="J4" s="148"/>
      <c r="K4" s="161" t="s">
        <v>170</v>
      </c>
      <c r="L4" s="167"/>
      <c r="M4" s="167"/>
      <c r="N4" s="167"/>
      <c r="O4" s="167"/>
      <c r="P4" s="167"/>
      <c r="Q4" s="167"/>
      <c r="R4" s="167"/>
      <c r="S4" s="167"/>
      <c r="T4" s="167"/>
      <c r="U4" s="167"/>
      <c r="V4" s="167"/>
      <c r="W4" s="167"/>
      <c r="X4" s="167"/>
      <c r="Y4" s="167"/>
      <c r="Z4" s="167"/>
      <c r="AA4" s="209" t="s">
        <v>322</v>
      </c>
      <c r="AB4" s="213"/>
      <c r="AC4" s="213"/>
      <c r="AD4" s="213"/>
      <c r="AE4" s="213"/>
      <c r="AF4" s="213"/>
      <c r="AG4" s="213"/>
      <c r="AH4" s="214"/>
      <c r="AI4" s="177"/>
      <c r="AJ4" s="177"/>
      <c r="AK4" s="177"/>
      <c r="AL4" s="177"/>
      <c r="AM4" s="177"/>
      <c r="AN4" s="177"/>
      <c r="AO4" s="177"/>
    </row>
    <row r="5" spans="1:41" x14ac:dyDescent="0.2">
      <c r="A5" s="84" t="str">
        <f>"- Unitweight: Unitweight of material (Input as Float) ("&amp;'User Defined Units'!$B$10&amp;"/"&amp;'User Defined Units'!$B$11&amp;"3)"</f>
        <v>- Unitweight: Unitweight of material (Input as Float) (kN/m3)</v>
      </c>
      <c r="B5" s="81"/>
      <c r="C5" s="81"/>
      <c r="D5" s="98"/>
      <c r="E5" s="98"/>
      <c r="F5" s="98"/>
      <c r="G5" s="147"/>
      <c r="H5" s="147"/>
      <c r="I5" s="147"/>
      <c r="J5" s="148"/>
      <c r="K5" s="160" t="str">
        <f>"- My_Pos: Effective yield strength for positive loading direction (Input as Float) ("&amp;'User Defined Units'!$B$10&amp;"-"&amp;'User Defined Units'!$B$11&amp;")"</f>
        <v>- My_Pos: Effective yield strength for positive loading direction (Input as Float) (kN-m)</v>
      </c>
      <c r="L5" s="176"/>
      <c r="M5" s="147"/>
      <c r="N5" s="147"/>
      <c r="O5" s="147"/>
      <c r="P5" s="147"/>
      <c r="Q5" s="147"/>
      <c r="R5" s="147"/>
      <c r="S5" s="147"/>
      <c r="T5" s="147"/>
      <c r="U5" s="147"/>
      <c r="V5" s="147"/>
      <c r="W5" s="147"/>
      <c r="X5" s="147"/>
      <c r="Y5" s="147"/>
      <c r="Z5" s="147"/>
      <c r="AA5" s="209" t="s">
        <v>321</v>
      </c>
      <c r="AB5" s="213"/>
      <c r="AC5" s="213"/>
      <c r="AD5" s="213"/>
      <c r="AE5" s="213"/>
      <c r="AF5" s="213"/>
      <c r="AG5" s="213"/>
      <c r="AH5" s="214"/>
      <c r="AI5" s="178"/>
      <c r="AJ5" s="178"/>
      <c r="AK5" s="178"/>
      <c r="AL5" s="178"/>
      <c r="AM5" s="178"/>
      <c r="AN5" s="178"/>
      <c r="AO5" s="178"/>
    </row>
    <row r="6" spans="1:41" ht="16" customHeight="1" x14ac:dyDescent="0.2">
      <c r="A6" s="84" t="str">
        <f>"- E: Modulus of elasticity of material (Input as Float) ("&amp;'User Defined Units'!$B$13&amp;")"</f>
        <v>- E: Modulus of elasticity of material (Input as Float) (MPa)</v>
      </c>
      <c r="B6" s="81"/>
      <c r="C6" s="81"/>
      <c r="D6" s="98"/>
      <c r="E6" s="98"/>
      <c r="F6" s="98"/>
      <c r="G6" s="147"/>
      <c r="H6" s="147"/>
      <c r="I6" s="147"/>
      <c r="J6" s="148"/>
      <c r="K6" s="160" t="str">
        <f>"- My_Neg: Effective yield strength for negative loading direction (Input as Float) ("&amp;'User Defined Units'!$B$10&amp;"-"&amp;'User Defined Units'!$B$11&amp;")"</f>
        <v>- My_Neg: Effective yield strength for negative loading direction (Input as Float) (kN-m)</v>
      </c>
      <c r="L6" s="176"/>
      <c r="M6" s="147"/>
      <c r="N6" s="147"/>
      <c r="O6" s="147"/>
      <c r="P6" s="147"/>
      <c r="Q6" s="147"/>
      <c r="R6" s="147"/>
      <c r="S6" s="147"/>
      <c r="T6" s="147"/>
      <c r="U6" s="147"/>
      <c r="V6" s="147"/>
      <c r="W6" s="147"/>
      <c r="X6" s="147"/>
      <c r="Y6" s="147"/>
      <c r="Z6" s="147"/>
      <c r="AA6" s="209" t="s">
        <v>320</v>
      </c>
      <c r="AB6" s="213"/>
      <c r="AC6" s="213"/>
      <c r="AD6" s="213"/>
      <c r="AE6" s="213"/>
      <c r="AF6" s="213"/>
      <c r="AG6" s="213"/>
      <c r="AH6" s="214"/>
      <c r="AI6" s="178"/>
      <c r="AJ6" s="178"/>
      <c r="AK6" s="178"/>
      <c r="AL6" s="178"/>
      <c r="AM6" s="178"/>
      <c r="AN6" s="178"/>
      <c r="AO6" s="178"/>
    </row>
    <row r="7" spans="1:41" ht="15.75" customHeight="1" x14ac:dyDescent="0.2">
      <c r="A7" s="84" t="s">
        <v>141</v>
      </c>
      <c r="B7" s="81"/>
      <c r="C7" s="81"/>
      <c r="D7" s="98"/>
      <c r="E7" s="98"/>
      <c r="F7" s="98"/>
      <c r="G7" s="147"/>
      <c r="H7" s="147"/>
      <c r="I7" s="147"/>
      <c r="J7" s="148"/>
      <c r="K7" s="160" t="str">
        <f>"- Mu_Pos: Effective ultimate strength for positive loading direction (Input as Float) ("&amp;'User Defined Units'!$B$10&amp;"-"&amp;'User Defined Units'!$B$11&amp;")"</f>
        <v>- Mu_Pos: Effective ultimate strength for positive loading direction (Input as Float) (kN-m)</v>
      </c>
      <c r="L7" s="176"/>
      <c r="M7" s="147"/>
      <c r="N7" s="147"/>
      <c r="O7" s="147"/>
      <c r="P7" s="147"/>
      <c r="Q7" s="147"/>
      <c r="R7" s="147"/>
      <c r="S7" s="147"/>
      <c r="T7" s="147"/>
      <c r="U7" s="147"/>
      <c r="V7" s="147"/>
      <c r="W7" s="147"/>
      <c r="X7" s="147"/>
      <c r="Y7" s="147"/>
      <c r="Z7" s="147"/>
      <c r="AA7" s="209" t="s">
        <v>319</v>
      </c>
      <c r="AB7" s="213"/>
      <c r="AC7" s="213"/>
      <c r="AD7" s="213"/>
      <c r="AE7" s="213"/>
      <c r="AF7" s="213"/>
      <c r="AG7" s="213"/>
      <c r="AH7" s="214"/>
      <c r="AI7" s="178"/>
      <c r="AJ7" s="178"/>
      <c r="AK7" s="178"/>
      <c r="AL7" s="178"/>
      <c r="AM7" s="178"/>
      <c r="AN7" s="178"/>
      <c r="AO7" s="178"/>
    </row>
    <row r="8" spans="1:41" ht="16" customHeight="1" x14ac:dyDescent="0.2">
      <c r="A8" s="84" t="str">
        <f>"- fc: Maximum compressive strength of concrete (Input as Float) ("&amp;'User Defined Units'!$B$13&amp;")"</f>
        <v>- fc: Maximum compressive strength of concrete (Input as Float) (MPa)</v>
      </c>
      <c r="B8" s="81"/>
      <c r="C8" s="81"/>
      <c r="D8" s="98"/>
      <c r="E8" s="98"/>
      <c r="F8" s="98"/>
      <c r="G8" s="147"/>
      <c r="H8" s="147"/>
      <c r="I8" s="147"/>
      <c r="J8" s="148"/>
      <c r="K8" s="160" t="str">
        <f>"- Mu_Neg: Effective ultimate strength for negative loading direction (Input as Float) ("&amp;'User Defined Units'!$B$10&amp;"-"&amp;'User Defined Units'!$B$11&amp;")"</f>
        <v>- Mu_Neg: Effective ultimate strength for negative loading direction (Input as Float) (kN-m)</v>
      </c>
      <c r="L8" s="176"/>
      <c r="M8" s="147"/>
      <c r="N8" s="147"/>
      <c r="O8" s="147"/>
      <c r="P8" s="147"/>
      <c r="Q8" s="147"/>
      <c r="R8" s="147"/>
      <c r="S8" s="147"/>
      <c r="T8" s="147"/>
      <c r="U8" s="147"/>
      <c r="V8" s="147"/>
      <c r="W8" s="147"/>
      <c r="X8" s="147"/>
      <c r="Y8" s="147"/>
      <c r="Z8" s="147"/>
      <c r="AA8" s="209"/>
      <c r="AB8" s="213"/>
      <c r="AC8" s="213"/>
      <c r="AD8" s="213"/>
      <c r="AE8" s="213"/>
      <c r="AF8" s="213"/>
      <c r="AG8" s="213"/>
      <c r="AH8" s="214"/>
      <c r="AI8" s="178"/>
      <c r="AJ8" s="178"/>
      <c r="AK8" s="178"/>
      <c r="AL8" s="178"/>
      <c r="AM8" s="178"/>
      <c r="AN8" s="178"/>
      <c r="AO8" s="178"/>
    </row>
    <row r="9" spans="1:41" ht="15.75" customHeight="1" x14ac:dyDescent="0.2">
      <c r="A9" s="143" t="s">
        <v>150</v>
      </c>
      <c r="B9" s="81"/>
      <c r="C9" s="81"/>
      <c r="D9" s="98"/>
      <c r="E9" s="98"/>
      <c r="F9" s="98"/>
      <c r="G9" s="147"/>
      <c r="H9" s="147"/>
      <c r="I9" s="147"/>
      <c r="J9" s="148"/>
      <c r="K9" s="161" t="s">
        <v>179</v>
      </c>
      <c r="L9" s="176"/>
      <c r="M9" s="147"/>
      <c r="N9" s="147"/>
      <c r="O9" s="147"/>
      <c r="P9" s="147"/>
      <c r="Q9" s="147"/>
      <c r="R9" s="147"/>
      <c r="S9" s="147"/>
      <c r="T9" s="147"/>
      <c r="U9" s="147"/>
      <c r="V9" s="147"/>
      <c r="W9" s="147"/>
      <c r="X9" s="147"/>
      <c r="Y9" s="147"/>
      <c r="Z9" s="147"/>
      <c r="AA9" s="209" t="s">
        <v>325</v>
      </c>
      <c r="AB9" s="210"/>
      <c r="AC9" s="210"/>
      <c r="AD9" s="210"/>
      <c r="AE9" s="210"/>
      <c r="AF9" s="210"/>
      <c r="AG9" s="210"/>
      <c r="AH9" s="211"/>
      <c r="AI9" s="179"/>
      <c r="AJ9" s="179"/>
      <c r="AK9" s="179"/>
      <c r="AL9" s="179"/>
      <c r="AM9" s="179"/>
      <c r="AN9" s="179"/>
      <c r="AO9" s="179"/>
    </row>
    <row r="10" spans="1:41" ht="16" customHeight="1" x14ac:dyDescent="0.2">
      <c r="A10" s="143" t="s">
        <v>151</v>
      </c>
      <c r="B10" s="81"/>
      <c r="C10" s="81"/>
      <c r="D10" s="98"/>
      <c r="E10" s="98"/>
      <c r="F10" s="98"/>
      <c r="G10" s="147"/>
      <c r="H10" s="147"/>
      <c r="I10" s="147"/>
      <c r="J10" s="148"/>
      <c r="K10" s="161" t="s">
        <v>180</v>
      </c>
      <c r="L10" s="176"/>
      <c r="M10" s="147"/>
      <c r="N10" s="147"/>
      <c r="O10" s="147"/>
      <c r="P10" s="147"/>
      <c r="Q10" s="147"/>
      <c r="R10" s="147"/>
      <c r="S10" s="147"/>
      <c r="T10" s="147"/>
      <c r="U10" s="147"/>
      <c r="V10" s="147"/>
      <c r="W10" s="147"/>
      <c r="X10" s="147"/>
      <c r="Y10" s="147"/>
      <c r="Z10" s="147"/>
      <c r="AA10" s="212"/>
      <c r="AB10" s="210"/>
      <c r="AC10" s="210"/>
      <c r="AD10" s="210"/>
      <c r="AE10" s="210"/>
      <c r="AF10" s="210"/>
      <c r="AG10" s="210"/>
      <c r="AH10" s="211"/>
      <c r="AI10" s="179"/>
      <c r="AJ10" s="179"/>
      <c r="AK10" s="179"/>
      <c r="AL10" s="179"/>
      <c r="AM10" s="179"/>
      <c r="AN10" s="179"/>
      <c r="AO10" s="179"/>
    </row>
    <row r="11" spans="1:41" ht="15.75" customHeight="1" x14ac:dyDescent="0.2">
      <c r="A11" s="84" t="str">
        <f>"- fct: Maximum tensile strength of concrete (Input as Float) ("&amp;'User Defined Units'!$B$13&amp;")"</f>
        <v>- fct: Maximum tensile strength of concrete (Input as Float) (MPa)</v>
      </c>
      <c r="B11" s="169"/>
      <c r="C11" s="169"/>
      <c r="D11" s="169"/>
      <c r="E11" s="169"/>
      <c r="F11" s="169"/>
      <c r="G11" s="169"/>
      <c r="H11" s="169"/>
      <c r="I11" s="169"/>
      <c r="J11" s="101"/>
      <c r="K11" s="162" t="s">
        <v>181</v>
      </c>
      <c r="L11" s="176"/>
      <c r="M11" s="147"/>
      <c r="N11" s="147"/>
      <c r="O11" s="147"/>
      <c r="P11" s="147"/>
      <c r="Q11" s="147"/>
      <c r="R11" s="147"/>
      <c r="S11" s="147"/>
      <c r="T11" s="147"/>
      <c r="U11" s="147"/>
      <c r="V11" s="147"/>
      <c r="W11" s="147"/>
      <c r="X11" s="147"/>
      <c r="Y11" s="147"/>
      <c r="Z11" s="147"/>
      <c r="AA11" s="212"/>
      <c r="AB11" s="210"/>
      <c r="AC11" s="210"/>
      <c r="AD11" s="210"/>
      <c r="AE11" s="210"/>
      <c r="AF11" s="210"/>
      <c r="AG11" s="210"/>
      <c r="AH11" s="211"/>
      <c r="AI11" s="179"/>
      <c r="AJ11" s="179"/>
      <c r="AK11" s="179"/>
      <c r="AL11" s="179"/>
      <c r="AM11" s="179"/>
      <c r="AN11" s="179"/>
      <c r="AO11" s="179"/>
    </row>
    <row r="12" spans="1:41" x14ac:dyDescent="0.2">
      <c r="A12" s="45" t="s">
        <v>156</v>
      </c>
      <c r="B12" s="81"/>
      <c r="C12" s="81"/>
      <c r="D12" s="98"/>
      <c r="E12" s="98"/>
      <c r="F12" s="98"/>
      <c r="G12" s="147"/>
      <c r="H12" s="147"/>
      <c r="I12" s="147"/>
      <c r="J12" s="148"/>
      <c r="K12" s="161" t="s">
        <v>182</v>
      </c>
      <c r="L12" s="176"/>
      <c r="M12" s="147"/>
      <c r="N12" s="147"/>
      <c r="O12" s="147"/>
      <c r="P12" s="147"/>
      <c r="Q12" s="147"/>
      <c r="R12" s="147"/>
      <c r="S12" s="147"/>
      <c r="T12" s="147"/>
      <c r="U12" s="147"/>
      <c r="V12" s="147"/>
      <c r="W12" s="147"/>
      <c r="X12" s="147"/>
      <c r="Y12" s="147"/>
      <c r="Z12" s="147"/>
      <c r="AA12" s="216" t="s">
        <v>326</v>
      </c>
      <c r="AB12" s="213"/>
      <c r="AC12" s="213"/>
      <c r="AD12" s="213"/>
      <c r="AE12" s="213"/>
      <c r="AF12" s="213"/>
      <c r="AG12" s="213"/>
      <c r="AH12" s="214"/>
      <c r="AI12" s="179"/>
      <c r="AJ12" s="179"/>
      <c r="AK12" s="179"/>
      <c r="AL12" s="179"/>
      <c r="AM12" s="179"/>
      <c r="AN12" s="179"/>
      <c r="AO12" s="179"/>
    </row>
    <row r="13" spans="1:41" ht="16" customHeight="1" x14ac:dyDescent="0.2">
      <c r="A13" s="84" t="s">
        <v>152</v>
      </c>
      <c r="B13" s="81"/>
      <c r="C13" s="81"/>
      <c r="D13" s="98"/>
      <c r="E13" s="98"/>
      <c r="F13" s="98"/>
      <c r="G13" s="147"/>
      <c r="H13" s="147"/>
      <c r="I13" s="147"/>
      <c r="J13" s="148"/>
      <c r="K13" s="161" t="s">
        <v>171</v>
      </c>
      <c r="L13" s="176"/>
      <c r="M13" s="147"/>
      <c r="N13" s="147"/>
      <c r="O13" s="147"/>
      <c r="P13" s="147"/>
      <c r="Q13" s="147"/>
      <c r="R13" s="147"/>
      <c r="S13" s="147"/>
      <c r="T13" s="147"/>
      <c r="U13" s="147"/>
      <c r="V13" s="147"/>
      <c r="W13" s="147"/>
      <c r="X13" s="147"/>
      <c r="Y13" s="147"/>
      <c r="Z13" s="147"/>
      <c r="AA13" s="209"/>
      <c r="AB13" s="213"/>
      <c r="AC13" s="213"/>
      <c r="AD13" s="213"/>
      <c r="AE13" s="213"/>
      <c r="AF13" s="213"/>
      <c r="AG13" s="213"/>
      <c r="AH13" s="214"/>
      <c r="AI13" s="178"/>
      <c r="AJ13" s="178"/>
      <c r="AK13" s="178"/>
      <c r="AL13" s="178"/>
      <c r="AM13" s="178"/>
      <c r="AN13" s="178"/>
      <c r="AO13" s="178"/>
    </row>
    <row r="14" spans="1:41" ht="16" customHeight="1" x14ac:dyDescent="0.2">
      <c r="A14" s="84" t="str">
        <f>"- fy: Yield strength of rebar/steel (Input as float) ("&amp;'User Defined Units'!$B$13&amp;")"</f>
        <v>- fy: Yield strength of rebar/steel (Input as float) (MPa)</v>
      </c>
      <c r="B14" s="81"/>
      <c r="C14" s="81"/>
      <c r="D14" s="98"/>
      <c r="E14" s="98"/>
      <c r="F14" s="98"/>
      <c r="G14" s="147"/>
      <c r="H14" s="147"/>
      <c r="I14" s="147"/>
      <c r="J14" s="148"/>
      <c r="K14" s="161" t="s">
        <v>172</v>
      </c>
      <c r="L14" s="176"/>
      <c r="M14" s="147"/>
      <c r="N14" s="147"/>
      <c r="O14" s="147"/>
      <c r="P14" s="147"/>
      <c r="Q14" s="147"/>
      <c r="R14" s="147"/>
      <c r="S14" s="147"/>
      <c r="T14" s="147"/>
      <c r="U14" s="147"/>
      <c r="V14" s="147"/>
      <c r="W14" s="147"/>
      <c r="X14" s="147"/>
      <c r="Y14" s="147"/>
      <c r="Z14" s="147"/>
      <c r="AA14" s="209"/>
      <c r="AB14" s="213"/>
      <c r="AC14" s="213"/>
      <c r="AD14" s="213"/>
      <c r="AE14" s="213"/>
      <c r="AF14" s="213"/>
      <c r="AG14" s="213"/>
      <c r="AH14" s="214"/>
      <c r="AI14" s="178"/>
      <c r="AJ14" s="178"/>
      <c r="AK14" s="178"/>
      <c r="AL14" s="178"/>
      <c r="AM14" s="178"/>
      <c r="AN14" s="178"/>
      <c r="AO14" s="178"/>
    </row>
    <row r="15" spans="1:41" ht="15.75" customHeight="1" x14ac:dyDescent="0.2">
      <c r="A15" s="84" t="str">
        <f>"- fu: Ultimate tensile strength of rebar/steel (Input as float) ("&amp;'User Defined Units'!$B$13&amp;")"</f>
        <v>- fu: Ultimate tensile strength of rebar/steel (Input as float) (MPa)</v>
      </c>
      <c r="B15" s="81"/>
      <c r="C15" s="81"/>
      <c r="D15" s="98"/>
      <c r="E15" s="98"/>
      <c r="F15" s="98"/>
      <c r="G15" s="147"/>
      <c r="H15" s="147"/>
      <c r="I15" s="147"/>
      <c r="J15" s="148"/>
      <c r="K15" s="161" t="s">
        <v>173</v>
      </c>
      <c r="L15" s="176"/>
      <c r="M15" s="147"/>
      <c r="N15" s="147"/>
      <c r="O15" s="147"/>
      <c r="P15" s="147"/>
      <c r="Q15" s="147"/>
      <c r="R15" s="147"/>
      <c r="S15" s="147"/>
      <c r="T15" s="147"/>
      <c r="U15" s="147"/>
      <c r="V15" s="147"/>
      <c r="W15" s="147"/>
      <c r="X15" s="147"/>
      <c r="Y15" s="147"/>
      <c r="Z15" s="147"/>
      <c r="AA15" s="209" t="s">
        <v>327</v>
      </c>
      <c r="AB15" s="213"/>
      <c r="AC15" s="213"/>
      <c r="AD15" s="213"/>
      <c r="AE15" s="213"/>
      <c r="AF15" s="213"/>
      <c r="AG15" s="213"/>
      <c r="AH15" s="214"/>
      <c r="AI15" s="178"/>
      <c r="AJ15" s="178"/>
      <c r="AK15" s="178"/>
      <c r="AL15" s="178"/>
      <c r="AM15" s="178"/>
      <c r="AN15" s="178"/>
      <c r="AO15" s="178"/>
    </row>
    <row r="16" spans="1:41" ht="15.75" customHeight="1" x14ac:dyDescent="0.2">
      <c r="A16" s="84" t="s">
        <v>157</v>
      </c>
      <c r="B16" s="169"/>
      <c r="C16" s="169"/>
      <c r="D16" s="169"/>
      <c r="E16" s="169"/>
      <c r="F16" s="169"/>
      <c r="G16" s="169"/>
      <c r="H16" s="169"/>
      <c r="I16" s="169"/>
      <c r="J16" s="101"/>
      <c r="K16" s="161" t="s">
        <v>174</v>
      </c>
      <c r="L16" s="176"/>
      <c r="M16" s="147"/>
      <c r="N16" s="147"/>
      <c r="O16" s="147"/>
      <c r="P16" s="147"/>
      <c r="Q16" s="147"/>
      <c r="R16" s="147"/>
      <c r="S16" s="147"/>
      <c r="T16" s="147"/>
      <c r="U16" s="147"/>
      <c r="V16" s="147"/>
      <c r="W16" s="147"/>
      <c r="X16" s="147"/>
      <c r="Y16" s="147"/>
      <c r="Z16" s="147"/>
      <c r="AA16" s="209"/>
      <c r="AB16" s="213"/>
      <c r="AC16" s="213"/>
      <c r="AD16" s="213"/>
      <c r="AE16" s="213"/>
      <c r="AF16" s="213"/>
      <c r="AG16" s="213"/>
      <c r="AH16" s="214"/>
      <c r="AI16" s="178"/>
      <c r="AJ16" s="178"/>
      <c r="AK16" s="178"/>
      <c r="AL16" s="178"/>
      <c r="AM16" s="178"/>
      <c r="AN16" s="178"/>
      <c r="AO16" s="178"/>
    </row>
    <row r="17" spans="1:41" ht="15.75" customHeight="1" x14ac:dyDescent="0.2">
      <c r="A17" s="45" t="s">
        <v>158</v>
      </c>
      <c r="B17" s="81"/>
      <c r="C17" s="81"/>
      <c r="D17" s="98"/>
      <c r="E17" s="98"/>
      <c r="F17" s="98"/>
      <c r="G17" s="147"/>
      <c r="H17" s="147"/>
      <c r="I17" s="147"/>
      <c r="J17" s="148"/>
      <c r="K17" s="161" t="s">
        <v>175</v>
      </c>
      <c r="L17" s="176"/>
      <c r="M17" s="147"/>
      <c r="N17" s="147"/>
      <c r="O17" s="147"/>
      <c r="P17" s="147"/>
      <c r="Q17" s="147"/>
      <c r="R17" s="147"/>
      <c r="S17" s="147"/>
      <c r="T17" s="147"/>
      <c r="U17" s="147"/>
      <c r="V17" s="147"/>
      <c r="W17" s="147"/>
      <c r="X17" s="147"/>
      <c r="Y17" s="147"/>
      <c r="Z17" s="147"/>
      <c r="AA17" s="209"/>
      <c r="AB17" s="213"/>
      <c r="AC17" s="213"/>
      <c r="AD17" s="213"/>
      <c r="AE17" s="213"/>
      <c r="AF17" s="213"/>
      <c r="AG17" s="213"/>
      <c r="AH17" s="214"/>
      <c r="AI17" s="179"/>
      <c r="AJ17" s="179"/>
      <c r="AK17" s="179"/>
      <c r="AL17" s="179"/>
      <c r="AM17" s="179"/>
      <c r="AN17" s="179"/>
      <c r="AO17" s="179"/>
    </row>
    <row r="18" spans="1:41" ht="16" customHeight="1" x14ac:dyDescent="0.2">
      <c r="A18" s="84" t="s">
        <v>159</v>
      </c>
      <c r="B18" s="81"/>
      <c r="C18" s="81"/>
      <c r="D18" s="98"/>
      <c r="E18" s="98"/>
      <c r="F18" s="98"/>
      <c r="G18" s="147"/>
      <c r="H18" s="147"/>
      <c r="I18" s="147"/>
      <c r="J18" s="148"/>
      <c r="K18" s="154" t="s">
        <v>176</v>
      </c>
      <c r="L18" s="176"/>
      <c r="M18" s="147"/>
      <c r="N18" s="147"/>
      <c r="O18" s="147"/>
      <c r="P18" s="147"/>
      <c r="Q18" s="147"/>
      <c r="R18" s="147"/>
      <c r="S18" s="147"/>
      <c r="T18" s="147"/>
      <c r="U18" s="147"/>
      <c r="V18" s="147"/>
      <c r="W18" s="147"/>
      <c r="X18" s="147"/>
      <c r="Y18" s="147"/>
      <c r="Z18" s="147"/>
      <c r="AA18" s="209"/>
      <c r="AB18" s="213"/>
      <c r="AC18" s="213"/>
      <c r="AD18" s="213"/>
      <c r="AE18" s="213"/>
      <c r="AF18" s="213"/>
      <c r="AG18" s="213"/>
      <c r="AH18" s="214"/>
      <c r="AI18" s="179"/>
      <c r="AJ18" s="179"/>
      <c r="AK18" s="179"/>
      <c r="AL18" s="179"/>
      <c r="AM18" s="179"/>
      <c r="AN18" s="179"/>
      <c r="AO18" s="179"/>
    </row>
    <row r="19" spans="1:41" x14ac:dyDescent="0.2">
      <c r="A19" s="84" t="s">
        <v>160</v>
      </c>
      <c r="B19" s="81"/>
      <c r="C19" s="81"/>
      <c r="D19" s="98"/>
      <c r="E19" s="98"/>
      <c r="F19" s="98"/>
      <c r="G19" s="147"/>
      <c r="H19" s="147"/>
      <c r="I19" s="147"/>
      <c r="J19" s="148"/>
      <c r="K19" s="99" t="s">
        <v>177</v>
      </c>
      <c r="L19" s="176"/>
      <c r="M19" s="147"/>
      <c r="N19" s="147"/>
      <c r="O19" s="147"/>
      <c r="P19" s="147"/>
      <c r="Q19" s="147"/>
      <c r="R19" s="147"/>
      <c r="S19" s="147"/>
      <c r="T19" s="147"/>
      <c r="U19" s="147"/>
      <c r="V19" s="147"/>
      <c r="W19" s="147"/>
      <c r="X19" s="147"/>
      <c r="Y19" s="147"/>
      <c r="Z19" s="147"/>
      <c r="AA19" s="160"/>
      <c r="AB19" s="147"/>
      <c r="AC19" s="147"/>
      <c r="AD19" s="147"/>
      <c r="AE19" s="147"/>
      <c r="AF19" s="170"/>
      <c r="AG19" s="170"/>
      <c r="AH19" s="171"/>
      <c r="AI19" s="179"/>
      <c r="AJ19" s="179"/>
      <c r="AK19" s="179"/>
      <c r="AL19" s="179"/>
      <c r="AM19" s="179"/>
      <c r="AN19" s="179"/>
      <c r="AO19" s="179"/>
    </row>
    <row r="20" spans="1:41" x14ac:dyDescent="0.2">
      <c r="A20" s="84" t="s">
        <v>161</v>
      </c>
      <c r="B20" s="168"/>
      <c r="C20" s="168"/>
      <c r="D20" s="168"/>
      <c r="E20" s="168"/>
      <c r="F20" s="168"/>
      <c r="G20" s="168"/>
      <c r="H20" s="168"/>
      <c r="I20" s="168"/>
      <c r="J20" s="113"/>
      <c r="K20" s="99" t="s">
        <v>178</v>
      </c>
      <c r="L20" s="176"/>
      <c r="M20" s="147"/>
      <c r="N20" s="147"/>
      <c r="O20" s="147"/>
      <c r="P20" s="147"/>
      <c r="Q20" s="147"/>
      <c r="R20" s="147"/>
      <c r="S20" s="147"/>
      <c r="T20" s="147"/>
      <c r="U20" s="147"/>
      <c r="V20" s="147"/>
      <c r="W20" s="147"/>
      <c r="X20" s="147"/>
      <c r="Y20" s="147"/>
      <c r="Z20" s="147"/>
      <c r="AA20" s="160"/>
      <c r="AB20" s="147"/>
      <c r="AC20" s="147"/>
      <c r="AD20" s="147"/>
      <c r="AE20" s="147"/>
      <c r="AF20" s="170"/>
      <c r="AG20" s="170"/>
      <c r="AH20" s="171"/>
      <c r="AI20" s="179"/>
      <c r="AJ20" s="179"/>
      <c r="AK20" s="179"/>
      <c r="AL20" s="179"/>
      <c r="AM20" s="179"/>
      <c r="AN20" s="179"/>
      <c r="AO20" s="179"/>
    </row>
    <row r="21" spans="1:41" x14ac:dyDescent="0.2">
      <c r="A21" s="45" t="s">
        <v>162</v>
      </c>
      <c r="B21" s="81"/>
      <c r="C21" s="81"/>
      <c r="D21" s="98"/>
      <c r="E21" s="98"/>
      <c r="F21" s="98"/>
      <c r="G21" s="147"/>
      <c r="H21" s="147"/>
      <c r="I21" s="147"/>
      <c r="J21" s="148"/>
      <c r="K21" s="99" t="s">
        <v>184</v>
      </c>
      <c r="L21" s="176"/>
      <c r="M21" s="147"/>
      <c r="N21" s="147"/>
      <c r="O21" s="147"/>
      <c r="P21" s="147"/>
      <c r="Q21" s="147"/>
      <c r="R21" s="147"/>
      <c r="S21" s="147"/>
      <c r="T21" s="147"/>
      <c r="U21" s="147"/>
      <c r="V21" s="147"/>
      <c r="W21" s="147"/>
      <c r="X21" s="147"/>
      <c r="Y21" s="147"/>
      <c r="Z21" s="147"/>
      <c r="AA21" s="160"/>
      <c r="AB21" s="147"/>
      <c r="AC21" s="147"/>
      <c r="AD21" s="147"/>
      <c r="AE21" s="147"/>
      <c r="AF21" s="167"/>
      <c r="AG21" s="167"/>
      <c r="AH21" s="165"/>
      <c r="AI21" s="180"/>
      <c r="AJ21" s="180"/>
      <c r="AK21" s="180"/>
      <c r="AL21" s="180"/>
      <c r="AM21" s="180"/>
      <c r="AN21" s="180"/>
      <c r="AO21" s="180"/>
    </row>
    <row r="22" spans="1:41" ht="15.75" customHeight="1" x14ac:dyDescent="0.2">
      <c r="A22" s="84" t="s">
        <v>163</v>
      </c>
      <c r="B22" s="169"/>
      <c r="C22" s="169"/>
      <c r="D22" s="169"/>
      <c r="E22" s="169"/>
      <c r="F22" s="169"/>
      <c r="G22" s="169"/>
      <c r="H22" s="169"/>
      <c r="I22" s="169"/>
      <c r="J22" s="101"/>
      <c r="K22" s="99" t="s">
        <v>183</v>
      </c>
      <c r="L22" s="176"/>
      <c r="M22" s="147"/>
      <c r="N22" s="147"/>
      <c r="O22" s="147"/>
      <c r="P22" s="147"/>
      <c r="Q22" s="147"/>
      <c r="R22" s="147"/>
      <c r="S22" s="147"/>
      <c r="T22" s="147"/>
      <c r="U22" s="147"/>
      <c r="V22" s="147"/>
      <c r="W22" s="147"/>
      <c r="X22" s="147"/>
      <c r="Y22" s="147"/>
      <c r="Z22" s="147"/>
      <c r="AA22" s="160"/>
      <c r="AB22" s="147"/>
      <c r="AC22" s="147"/>
      <c r="AD22" s="147"/>
      <c r="AE22" s="147"/>
      <c r="AF22" s="147"/>
      <c r="AG22" s="147"/>
      <c r="AH22" s="148"/>
      <c r="AI22" s="151"/>
    </row>
    <row r="23" spans="1:41" x14ac:dyDescent="0.2">
      <c r="A23" s="45" t="s">
        <v>165</v>
      </c>
      <c r="B23" s="81"/>
      <c r="C23" s="81"/>
      <c r="D23" s="98"/>
      <c r="E23" s="98"/>
      <c r="F23" s="98"/>
      <c r="G23" s="147"/>
      <c r="H23" s="147"/>
      <c r="I23" s="147"/>
      <c r="J23" s="148"/>
      <c r="K23" s="99" t="s">
        <v>185</v>
      </c>
      <c r="L23" s="176"/>
      <c r="M23" s="147"/>
      <c r="N23" s="147"/>
      <c r="O23" s="147"/>
      <c r="P23" s="147"/>
      <c r="Q23" s="147"/>
      <c r="R23" s="147"/>
      <c r="S23" s="147"/>
      <c r="T23" s="147"/>
      <c r="U23" s="147"/>
      <c r="V23" s="147"/>
      <c r="W23" s="147"/>
      <c r="X23" s="147"/>
      <c r="Y23" s="147"/>
      <c r="Z23" s="147"/>
      <c r="AA23" s="160"/>
      <c r="AB23" s="147"/>
      <c r="AC23" s="147"/>
      <c r="AD23" s="147"/>
      <c r="AE23" s="147"/>
      <c r="AF23" s="176"/>
      <c r="AG23" s="147"/>
      <c r="AH23" s="148"/>
      <c r="AI23" s="151"/>
    </row>
    <row r="24" spans="1:41" x14ac:dyDescent="0.2">
      <c r="A24" s="84" t="s">
        <v>164</v>
      </c>
      <c r="B24" s="81"/>
      <c r="C24" s="81"/>
      <c r="D24" s="98"/>
      <c r="E24" s="98"/>
      <c r="F24" s="98"/>
      <c r="G24" s="147"/>
      <c r="H24" s="147"/>
      <c r="I24" s="147"/>
      <c r="J24" s="148"/>
      <c r="K24" s="99" t="s">
        <v>186</v>
      </c>
      <c r="L24" s="176"/>
      <c r="M24" s="147"/>
      <c r="N24" s="147"/>
      <c r="O24" s="147"/>
      <c r="P24" s="147"/>
      <c r="Q24" s="147"/>
      <c r="R24" s="147"/>
      <c r="S24" s="147"/>
      <c r="T24" s="147"/>
      <c r="U24" s="147"/>
      <c r="V24" s="147"/>
      <c r="W24" s="147"/>
      <c r="X24" s="147"/>
      <c r="Y24" s="147"/>
      <c r="Z24" s="147"/>
      <c r="AA24" s="160"/>
      <c r="AB24" s="147"/>
      <c r="AC24" s="147"/>
      <c r="AD24" s="147"/>
      <c r="AE24" s="147"/>
      <c r="AF24" s="176"/>
      <c r="AG24" s="147"/>
      <c r="AH24" s="148"/>
      <c r="AI24" s="151"/>
    </row>
    <row r="25" spans="1:41" x14ac:dyDescent="0.2">
      <c r="A25" s="84" t="str">
        <f>"- f_init: Initial stress value, default value = 0.0 (Input as Float) ("&amp;'User Defined Units'!$B$13&amp;")"</f>
        <v>- f_init: Initial stress value, default value = 0.0 (Input as Float) (MPa)</v>
      </c>
      <c r="B25" s="81"/>
      <c r="C25" s="81"/>
      <c r="D25" s="98"/>
      <c r="E25" s="98"/>
      <c r="F25" s="98"/>
      <c r="G25" s="147"/>
      <c r="H25" s="147"/>
      <c r="I25" s="147"/>
      <c r="J25" s="148"/>
      <c r="K25" s="99" t="s">
        <v>187</v>
      </c>
      <c r="L25" s="176"/>
      <c r="M25" s="147"/>
      <c r="N25" s="147"/>
      <c r="O25" s="147"/>
      <c r="P25" s="147"/>
      <c r="Q25" s="147"/>
      <c r="R25" s="147"/>
      <c r="S25" s="147"/>
      <c r="T25" s="147"/>
      <c r="U25" s="147"/>
      <c r="V25" s="147"/>
      <c r="W25" s="147"/>
      <c r="X25" s="147"/>
      <c r="Y25" s="147"/>
      <c r="Z25" s="147"/>
      <c r="AA25" s="160"/>
      <c r="AB25" s="147"/>
      <c r="AC25" s="147"/>
      <c r="AD25" s="147"/>
      <c r="AE25" s="147"/>
      <c r="AF25" s="147"/>
      <c r="AG25" s="147"/>
      <c r="AH25" s="148"/>
      <c r="AI25" s="151"/>
    </row>
    <row r="26" spans="1:41" x14ac:dyDescent="0.2">
      <c r="A26" s="84" t="s">
        <v>166</v>
      </c>
      <c r="B26" s="81"/>
      <c r="C26" s="81"/>
      <c r="D26" s="98"/>
      <c r="E26" s="98"/>
      <c r="F26" s="98"/>
      <c r="G26" s="147"/>
      <c r="H26" s="147"/>
      <c r="I26" s="147"/>
      <c r="J26" s="148"/>
      <c r="K26" s="99" t="s">
        <v>188</v>
      </c>
      <c r="L26" s="176"/>
      <c r="M26" s="147"/>
      <c r="N26" s="147"/>
      <c r="O26" s="147"/>
      <c r="P26" s="147"/>
      <c r="Q26" s="147"/>
      <c r="R26" s="147"/>
      <c r="S26" s="147"/>
      <c r="T26" s="147"/>
      <c r="U26" s="147"/>
      <c r="V26" s="147"/>
      <c r="W26" s="147"/>
      <c r="X26" s="147"/>
      <c r="Y26" s="147"/>
      <c r="Z26" s="147"/>
      <c r="AA26" s="160"/>
      <c r="AB26" s="147"/>
      <c r="AC26" s="147"/>
      <c r="AD26" s="147"/>
      <c r="AE26" s="147"/>
      <c r="AF26" s="147"/>
      <c r="AG26" s="147"/>
      <c r="AH26" s="148"/>
      <c r="AI26" s="151"/>
    </row>
    <row r="27" spans="1:41" x14ac:dyDescent="0.2">
      <c r="A27" s="84" t="s">
        <v>167</v>
      </c>
      <c r="B27" s="156"/>
      <c r="C27" s="81"/>
      <c r="D27" s="98"/>
      <c r="E27" s="98"/>
      <c r="F27" s="98"/>
      <c r="G27" s="147"/>
      <c r="H27" s="147"/>
      <c r="I27" s="147"/>
      <c r="J27" s="148"/>
      <c r="K27" s="99" t="s">
        <v>189</v>
      </c>
      <c r="L27" s="176"/>
      <c r="M27" s="147"/>
      <c r="N27" s="147"/>
      <c r="O27" s="147"/>
      <c r="P27" s="147"/>
      <c r="Q27" s="147"/>
      <c r="R27" s="147"/>
      <c r="S27" s="147"/>
      <c r="T27" s="147"/>
      <c r="U27" s="147"/>
      <c r="V27" s="147"/>
      <c r="W27" s="147"/>
      <c r="X27" s="147"/>
      <c r="Y27" s="147"/>
      <c r="Z27" s="147"/>
      <c r="AA27" s="160"/>
      <c r="AB27" s="147"/>
      <c r="AC27" s="147"/>
      <c r="AD27" s="147"/>
      <c r="AE27" s="147"/>
      <c r="AF27" s="147"/>
      <c r="AG27" s="147"/>
      <c r="AH27" s="148"/>
      <c r="AI27" s="151"/>
    </row>
    <row r="28" spans="1:41" x14ac:dyDescent="0.2">
      <c r="A28" s="155"/>
      <c r="B28" s="81"/>
      <c r="C28" s="81"/>
      <c r="D28" s="98"/>
      <c r="E28" s="98"/>
      <c r="F28" s="98"/>
      <c r="G28" s="147"/>
      <c r="H28" s="147"/>
      <c r="I28" s="147"/>
      <c r="J28" s="148"/>
      <c r="K28" s="99" t="s">
        <v>190</v>
      </c>
      <c r="L28" s="176"/>
      <c r="M28" s="147"/>
      <c r="N28" s="147"/>
      <c r="O28" s="147"/>
      <c r="P28" s="147"/>
      <c r="Q28" s="147"/>
      <c r="R28" s="147"/>
      <c r="S28" s="147"/>
      <c r="T28" s="147"/>
      <c r="U28" s="147"/>
      <c r="V28" s="147"/>
      <c r="W28" s="147"/>
      <c r="X28" s="147"/>
      <c r="Y28" s="147"/>
      <c r="Z28" s="147"/>
      <c r="AA28" s="160"/>
      <c r="AB28" s="147"/>
      <c r="AC28" s="147"/>
      <c r="AD28" s="147"/>
      <c r="AE28" s="147"/>
      <c r="AF28" s="147"/>
      <c r="AG28" s="147"/>
      <c r="AH28" s="148"/>
      <c r="AI28" s="151"/>
    </row>
    <row r="29" spans="1:41" x14ac:dyDescent="0.2">
      <c r="A29" s="85" t="s">
        <v>142</v>
      </c>
      <c r="B29" s="81"/>
      <c r="C29" s="81"/>
      <c r="D29" s="98"/>
      <c r="E29" s="98"/>
      <c r="F29" s="98"/>
      <c r="G29" s="147"/>
      <c r="H29" s="147"/>
      <c r="I29" s="147"/>
      <c r="J29" s="148"/>
      <c r="K29" s="99" t="s">
        <v>191</v>
      </c>
      <c r="L29" s="176"/>
      <c r="M29" s="147"/>
      <c r="N29" s="147"/>
      <c r="O29" s="147"/>
      <c r="P29" s="147"/>
      <c r="Q29" s="147"/>
      <c r="R29" s="147"/>
      <c r="S29" s="147"/>
      <c r="T29" s="147"/>
      <c r="U29" s="147"/>
      <c r="V29" s="147"/>
      <c r="W29" s="147"/>
      <c r="X29" s="147"/>
      <c r="Y29" s="147"/>
      <c r="Z29" s="147"/>
      <c r="AA29" s="160"/>
      <c r="AB29" s="147"/>
      <c r="AC29" s="147"/>
      <c r="AD29" s="147"/>
      <c r="AE29" s="147"/>
      <c r="AF29" s="147"/>
      <c r="AG29" s="147"/>
      <c r="AH29" s="148"/>
      <c r="AI29" s="151"/>
    </row>
    <row r="30" spans="1:41" x14ac:dyDescent="0.2">
      <c r="A30" s="157" t="s">
        <v>155</v>
      </c>
      <c r="B30" s="87"/>
      <c r="C30" s="87"/>
      <c r="D30" s="88"/>
      <c r="E30" s="88"/>
      <c r="F30" s="88"/>
      <c r="G30" s="149"/>
      <c r="H30" s="149"/>
      <c r="I30" s="149"/>
      <c r="J30" s="150"/>
      <c r="K30" s="100" t="s">
        <v>192</v>
      </c>
      <c r="L30" s="158"/>
      <c r="M30" s="149"/>
      <c r="N30" s="149"/>
      <c r="O30" s="149"/>
      <c r="P30" s="149"/>
      <c r="Q30" s="149"/>
      <c r="R30" s="149"/>
      <c r="S30" s="149"/>
      <c r="T30" s="149"/>
      <c r="U30" s="149"/>
      <c r="V30" s="149"/>
      <c r="W30" s="149"/>
      <c r="X30" s="149"/>
      <c r="Y30" s="149"/>
      <c r="Z30" s="149"/>
      <c r="AA30" s="164"/>
      <c r="AB30" s="149"/>
      <c r="AC30" s="149"/>
      <c r="AD30" s="149"/>
      <c r="AE30" s="149"/>
      <c r="AF30" s="149"/>
      <c r="AG30" s="149"/>
      <c r="AH30" s="150"/>
      <c r="AI30" s="151"/>
    </row>
    <row r="31" spans="1:41" x14ac:dyDescent="0.2">
      <c r="A31" s="90"/>
      <c r="B31" s="50"/>
      <c r="C31" s="50"/>
      <c r="D31" s="89"/>
      <c r="E31" s="89"/>
      <c r="F31" s="89"/>
      <c r="G31" s="151"/>
      <c r="H31" s="151"/>
      <c r="I31" s="151"/>
      <c r="J31" s="151"/>
      <c r="K31" s="151"/>
      <c r="L31" s="151"/>
      <c r="M31" s="151"/>
      <c r="N31" s="151"/>
      <c r="O31" s="151"/>
      <c r="P31" s="151"/>
      <c r="Q31" s="151"/>
      <c r="R31" s="151"/>
      <c r="S31" s="151"/>
      <c r="T31" s="151"/>
      <c r="U31" s="151"/>
      <c r="V31" s="151"/>
      <c r="W31" s="151"/>
      <c r="X31" s="151"/>
      <c r="Y31" s="151"/>
      <c r="Z31" s="151"/>
      <c r="AA31" s="151"/>
      <c r="AB31" s="151"/>
      <c r="AC31" s="151"/>
      <c r="AD31" s="151"/>
      <c r="AE31" s="151"/>
      <c r="AF31" s="151"/>
      <c r="AG31" s="151"/>
      <c r="AH31" s="151"/>
      <c r="AI31" s="151"/>
    </row>
    <row r="32" spans="1:41" s="49" customFormat="1" x14ac:dyDescent="0.2">
      <c r="A32" s="74" t="s">
        <v>10</v>
      </c>
      <c r="B32" s="74" t="s">
        <v>8</v>
      </c>
      <c r="C32" s="74" t="s">
        <v>15</v>
      </c>
      <c r="D32" s="74" t="s">
        <v>1</v>
      </c>
      <c r="E32" s="74" t="s">
        <v>11</v>
      </c>
      <c r="F32" s="74" t="s">
        <v>12</v>
      </c>
      <c r="G32" s="152" t="s">
        <v>289</v>
      </c>
      <c r="H32" s="152" t="s">
        <v>290</v>
      </c>
      <c r="I32" s="152" t="s">
        <v>291</v>
      </c>
      <c r="J32" s="152" t="s">
        <v>292</v>
      </c>
      <c r="K32" s="152" t="s">
        <v>293</v>
      </c>
      <c r="L32" s="152" t="s">
        <v>294</v>
      </c>
      <c r="M32" s="152" t="s">
        <v>295</v>
      </c>
      <c r="N32" s="152" t="s">
        <v>296</v>
      </c>
      <c r="O32" s="152" t="s">
        <v>297</v>
      </c>
      <c r="P32" s="152" t="s">
        <v>298</v>
      </c>
      <c r="Q32" s="152" t="s">
        <v>299</v>
      </c>
      <c r="R32" s="152" t="s">
        <v>300</v>
      </c>
      <c r="S32" s="152" t="s">
        <v>301</v>
      </c>
      <c r="T32" s="152" t="s">
        <v>302</v>
      </c>
      <c r="U32" s="152" t="s">
        <v>303</v>
      </c>
      <c r="V32" s="152" t="s">
        <v>304</v>
      </c>
      <c r="W32" s="152" t="s">
        <v>305</v>
      </c>
      <c r="X32" s="152" t="s">
        <v>306</v>
      </c>
      <c r="Y32" s="152" t="s">
        <v>307</v>
      </c>
      <c r="Z32" s="152" t="s">
        <v>308</v>
      </c>
      <c r="AA32" s="152" t="s">
        <v>309</v>
      </c>
      <c r="AB32" s="152" t="s">
        <v>310</v>
      </c>
      <c r="AC32" s="152" t="s">
        <v>311</v>
      </c>
      <c r="AD32" s="152" t="s">
        <v>312</v>
      </c>
      <c r="AE32" s="152" t="s">
        <v>313</v>
      </c>
      <c r="AF32" s="152" t="s">
        <v>314</v>
      </c>
      <c r="AG32" s="152" t="s">
        <v>315</v>
      </c>
      <c r="AH32" s="152" t="s">
        <v>316</v>
      </c>
      <c r="AI32" s="166"/>
    </row>
    <row r="33" spans="1:34" x14ac:dyDescent="0.2">
      <c r="A33" s="92" t="s">
        <v>13</v>
      </c>
      <c r="B33" s="92" t="s">
        <v>2</v>
      </c>
      <c r="C33" s="92" t="s">
        <v>280</v>
      </c>
      <c r="D33" s="174">
        <v>23.6</v>
      </c>
      <c r="E33" s="175">
        <f>4700*SQRT(G33)</f>
        <v>25742.960202742808</v>
      </c>
      <c r="F33" s="175">
        <v>0.2</v>
      </c>
      <c r="G33" s="175">
        <f>30</f>
        <v>30</v>
      </c>
      <c r="H33" s="175">
        <v>0</v>
      </c>
      <c r="I33" s="175">
        <v>0</v>
      </c>
      <c r="J33" s="175">
        <v>0</v>
      </c>
      <c r="K33" s="175">
        <v>0</v>
      </c>
      <c r="L33" s="175">
        <v>0</v>
      </c>
      <c r="M33" s="175">
        <v>0</v>
      </c>
      <c r="N33" s="175">
        <v>0</v>
      </c>
      <c r="O33" s="175">
        <v>0</v>
      </c>
      <c r="P33" s="175">
        <v>0</v>
      </c>
      <c r="Q33" s="175">
        <v>0</v>
      </c>
      <c r="R33" s="175">
        <v>0</v>
      </c>
      <c r="S33" s="175">
        <v>0</v>
      </c>
      <c r="T33" s="175">
        <v>0</v>
      </c>
      <c r="U33" s="175">
        <v>0</v>
      </c>
      <c r="V33" s="175">
        <v>0</v>
      </c>
      <c r="W33" s="175">
        <v>0</v>
      </c>
      <c r="X33" s="175">
        <v>0</v>
      </c>
      <c r="Y33" s="175">
        <v>0</v>
      </c>
      <c r="Z33" s="175">
        <v>0</v>
      </c>
      <c r="AA33" s="175">
        <v>0</v>
      </c>
      <c r="AB33" s="175">
        <v>0</v>
      </c>
      <c r="AC33" s="175">
        <v>0</v>
      </c>
      <c r="AD33" s="175">
        <v>0</v>
      </c>
      <c r="AE33" s="175">
        <v>0</v>
      </c>
      <c r="AF33" s="175">
        <v>0</v>
      </c>
      <c r="AG33" s="175">
        <v>0</v>
      </c>
      <c r="AH33" s="175">
        <v>0</v>
      </c>
    </row>
    <row r="34" spans="1:34" x14ac:dyDescent="0.2">
      <c r="A34" s="92" t="s">
        <v>14</v>
      </c>
      <c r="B34" s="92" t="s">
        <v>3</v>
      </c>
      <c r="C34" s="92" t="s">
        <v>280</v>
      </c>
      <c r="D34" s="175">
        <f>7850*9.80665/1000</f>
        <v>76.9822025</v>
      </c>
      <c r="E34" s="175">
        <f>200000</f>
        <v>200000</v>
      </c>
      <c r="F34" s="175">
        <v>0.3</v>
      </c>
      <c r="G34" s="175">
        <v>420</v>
      </c>
      <c r="H34" s="175">
        <v>525</v>
      </c>
      <c r="I34" s="175">
        <v>0</v>
      </c>
      <c r="J34" s="175">
        <v>0</v>
      </c>
      <c r="K34" s="175">
        <v>0</v>
      </c>
      <c r="L34" s="175">
        <v>0</v>
      </c>
      <c r="M34" s="175">
        <v>0</v>
      </c>
      <c r="N34" s="175">
        <v>0</v>
      </c>
      <c r="O34" s="175">
        <v>0</v>
      </c>
      <c r="P34" s="175">
        <v>0</v>
      </c>
      <c r="Q34" s="175">
        <v>0</v>
      </c>
      <c r="R34" s="175">
        <v>0</v>
      </c>
      <c r="S34" s="175">
        <v>0</v>
      </c>
      <c r="T34" s="175">
        <v>0</v>
      </c>
      <c r="U34" s="175">
        <v>0</v>
      </c>
      <c r="V34" s="175">
        <v>0</v>
      </c>
      <c r="W34" s="175">
        <v>0</v>
      </c>
      <c r="X34" s="175">
        <v>0</v>
      </c>
      <c r="Y34" s="175">
        <v>0</v>
      </c>
      <c r="Z34" s="175">
        <v>0</v>
      </c>
      <c r="AA34" s="175">
        <v>0</v>
      </c>
      <c r="AB34" s="175">
        <v>0</v>
      </c>
      <c r="AC34" s="175">
        <v>0</v>
      </c>
      <c r="AD34" s="175">
        <v>0</v>
      </c>
      <c r="AE34" s="175">
        <v>0</v>
      </c>
      <c r="AF34" s="175">
        <v>0</v>
      </c>
      <c r="AG34" s="175">
        <v>0</v>
      </c>
      <c r="AH34" s="175">
        <v>0</v>
      </c>
    </row>
    <row r="35" spans="1:34" x14ac:dyDescent="0.2">
      <c r="A35" s="92" t="s">
        <v>16</v>
      </c>
      <c r="B35" s="92" t="s">
        <v>2</v>
      </c>
      <c r="C35" s="92" t="s">
        <v>281</v>
      </c>
      <c r="D35" s="175">
        <v>23.6</v>
      </c>
      <c r="E35" s="175">
        <f>4700*SQRT(G35)</f>
        <v>25742.960202742808</v>
      </c>
      <c r="F35" s="175">
        <v>0.2</v>
      </c>
      <c r="G35" s="175">
        <v>30</v>
      </c>
      <c r="H35" s="175">
        <v>2E-3</v>
      </c>
      <c r="I35" s="175">
        <v>5.0000000000000001E-3</v>
      </c>
      <c r="J35" s="175">
        <f>0.62*SQRT(G35)</f>
        <v>3.3958798565320301</v>
      </c>
      <c r="K35" s="175">
        <v>0</v>
      </c>
      <c r="L35" s="175">
        <v>0.2</v>
      </c>
      <c r="M35" s="175">
        <v>0</v>
      </c>
      <c r="N35" s="175">
        <v>0</v>
      </c>
      <c r="O35" s="175">
        <v>0</v>
      </c>
      <c r="P35" s="175">
        <v>0</v>
      </c>
      <c r="Q35" s="175">
        <v>0</v>
      </c>
      <c r="R35" s="175">
        <v>0</v>
      </c>
      <c r="S35" s="175">
        <v>0</v>
      </c>
      <c r="T35" s="175">
        <v>0</v>
      </c>
      <c r="U35" s="175">
        <v>0</v>
      </c>
      <c r="V35" s="175">
        <v>0</v>
      </c>
      <c r="W35" s="175">
        <v>0</v>
      </c>
      <c r="X35" s="175">
        <v>0</v>
      </c>
      <c r="Y35" s="175">
        <v>0</v>
      </c>
      <c r="Z35" s="175">
        <v>0</v>
      </c>
      <c r="AA35" s="175">
        <v>0</v>
      </c>
      <c r="AB35" s="175">
        <v>0</v>
      </c>
      <c r="AC35" s="175">
        <v>0</v>
      </c>
      <c r="AD35" s="175">
        <v>0</v>
      </c>
      <c r="AE35" s="175">
        <v>0</v>
      </c>
      <c r="AF35" s="175">
        <v>0</v>
      </c>
      <c r="AG35" s="175">
        <v>0</v>
      </c>
      <c r="AH35" s="175">
        <v>0</v>
      </c>
    </row>
    <row r="36" spans="1:34" x14ac:dyDescent="0.2">
      <c r="A36" s="92" t="s">
        <v>17</v>
      </c>
      <c r="B36" s="92" t="s">
        <v>2</v>
      </c>
      <c r="C36" s="92" t="s">
        <v>281</v>
      </c>
      <c r="D36" s="175">
        <v>23.6</v>
      </c>
      <c r="E36" s="175">
        <f>4700*SQRT(G36)</f>
        <v>32295.406706849466</v>
      </c>
      <c r="F36" s="175">
        <v>0.2</v>
      </c>
      <c r="G36" s="175">
        <f>47.2156312521873</f>
        <v>47.215631252187301</v>
      </c>
      <c r="H36" s="175">
        <v>7.7385437507291001E-3</v>
      </c>
      <c r="I36" s="175">
        <v>2.2428475272193799E-2</v>
      </c>
      <c r="J36" s="175">
        <f>0.62*SQRT(G36)</f>
        <v>4.2602451400524828</v>
      </c>
      <c r="K36" s="175">
        <v>0</v>
      </c>
      <c r="L36" s="175">
        <v>0.2</v>
      </c>
      <c r="M36" s="175">
        <v>0</v>
      </c>
      <c r="N36" s="175">
        <v>0</v>
      </c>
      <c r="O36" s="175">
        <v>0</v>
      </c>
      <c r="P36" s="175">
        <v>0</v>
      </c>
      <c r="Q36" s="175">
        <v>0</v>
      </c>
      <c r="R36" s="175">
        <v>0</v>
      </c>
      <c r="S36" s="175">
        <v>0</v>
      </c>
      <c r="T36" s="175">
        <v>0</v>
      </c>
      <c r="U36" s="175">
        <v>0</v>
      </c>
      <c r="V36" s="175">
        <v>0</v>
      </c>
      <c r="W36" s="175">
        <v>0</v>
      </c>
      <c r="X36" s="175">
        <v>0</v>
      </c>
      <c r="Y36" s="175">
        <v>0</v>
      </c>
      <c r="Z36" s="175">
        <v>0</v>
      </c>
      <c r="AA36" s="175">
        <v>0</v>
      </c>
      <c r="AB36" s="175">
        <v>0</v>
      </c>
      <c r="AC36" s="175">
        <v>0</v>
      </c>
      <c r="AD36" s="175">
        <v>0</v>
      </c>
      <c r="AE36" s="175">
        <v>0</v>
      </c>
      <c r="AF36" s="175">
        <v>0</v>
      </c>
      <c r="AG36" s="175">
        <v>0</v>
      </c>
      <c r="AH36" s="175">
        <v>0</v>
      </c>
    </row>
    <row r="37" spans="1:34" x14ac:dyDescent="0.2">
      <c r="A37" s="92" t="s">
        <v>18</v>
      </c>
      <c r="B37" s="92" t="s">
        <v>3</v>
      </c>
      <c r="C37" s="92" t="s">
        <v>318</v>
      </c>
      <c r="D37" s="175">
        <f>7850*9.80665/1000</f>
        <v>76.9822025</v>
      </c>
      <c r="E37" s="175">
        <v>200000</v>
      </c>
      <c r="F37" s="175">
        <v>0.3</v>
      </c>
      <c r="G37" s="175">
        <v>420</v>
      </c>
      <c r="H37" s="175">
        <v>525</v>
      </c>
      <c r="I37" s="175">
        <v>0.08</v>
      </c>
      <c r="J37" s="175">
        <v>0</v>
      </c>
      <c r="K37" s="175">
        <v>20</v>
      </c>
      <c r="L37" s="175">
        <v>0.92500000000000004</v>
      </c>
      <c r="M37" s="175">
        <v>0.15</v>
      </c>
      <c r="N37" s="175">
        <v>0</v>
      </c>
      <c r="O37" s="175">
        <v>1</v>
      </c>
      <c r="P37" s="175">
        <v>0</v>
      </c>
      <c r="Q37" s="175">
        <v>1</v>
      </c>
      <c r="R37" s="175">
        <v>0</v>
      </c>
      <c r="S37" s="175">
        <v>0.08</v>
      </c>
      <c r="T37" s="175">
        <v>0.08</v>
      </c>
      <c r="U37" s="175">
        <v>0</v>
      </c>
      <c r="V37" s="175">
        <v>0</v>
      </c>
      <c r="W37" s="175">
        <v>0</v>
      </c>
      <c r="X37" s="175">
        <v>0</v>
      </c>
      <c r="Y37" s="175">
        <v>0</v>
      </c>
      <c r="Z37" s="175">
        <v>0</v>
      </c>
      <c r="AA37" s="175">
        <v>0</v>
      </c>
      <c r="AB37" s="175">
        <v>0</v>
      </c>
      <c r="AC37" s="175">
        <v>0</v>
      </c>
      <c r="AD37" s="175">
        <v>0</v>
      </c>
      <c r="AE37" s="175">
        <v>0</v>
      </c>
      <c r="AF37" s="175">
        <v>0</v>
      </c>
      <c r="AG37" s="175">
        <v>0</v>
      </c>
      <c r="AH37" s="175">
        <v>0</v>
      </c>
    </row>
    <row r="38" spans="1:34" x14ac:dyDescent="0.2">
      <c r="A38" s="163" t="s">
        <v>214</v>
      </c>
      <c r="B38" s="92" t="s">
        <v>288</v>
      </c>
      <c r="C38" s="92" t="s">
        <v>213</v>
      </c>
      <c r="D38" s="175">
        <v>0</v>
      </c>
      <c r="E38" s="175">
        <v>0</v>
      </c>
      <c r="F38" s="175">
        <v>0</v>
      </c>
      <c r="G38" s="175">
        <v>114958.97490209967</v>
      </c>
      <c r="H38" s="175">
        <v>0</v>
      </c>
      <c r="I38" s="175">
        <v>0</v>
      </c>
      <c r="J38" s="175">
        <v>243.16919999999999</v>
      </c>
      <c r="K38" s="175">
        <v>388.62200000000001</v>
      </c>
      <c r="L38" s="175">
        <v>267.48612000000003</v>
      </c>
      <c r="M38" s="175">
        <v>427.48420000000004</v>
      </c>
      <c r="N38" s="175">
        <v>0</v>
      </c>
      <c r="O38" s="175">
        <v>0</v>
      </c>
      <c r="P38" s="175">
        <v>0</v>
      </c>
      <c r="Q38" s="175">
        <v>0</v>
      </c>
      <c r="R38" s="175">
        <v>1</v>
      </c>
      <c r="S38" s="175">
        <v>1</v>
      </c>
      <c r="T38" s="175">
        <v>1</v>
      </c>
      <c r="U38" s="175">
        <v>1</v>
      </c>
      <c r="V38" s="175">
        <v>2.2268112818223454E-2</v>
      </c>
      <c r="W38" s="175">
        <v>2.2268112818223454E-2</v>
      </c>
      <c r="X38" s="175">
        <v>2.2268112818223454E-2</v>
      </c>
      <c r="Y38" s="175">
        <v>2.2268112818223454E-2</v>
      </c>
      <c r="Z38" s="175">
        <v>4.1385682576436635E-2</v>
      </c>
      <c r="AA38" s="175">
        <v>4.1385682576436635E-2</v>
      </c>
      <c r="AB38" s="175">
        <v>0.2</v>
      </c>
      <c r="AC38" s="175">
        <v>0.2</v>
      </c>
      <c r="AD38" s="175">
        <v>1</v>
      </c>
      <c r="AE38" s="175">
        <v>1</v>
      </c>
      <c r="AF38" s="175">
        <v>0</v>
      </c>
      <c r="AG38" s="175">
        <v>0</v>
      </c>
      <c r="AH38" s="175">
        <v>0</v>
      </c>
    </row>
  </sheetData>
  <mergeCells count="9">
    <mergeCell ref="AA9:AH11"/>
    <mergeCell ref="AA12:AH14"/>
    <mergeCell ref="AA15:AH18"/>
    <mergeCell ref="AA2:AH2"/>
    <mergeCell ref="AA3:AH3"/>
    <mergeCell ref="AA4:AH4"/>
    <mergeCell ref="AA5:AH5"/>
    <mergeCell ref="AA6:AH6"/>
    <mergeCell ref="AA7:AH8"/>
  </mergeCells>
  <conditionalFormatting sqref="D33:F1048576">
    <cfRule type="expression" dxfId="15" priority="4">
      <formula>OR($B33="Spring")</formula>
    </cfRule>
  </conditionalFormatting>
  <conditionalFormatting sqref="H33:AH1048576">
    <cfRule type="expression" dxfId="14" priority="7">
      <formula>AND($B33="Concrete",$C33="Elastic")</formula>
    </cfRule>
  </conditionalFormatting>
  <conditionalFormatting sqref="I33:AH1048576">
    <cfRule type="expression" dxfId="13" priority="6">
      <formula>AND(OR($B33="Rebar",$B33="Steel"),$C33="Elastic")</formula>
    </cfRule>
  </conditionalFormatting>
  <conditionalFormatting sqref="M33:AH1048576">
    <cfRule type="expression" dxfId="12" priority="18">
      <formula>AND($B33="Concrete",$C33="Concrete04")</formula>
    </cfRule>
  </conditionalFormatting>
  <conditionalFormatting sqref="O33:AH1048576">
    <cfRule type="expression" dxfId="11" priority="9">
      <formula>AND($B33="Concrete",$C33="Concrete04+MinMax")</formula>
    </cfRule>
  </conditionalFormatting>
  <conditionalFormatting sqref="S33:AH1048576">
    <cfRule type="expression" dxfId="10" priority="5">
      <formula>AND(OR($B33="Rebar",$B33="Steel"),$C33="Steel02")</formula>
    </cfRule>
  </conditionalFormatting>
  <conditionalFormatting sqref="U33:AH1048576">
    <cfRule type="expression" dxfId="9" priority="8">
      <formula>AND(OR($B33="Rebar",$B33="Steel"),$C33="Steel02+MinMax")</formula>
    </cfRule>
  </conditionalFormatting>
  <conditionalFormatting sqref="AF33:AH1048576">
    <cfRule type="expression" dxfId="8" priority="2">
      <formula>AND($B33="Spring",$C33="IMKPeakOriented")</formula>
    </cfRule>
  </conditionalFormatting>
  <conditionalFormatting sqref="AG33:AH1048576">
    <cfRule type="expression" dxfId="7" priority="3">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A1019"/>
  <sheetViews>
    <sheetView zoomScale="130" zoomScaleNormal="130" workbookViewId="0">
      <selection activeCell="C12" sqref="C12"/>
    </sheetView>
  </sheetViews>
  <sheetFormatPr baseColWidth="10" defaultColWidth="10.83203125" defaultRowHeight="16" x14ac:dyDescent="0.2"/>
  <cols>
    <col min="1" max="11" width="20.6640625" style="199" customWidth="1"/>
    <col min="12" max="17" width="10.6640625" style="200" customWidth="1"/>
    <col min="18" max="19" width="15.6640625" style="200" customWidth="1"/>
    <col min="20" max="24" width="15.6640625" style="201" customWidth="1"/>
    <col min="25" max="27" width="15.6640625" style="202" customWidth="1"/>
    <col min="28" max="16384" width="10.83203125" style="187"/>
  </cols>
  <sheetData>
    <row r="1" spans="1:27" x14ac:dyDescent="0.2">
      <c r="A1" s="182" t="s">
        <v>120</v>
      </c>
      <c r="B1" s="183"/>
      <c r="C1" s="183"/>
      <c r="D1" s="183"/>
      <c r="E1" s="183"/>
      <c r="F1" s="183"/>
      <c r="G1" s="183"/>
      <c r="H1" s="183"/>
      <c r="I1" s="183"/>
      <c r="J1" s="183"/>
      <c r="K1" s="184"/>
      <c r="L1" s="185"/>
      <c r="M1" s="185"/>
      <c r="N1" s="185"/>
      <c r="O1" s="185"/>
      <c r="P1" s="185"/>
      <c r="Q1" s="186"/>
      <c r="R1" s="185"/>
      <c r="S1" s="185"/>
      <c r="T1" s="204"/>
      <c r="U1" s="204"/>
      <c r="V1" s="204"/>
      <c r="W1" s="204"/>
      <c r="X1" s="204"/>
      <c r="Y1" s="204"/>
      <c r="Z1" s="204"/>
      <c r="AA1" s="205"/>
    </row>
    <row r="2" spans="1:27" x14ac:dyDescent="0.2">
      <c r="A2" s="188" t="s">
        <v>193</v>
      </c>
      <c r="B2" s="226"/>
      <c r="C2" s="226"/>
      <c r="D2" s="226"/>
      <c r="E2" s="226"/>
      <c r="F2" s="226"/>
      <c r="G2" s="226"/>
      <c r="H2" s="226"/>
      <c r="I2" s="226"/>
      <c r="J2" s="222"/>
      <c r="K2" s="190" t="s">
        <v>233</v>
      </c>
      <c r="L2" s="225"/>
      <c r="M2" s="225"/>
      <c r="N2" s="225"/>
      <c r="O2" s="227"/>
      <c r="P2" s="225"/>
      <c r="Q2" s="233"/>
      <c r="R2" s="227" t="s">
        <v>349</v>
      </c>
      <c r="S2" s="227"/>
      <c r="T2" s="228"/>
      <c r="U2" s="228"/>
      <c r="V2" s="228"/>
      <c r="W2" s="228"/>
      <c r="X2" s="228"/>
      <c r="Y2" s="228"/>
      <c r="Z2" s="228"/>
      <c r="AA2" s="206"/>
    </row>
    <row r="3" spans="1:27" x14ac:dyDescent="0.2">
      <c r="A3" s="188" t="s">
        <v>194</v>
      </c>
      <c r="B3" s="226"/>
      <c r="C3" s="226"/>
      <c r="D3" s="226"/>
      <c r="E3" s="226"/>
      <c r="F3" s="226"/>
      <c r="G3" s="226"/>
      <c r="H3" s="226"/>
      <c r="I3" s="226"/>
      <c r="J3" s="222"/>
      <c r="K3" s="190" t="s">
        <v>234</v>
      </c>
      <c r="L3" s="225"/>
      <c r="M3" s="225"/>
      <c r="N3" s="225"/>
      <c r="O3" s="227"/>
      <c r="P3" s="225"/>
      <c r="Q3" s="233"/>
      <c r="R3" s="227" t="s">
        <v>348</v>
      </c>
      <c r="S3" s="227"/>
      <c r="T3" s="228"/>
      <c r="U3" s="228"/>
      <c r="V3" s="228"/>
      <c r="W3" s="228"/>
      <c r="X3" s="228"/>
      <c r="Y3" s="228"/>
      <c r="Z3" s="228"/>
      <c r="AA3" s="206"/>
    </row>
    <row r="4" spans="1:27" x14ac:dyDescent="0.2">
      <c r="A4" s="181" t="s">
        <v>330</v>
      </c>
      <c r="B4" s="226"/>
      <c r="C4" s="226"/>
      <c r="D4" s="226"/>
      <c r="E4" s="226"/>
      <c r="F4" s="226"/>
      <c r="G4" s="226"/>
      <c r="H4" s="226"/>
      <c r="I4" s="226"/>
      <c r="J4" s="222"/>
      <c r="K4" s="190" t="s">
        <v>235</v>
      </c>
      <c r="L4" s="225"/>
      <c r="M4" s="225"/>
      <c r="N4" s="225"/>
      <c r="O4" s="222"/>
      <c r="P4" s="225"/>
      <c r="Q4" s="189"/>
      <c r="R4" s="225"/>
      <c r="S4" s="225"/>
      <c r="T4" s="228"/>
      <c r="U4" s="228"/>
      <c r="V4" s="228"/>
      <c r="W4" s="228"/>
      <c r="X4" s="228"/>
      <c r="Y4" s="228"/>
      <c r="Z4" s="228"/>
      <c r="AA4" s="206"/>
    </row>
    <row r="5" spans="1:27" ht="16" customHeight="1" x14ac:dyDescent="0.2">
      <c r="A5" s="217" t="s">
        <v>353</v>
      </c>
      <c r="B5" s="218"/>
      <c r="C5" s="218"/>
      <c r="D5" s="218"/>
      <c r="E5" s="218"/>
      <c r="F5" s="218"/>
      <c r="G5" s="218"/>
      <c r="H5" s="218"/>
      <c r="I5" s="218"/>
      <c r="J5" s="218"/>
      <c r="K5" s="190" t="s">
        <v>236</v>
      </c>
      <c r="L5" s="219"/>
      <c r="M5" s="219"/>
      <c r="N5" s="219"/>
      <c r="O5" s="222"/>
      <c r="P5" s="225"/>
      <c r="Q5" s="189"/>
      <c r="R5" s="225"/>
      <c r="S5" s="225"/>
      <c r="T5" s="228"/>
      <c r="U5" s="228"/>
      <c r="V5" s="228"/>
      <c r="W5" s="228"/>
      <c r="X5" s="228"/>
      <c r="Y5" s="228"/>
      <c r="Z5" s="228"/>
      <c r="AA5" s="206"/>
    </row>
    <row r="6" spans="1:27" x14ac:dyDescent="0.2">
      <c r="A6" s="217"/>
      <c r="B6" s="218"/>
      <c r="C6" s="218"/>
      <c r="D6" s="218"/>
      <c r="E6" s="218"/>
      <c r="F6" s="218"/>
      <c r="G6" s="218"/>
      <c r="H6" s="218"/>
      <c r="I6" s="218"/>
      <c r="J6" s="218"/>
      <c r="K6" s="190" t="s">
        <v>237</v>
      </c>
      <c r="L6" s="219"/>
      <c r="M6" s="219"/>
      <c r="N6" s="219"/>
      <c r="O6" s="222"/>
      <c r="P6" s="225"/>
      <c r="Q6" s="189"/>
      <c r="R6" s="225"/>
      <c r="S6" s="225"/>
      <c r="T6" s="228"/>
      <c r="U6" s="228"/>
      <c r="V6" s="228"/>
      <c r="W6" s="228"/>
      <c r="X6" s="228"/>
      <c r="Y6" s="228"/>
      <c r="Z6" s="228"/>
      <c r="AA6" s="206"/>
    </row>
    <row r="7" spans="1:27" ht="16" customHeight="1" x14ac:dyDescent="0.2">
      <c r="A7" s="217" t="s">
        <v>355</v>
      </c>
      <c r="B7" s="218"/>
      <c r="C7" s="218"/>
      <c r="D7" s="218"/>
      <c r="E7" s="218"/>
      <c r="F7" s="218"/>
      <c r="G7" s="218"/>
      <c r="H7" s="218"/>
      <c r="I7" s="218"/>
      <c r="J7" s="218"/>
      <c r="K7" s="190" t="s">
        <v>238</v>
      </c>
      <c r="L7" s="219"/>
      <c r="M7" s="219"/>
      <c r="N7" s="219"/>
      <c r="O7" s="222"/>
      <c r="P7" s="225"/>
      <c r="Q7" s="189"/>
      <c r="R7" s="225"/>
      <c r="S7" s="225"/>
      <c r="T7" s="228"/>
      <c r="U7" s="228"/>
      <c r="V7" s="228"/>
      <c r="W7" s="228"/>
      <c r="X7" s="228"/>
      <c r="Y7" s="228"/>
      <c r="Z7" s="228"/>
      <c r="AA7" s="206"/>
    </row>
    <row r="8" spans="1:27" ht="16" customHeight="1" x14ac:dyDescent="0.2">
      <c r="A8" s="217" t="s">
        <v>356</v>
      </c>
      <c r="B8" s="218"/>
      <c r="C8" s="218"/>
      <c r="D8" s="218"/>
      <c r="E8" s="218"/>
      <c r="F8" s="218"/>
      <c r="G8" s="218"/>
      <c r="H8" s="218"/>
      <c r="I8" s="218"/>
      <c r="J8" s="218"/>
      <c r="K8" s="188" t="str">
        <f>"- h: Height of rectangular section (Input as Float) ("&amp;'User Defined Units'!$B$11&amp;")"</f>
        <v>- h: Height of rectangular section (Input as Float) (m)</v>
      </c>
      <c r="L8" s="219"/>
      <c r="M8" s="219"/>
      <c r="N8" s="219"/>
      <c r="O8" s="223"/>
      <c r="P8" s="225"/>
      <c r="Q8" s="189"/>
      <c r="R8" s="225"/>
      <c r="S8" s="225"/>
      <c r="T8" s="228"/>
      <c r="U8" s="228"/>
      <c r="V8" s="228"/>
      <c r="W8" s="228"/>
      <c r="X8" s="228"/>
      <c r="Y8" s="228"/>
      <c r="Z8" s="228"/>
      <c r="AA8" s="206"/>
    </row>
    <row r="9" spans="1:27" ht="16" customHeight="1" x14ac:dyDescent="0.2">
      <c r="A9" s="217" t="s">
        <v>354</v>
      </c>
      <c r="B9" s="218"/>
      <c r="C9" s="218"/>
      <c r="D9" s="218"/>
      <c r="E9" s="218"/>
      <c r="F9" s="218"/>
      <c r="G9" s="218"/>
      <c r="H9" s="218"/>
      <c r="I9" s="218"/>
      <c r="J9" s="218"/>
      <c r="K9" s="188" t="str">
        <f>"- b: Width of rectangular section (Input as Float) ("&amp;'User Defined Units'!$B$11&amp;")"</f>
        <v>- b: Width of rectangular section (Input as Float) (m)</v>
      </c>
      <c r="L9" s="219"/>
      <c r="M9" s="219"/>
      <c r="N9" s="219"/>
      <c r="O9" s="223"/>
      <c r="P9" s="225"/>
      <c r="Q9" s="189"/>
      <c r="R9" s="225"/>
      <c r="S9" s="225"/>
      <c r="T9" s="228"/>
      <c r="U9" s="228"/>
      <c r="V9" s="228"/>
      <c r="W9" s="228"/>
      <c r="X9" s="228"/>
      <c r="Y9" s="228"/>
      <c r="Z9" s="228"/>
      <c r="AA9" s="206"/>
    </row>
    <row r="10" spans="1:27" ht="16" customHeight="1" x14ac:dyDescent="0.2">
      <c r="A10" s="217" t="s">
        <v>357</v>
      </c>
      <c r="B10" s="218"/>
      <c r="C10" s="218"/>
      <c r="D10" s="218"/>
      <c r="E10" s="218"/>
      <c r="F10" s="218"/>
      <c r="G10" s="218"/>
      <c r="H10" s="218"/>
      <c r="I10" s="218"/>
      <c r="J10" s="218"/>
      <c r="K10" s="181" t="str">
        <f>"- c: Concrete cover (Input as Float) ("&amp;'User Defined Units'!$B$11&amp;")"</f>
        <v>- c: Concrete cover (Input as Float) (m)</v>
      </c>
      <c r="L10" s="219"/>
      <c r="M10" s="219"/>
      <c r="N10" s="219"/>
      <c r="O10" s="224"/>
      <c r="P10" s="225"/>
      <c r="Q10" s="189"/>
      <c r="R10" s="225"/>
      <c r="S10" s="225"/>
      <c r="T10" s="228"/>
      <c r="U10" s="228"/>
      <c r="V10" s="228"/>
      <c r="W10" s="228"/>
      <c r="X10" s="228"/>
      <c r="Y10" s="228"/>
      <c r="Z10" s="228"/>
      <c r="AA10" s="206"/>
    </row>
    <row r="11" spans="1:27" ht="16" customHeight="1" x14ac:dyDescent="0.2">
      <c r="A11" s="217" t="s">
        <v>358</v>
      </c>
      <c r="B11" s="218"/>
      <c r="C11" s="218"/>
      <c r="D11" s="218"/>
      <c r="E11" s="218"/>
      <c r="F11" s="218"/>
      <c r="G11" s="218"/>
      <c r="H11" s="218"/>
      <c r="I11" s="218"/>
      <c r="J11" s="218"/>
      <c r="K11" s="188" t="str">
        <f>"- barDiaHoop: Diameter of hoops (Input as Float) ("&amp;'User Defined Units'!$B$11&amp;")"</f>
        <v>- barDiaHoop: Diameter of hoops (Input as Float) (m)</v>
      </c>
      <c r="L11" s="219"/>
      <c r="M11" s="219"/>
      <c r="N11" s="219"/>
      <c r="O11" s="223"/>
      <c r="P11" s="225"/>
      <c r="Q11" s="189"/>
      <c r="R11" s="225"/>
      <c r="S11" s="225"/>
      <c r="T11" s="228"/>
      <c r="U11" s="228"/>
      <c r="V11" s="228"/>
      <c r="W11" s="228"/>
      <c r="X11" s="228"/>
      <c r="Y11" s="228"/>
      <c r="Z11" s="228"/>
      <c r="AA11" s="206"/>
    </row>
    <row r="12" spans="1:27" ht="16" customHeight="1" x14ac:dyDescent="0.2">
      <c r="A12" s="215" t="s">
        <v>360</v>
      </c>
      <c r="B12" s="219"/>
      <c r="C12" s="219"/>
      <c r="D12" s="219"/>
      <c r="E12" s="219"/>
      <c r="F12" s="219"/>
      <c r="G12" s="219"/>
      <c r="H12" s="219"/>
      <c r="I12" s="219"/>
      <c r="J12" s="223"/>
      <c r="K12" s="188" t="str">
        <f>"- barDiaTop: Diameter of top reinforcements (Input as Float) ("&amp;'User Defined Units'!$B$11&amp;")"</f>
        <v>- barDiaTop: Diameter of top reinforcements (Input as Float) (m)</v>
      </c>
      <c r="L12" s="225"/>
      <c r="M12" s="225"/>
      <c r="N12" s="225"/>
      <c r="O12" s="223"/>
      <c r="P12" s="225"/>
      <c r="Q12" s="189"/>
      <c r="R12" s="225"/>
      <c r="S12" s="225"/>
      <c r="T12" s="228"/>
      <c r="U12" s="228"/>
      <c r="V12" s="228"/>
      <c r="W12" s="228"/>
      <c r="X12" s="228"/>
      <c r="Y12" s="228"/>
      <c r="Z12" s="228"/>
      <c r="AA12" s="206"/>
    </row>
    <row r="13" spans="1:27" ht="16" customHeight="1" x14ac:dyDescent="0.2">
      <c r="A13" s="215"/>
      <c r="B13" s="221"/>
      <c r="C13" s="221"/>
      <c r="D13" s="221"/>
      <c r="E13" s="221"/>
      <c r="F13" s="221"/>
      <c r="G13" s="221"/>
      <c r="H13" s="221"/>
      <c r="I13" s="221"/>
      <c r="J13" s="223"/>
      <c r="K13" s="188" t="str">
        <f>"- barDiaBot: Diameter of bottom reinforcements (Input as Float) ("&amp;'User Defined Units'!$B$11&amp;")"</f>
        <v>- barDiaBot: Diameter of bottom reinforcements (Input as Float) (m)</v>
      </c>
      <c r="L13" s="225"/>
      <c r="M13" s="225"/>
      <c r="N13" s="225"/>
      <c r="O13" s="223"/>
      <c r="P13" s="225"/>
      <c r="Q13" s="189"/>
      <c r="R13" s="225"/>
      <c r="S13" s="225"/>
      <c r="T13" s="228"/>
      <c r="U13" s="228"/>
      <c r="V13" s="228"/>
      <c r="W13" s="228"/>
      <c r="X13" s="228"/>
      <c r="Y13" s="228"/>
      <c r="Z13" s="228"/>
      <c r="AA13" s="206"/>
    </row>
    <row r="14" spans="1:27" ht="16" customHeight="1" x14ac:dyDescent="0.2">
      <c r="A14" s="220"/>
      <c r="B14" s="221"/>
      <c r="C14" s="221"/>
      <c r="D14" s="221"/>
      <c r="E14" s="221"/>
      <c r="F14" s="221"/>
      <c r="G14" s="221"/>
      <c r="H14" s="221"/>
      <c r="I14" s="221"/>
      <c r="J14" s="223"/>
      <c r="K14" s="188" t="str">
        <f>"- barDiaInt: Diameter of intermediate reinforcements (Input as Float) ("&amp;'User Defined Units'!$B$11&amp;")"</f>
        <v>- barDiaInt: Diameter of intermediate reinforcements (Input as Float) (m)</v>
      </c>
      <c r="L14" s="225"/>
      <c r="M14" s="225"/>
      <c r="N14" s="225"/>
      <c r="O14" s="223"/>
      <c r="P14" s="225"/>
      <c r="Q14" s="189"/>
      <c r="R14" s="225"/>
      <c r="S14" s="225"/>
      <c r="T14" s="228"/>
      <c r="U14" s="228"/>
      <c r="V14" s="228"/>
      <c r="W14" s="228"/>
      <c r="X14" s="228"/>
      <c r="Y14" s="228"/>
      <c r="Z14" s="228"/>
      <c r="AA14" s="206"/>
    </row>
    <row r="15" spans="1:27" ht="16" customHeight="1" x14ac:dyDescent="0.2">
      <c r="A15" s="220"/>
      <c r="B15" s="221"/>
      <c r="C15" s="221"/>
      <c r="D15" s="221"/>
      <c r="E15" s="221"/>
      <c r="F15" s="221"/>
      <c r="G15" s="221"/>
      <c r="H15" s="221"/>
      <c r="I15" s="221"/>
      <c r="J15" s="223"/>
      <c r="K15" s="188" t="s">
        <v>196</v>
      </c>
      <c r="L15" s="225"/>
      <c r="M15" s="225"/>
      <c r="N15" s="225"/>
      <c r="O15" s="223"/>
      <c r="P15" s="225"/>
      <c r="Q15" s="189"/>
      <c r="R15" s="225"/>
      <c r="S15" s="225"/>
      <c r="T15" s="228"/>
      <c r="U15" s="228"/>
      <c r="V15" s="228"/>
      <c r="W15" s="228"/>
      <c r="X15" s="228"/>
      <c r="Y15" s="228"/>
      <c r="Z15" s="228"/>
      <c r="AA15" s="206"/>
    </row>
    <row r="16" spans="1:27" ht="16" customHeight="1" x14ac:dyDescent="0.2">
      <c r="A16" s="191" t="s">
        <v>142</v>
      </c>
      <c r="B16" s="221"/>
      <c r="C16" s="221"/>
      <c r="D16" s="221"/>
      <c r="E16" s="221"/>
      <c r="F16" s="221"/>
      <c r="G16" s="221"/>
      <c r="H16" s="221"/>
      <c r="I16" s="221"/>
      <c r="J16" s="223"/>
      <c r="K16" s="188" t="s">
        <v>197</v>
      </c>
      <c r="L16" s="225"/>
      <c r="M16" s="225"/>
      <c r="N16" s="225"/>
      <c r="O16" s="223"/>
      <c r="P16" s="225"/>
      <c r="Q16" s="189"/>
      <c r="R16" s="225"/>
      <c r="S16" s="225"/>
      <c r="T16" s="228"/>
      <c r="U16" s="228"/>
      <c r="V16" s="228"/>
      <c r="W16" s="228"/>
      <c r="X16" s="228"/>
      <c r="Y16" s="228"/>
      <c r="Z16" s="228"/>
      <c r="AA16" s="206"/>
    </row>
    <row r="17" spans="1:27" x14ac:dyDescent="0.2">
      <c r="A17" s="192" t="s">
        <v>345</v>
      </c>
      <c r="B17" s="193"/>
      <c r="C17" s="193"/>
      <c r="D17" s="193"/>
      <c r="E17" s="193"/>
      <c r="F17" s="193"/>
      <c r="G17" s="193"/>
      <c r="H17" s="193"/>
      <c r="I17" s="193"/>
      <c r="J17" s="229"/>
      <c r="K17" s="232" t="s">
        <v>198</v>
      </c>
      <c r="L17" s="194"/>
      <c r="M17" s="194"/>
      <c r="N17" s="194"/>
      <c r="O17" s="229"/>
      <c r="P17" s="194"/>
      <c r="Q17" s="195"/>
      <c r="R17" s="194"/>
      <c r="S17" s="194"/>
      <c r="T17" s="207"/>
      <c r="U17" s="207"/>
      <c r="V17" s="207"/>
      <c r="W17" s="207"/>
      <c r="X17" s="207"/>
      <c r="Y17" s="207"/>
      <c r="Z17" s="207"/>
      <c r="AA17" s="208"/>
    </row>
    <row r="18" spans="1:27" x14ac:dyDescent="0.2">
      <c r="A18" s="196"/>
      <c r="B18" s="104"/>
      <c r="C18" s="104"/>
      <c r="D18" s="104"/>
      <c r="E18" s="104"/>
      <c r="F18" s="104"/>
      <c r="G18" s="104"/>
      <c r="H18" s="104"/>
      <c r="I18" s="104"/>
      <c r="J18" s="104"/>
      <c r="K18" s="104"/>
      <c r="L18" s="197"/>
      <c r="M18" s="197"/>
      <c r="N18" s="197"/>
      <c r="O18" s="197"/>
      <c r="P18" s="197"/>
      <c r="Q18" s="197"/>
      <c r="R18" s="197"/>
      <c r="S18" s="197"/>
      <c r="T18" s="187"/>
      <c r="U18" s="187"/>
      <c r="V18" s="187"/>
      <c r="W18" s="187"/>
      <c r="X18" s="187"/>
      <c r="Y18" s="187"/>
      <c r="Z18" s="187"/>
      <c r="AA18" s="187"/>
    </row>
    <row r="19" spans="1:27" s="198" customFormat="1" x14ac:dyDescent="0.2">
      <c r="A19" s="130" t="s">
        <v>24</v>
      </c>
      <c r="B19" s="130" t="s">
        <v>23</v>
      </c>
      <c r="C19" s="130" t="s">
        <v>30</v>
      </c>
      <c r="D19" s="130" t="s">
        <v>241</v>
      </c>
      <c r="E19" s="130" t="s">
        <v>334</v>
      </c>
      <c r="F19" s="130" t="s">
        <v>335</v>
      </c>
      <c r="G19" s="130" t="s">
        <v>350</v>
      </c>
      <c r="H19" s="130" t="s">
        <v>351</v>
      </c>
      <c r="I19" s="130" t="s">
        <v>352</v>
      </c>
      <c r="J19" s="130" t="s">
        <v>33</v>
      </c>
      <c r="K19" s="130" t="s">
        <v>34</v>
      </c>
      <c r="L19" s="130" t="s">
        <v>227</v>
      </c>
      <c r="M19" s="130" t="s">
        <v>228</v>
      </c>
      <c r="N19" s="130" t="s">
        <v>229</v>
      </c>
      <c r="O19" s="130" t="s">
        <v>230</v>
      </c>
      <c r="P19" s="130" t="s">
        <v>231</v>
      </c>
      <c r="Q19" s="130" t="s">
        <v>232</v>
      </c>
      <c r="R19" s="130" t="s">
        <v>332</v>
      </c>
      <c r="S19" s="130" t="s">
        <v>333</v>
      </c>
      <c r="T19" s="130" t="s">
        <v>337</v>
      </c>
      <c r="U19" s="130" t="s">
        <v>338</v>
      </c>
      <c r="V19" s="130" t="s">
        <v>339</v>
      </c>
      <c r="W19" s="130" t="s">
        <v>340</v>
      </c>
      <c r="X19" s="130" t="s">
        <v>341</v>
      </c>
      <c r="Y19" s="130" t="s">
        <v>342</v>
      </c>
      <c r="Z19" s="130" t="s">
        <v>343</v>
      </c>
      <c r="AA19" s="130" t="s">
        <v>344</v>
      </c>
    </row>
    <row r="20" spans="1:27" x14ac:dyDescent="0.2">
      <c r="A20" s="199" t="s">
        <v>31</v>
      </c>
      <c r="B20" s="199" t="s">
        <v>26</v>
      </c>
      <c r="C20" s="199" t="s">
        <v>280</v>
      </c>
      <c r="D20" s="199" t="s">
        <v>13</v>
      </c>
      <c r="L20" s="200">
        <v>1</v>
      </c>
      <c r="M20" s="200">
        <v>1</v>
      </c>
      <c r="N20" s="200">
        <v>1</v>
      </c>
      <c r="O20" s="200">
        <v>0.7</v>
      </c>
      <c r="P20" s="200">
        <v>0.7</v>
      </c>
      <c r="Q20" s="200">
        <v>1</v>
      </c>
      <c r="R20" s="200">
        <v>0.7</v>
      </c>
      <c r="S20" s="200">
        <v>0.7</v>
      </c>
      <c r="T20" s="201">
        <v>0</v>
      </c>
      <c r="U20" s="201">
        <v>0</v>
      </c>
      <c r="V20" s="201">
        <v>0</v>
      </c>
      <c r="W20" s="201">
        <v>0</v>
      </c>
      <c r="X20" s="201">
        <v>0</v>
      </c>
      <c r="Y20" s="202">
        <v>0</v>
      </c>
      <c r="Z20" s="202">
        <v>0</v>
      </c>
      <c r="AA20" s="202">
        <v>0</v>
      </c>
    </row>
    <row r="21" spans="1:27" x14ac:dyDescent="0.2">
      <c r="A21" s="199" t="s">
        <v>32</v>
      </c>
      <c r="B21" s="199" t="s">
        <v>26</v>
      </c>
      <c r="C21" s="199" t="s">
        <v>280</v>
      </c>
      <c r="D21" s="199" t="s">
        <v>13</v>
      </c>
      <c r="L21" s="200">
        <v>1</v>
      </c>
      <c r="M21" s="200">
        <v>1</v>
      </c>
      <c r="N21" s="200">
        <v>1</v>
      </c>
      <c r="O21" s="200">
        <v>0.35</v>
      </c>
      <c r="P21" s="200">
        <v>0.35</v>
      </c>
      <c r="Q21" s="200">
        <v>1</v>
      </c>
      <c r="R21" s="200">
        <v>0.6</v>
      </c>
      <c r="S21" s="200">
        <v>0.3</v>
      </c>
      <c r="T21" s="201">
        <v>0</v>
      </c>
      <c r="U21" s="201">
        <v>0</v>
      </c>
      <c r="V21" s="201">
        <v>0</v>
      </c>
      <c r="W21" s="201">
        <v>0</v>
      </c>
      <c r="X21" s="201">
        <v>0</v>
      </c>
      <c r="Y21" s="202">
        <v>0</v>
      </c>
      <c r="Z21" s="202">
        <v>0</v>
      </c>
      <c r="AA21" s="202">
        <v>0</v>
      </c>
    </row>
    <row r="22" spans="1:27" x14ac:dyDescent="0.2">
      <c r="A22" s="203" t="s">
        <v>336</v>
      </c>
      <c r="B22" s="199" t="s">
        <v>26</v>
      </c>
      <c r="C22" s="199" t="s">
        <v>329</v>
      </c>
      <c r="D22" s="199" t="s">
        <v>17</v>
      </c>
      <c r="E22" s="199" t="s">
        <v>16</v>
      </c>
      <c r="F22" s="199" t="s">
        <v>18</v>
      </c>
      <c r="J22" s="199" t="s">
        <v>22</v>
      </c>
      <c r="L22" s="200">
        <v>1</v>
      </c>
      <c r="M22" s="200">
        <v>1</v>
      </c>
      <c r="N22" s="200">
        <v>1</v>
      </c>
      <c r="O22" s="200">
        <v>1</v>
      </c>
      <c r="P22" s="200">
        <v>1</v>
      </c>
      <c r="Q22" s="200">
        <v>1</v>
      </c>
      <c r="R22" s="200">
        <v>0.7</v>
      </c>
      <c r="S22" s="200">
        <v>0.7</v>
      </c>
      <c r="T22" s="201">
        <f>40/1000</f>
        <v>0.04</v>
      </c>
      <c r="U22" s="201">
        <f>13/1000</f>
        <v>1.2999999999999999E-2</v>
      </c>
      <c r="V22" s="201">
        <f>22/1000</f>
        <v>2.1999999999999999E-2</v>
      </c>
      <c r="W22" s="201">
        <f>22/1000</f>
        <v>2.1999999999999999E-2</v>
      </c>
      <c r="X22" s="201">
        <f>22/1000</f>
        <v>2.1999999999999999E-2</v>
      </c>
      <c r="Y22" s="202">
        <v>7</v>
      </c>
      <c r="Z22" s="202">
        <v>7</v>
      </c>
      <c r="AA22" s="202">
        <v>10</v>
      </c>
    </row>
    <row r="23" spans="1:27" x14ac:dyDescent="0.2">
      <c r="A23" s="231" t="s">
        <v>346</v>
      </c>
      <c r="B23" s="199" t="s">
        <v>26</v>
      </c>
      <c r="C23" s="199" t="s">
        <v>359</v>
      </c>
      <c r="I23" s="199" t="s">
        <v>13</v>
      </c>
      <c r="K23" s="199" t="s">
        <v>336</v>
      </c>
      <c r="L23" s="200">
        <v>0</v>
      </c>
      <c r="M23" s="200">
        <v>0</v>
      </c>
      <c r="N23" s="200">
        <v>0</v>
      </c>
      <c r="O23" s="200">
        <v>0</v>
      </c>
      <c r="P23" s="200">
        <v>0</v>
      </c>
      <c r="Q23" s="200">
        <v>0</v>
      </c>
      <c r="R23" s="200">
        <v>0</v>
      </c>
      <c r="S23" s="200">
        <v>0</v>
      </c>
      <c r="T23" s="201">
        <v>0</v>
      </c>
      <c r="U23" s="201">
        <v>0</v>
      </c>
      <c r="V23" s="201">
        <v>0</v>
      </c>
      <c r="W23" s="201">
        <v>0</v>
      </c>
      <c r="X23" s="201">
        <v>0</v>
      </c>
      <c r="Y23" s="202">
        <v>0</v>
      </c>
      <c r="Z23" s="202">
        <v>0</v>
      </c>
      <c r="AA23" s="202">
        <v>0</v>
      </c>
    </row>
    <row r="24" spans="1:27" x14ac:dyDescent="0.2">
      <c r="C24" s="199" t="str">
        <f t="shared" ref="C24:C86" si="0">IF(A24=0,"","Elastic")</f>
        <v/>
      </c>
    </row>
    <row r="25" spans="1:27" x14ac:dyDescent="0.2">
      <c r="C25" s="199" t="str">
        <f t="shared" si="0"/>
        <v/>
      </c>
    </row>
    <row r="26" spans="1:27" x14ac:dyDescent="0.2">
      <c r="C26" s="199" t="str">
        <f t="shared" si="0"/>
        <v/>
      </c>
    </row>
    <row r="27" spans="1:27" x14ac:dyDescent="0.2">
      <c r="C27" s="199" t="str">
        <f t="shared" si="0"/>
        <v/>
      </c>
    </row>
    <row r="28" spans="1:27" x14ac:dyDescent="0.2">
      <c r="C28" s="199" t="str">
        <f t="shared" si="0"/>
        <v/>
      </c>
    </row>
    <row r="29" spans="1:27" x14ac:dyDescent="0.2">
      <c r="C29" s="199" t="str">
        <f t="shared" si="0"/>
        <v/>
      </c>
    </row>
    <row r="30" spans="1:27" x14ac:dyDescent="0.2">
      <c r="C30" s="199" t="str">
        <f t="shared" si="0"/>
        <v/>
      </c>
    </row>
    <row r="31" spans="1:27" x14ac:dyDescent="0.2">
      <c r="C31" s="199" t="str">
        <f t="shared" si="0"/>
        <v/>
      </c>
    </row>
    <row r="32" spans="1:27" x14ac:dyDescent="0.2">
      <c r="C32" s="199" t="str">
        <f t="shared" si="0"/>
        <v/>
      </c>
    </row>
    <row r="33" spans="3:3" x14ac:dyDescent="0.2">
      <c r="C33" s="199" t="str">
        <f t="shared" si="0"/>
        <v/>
      </c>
    </row>
    <row r="34" spans="3:3" x14ac:dyDescent="0.2">
      <c r="C34" s="199" t="str">
        <f t="shared" si="0"/>
        <v/>
      </c>
    </row>
    <row r="35" spans="3:3" x14ac:dyDescent="0.2">
      <c r="C35" s="199" t="str">
        <f t="shared" si="0"/>
        <v/>
      </c>
    </row>
    <row r="36" spans="3:3" x14ac:dyDescent="0.2">
      <c r="C36" s="199" t="str">
        <f t="shared" si="0"/>
        <v/>
      </c>
    </row>
    <row r="37" spans="3:3" x14ac:dyDescent="0.2">
      <c r="C37" s="199" t="str">
        <f t="shared" si="0"/>
        <v/>
      </c>
    </row>
    <row r="38" spans="3:3" x14ac:dyDescent="0.2">
      <c r="C38" s="199" t="str">
        <f t="shared" si="0"/>
        <v/>
      </c>
    </row>
    <row r="39" spans="3:3" x14ac:dyDescent="0.2">
      <c r="C39" s="199" t="str">
        <f t="shared" si="0"/>
        <v/>
      </c>
    </row>
    <row r="40" spans="3:3" x14ac:dyDescent="0.2">
      <c r="C40" s="199" t="str">
        <f t="shared" si="0"/>
        <v/>
      </c>
    </row>
    <row r="41" spans="3:3" x14ac:dyDescent="0.2">
      <c r="C41" s="199" t="str">
        <f t="shared" si="0"/>
        <v/>
      </c>
    </row>
    <row r="42" spans="3:3" x14ac:dyDescent="0.2">
      <c r="C42" s="199" t="str">
        <f t="shared" si="0"/>
        <v/>
      </c>
    </row>
    <row r="43" spans="3:3" x14ac:dyDescent="0.2">
      <c r="C43" s="199" t="str">
        <f t="shared" si="0"/>
        <v/>
      </c>
    </row>
    <row r="44" spans="3:3" x14ac:dyDescent="0.2">
      <c r="C44" s="199" t="str">
        <f t="shared" si="0"/>
        <v/>
      </c>
    </row>
    <row r="45" spans="3:3" x14ac:dyDescent="0.2">
      <c r="C45" s="199" t="str">
        <f t="shared" si="0"/>
        <v/>
      </c>
    </row>
    <row r="46" spans="3:3" x14ac:dyDescent="0.2">
      <c r="C46" s="199" t="str">
        <f t="shared" si="0"/>
        <v/>
      </c>
    </row>
    <row r="47" spans="3:3" x14ac:dyDescent="0.2">
      <c r="C47" s="199" t="str">
        <f t="shared" si="0"/>
        <v/>
      </c>
    </row>
    <row r="48" spans="3:3" x14ac:dyDescent="0.2">
      <c r="C48" s="199" t="str">
        <f t="shared" si="0"/>
        <v/>
      </c>
    </row>
    <row r="49" spans="3:3" x14ac:dyDescent="0.2">
      <c r="C49" s="199" t="str">
        <f t="shared" si="0"/>
        <v/>
      </c>
    </row>
    <row r="50" spans="3:3" x14ac:dyDescent="0.2">
      <c r="C50" s="199" t="str">
        <f t="shared" si="0"/>
        <v/>
      </c>
    </row>
    <row r="51" spans="3:3" x14ac:dyDescent="0.2">
      <c r="C51" s="199" t="str">
        <f t="shared" si="0"/>
        <v/>
      </c>
    </row>
    <row r="52" spans="3:3" x14ac:dyDescent="0.2">
      <c r="C52" s="199" t="str">
        <f t="shared" si="0"/>
        <v/>
      </c>
    </row>
    <row r="53" spans="3:3" x14ac:dyDescent="0.2">
      <c r="C53" s="199" t="str">
        <f t="shared" si="0"/>
        <v/>
      </c>
    </row>
    <row r="54" spans="3:3" x14ac:dyDescent="0.2">
      <c r="C54" s="199" t="str">
        <f t="shared" si="0"/>
        <v/>
      </c>
    </row>
    <row r="55" spans="3:3" x14ac:dyDescent="0.2">
      <c r="C55" s="199" t="str">
        <f t="shared" si="0"/>
        <v/>
      </c>
    </row>
    <row r="56" spans="3:3" x14ac:dyDescent="0.2">
      <c r="C56" s="199" t="str">
        <f t="shared" si="0"/>
        <v/>
      </c>
    </row>
    <row r="57" spans="3:3" x14ac:dyDescent="0.2">
      <c r="C57" s="199" t="str">
        <f t="shared" si="0"/>
        <v/>
      </c>
    </row>
    <row r="58" spans="3:3" x14ac:dyDescent="0.2">
      <c r="C58" s="199" t="str">
        <f t="shared" si="0"/>
        <v/>
      </c>
    </row>
    <row r="59" spans="3:3" x14ac:dyDescent="0.2">
      <c r="C59" s="199" t="str">
        <f t="shared" si="0"/>
        <v/>
      </c>
    </row>
    <row r="60" spans="3:3" x14ac:dyDescent="0.2">
      <c r="C60" s="199" t="str">
        <f t="shared" si="0"/>
        <v/>
      </c>
    </row>
    <row r="61" spans="3:3" x14ac:dyDescent="0.2">
      <c r="C61" s="199" t="str">
        <f t="shared" si="0"/>
        <v/>
      </c>
    </row>
    <row r="62" spans="3:3" x14ac:dyDescent="0.2">
      <c r="C62" s="199" t="str">
        <f t="shared" si="0"/>
        <v/>
      </c>
    </row>
    <row r="63" spans="3:3" x14ac:dyDescent="0.2">
      <c r="C63" s="199" t="str">
        <f t="shared" si="0"/>
        <v/>
      </c>
    </row>
    <row r="64" spans="3:3" x14ac:dyDescent="0.2">
      <c r="C64" s="199" t="str">
        <f t="shared" si="0"/>
        <v/>
      </c>
    </row>
    <row r="65" spans="3:3" x14ac:dyDescent="0.2">
      <c r="C65" s="199" t="str">
        <f t="shared" si="0"/>
        <v/>
      </c>
    </row>
    <row r="66" spans="3:3" x14ac:dyDescent="0.2">
      <c r="C66" s="199" t="str">
        <f t="shared" si="0"/>
        <v/>
      </c>
    </row>
    <row r="67" spans="3:3" x14ac:dyDescent="0.2">
      <c r="C67" s="199" t="str">
        <f t="shared" si="0"/>
        <v/>
      </c>
    </row>
    <row r="68" spans="3:3" x14ac:dyDescent="0.2">
      <c r="C68" s="199" t="str">
        <f t="shared" si="0"/>
        <v/>
      </c>
    </row>
    <row r="69" spans="3:3" x14ac:dyDescent="0.2">
      <c r="C69" s="199" t="str">
        <f t="shared" si="0"/>
        <v/>
      </c>
    </row>
    <row r="70" spans="3:3" x14ac:dyDescent="0.2">
      <c r="C70" s="199" t="str">
        <f t="shared" si="0"/>
        <v/>
      </c>
    </row>
    <row r="71" spans="3:3" x14ac:dyDescent="0.2">
      <c r="C71" s="199" t="str">
        <f t="shared" si="0"/>
        <v/>
      </c>
    </row>
    <row r="72" spans="3:3" x14ac:dyDescent="0.2">
      <c r="C72" s="199" t="str">
        <f t="shared" si="0"/>
        <v/>
      </c>
    </row>
    <row r="73" spans="3:3" x14ac:dyDescent="0.2">
      <c r="C73" s="199" t="str">
        <f t="shared" si="0"/>
        <v/>
      </c>
    </row>
    <row r="74" spans="3:3" x14ac:dyDescent="0.2">
      <c r="C74" s="199" t="str">
        <f t="shared" si="0"/>
        <v/>
      </c>
    </row>
    <row r="75" spans="3:3" x14ac:dyDescent="0.2">
      <c r="C75" s="199" t="str">
        <f t="shared" si="0"/>
        <v/>
      </c>
    </row>
    <row r="76" spans="3:3" x14ac:dyDescent="0.2">
      <c r="C76" s="199" t="str">
        <f t="shared" si="0"/>
        <v/>
      </c>
    </row>
    <row r="77" spans="3:3" x14ac:dyDescent="0.2">
      <c r="C77" s="199" t="str">
        <f t="shared" si="0"/>
        <v/>
      </c>
    </row>
    <row r="78" spans="3:3" x14ac:dyDescent="0.2">
      <c r="C78" s="199" t="str">
        <f t="shared" si="0"/>
        <v/>
      </c>
    </row>
    <row r="79" spans="3:3" x14ac:dyDescent="0.2">
      <c r="C79" s="199" t="str">
        <f t="shared" si="0"/>
        <v/>
      </c>
    </row>
    <row r="80" spans="3:3" x14ac:dyDescent="0.2">
      <c r="C80" s="199" t="str">
        <f t="shared" si="0"/>
        <v/>
      </c>
    </row>
    <row r="81" spans="3:3" x14ac:dyDescent="0.2">
      <c r="C81" s="199" t="str">
        <f t="shared" si="0"/>
        <v/>
      </c>
    </row>
    <row r="82" spans="3:3" x14ac:dyDescent="0.2">
      <c r="C82" s="199" t="str">
        <f t="shared" si="0"/>
        <v/>
      </c>
    </row>
    <row r="83" spans="3:3" x14ac:dyDescent="0.2">
      <c r="C83" s="199" t="str">
        <f t="shared" si="0"/>
        <v/>
      </c>
    </row>
    <row r="84" spans="3:3" x14ac:dyDescent="0.2">
      <c r="C84" s="199" t="str">
        <f t="shared" si="0"/>
        <v/>
      </c>
    </row>
    <row r="85" spans="3:3" x14ac:dyDescent="0.2">
      <c r="C85" s="199" t="str">
        <f t="shared" si="0"/>
        <v/>
      </c>
    </row>
    <row r="86" spans="3:3" x14ac:dyDescent="0.2">
      <c r="C86" s="199" t="str">
        <f t="shared" si="0"/>
        <v/>
      </c>
    </row>
    <row r="87" spans="3:3" x14ac:dyDescent="0.2">
      <c r="C87" s="199" t="str">
        <f t="shared" ref="C87:C150" si="1">IF(A87=0,"","Elastic")</f>
        <v/>
      </c>
    </row>
    <row r="88" spans="3:3" x14ac:dyDescent="0.2">
      <c r="C88" s="199" t="str">
        <f t="shared" si="1"/>
        <v/>
      </c>
    </row>
    <row r="89" spans="3:3" x14ac:dyDescent="0.2">
      <c r="C89" s="199" t="str">
        <f t="shared" si="1"/>
        <v/>
      </c>
    </row>
    <row r="90" spans="3:3" x14ac:dyDescent="0.2">
      <c r="C90" s="199" t="str">
        <f t="shared" si="1"/>
        <v/>
      </c>
    </row>
    <row r="91" spans="3:3" x14ac:dyDescent="0.2">
      <c r="C91" s="199" t="str">
        <f t="shared" si="1"/>
        <v/>
      </c>
    </row>
    <row r="92" spans="3:3" x14ac:dyDescent="0.2">
      <c r="C92" s="199" t="str">
        <f t="shared" si="1"/>
        <v/>
      </c>
    </row>
    <row r="93" spans="3:3" x14ac:dyDescent="0.2">
      <c r="C93" s="199" t="str">
        <f t="shared" si="1"/>
        <v/>
      </c>
    </row>
    <row r="94" spans="3:3" x14ac:dyDescent="0.2">
      <c r="C94" s="199" t="str">
        <f t="shared" si="1"/>
        <v/>
      </c>
    </row>
    <row r="95" spans="3:3" x14ac:dyDescent="0.2">
      <c r="C95" s="199" t="str">
        <f t="shared" si="1"/>
        <v/>
      </c>
    </row>
    <row r="96" spans="3:3" x14ac:dyDescent="0.2">
      <c r="C96" s="199" t="str">
        <f t="shared" si="1"/>
        <v/>
      </c>
    </row>
    <row r="97" spans="3:3" x14ac:dyDescent="0.2">
      <c r="C97" s="199" t="str">
        <f t="shared" si="1"/>
        <v/>
      </c>
    </row>
    <row r="98" spans="3:3" x14ac:dyDescent="0.2">
      <c r="C98" s="199" t="str">
        <f t="shared" si="1"/>
        <v/>
      </c>
    </row>
    <row r="99" spans="3:3" x14ac:dyDescent="0.2">
      <c r="C99" s="199" t="str">
        <f t="shared" si="1"/>
        <v/>
      </c>
    </row>
    <row r="100" spans="3:3" x14ac:dyDescent="0.2">
      <c r="C100" s="199" t="str">
        <f t="shared" si="1"/>
        <v/>
      </c>
    </row>
    <row r="101" spans="3:3" x14ac:dyDescent="0.2">
      <c r="C101" s="199" t="str">
        <f t="shared" si="1"/>
        <v/>
      </c>
    </row>
    <row r="102" spans="3:3" x14ac:dyDescent="0.2">
      <c r="C102" s="199" t="str">
        <f t="shared" si="1"/>
        <v/>
      </c>
    </row>
    <row r="103" spans="3:3" x14ac:dyDescent="0.2">
      <c r="C103" s="199" t="str">
        <f t="shared" si="1"/>
        <v/>
      </c>
    </row>
    <row r="104" spans="3:3" x14ac:dyDescent="0.2">
      <c r="C104" s="199" t="str">
        <f t="shared" si="1"/>
        <v/>
      </c>
    </row>
    <row r="105" spans="3:3" x14ac:dyDescent="0.2">
      <c r="C105" s="199" t="str">
        <f t="shared" si="1"/>
        <v/>
      </c>
    </row>
    <row r="106" spans="3:3" x14ac:dyDescent="0.2">
      <c r="C106" s="199" t="str">
        <f t="shared" si="1"/>
        <v/>
      </c>
    </row>
    <row r="107" spans="3:3" x14ac:dyDescent="0.2">
      <c r="C107" s="199" t="str">
        <f t="shared" si="1"/>
        <v/>
      </c>
    </row>
    <row r="108" spans="3:3" x14ac:dyDescent="0.2">
      <c r="C108" s="199" t="str">
        <f t="shared" si="1"/>
        <v/>
      </c>
    </row>
    <row r="109" spans="3:3" x14ac:dyDescent="0.2">
      <c r="C109" s="199" t="str">
        <f t="shared" si="1"/>
        <v/>
      </c>
    </row>
    <row r="110" spans="3:3" x14ac:dyDescent="0.2">
      <c r="C110" s="199" t="str">
        <f t="shared" si="1"/>
        <v/>
      </c>
    </row>
    <row r="111" spans="3:3" x14ac:dyDescent="0.2">
      <c r="C111" s="199" t="str">
        <f t="shared" si="1"/>
        <v/>
      </c>
    </row>
    <row r="112" spans="3:3" x14ac:dyDescent="0.2">
      <c r="C112" s="199" t="str">
        <f t="shared" si="1"/>
        <v/>
      </c>
    </row>
    <row r="113" spans="3:3" x14ac:dyDescent="0.2">
      <c r="C113" s="199" t="str">
        <f t="shared" si="1"/>
        <v/>
      </c>
    </row>
    <row r="114" spans="3:3" x14ac:dyDescent="0.2">
      <c r="C114" s="199" t="str">
        <f t="shared" si="1"/>
        <v/>
      </c>
    </row>
    <row r="115" spans="3:3" x14ac:dyDescent="0.2">
      <c r="C115" s="199" t="str">
        <f t="shared" si="1"/>
        <v/>
      </c>
    </row>
    <row r="116" spans="3:3" x14ac:dyDescent="0.2">
      <c r="C116" s="199" t="str">
        <f t="shared" si="1"/>
        <v/>
      </c>
    </row>
    <row r="117" spans="3:3" x14ac:dyDescent="0.2">
      <c r="C117" s="199" t="str">
        <f t="shared" si="1"/>
        <v/>
      </c>
    </row>
    <row r="118" spans="3:3" x14ac:dyDescent="0.2">
      <c r="C118" s="199" t="str">
        <f t="shared" si="1"/>
        <v/>
      </c>
    </row>
    <row r="119" spans="3:3" x14ac:dyDescent="0.2">
      <c r="C119" s="199" t="str">
        <f t="shared" si="1"/>
        <v/>
      </c>
    </row>
    <row r="120" spans="3:3" x14ac:dyDescent="0.2">
      <c r="C120" s="199" t="str">
        <f t="shared" si="1"/>
        <v/>
      </c>
    </row>
    <row r="121" spans="3:3" x14ac:dyDescent="0.2">
      <c r="C121" s="199" t="str">
        <f t="shared" si="1"/>
        <v/>
      </c>
    </row>
    <row r="122" spans="3:3" x14ac:dyDescent="0.2">
      <c r="C122" s="199" t="str">
        <f t="shared" si="1"/>
        <v/>
      </c>
    </row>
    <row r="123" spans="3:3" x14ac:dyDescent="0.2">
      <c r="C123" s="199" t="str">
        <f t="shared" si="1"/>
        <v/>
      </c>
    </row>
    <row r="124" spans="3:3" x14ac:dyDescent="0.2">
      <c r="C124" s="199" t="str">
        <f t="shared" si="1"/>
        <v/>
      </c>
    </row>
    <row r="125" spans="3:3" x14ac:dyDescent="0.2">
      <c r="C125" s="199" t="str">
        <f t="shared" si="1"/>
        <v/>
      </c>
    </row>
    <row r="126" spans="3:3" x14ac:dyDescent="0.2">
      <c r="C126" s="199" t="str">
        <f t="shared" si="1"/>
        <v/>
      </c>
    </row>
    <row r="127" spans="3:3" x14ac:dyDescent="0.2">
      <c r="C127" s="199" t="str">
        <f t="shared" si="1"/>
        <v/>
      </c>
    </row>
    <row r="128" spans="3:3" x14ac:dyDescent="0.2">
      <c r="C128" s="199" t="str">
        <f t="shared" si="1"/>
        <v/>
      </c>
    </row>
    <row r="129" spans="3:3" x14ac:dyDescent="0.2">
      <c r="C129" s="199" t="str">
        <f t="shared" si="1"/>
        <v/>
      </c>
    </row>
    <row r="130" spans="3:3" x14ac:dyDescent="0.2">
      <c r="C130" s="199" t="str">
        <f t="shared" si="1"/>
        <v/>
      </c>
    </row>
    <row r="131" spans="3:3" x14ac:dyDescent="0.2">
      <c r="C131" s="199" t="str">
        <f t="shared" si="1"/>
        <v/>
      </c>
    </row>
    <row r="132" spans="3:3" x14ac:dyDescent="0.2">
      <c r="C132" s="199" t="str">
        <f t="shared" si="1"/>
        <v/>
      </c>
    </row>
    <row r="133" spans="3:3" x14ac:dyDescent="0.2">
      <c r="C133" s="199" t="str">
        <f t="shared" si="1"/>
        <v/>
      </c>
    </row>
    <row r="134" spans="3:3" x14ac:dyDescent="0.2">
      <c r="C134" s="199" t="str">
        <f t="shared" si="1"/>
        <v/>
      </c>
    </row>
    <row r="135" spans="3:3" x14ac:dyDescent="0.2">
      <c r="C135" s="199" t="str">
        <f t="shared" si="1"/>
        <v/>
      </c>
    </row>
    <row r="136" spans="3:3" x14ac:dyDescent="0.2">
      <c r="C136" s="199" t="str">
        <f t="shared" si="1"/>
        <v/>
      </c>
    </row>
    <row r="137" spans="3:3" x14ac:dyDescent="0.2">
      <c r="C137" s="199" t="str">
        <f t="shared" si="1"/>
        <v/>
      </c>
    </row>
    <row r="138" spans="3:3" x14ac:dyDescent="0.2">
      <c r="C138" s="199" t="str">
        <f t="shared" si="1"/>
        <v/>
      </c>
    </row>
    <row r="139" spans="3:3" x14ac:dyDescent="0.2">
      <c r="C139" s="199" t="str">
        <f t="shared" si="1"/>
        <v/>
      </c>
    </row>
    <row r="140" spans="3:3" x14ac:dyDescent="0.2">
      <c r="C140" s="199" t="str">
        <f t="shared" si="1"/>
        <v/>
      </c>
    </row>
    <row r="141" spans="3:3" x14ac:dyDescent="0.2">
      <c r="C141" s="199" t="str">
        <f t="shared" si="1"/>
        <v/>
      </c>
    </row>
    <row r="142" spans="3:3" x14ac:dyDescent="0.2">
      <c r="C142" s="199" t="str">
        <f t="shared" si="1"/>
        <v/>
      </c>
    </row>
    <row r="143" spans="3:3" x14ac:dyDescent="0.2">
      <c r="C143" s="199" t="str">
        <f t="shared" si="1"/>
        <v/>
      </c>
    </row>
    <row r="144" spans="3:3" x14ac:dyDescent="0.2">
      <c r="C144" s="199" t="str">
        <f t="shared" si="1"/>
        <v/>
      </c>
    </row>
    <row r="145" spans="3:3" x14ac:dyDescent="0.2">
      <c r="C145" s="199" t="str">
        <f t="shared" si="1"/>
        <v/>
      </c>
    </row>
    <row r="146" spans="3:3" x14ac:dyDescent="0.2">
      <c r="C146" s="199" t="str">
        <f t="shared" si="1"/>
        <v/>
      </c>
    </row>
    <row r="147" spans="3:3" x14ac:dyDescent="0.2">
      <c r="C147" s="199" t="str">
        <f t="shared" si="1"/>
        <v/>
      </c>
    </row>
    <row r="148" spans="3:3" x14ac:dyDescent="0.2">
      <c r="C148" s="199" t="str">
        <f t="shared" si="1"/>
        <v/>
      </c>
    </row>
    <row r="149" spans="3:3" x14ac:dyDescent="0.2">
      <c r="C149" s="199" t="str">
        <f t="shared" si="1"/>
        <v/>
      </c>
    </row>
    <row r="150" spans="3:3" x14ac:dyDescent="0.2">
      <c r="C150" s="199" t="str">
        <f t="shared" si="1"/>
        <v/>
      </c>
    </row>
    <row r="151" spans="3:3" x14ac:dyDescent="0.2">
      <c r="C151" s="199" t="str">
        <f t="shared" ref="C151:C214" si="2">IF(A151=0,"","Elastic")</f>
        <v/>
      </c>
    </row>
    <row r="152" spans="3:3" x14ac:dyDescent="0.2">
      <c r="C152" s="199" t="str">
        <f t="shared" si="2"/>
        <v/>
      </c>
    </row>
    <row r="153" spans="3:3" x14ac:dyDescent="0.2">
      <c r="C153" s="199" t="str">
        <f t="shared" si="2"/>
        <v/>
      </c>
    </row>
    <row r="154" spans="3:3" x14ac:dyDescent="0.2">
      <c r="C154" s="199" t="str">
        <f t="shared" si="2"/>
        <v/>
      </c>
    </row>
    <row r="155" spans="3:3" x14ac:dyDescent="0.2">
      <c r="C155" s="199" t="str">
        <f t="shared" si="2"/>
        <v/>
      </c>
    </row>
    <row r="156" spans="3:3" x14ac:dyDescent="0.2">
      <c r="C156" s="199" t="str">
        <f t="shared" si="2"/>
        <v/>
      </c>
    </row>
    <row r="157" spans="3:3" x14ac:dyDescent="0.2">
      <c r="C157" s="199" t="str">
        <f t="shared" si="2"/>
        <v/>
      </c>
    </row>
    <row r="158" spans="3:3" x14ac:dyDescent="0.2">
      <c r="C158" s="199" t="str">
        <f t="shared" si="2"/>
        <v/>
      </c>
    </row>
    <row r="159" spans="3:3" x14ac:dyDescent="0.2">
      <c r="C159" s="199" t="str">
        <f t="shared" si="2"/>
        <v/>
      </c>
    </row>
    <row r="160" spans="3:3" x14ac:dyDescent="0.2">
      <c r="C160" s="199" t="str">
        <f t="shared" si="2"/>
        <v/>
      </c>
    </row>
    <row r="161" spans="3:3" x14ac:dyDescent="0.2">
      <c r="C161" s="199" t="str">
        <f t="shared" si="2"/>
        <v/>
      </c>
    </row>
    <row r="162" spans="3:3" x14ac:dyDescent="0.2">
      <c r="C162" s="199" t="str">
        <f t="shared" si="2"/>
        <v/>
      </c>
    </row>
    <row r="163" spans="3:3" x14ac:dyDescent="0.2">
      <c r="C163" s="199" t="str">
        <f t="shared" si="2"/>
        <v/>
      </c>
    </row>
    <row r="164" spans="3:3" x14ac:dyDescent="0.2">
      <c r="C164" s="199" t="str">
        <f t="shared" si="2"/>
        <v/>
      </c>
    </row>
    <row r="165" spans="3:3" x14ac:dyDescent="0.2">
      <c r="C165" s="199" t="str">
        <f t="shared" si="2"/>
        <v/>
      </c>
    </row>
    <row r="166" spans="3:3" x14ac:dyDescent="0.2">
      <c r="C166" s="199" t="str">
        <f t="shared" si="2"/>
        <v/>
      </c>
    </row>
    <row r="167" spans="3:3" x14ac:dyDescent="0.2">
      <c r="C167" s="199" t="str">
        <f t="shared" si="2"/>
        <v/>
      </c>
    </row>
    <row r="168" spans="3:3" x14ac:dyDescent="0.2">
      <c r="C168" s="199" t="str">
        <f t="shared" si="2"/>
        <v/>
      </c>
    </row>
    <row r="169" spans="3:3" x14ac:dyDescent="0.2">
      <c r="C169" s="199" t="str">
        <f t="shared" si="2"/>
        <v/>
      </c>
    </row>
    <row r="170" spans="3:3" x14ac:dyDescent="0.2">
      <c r="C170" s="199" t="str">
        <f t="shared" si="2"/>
        <v/>
      </c>
    </row>
    <row r="171" spans="3:3" x14ac:dyDescent="0.2">
      <c r="C171" s="199" t="str">
        <f t="shared" si="2"/>
        <v/>
      </c>
    </row>
    <row r="172" spans="3:3" x14ac:dyDescent="0.2">
      <c r="C172" s="199" t="str">
        <f t="shared" si="2"/>
        <v/>
      </c>
    </row>
    <row r="173" spans="3:3" x14ac:dyDescent="0.2">
      <c r="C173" s="199" t="str">
        <f t="shared" si="2"/>
        <v/>
      </c>
    </row>
    <row r="174" spans="3:3" x14ac:dyDescent="0.2">
      <c r="C174" s="199" t="str">
        <f t="shared" si="2"/>
        <v/>
      </c>
    </row>
    <row r="175" spans="3:3" x14ac:dyDescent="0.2">
      <c r="C175" s="199" t="str">
        <f t="shared" si="2"/>
        <v/>
      </c>
    </row>
    <row r="176" spans="3:3" x14ac:dyDescent="0.2">
      <c r="C176" s="199" t="str">
        <f t="shared" si="2"/>
        <v/>
      </c>
    </row>
    <row r="177" spans="3:3" x14ac:dyDescent="0.2">
      <c r="C177" s="199" t="str">
        <f t="shared" si="2"/>
        <v/>
      </c>
    </row>
    <row r="178" spans="3:3" x14ac:dyDescent="0.2">
      <c r="C178" s="199" t="str">
        <f t="shared" si="2"/>
        <v/>
      </c>
    </row>
    <row r="179" spans="3:3" x14ac:dyDescent="0.2">
      <c r="C179" s="199" t="str">
        <f t="shared" si="2"/>
        <v/>
      </c>
    </row>
    <row r="180" spans="3:3" x14ac:dyDescent="0.2">
      <c r="C180" s="199" t="str">
        <f t="shared" si="2"/>
        <v/>
      </c>
    </row>
    <row r="181" spans="3:3" x14ac:dyDescent="0.2">
      <c r="C181" s="199" t="str">
        <f t="shared" si="2"/>
        <v/>
      </c>
    </row>
    <row r="182" spans="3:3" x14ac:dyDescent="0.2">
      <c r="C182" s="199" t="str">
        <f t="shared" si="2"/>
        <v/>
      </c>
    </row>
    <row r="183" spans="3:3" x14ac:dyDescent="0.2">
      <c r="C183" s="199" t="str">
        <f t="shared" si="2"/>
        <v/>
      </c>
    </row>
    <row r="184" spans="3:3" x14ac:dyDescent="0.2">
      <c r="C184" s="199" t="str">
        <f t="shared" si="2"/>
        <v/>
      </c>
    </row>
    <row r="185" spans="3:3" x14ac:dyDescent="0.2">
      <c r="C185" s="199" t="str">
        <f t="shared" si="2"/>
        <v/>
      </c>
    </row>
    <row r="186" spans="3:3" x14ac:dyDescent="0.2">
      <c r="C186" s="199" t="str">
        <f t="shared" si="2"/>
        <v/>
      </c>
    </row>
    <row r="187" spans="3:3" x14ac:dyDescent="0.2">
      <c r="C187" s="199" t="str">
        <f t="shared" si="2"/>
        <v/>
      </c>
    </row>
    <row r="188" spans="3:3" x14ac:dyDescent="0.2">
      <c r="C188" s="199" t="str">
        <f t="shared" si="2"/>
        <v/>
      </c>
    </row>
    <row r="189" spans="3:3" x14ac:dyDescent="0.2">
      <c r="C189" s="199" t="str">
        <f t="shared" si="2"/>
        <v/>
      </c>
    </row>
    <row r="190" spans="3:3" x14ac:dyDescent="0.2">
      <c r="C190" s="199" t="str">
        <f t="shared" si="2"/>
        <v/>
      </c>
    </row>
    <row r="191" spans="3:3" x14ac:dyDescent="0.2">
      <c r="C191" s="199" t="str">
        <f t="shared" si="2"/>
        <v/>
      </c>
    </row>
    <row r="192" spans="3:3" x14ac:dyDescent="0.2">
      <c r="C192" s="199" t="str">
        <f t="shared" si="2"/>
        <v/>
      </c>
    </row>
    <row r="193" spans="3:3" x14ac:dyDescent="0.2">
      <c r="C193" s="199" t="str">
        <f t="shared" si="2"/>
        <v/>
      </c>
    </row>
    <row r="194" spans="3:3" x14ac:dyDescent="0.2">
      <c r="C194" s="199" t="str">
        <f t="shared" si="2"/>
        <v/>
      </c>
    </row>
    <row r="195" spans="3:3" x14ac:dyDescent="0.2">
      <c r="C195" s="199" t="str">
        <f t="shared" si="2"/>
        <v/>
      </c>
    </row>
    <row r="196" spans="3:3" x14ac:dyDescent="0.2">
      <c r="C196" s="199" t="str">
        <f t="shared" si="2"/>
        <v/>
      </c>
    </row>
    <row r="197" spans="3:3" x14ac:dyDescent="0.2">
      <c r="C197" s="199" t="str">
        <f t="shared" si="2"/>
        <v/>
      </c>
    </row>
    <row r="198" spans="3:3" x14ac:dyDescent="0.2">
      <c r="C198" s="199" t="str">
        <f t="shared" si="2"/>
        <v/>
      </c>
    </row>
    <row r="199" spans="3:3" x14ac:dyDescent="0.2">
      <c r="C199" s="199" t="str">
        <f t="shared" si="2"/>
        <v/>
      </c>
    </row>
    <row r="200" spans="3:3" x14ac:dyDescent="0.2">
      <c r="C200" s="199" t="str">
        <f t="shared" si="2"/>
        <v/>
      </c>
    </row>
    <row r="201" spans="3:3" x14ac:dyDescent="0.2">
      <c r="C201" s="199" t="str">
        <f t="shared" si="2"/>
        <v/>
      </c>
    </row>
    <row r="202" spans="3:3" x14ac:dyDescent="0.2">
      <c r="C202" s="199" t="str">
        <f t="shared" si="2"/>
        <v/>
      </c>
    </row>
    <row r="203" spans="3:3" x14ac:dyDescent="0.2">
      <c r="C203" s="199" t="str">
        <f t="shared" si="2"/>
        <v/>
      </c>
    </row>
    <row r="204" spans="3:3" x14ac:dyDescent="0.2">
      <c r="C204" s="199" t="str">
        <f t="shared" si="2"/>
        <v/>
      </c>
    </row>
    <row r="205" spans="3:3" x14ac:dyDescent="0.2">
      <c r="C205" s="199" t="str">
        <f t="shared" si="2"/>
        <v/>
      </c>
    </row>
    <row r="206" spans="3:3" x14ac:dyDescent="0.2">
      <c r="C206" s="199" t="str">
        <f t="shared" si="2"/>
        <v/>
      </c>
    </row>
    <row r="207" spans="3:3" x14ac:dyDescent="0.2">
      <c r="C207" s="199" t="str">
        <f t="shared" si="2"/>
        <v/>
      </c>
    </row>
    <row r="208" spans="3:3" x14ac:dyDescent="0.2">
      <c r="C208" s="199" t="str">
        <f t="shared" si="2"/>
        <v/>
      </c>
    </row>
    <row r="209" spans="3:3" x14ac:dyDescent="0.2">
      <c r="C209" s="199" t="str">
        <f t="shared" si="2"/>
        <v/>
      </c>
    </row>
    <row r="210" spans="3:3" x14ac:dyDescent="0.2">
      <c r="C210" s="199" t="str">
        <f t="shared" si="2"/>
        <v/>
      </c>
    </row>
    <row r="211" spans="3:3" x14ac:dyDescent="0.2">
      <c r="C211" s="199" t="str">
        <f t="shared" si="2"/>
        <v/>
      </c>
    </row>
    <row r="212" spans="3:3" x14ac:dyDescent="0.2">
      <c r="C212" s="199" t="str">
        <f t="shared" si="2"/>
        <v/>
      </c>
    </row>
    <row r="213" spans="3:3" x14ac:dyDescent="0.2">
      <c r="C213" s="199" t="str">
        <f t="shared" si="2"/>
        <v/>
      </c>
    </row>
    <row r="214" spans="3:3" x14ac:dyDescent="0.2">
      <c r="C214" s="199" t="str">
        <f t="shared" si="2"/>
        <v/>
      </c>
    </row>
    <row r="215" spans="3:3" x14ac:dyDescent="0.2">
      <c r="C215" s="199" t="str">
        <f t="shared" ref="C215:C278" si="3">IF(A215=0,"","Elastic")</f>
        <v/>
      </c>
    </row>
    <row r="216" spans="3:3" x14ac:dyDescent="0.2">
      <c r="C216" s="199" t="str">
        <f t="shared" si="3"/>
        <v/>
      </c>
    </row>
    <row r="217" spans="3:3" x14ac:dyDescent="0.2">
      <c r="C217" s="199" t="str">
        <f t="shared" si="3"/>
        <v/>
      </c>
    </row>
    <row r="218" spans="3:3" x14ac:dyDescent="0.2">
      <c r="C218" s="199" t="str">
        <f t="shared" si="3"/>
        <v/>
      </c>
    </row>
    <row r="219" spans="3:3" x14ac:dyDescent="0.2">
      <c r="C219" s="199" t="str">
        <f t="shared" si="3"/>
        <v/>
      </c>
    </row>
    <row r="220" spans="3:3" x14ac:dyDescent="0.2">
      <c r="C220" s="199" t="str">
        <f t="shared" si="3"/>
        <v/>
      </c>
    </row>
    <row r="221" spans="3:3" x14ac:dyDescent="0.2">
      <c r="C221" s="199" t="str">
        <f t="shared" si="3"/>
        <v/>
      </c>
    </row>
    <row r="222" spans="3:3" x14ac:dyDescent="0.2">
      <c r="C222" s="199" t="str">
        <f t="shared" si="3"/>
        <v/>
      </c>
    </row>
    <row r="223" spans="3:3" x14ac:dyDescent="0.2">
      <c r="C223" s="199" t="str">
        <f t="shared" si="3"/>
        <v/>
      </c>
    </row>
    <row r="224" spans="3:3" x14ac:dyDescent="0.2">
      <c r="C224" s="199" t="str">
        <f t="shared" si="3"/>
        <v/>
      </c>
    </row>
    <row r="225" spans="3:3" x14ac:dyDescent="0.2">
      <c r="C225" s="199" t="str">
        <f t="shared" si="3"/>
        <v/>
      </c>
    </row>
    <row r="226" spans="3:3" x14ac:dyDescent="0.2">
      <c r="C226" s="199" t="str">
        <f t="shared" si="3"/>
        <v/>
      </c>
    </row>
    <row r="227" spans="3:3" x14ac:dyDescent="0.2">
      <c r="C227" s="199" t="str">
        <f t="shared" si="3"/>
        <v/>
      </c>
    </row>
    <row r="228" spans="3:3" x14ac:dyDescent="0.2">
      <c r="C228" s="199" t="str">
        <f t="shared" si="3"/>
        <v/>
      </c>
    </row>
    <row r="229" spans="3:3" x14ac:dyDescent="0.2">
      <c r="C229" s="199" t="str">
        <f t="shared" si="3"/>
        <v/>
      </c>
    </row>
    <row r="230" spans="3:3" x14ac:dyDescent="0.2">
      <c r="C230" s="199" t="str">
        <f t="shared" si="3"/>
        <v/>
      </c>
    </row>
    <row r="231" spans="3:3" x14ac:dyDescent="0.2">
      <c r="C231" s="199" t="str">
        <f t="shared" si="3"/>
        <v/>
      </c>
    </row>
    <row r="232" spans="3:3" x14ac:dyDescent="0.2">
      <c r="C232" s="199" t="str">
        <f t="shared" si="3"/>
        <v/>
      </c>
    </row>
    <row r="233" spans="3:3" x14ac:dyDescent="0.2">
      <c r="C233" s="199" t="str">
        <f t="shared" si="3"/>
        <v/>
      </c>
    </row>
    <row r="234" spans="3:3" x14ac:dyDescent="0.2">
      <c r="C234" s="199" t="str">
        <f t="shared" si="3"/>
        <v/>
      </c>
    </row>
    <row r="235" spans="3:3" x14ac:dyDescent="0.2">
      <c r="C235" s="199" t="str">
        <f t="shared" si="3"/>
        <v/>
      </c>
    </row>
    <row r="236" spans="3:3" x14ac:dyDescent="0.2">
      <c r="C236" s="199" t="str">
        <f t="shared" si="3"/>
        <v/>
      </c>
    </row>
    <row r="237" spans="3:3" x14ac:dyDescent="0.2">
      <c r="C237" s="199" t="str">
        <f t="shared" si="3"/>
        <v/>
      </c>
    </row>
    <row r="238" spans="3:3" x14ac:dyDescent="0.2">
      <c r="C238" s="199" t="str">
        <f t="shared" si="3"/>
        <v/>
      </c>
    </row>
    <row r="239" spans="3:3" x14ac:dyDescent="0.2">
      <c r="C239" s="199" t="str">
        <f t="shared" si="3"/>
        <v/>
      </c>
    </row>
    <row r="240" spans="3:3" x14ac:dyDescent="0.2">
      <c r="C240" s="199" t="str">
        <f t="shared" si="3"/>
        <v/>
      </c>
    </row>
    <row r="241" spans="3:3" x14ac:dyDescent="0.2">
      <c r="C241" s="199" t="str">
        <f t="shared" si="3"/>
        <v/>
      </c>
    </row>
    <row r="242" spans="3:3" x14ac:dyDescent="0.2">
      <c r="C242" s="199" t="str">
        <f t="shared" si="3"/>
        <v/>
      </c>
    </row>
    <row r="243" spans="3:3" x14ac:dyDescent="0.2">
      <c r="C243" s="199" t="str">
        <f t="shared" si="3"/>
        <v/>
      </c>
    </row>
    <row r="244" spans="3:3" x14ac:dyDescent="0.2">
      <c r="C244" s="199" t="str">
        <f t="shared" si="3"/>
        <v/>
      </c>
    </row>
    <row r="245" spans="3:3" x14ac:dyDescent="0.2">
      <c r="C245" s="199" t="str">
        <f t="shared" si="3"/>
        <v/>
      </c>
    </row>
    <row r="246" spans="3:3" x14ac:dyDescent="0.2">
      <c r="C246" s="199" t="str">
        <f t="shared" si="3"/>
        <v/>
      </c>
    </row>
    <row r="247" spans="3:3" x14ac:dyDescent="0.2">
      <c r="C247" s="199" t="str">
        <f t="shared" si="3"/>
        <v/>
      </c>
    </row>
    <row r="248" spans="3:3" x14ac:dyDescent="0.2">
      <c r="C248" s="199" t="str">
        <f t="shared" si="3"/>
        <v/>
      </c>
    </row>
    <row r="249" spans="3:3" x14ac:dyDescent="0.2">
      <c r="C249" s="199" t="str">
        <f t="shared" si="3"/>
        <v/>
      </c>
    </row>
    <row r="250" spans="3:3" x14ac:dyDescent="0.2">
      <c r="C250" s="199" t="str">
        <f t="shared" si="3"/>
        <v/>
      </c>
    </row>
    <row r="251" spans="3:3" x14ac:dyDescent="0.2">
      <c r="C251" s="199" t="str">
        <f t="shared" si="3"/>
        <v/>
      </c>
    </row>
    <row r="252" spans="3:3" x14ac:dyDescent="0.2">
      <c r="C252" s="199" t="str">
        <f t="shared" si="3"/>
        <v/>
      </c>
    </row>
    <row r="253" spans="3:3" x14ac:dyDescent="0.2">
      <c r="C253" s="199" t="str">
        <f t="shared" si="3"/>
        <v/>
      </c>
    </row>
    <row r="254" spans="3:3" x14ac:dyDescent="0.2">
      <c r="C254" s="199" t="str">
        <f t="shared" si="3"/>
        <v/>
      </c>
    </row>
    <row r="255" spans="3:3" x14ac:dyDescent="0.2">
      <c r="C255" s="199" t="str">
        <f t="shared" si="3"/>
        <v/>
      </c>
    </row>
    <row r="256" spans="3:3" x14ac:dyDescent="0.2">
      <c r="C256" s="199" t="str">
        <f t="shared" si="3"/>
        <v/>
      </c>
    </row>
    <row r="257" spans="3:3" x14ac:dyDescent="0.2">
      <c r="C257" s="199" t="str">
        <f t="shared" si="3"/>
        <v/>
      </c>
    </row>
    <row r="258" spans="3:3" x14ac:dyDescent="0.2">
      <c r="C258" s="199" t="str">
        <f t="shared" si="3"/>
        <v/>
      </c>
    </row>
    <row r="259" spans="3:3" x14ac:dyDescent="0.2">
      <c r="C259" s="199" t="str">
        <f t="shared" si="3"/>
        <v/>
      </c>
    </row>
    <row r="260" spans="3:3" x14ac:dyDescent="0.2">
      <c r="C260" s="199" t="str">
        <f t="shared" si="3"/>
        <v/>
      </c>
    </row>
    <row r="261" spans="3:3" x14ac:dyDescent="0.2">
      <c r="C261" s="199" t="str">
        <f t="shared" si="3"/>
        <v/>
      </c>
    </row>
    <row r="262" spans="3:3" x14ac:dyDescent="0.2">
      <c r="C262" s="199" t="str">
        <f t="shared" si="3"/>
        <v/>
      </c>
    </row>
    <row r="263" spans="3:3" x14ac:dyDescent="0.2">
      <c r="C263" s="199" t="str">
        <f t="shared" si="3"/>
        <v/>
      </c>
    </row>
    <row r="264" spans="3:3" x14ac:dyDescent="0.2">
      <c r="C264" s="199" t="str">
        <f t="shared" si="3"/>
        <v/>
      </c>
    </row>
    <row r="265" spans="3:3" x14ac:dyDescent="0.2">
      <c r="C265" s="199" t="str">
        <f t="shared" si="3"/>
        <v/>
      </c>
    </row>
    <row r="266" spans="3:3" x14ac:dyDescent="0.2">
      <c r="C266" s="199" t="str">
        <f t="shared" si="3"/>
        <v/>
      </c>
    </row>
    <row r="267" spans="3:3" x14ac:dyDescent="0.2">
      <c r="C267" s="199" t="str">
        <f t="shared" si="3"/>
        <v/>
      </c>
    </row>
    <row r="268" spans="3:3" x14ac:dyDescent="0.2">
      <c r="C268" s="199" t="str">
        <f t="shared" si="3"/>
        <v/>
      </c>
    </row>
    <row r="269" spans="3:3" x14ac:dyDescent="0.2">
      <c r="C269" s="199" t="str">
        <f t="shared" si="3"/>
        <v/>
      </c>
    </row>
    <row r="270" spans="3:3" x14ac:dyDescent="0.2">
      <c r="C270" s="199" t="str">
        <f t="shared" si="3"/>
        <v/>
      </c>
    </row>
    <row r="271" spans="3:3" x14ac:dyDescent="0.2">
      <c r="C271" s="199" t="str">
        <f t="shared" si="3"/>
        <v/>
      </c>
    </row>
    <row r="272" spans="3:3" x14ac:dyDescent="0.2">
      <c r="C272" s="199" t="str">
        <f t="shared" si="3"/>
        <v/>
      </c>
    </row>
    <row r="273" spans="3:3" x14ac:dyDescent="0.2">
      <c r="C273" s="199" t="str">
        <f t="shared" si="3"/>
        <v/>
      </c>
    </row>
    <row r="274" spans="3:3" x14ac:dyDescent="0.2">
      <c r="C274" s="199" t="str">
        <f t="shared" si="3"/>
        <v/>
      </c>
    </row>
    <row r="275" spans="3:3" x14ac:dyDescent="0.2">
      <c r="C275" s="199" t="str">
        <f t="shared" si="3"/>
        <v/>
      </c>
    </row>
    <row r="276" spans="3:3" x14ac:dyDescent="0.2">
      <c r="C276" s="199" t="str">
        <f t="shared" si="3"/>
        <v/>
      </c>
    </row>
    <row r="277" spans="3:3" x14ac:dyDescent="0.2">
      <c r="C277" s="199" t="str">
        <f t="shared" si="3"/>
        <v/>
      </c>
    </row>
    <row r="278" spans="3:3" x14ac:dyDescent="0.2">
      <c r="C278" s="199" t="str">
        <f t="shared" si="3"/>
        <v/>
      </c>
    </row>
    <row r="279" spans="3:3" x14ac:dyDescent="0.2">
      <c r="C279" s="199" t="str">
        <f t="shared" ref="C279:C342" si="4">IF(A279=0,"","Elastic")</f>
        <v/>
      </c>
    </row>
    <row r="280" spans="3:3" x14ac:dyDescent="0.2">
      <c r="C280" s="199" t="str">
        <f t="shared" si="4"/>
        <v/>
      </c>
    </row>
    <row r="281" spans="3:3" x14ac:dyDescent="0.2">
      <c r="C281" s="199" t="str">
        <f t="shared" si="4"/>
        <v/>
      </c>
    </row>
    <row r="282" spans="3:3" x14ac:dyDescent="0.2">
      <c r="C282" s="199" t="str">
        <f t="shared" si="4"/>
        <v/>
      </c>
    </row>
    <row r="283" spans="3:3" x14ac:dyDescent="0.2">
      <c r="C283" s="199" t="str">
        <f t="shared" si="4"/>
        <v/>
      </c>
    </row>
    <row r="284" spans="3:3" x14ac:dyDescent="0.2">
      <c r="C284" s="199" t="str">
        <f t="shared" si="4"/>
        <v/>
      </c>
    </row>
    <row r="285" spans="3:3" x14ac:dyDescent="0.2">
      <c r="C285" s="199" t="str">
        <f t="shared" si="4"/>
        <v/>
      </c>
    </row>
    <row r="286" spans="3:3" x14ac:dyDescent="0.2">
      <c r="C286" s="199" t="str">
        <f t="shared" si="4"/>
        <v/>
      </c>
    </row>
    <row r="287" spans="3:3" x14ac:dyDescent="0.2">
      <c r="C287" s="199" t="str">
        <f t="shared" si="4"/>
        <v/>
      </c>
    </row>
    <row r="288" spans="3:3" x14ac:dyDescent="0.2">
      <c r="C288" s="199" t="str">
        <f t="shared" si="4"/>
        <v/>
      </c>
    </row>
    <row r="289" spans="3:3" x14ac:dyDescent="0.2">
      <c r="C289" s="199" t="str">
        <f t="shared" si="4"/>
        <v/>
      </c>
    </row>
    <row r="290" spans="3:3" x14ac:dyDescent="0.2">
      <c r="C290" s="199" t="str">
        <f t="shared" si="4"/>
        <v/>
      </c>
    </row>
    <row r="291" spans="3:3" x14ac:dyDescent="0.2">
      <c r="C291" s="199" t="str">
        <f t="shared" si="4"/>
        <v/>
      </c>
    </row>
    <row r="292" spans="3:3" x14ac:dyDescent="0.2">
      <c r="C292" s="199" t="str">
        <f t="shared" si="4"/>
        <v/>
      </c>
    </row>
    <row r="293" spans="3:3" x14ac:dyDescent="0.2">
      <c r="C293" s="199" t="str">
        <f t="shared" si="4"/>
        <v/>
      </c>
    </row>
    <row r="294" spans="3:3" x14ac:dyDescent="0.2">
      <c r="C294" s="199" t="str">
        <f t="shared" si="4"/>
        <v/>
      </c>
    </row>
    <row r="295" spans="3:3" x14ac:dyDescent="0.2">
      <c r="C295" s="199" t="str">
        <f t="shared" si="4"/>
        <v/>
      </c>
    </row>
    <row r="296" spans="3:3" x14ac:dyDescent="0.2">
      <c r="C296" s="199" t="str">
        <f t="shared" si="4"/>
        <v/>
      </c>
    </row>
    <row r="297" spans="3:3" x14ac:dyDescent="0.2">
      <c r="C297" s="199" t="str">
        <f t="shared" si="4"/>
        <v/>
      </c>
    </row>
    <row r="298" spans="3:3" x14ac:dyDescent="0.2">
      <c r="C298" s="199" t="str">
        <f t="shared" si="4"/>
        <v/>
      </c>
    </row>
    <row r="299" spans="3:3" x14ac:dyDescent="0.2">
      <c r="C299" s="199" t="str">
        <f t="shared" si="4"/>
        <v/>
      </c>
    </row>
    <row r="300" spans="3:3" x14ac:dyDescent="0.2">
      <c r="C300" s="199" t="str">
        <f t="shared" si="4"/>
        <v/>
      </c>
    </row>
    <row r="301" spans="3:3" x14ac:dyDescent="0.2">
      <c r="C301" s="199" t="str">
        <f t="shared" si="4"/>
        <v/>
      </c>
    </row>
    <row r="302" spans="3:3" x14ac:dyDescent="0.2">
      <c r="C302" s="199" t="str">
        <f t="shared" si="4"/>
        <v/>
      </c>
    </row>
    <row r="303" spans="3:3" x14ac:dyDescent="0.2">
      <c r="C303" s="199" t="str">
        <f t="shared" si="4"/>
        <v/>
      </c>
    </row>
    <row r="304" spans="3:3" x14ac:dyDescent="0.2">
      <c r="C304" s="199" t="str">
        <f t="shared" si="4"/>
        <v/>
      </c>
    </row>
    <row r="305" spans="3:3" x14ac:dyDescent="0.2">
      <c r="C305" s="199" t="str">
        <f t="shared" si="4"/>
        <v/>
      </c>
    </row>
    <row r="306" spans="3:3" x14ac:dyDescent="0.2">
      <c r="C306" s="199" t="str">
        <f t="shared" si="4"/>
        <v/>
      </c>
    </row>
    <row r="307" spans="3:3" x14ac:dyDescent="0.2">
      <c r="C307" s="199" t="str">
        <f t="shared" si="4"/>
        <v/>
      </c>
    </row>
    <row r="308" spans="3:3" x14ac:dyDescent="0.2">
      <c r="C308" s="199" t="str">
        <f t="shared" si="4"/>
        <v/>
      </c>
    </row>
    <row r="309" spans="3:3" x14ac:dyDescent="0.2">
      <c r="C309" s="199" t="str">
        <f t="shared" si="4"/>
        <v/>
      </c>
    </row>
    <row r="310" spans="3:3" x14ac:dyDescent="0.2">
      <c r="C310" s="199" t="str">
        <f t="shared" si="4"/>
        <v/>
      </c>
    </row>
    <row r="311" spans="3:3" x14ac:dyDescent="0.2">
      <c r="C311" s="199" t="str">
        <f t="shared" si="4"/>
        <v/>
      </c>
    </row>
    <row r="312" spans="3:3" x14ac:dyDescent="0.2">
      <c r="C312" s="199" t="str">
        <f t="shared" si="4"/>
        <v/>
      </c>
    </row>
    <row r="313" spans="3:3" x14ac:dyDescent="0.2">
      <c r="C313" s="199" t="str">
        <f t="shared" si="4"/>
        <v/>
      </c>
    </row>
    <row r="314" spans="3:3" x14ac:dyDescent="0.2">
      <c r="C314" s="199" t="str">
        <f t="shared" si="4"/>
        <v/>
      </c>
    </row>
    <row r="315" spans="3:3" x14ac:dyDescent="0.2">
      <c r="C315" s="199" t="str">
        <f t="shared" si="4"/>
        <v/>
      </c>
    </row>
    <row r="316" spans="3:3" x14ac:dyDescent="0.2">
      <c r="C316" s="199" t="str">
        <f t="shared" si="4"/>
        <v/>
      </c>
    </row>
    <row r="317" spans="3:3" x14ac:dyDescent="0.2">
      <c r="C317" s="199" t="str">
        <f t="shared" si="4"/>
        <v/>
      </c>
    </row>
    <row r="318" spans="3:3" x14ac:dyDescent="0.2">
      <c r="C318" s="199" t="str">
        <f t="shared" si="4"/>
        <v/>
      </c>
    </row>
    <row r="319" spans="3:3" x14ac:dyDescent="0.2">
      <c r="C319" s="199" t="str">
        <f t="shared" si="4"/>
        <v/>
      </c>
    </row>
    <row r="320" spans="3:3" x14ac:dyDescent="0.2">
      <c r="C320" s="199" t="str">
        <f t="shared" si="4"/>
        <v/>
      </c>
    </row>
    <row r="321" spans="3:3" x14ac:dyDescent="0.2">
      <c r="C321" s="199" t="str">
        <f t="shared" si="4"/>
        <v/>
      </c>
    </row>
    <row r="322" spans="3:3" x14ac:dyDescent="0.2">
      <c r="C322" s="199" t="str">
        <f t="shared" si="4"/>
        <v/>
      </c>
    </row>
    <row r="323" spans="3:3" x14ac:dyDescent="0.2">
      <c r="C323" s="199" t="str">
        <f t="shared" si="4"/>
        <v/>
      </c>
    </row>
    <row r="324" spans="3:3" x14ac:dyDescent="0.2">
      <c r="C324" s="199" t="str">
        <f t="shared" si="4"/>
        <v/>
      </c>
    </row>
    <row r="325" spans="3:3" x14ac:dyDescent="0.2">
      <c r="C325" s="199" t="str">
        <f t="shared" si="4"/>
        <v/>
      </c>
    </row>
    <row r="326" spans="3:3" x14ac:dyDescent="0.2">
      <c r="C326" s="199" t="str">
        <f t="shared" si="4"/>
        <v/>
      </c>
    </row>
    <row r="327" spans="3:3" x14ac:dyDescent="0.2">
      <c r="C327" s="199" t="str">
        <f t="shared" si="4"/>
        <v/>
      </c>
    </row>
    <row r="328" spans="3:3" x14ac:dyDescent="0.2">
      <c r="C328" s="199" t="str">
        <f t="shared" si="4"/>
        <v/>
      </c>
    </row>
    <row r="329" spans="3:3" x14ac:dyDescent="0.2">
      <c r="C329" s="199" t="str">
        <f t="shared" si="4"/>
        <v/>
      </c>
    </row>
    <row r="330" spans="3:3" x14ac:dyDescent="0.2">
      <c r="C330" s="199" t="str">
        <f t="shared" si="4"/>
        <v/>
      </c>
    </row>
    <row r="331" spans="3:3" x14ac:dyDescent="0.2">
      <c r="C331" s="199" t="str">
        <f t="shared" si="4"/>
        <v/>
      </c>
    </row>
    <row r="332" spans="3:3" x14ac:dyDescent="0.2">
      <c r="C332" s="199" t="str">
        <f t="shared" si="4"/>
        <v/>
      </c>
    </row>
    <row r="333" spans="3:3" x14ac:dyDescent="0.2">
      <c r="C333" s="199" t="str">
        <f t="shared" si="4"/>
        <v/>
      </c>
    </row>
    <row r="334" spans="3:3" x14ac:dyDescent="0.2">
      <c r="C334" s="199" t="str">
        <f t="shared" si="4"/>
        <v/>
      </c>
    </row>
    <row r="335" spans="3:3" x14ac:dyDescent="0.2">
      <c r="C335" s="199" t="str">
        <f t="shared" si="4"/>
        <v/>
      </c>
    </row>
    <row r="336" spans="3:3" x14ac:dyDescent="0.2">
      <c r="C336" s="199" t="str">
        <f t="shared" si="4"/>
        <v/>
      </c>
    </row>
    <row r="337" spans="3:3" x14ac:dyDescent="0.2">
      <c r="C337" s="199" t="str">
        <f t="shared" si="4"/>
        <v/>
      </c>
    </row>
    <row r="338" spans="3:3" x14ac:dyDescent="0.2">
      <c r="C338" s="199" t="str">
        <f t="shared" si="4"/>
        <v/>
      </c>
    </row>
    <row r="339" spans="3:3" x14ac:dyDescent="0.2">
      <c r="C339" s="199" t="str">
        <f t="shared" si="4"/>
        <v/>
      </c>
    </row>
    <row r="340" spans="3:3" x14ac:dyDescent="0.2">
      <c r="C340" s="199" t="str">
        <f t="shared" si="4"/>
        <v/>
      </c>
    </row>
    <row r="341" spans="3:3" x14ac:dyDescent="0.2">
      <c r="C341" s="199" t="str">
        <f t="shared" si="4"/>
        <v/>
      </c>
    </row>
    <row r="342" spans="3:3" x14ac:dyDescent="0.2">
      <c r="C342" s="199" t="str">
        <f t="shared" si="4"/>
        <v/>
      </c>
    </row>
    <row r="343" spans="3:3" x14ac:dyDescent="0.2">
      <c r="C343" s="199" t="str">
        <f t="shared" ref="C343:C406" si="5">IF(A343=0,"","Elastic")</f>
        <v/>
      </c>
    </row>
    <row r="344" spans="3:3" x14ac:dyDescent="0.2">
      <c r="C344" s="199" t="str">
        <f t="shared" si="5"/>
        <v/>
      </c>
    </row>
    <row r="345" spans="3:3" x14ac:dyDescent="0.2">
      <c r="C345" s="199" t="str">
        <f t="shared" si="5"/>
        <v/>
      </c>
    </row>
    <row r="346" spans="3:3" x14ac:dyDescent="0.2">
      <c r="C346" s="199" t="str">
        <f t="shared" si="5"/>
        <v/>
      </c>
    </row>
    <row r="347" spans="3:3" x14ac:dyDescent="0.2">
      <c r="C347" s="199" t="str">
        <f t="shared" si="5"/>
        <v/>
      </c>
    </row>
    <row r="348" spans="3:3" x14ac:dyDescent="0.2">
      <c r="C348" s="199" t="str">
        <f t="shared" si="5"/>
        <v/>
      </c>
    </row>
    <row r="349" spans="3:3" x14ac:dyDescent="0.2">
      <c r="C349" s="199" t="str">
        <f t="shared" si="5"/>
        <v/>
      </c>
    </row>
    <row r="350" spans="3:3" x14ac:dyDescent="0.2">
      <c r="C350" s="199" t="str">
        <f t="shared" si="5"/>
        <v/>
      </c>
    </row>
    <row r="351" spans="3:3" x14ac:dyDescent="0.2">
      <c r="C351" s="199" t="str">
        <f t="shared" si="5"/>
        <v/>
      </c>
    </row>
    <row r="352" spans="3:3" x14ac:dyDescent="0.2">
      <c r="C352" s="199" t="str">
        <f t="shared" si="5"/>
        <v/>
      </c>
    </row>
    <row r="353" spans="3:3" x14ac:dyDescent="0.2">
      <c r="C353" s="199" t="str">
        <f t="shared" si="5"/>
        <v/>
      </c>
    </row>
    <row r="354" spans="3:3" x14ac:dyDescent="0.2">
      <c r="C354" s="199" t="str">
        <f t="shared" si="5"/>
        <v/>
      </c>
    </row>
    <row r="355" spans="3:3" x14ac:dyDescent="0.2">
      <c r="C355" s="199" t="str">
        <f t="shared" si="5"/>
        <v/>
      </c>
    </row>
    <row r="356" spans="3:3" x14ac:dyDescent="0.2">
      <c r="C356" s="199" t="str">
        <f t="shared" si="5"/>
        <v/>
      </c>
    </row>
    <row r="357" spans="3:3" x14ac:dyDescent="0.2">
      <c r="C357" s="199" t="str">
        <f t="shared" si="5"/>
        <v/>
      </c>
    </row>
    <row r="358" spans="3:3" x14ac:dyDescent="0.2">
      <c r="C358" s="199" t="str">
        <f t="shared" si="5"/>
        <v/>
      </c>
    </row>
    <row r="359" spans="3:3" x14ac:dyDescent="0.2">
      <c r="C359" s="199" t="str">
        <f t="shared" si="5"/>
        <v/>
      </c>
    </row>
    <row r="360" spans="3:3" x14ac:dyDescent="0.2">
      <c r="C360" s="199" t="str">
        <f t="shared" si="5"/>
        <v/>
      </c>
    </row>
    <row r="361" spans="3:3" x14ac:dyDescent="0.2">
      <c r="C361" s="199" t="str">
        <f t="shared" si="5"/>
        <v/>
      </c>
    </row>
    <row r="362" spans="3:3" x14ac:dyDescent="0.2">
      <c r="C362" s="199" t="str">
        <f t="shared" si="5"/>
        <v/>
      </c>
    </row>
    <row r="363" spans="3:3" x14ac:dyDescent="0.2">
      <c r="C363" s="199" t="str">
        <f t="shared" si="5"/>
        <v/>
      </c>
    </row>
    <row r="364" spans="3:3" x14ac:dyDescent="0.2">
      <c r="C364" s="199" t="str">
        <f t="shared" si="5"/>
        <v/>
      </c>
    </row>
    <row r="365" spans="3:3" x14ac:dyDescent="0.2">
      <c r="C365" s="199" t="str">
        <f t="shared" si="5"/>
        <v/>
      </c>
    </row>
    <row r="366" spans="3:3" x14ac:dyDescent="0.2">
      <c r="C366" s="199" t="str">
        <f t="shared" si="5"/>
        <v/>
      </c>
    </row>
    <row r="367" spans="3:3" x14ac:dyDescent="0.2">
      <c r="C367" s="199" t="str">
        <f t="shared" si="5"/>
        <v/>
      </c>
    </row>
    <row r="368" spans="3:3" x14ac:dyDescent="0.2">
      <c r="C368" s="199" t="str">
        <f t="shared" si="5"/>
        <v/>
      </c>
    </row>
    <row r="369" spans="3:3" x14ac:dyDescent="0.2">
      <c r="C369" s="199" t="str">
        <f t="shared" si="5"/>
        <v/>
      </c>
    </row>
    <row r="370" spans="3:3" x14ac:dyDescent="0.2">
      <c r="C370" s="199" t="str">
        <f t="shared" si="5"/>
        <v/>
      </c>
    </row>
    <row r="371" spans="3:3" x14ac:dyDescent="0.2">
      <c r="C371" s="199" t="str">
        <f t="shared" si="5"/>
        <v/>
      </c>
    </row>
    <row r="372" spans="3:3" x14ac:dyDescent="0.2">
      <c r="C372" s="199" t="str">
        <f t="shared" si="5"/>
        <v/>
      </c>
    </row>
    <row r="373" spans="3:3" x14ac:dyDescent="0.2">
      <c r="C373" s="199" t="str">
        <f t="shared" si="5"/>
        <v/>
      </c>
    </row>
    <row r="374" spans="3:3" x14ac:dyDescent="0.2">
      <c r="C374" s="199" t="str">
        <f t="shared" si="5"/>
        <v/>
      </c>
    </row>
    <row r="375" spans="3:3" x14ac:dyDescent="0.2">
      <c r="C375" s="199" t="str">
        <f t="shared" si="5"/>
        <v/>
      </c>
    </row>
    <row r="376" spans="3:3" x14ac:dyDescent="0.2">
      <c r="C376" s="199" t="str">
        <f t="shared" si="5"/>
        <v/>
      </c>
    </row>
    <row r="377" spans="3:3" x14ac:dyDescent="0.2">
      <c r="C377" s="199" t="str">
        <f t="shared" si="5"/>
        <v/>
      </c>
    </row>
    <row r="378" spans="3:3" x14ac:dyDescent="0.2">
      <c r="C378" s="199" t="str">
        <f t="shared" si="5"/>
        <v/>
      </c>
    </row>
    <row r="379" spans="3:3" x14ac:dyDescent="0.2">
      <c r="C379" s="199" t="str">
        <f t="shared" si="5"/>
        <v/>
      </c>
    </row>
    <row r="380" spans="3:3" x14ac:dyDescent="0.2">
      <c r="C380" s="199" t="str">
        <f t="shared" si="5"/>
        <v/>
      </c>
    </row>
    <row r="381" spans="3:3" x14ac:dyDescent="0.2">
      <c r="C381" s="199" t="str">
        <f t="shared" si="5"/>
        <v/>
      </c>
    </row>
    <row r="382" spans="3:3" x14ac:dyDescent="0.2">
      <c r="C382" s="199" t="str">
        <f t="shared" si="5"/>
        <v/>
      </c>
    </row>
    <row r="383" spans="3:3" x14ac:dyDescent="0.2">
      <c r="C383" s="199" t="str">
        <f t="shared" si="5"/>
        <v/>
      </c>
    </row>
    <row r="384" spans="3:3" x14ac:dyDescent="0.2">
      <c r="C384" s="199" t="str">
        <f t="shared" si="5"/>
        <v/>
      </c>
    </row>
    <row r="385" spans="3:3" x14ac:dyDescent="0.2">
      <c r="C385" s="199" t="str">
        <f t="shared" si="5"/>
        <v/>
      </c>
    </row>
    <row r="386" spans="3:3" x14ac:dyDescent="0.2">
      <c r="C386" s="199" t="str">
        <f t="shared" si="5"/>
        <v/>
      </c>
    </row>
    <row r="387" spans="3:3" x14ac:dyDescent="0.2">
      <c r="C387" s="199" t="str">
        <f t="shared" si="5"/>
        <v/>
      </c>
    </row>
    <row r="388" spans="3:3" x14ac:dyDescent="0.2">
      <c r="C388" s="199" t="str">
        <f t="shared" si="5"/>
        <v/>
      </c>
    </row>
    <row r="389" spans="3:3" x14ac:dyDescent="0.2">
      <c r="C389" s="199" t="str">
        <f t="shared" si="5"/>
        <v/>
      </c>
    </row>
    <row r="390" spans="3:3" x14ac:dyDescent="0.2">
      <c r="C390" s="199" t="str">
        <f t="shared" si="5"/>
        <v/>
      </c>
    </row>
    <row r="391" spans="3:3" x14ac:dyDescent="0.2">
      <c r="C391" s="199" t="str">
        <f t="shared" si="5"/>
        <v/>
      </c>
    </row>
    <row r="392" spans="3:3" x14ac:dyDescent="0.2">
      <c r="C392" s="199" t="str">
        <f t="shared" si="5"/>
        <v/>
      </c>
    </row>
    <row r="393" spans="3:3" x14ac:dyDescent="0.2">
      <c r="C393" s="199" t="str">
        <f t="shared" si="5"/>
        <v/>
      </c>
    </row>
    <row r="394" spans="3:3" x14ac:dyDescent="0.2">
      <c r="C394" s="199" t="str">
        <f t="shared" si="5"/>
        <v/>
      </c>
    </row>
    <row r="395" spans="3:3" x14ac:dyDescent="0.2">
      <c r="C395" s="199" t="str">
        <f t="shared" si="5"/>
        <v/>
      </c>
    </row>
    <row r="396" spans="3:3" x14ac:dyDescent="0.2">
      <c r="C396" s="199" t="str">
        <f t="shared" si="5"/>
        <v/>
      </c>
    </row>
    <row r="397" spans="3:3" x14ac:dyDescent="0.2">
      <c r="C397" s="199" t="str">
        <f t="shared" si="5"/>
        <v/>
      </c>
    </row>
    <row r="398" spans="3:3" x14ac:dyDescent="0.2">
      <c r="C398" s="199" t="str">
        <f t="shared" si="5"/>
        <v/>
      </c>
    </row>
    <row r="399" spans="3:3" x14ac:dyDescent="0.2">
      <c r="C399" s="199" t="str">
        <f t="shared" si="5"/>
        <v/>
      </c>
    </row>
    <row r="400" spans="3:3" x14ac:dyDescent="0.2">
      <c r="C400" s="199" t="str">
        <f t="shared" si="5"/>
        <v/>
      </c>
    </row>
    <row r="401" spans="3:3" x14ac:dyDescent="0.2">
      <c r="C401" s="199" t="str">
        <f t="shared" si="5"/>
        <v/>
      </c>
    </row>
    <row r="402" spans="3:3" x14ac:dyDescent="0.2">
      <c r="C402" s="199" t="str">
        <f t="shared" si="5"/>
        <v/>
      </c>
    </row>
    <row r="403" spans="3:3" x14ac:dyDescent="0.2">
      <c r="C403" s="199" t="str">
        <f t="shared" si="5"/>
        <v/>
      </c>
    </row>
    <row r="404" spans="3:3" x14ac:dyDescent="0.2">
      <c r="C404" s="199" t="str">
        <f t="shared" si="5"/>
        <v/>
      </c>
    </row>
    <row r="405" spans="3:3" x14ac:dyDescent="0.2">
      <c r="C405" s="199" t="str">
        <f t="shared" si="5"/>
        <v/>
      </c>
    </row>
    <row r="406" spans="3:3" x14ac:dyDescent="0.2">
      <c r="C406" s="199" t="str">
        <f t="shared" si="5"/>
        <v/>
      </c>
    </row>
    <row r="407" spans="3:3" x14ac:dyDescent="0.2">
      <c r="C407" s="199" t="str">
        <f t="shared" ref="C407:C470" si="6">IF(A407=0,"","Elastic")</f>
        <v/>
      </c>
    </row>
    <row r="408" spans="3:3" x14ac:dyDescent="0.2">
      <c r="C408" s="199" t="str">
        <f t="shared" si="6"/>
        <v/>
      </c>
    </row>
    <row r="409" spans="3:3" x14ac:dyDescent="0.2">
      <c r="C409" s="199" t="str">
        <f t="shared" si="6"/>
        <v/>
      </c>
    </row>
    <row r="410" spans="3:3" x14ac:dyDescent="0.2">
      <c r="C410" s="199" t="str">
        <f t="shared" si="6"/>
        <v/>
      </c>
    </row>
    <row r="411" spans="3:3" x14ac:dyDescent="0.2">
      <c r="C411" s="199" t="str">
        <f t="shared" si="6"/>
        <v/>
      </c>
    </row>
    <row r="412" spans="3:3" x14ac:dyDescent="0.2">
      <c r="C412" s="199" t="str">
        <f t="shared" si="6"/>
        <v/>
      </c>
    </row>
    <row r="413" spans="3:3" x14ac:dyDescent="0.2">
      <c r="C413" s="199" t="str">
        <f t="shared" si="6"/>
        <v/>
      </c>
    </row>
    <row r="414" spans="3:3" x14ac:dyDescent="0.2">
      <c r="C414" s="199" t="str">
        <f t="shared" si="6"/>
        <v/>
      </c>
    </row>
    <row r="415" spans="3:3" x14ac:dyDescent="0.2">
      <c r="C415" s="199" t="str">
        <f t="shared" si="6"/>
        <v/>
      </c>
    </row>
    <row r="416" spans="3:3" x14ac:dyDescent="0.2">
      <c r="C416" s="199" t="str">
        <f t="shared" si="6"/>
        <v/>
      </c>
    </row>
    <row r="417" spans="3:3" x14ac:dyDescent="0.2">
      <c r="C417" s="199" t="str">
        <f t="shared" si="6"/>
        <v/>
      </c>
    </row>
    <row r="418" spans="3:3" x14ac:dyDescent="0.2">
      <c r="C418" s="199" t="str">
        <f t="shared" si="6"/>
        <v/>
      </c>
    </row>
    <row r="419" spans="3:3" x14ac:dyDescent="0.2">
      <c r="C419" s="199" t="str">
        <f t="shared" si="6"/>
        <v/>
      </c>
    </row>
    <row r="420" spans="3:3" x14ac:dyDescent="0.2">
      <c r="C420" s="199" t="str">
        <f t="shared" si="6"/>
        <v/>
      </c>
    </row>
    <row r="421" spans="3:3" x14ac:dyDescent="0.2">
      <c r="C421" s="199" t="str">
        <f t="shared" si="6"/>
        <v/>
      </c>
    </row>
    <row r="422" spans="3:3" x14ac:dyDescent="0.2">
      <c r="C422" s="199" t="str">
        <f t="shared" si="6"/>
        <v/>
      </c>
    </row>
    <row r="423" spans="3:3" x14ac:dyDescent="0.2">
      <c r="C423" s="199" t="str">
        <f t="shared" si="6"/>
        <v/>
      </c>
    </row>
    <row r="424" spans="3:3" x14ac:dyDescent="0.2">
      <c r="C424" s="199" t="str">
        <f t="shared" si="6"/>
        <v/>
      </c>
    </row>
    <row r="425" spans="3:3" x14ac:dyDescent="0.2">
      <c r="C425" s="199" t="str">
        <f t="shared" si="6"/>
        <v/>
      </c>
    </row>
    <row r="426" spans="3:3" x14ac:dyDescent="0.2">
      <c r="C426" s="199" t="str">
        <f t="shared" si="6"/>
        <v/>
      </c>
    </row>
    <row r="427" spans="3:3" x14ac:dyDescent="0.2">
      <c r="C427" s="199" t="str">
        <f t="shared" si="6"/>
        <v/>
      </c>
    </row>
    <row r="428" spans="3:3" x14ac:dyDescent="0.2">
      <c r="C428" s="199" t="str">
        <f t="shared" si="6"/>
        <v/>
      </c>
    </row>
    <row r="429" spans="3:3" x14ac:dyDescent="0.2">
      <c r="C429" s="199" t="str">
        <f t="shared" si="6"/>
        <v/>
      </c>
    </row>
    <row r="430" spans="3:3" x14ac:dyDescent="0.2">
      <c r="C430" s="199" t="str">
        <f t="shared" si="6"/>
        <v/>
      </c>
    </row>
    <row r="431" spans="3:3" x14ac:dyDescent="0.2">
      <c r="C431" s="199" t="str">
        <f t="shared" si="6"/>
        <v/>
      </c>
    </row>
    <row r="432" spans="3:3" x14ac:dyDescent="0.2">
      <c r="C432" s="199" t="str">
        <f t="shared" si="6"/>
        <v/>
      </c>
    </row>
    <row r="433" spans="3:3" x14ac:dyDescent="0.2">
      <c r="C433" s="199" t="str">
        <f t="shared" si="6"/>
        <v/>
      </c>
    </row>
    <row r="434" spans="3:3" x14ac:dyDescent="0.2">
      <c r="C434" s="199" t="str">
        <f t="shared" si="6"/>
        <v/>
      </c>
    </row>
    <row r="435" spans="3:3" x14ac:dyDescent="0.2">
      <c r="C435" s="199" t="str">
        <f t="shared" si="6"/>
        <v/>
      </c>
    </row>
    <row r="436" spans="3:3" x14ac:dyDescent="0.2">
      <c r="C436" s="199" t="str">
        <f t="shared" si="6"/>
        <v/>
      </c>
    </row>
    <row r="437" spans="3:3" x14ac:dyDescent="0.2">
      <c r="C437" s="199" t="str">
        <f t="shared" si="6"/>
        <v/>
      </c>
    </row>
    <row r="438" spans="3:3" x14ac:dyDescent="0.2">
      <c r="C438" s="199" t="str">
        <f t="shared" si="6"/>
        <v/>
      </c>
    </row>
    <row r="439" spans="3:3" x14ac:dyDescent="0.2">
      <c r="C439" s="199" t="str">
        <f t="shared" si="6"/>
        <v/>
      </c>
    </row>
    <row r="440" spans="3:3" x14ac:dyDescent="0.2">
      <c r="C440" s="199" t="str">
        <f t="shared" si="6"/>
        <v/>
      </c>
    </row>
    <row r="441" spans="3:3" x14ac:dyDescent="0.2">
      <c r="C441" s="199" t="str">
        <f t="shared" si="6"/>
        <v/>
      </c>
    </row>
    <row r="442" spans="3:3" x14ac:dyDescent="0.2">
      <c r="C442" s="199" t="str">
        <f t="shared" si="6"/>
        <v/>
      </c>
    </row>
    <row r="443" spans="3:3" x14ac:dyDescent="0.2">
      <c r="C443" s="199" t="str">
        <f t="shared" si="6"/>
        <v/>
      </c>
    </row>
    <row r="444" spans="3:3" x14ac:dyDescent="0.2">
      <c r="C444" s="199" t="str">
        <f t="shared" si="6"/>
        <v/>
      </c>
    </row>
    <row r="445" spans="3:3" x14ac:dyDescent="0.2">
      <c r="C445" s="199" t="str">
        <f t="shared" si="6"/>
        <v/>
      </c>
    </row>
    <row r="446" spans="3:3" x14ac:dyDescent="0.2">
      <c r="C446" s="199" t="str">
        <f t="shared" si="6"/>
        <v/>
      </c>
    </row>
    <row r="447" spans="3:3" x14ac:dyDescent="0.2">
      <c r="C447" s="199" t="str">
        <f t="shared" si="6"/>
        <v/>
      </c>
    </row>
    <row r="448" spans="3:3" x14ac:dyDescent="0.2">
      <c r="C448" s="199" t="str">
        <f t="shared" si="6"/>
        <v/>
      </c>
    </row>
    <row r="449" spans="3:3" x14ac:dyDescent="0.2">
      <c r="C449" s="199" t="str">
        <f t="shared" si="6"/>
        <v/>
      </c>
    </row>
    <row r="450" spans="3:3" x14ac:dyDescent="0.2">
      <c r="C450" s="199" t="str">
        <f t="shared" si="6"/>
        <v/>
      </c>
    </row>
    <row r="451" spans="3:3" x14ac:dyDescent="0.2">
      <c r="C451" s="199" t="str">
        <f t="shared" si="6"/>
        <v/>
      </c>
    </row>
    <row r="452" spans="3:3" x14ac:dyDescent="0.2">
      <c r="C452" s="199" t="str">
        <f t="shared" si="6"/>
        <v/>
      </c>
    </row>
    <row r="453" spans="3:3" x14ac:dyDescent="0.2">
      <c r="C453" s="199" t="str">
        <f t="shared" si="6"/>
        <v/>
      </c>
    </row>
    <row r="454" spans="3:3" x14ac:dyDescent="0.2">
      <c r="C454" s="199" t="str">
        <f t="shared" si="6"/>
        <v/>
      </c>
    </row>
    <row r="455" spans="3:3" x14ac:dyDescent="0.2">
      <c r="C455" s="199" t="str">
        <f t="shared" si="6"/>
        <v/>
      </c>
    </row>
    <row r="456" spans="3:3" x14ac:dyDescent="0.2">
      <c r="C456" s="199" t="str">
        <f t="shared" si="6"/>
        <v/>
      </c>
    </row>
    <row r="457" spans="3:3" x14ac:dyDescent="0.2">
      <c r="C457" s="199" t="str">
        <f t="shared" si="6"/>
        <v/>
      </c>
    </row>
    <row r="458" spans="3:3" x14ac:dyDescent="0.2">
      <c r="C458" s="199" t="str">
        <f t="shared" si="6"/>
        <v/>
      </c>
    </row>
    <row r="459" spans="3:3" x14ac:dyDescent="0.2">
      <c r="C459" s="199" t="str">
        <f t="shared" si="6"/>
        <v/>
      </c>
    </row>
    <row r="460" spans="3:3" x14ac:dyDescent="0.2">
      <c r="C460" s="199" t="str">
        <f t="shared" si="6"/>
        <v/>
      </c>
    </row>
    <row r="461" spans="3:3" x14ac:dyDescent="0.2">
      <c r="C461" s="199" t="str">
        <f t="shared" si="6"/>
        <v/>
      </c>
    </row>
    <row r="462" spans="3:3" x14ac:dyDescent="0.2">
      <c r="C462" s="199" t="str">
        <f t="shared" si="6"/>
        <v/>
      </c>
    </row>
    <row r="463" spans="3:3" x14ac:dyDescent="0.2">
      <c r="C463" s="199" t="str">
        <f t="shared" si="6"/>
        <v/>
      </c>
    </row>
    <row r="464" spans="3:3" x14ac:dyDescent="0.2">
      <c r="C464" s="199" t="str">
        <f t="shared" si="6"/>
        <v/>
      </c>
    </row>
    <row r="465" spans="3:3" x14ac:dyDescent="0.2">
      <c r="C465" s="199" t="str">
        <f t="shared" si="6"/>
        <v/>
      </c>
    </row>
    <row r="466" spans="3:3" x14ac:dyDescent="0.2">
      <c r="C466" s="199" t="str">
        <f t="shared" si="6"/>
        <v/>
      </c>
    </row>
    <row r="467" spans="3:3" x14ac:dyDescent="0.2">
      <c r="C467" s="199" t="str">
        <f t="shared" si="6"/>
        <v/>
      </c>
    </row>
    <row r="468" spans="3:3" x14ac:dyDescent="0.2">
      <c r="C468" s="199" t="str">
        <f t="shared" si="6"/>
        <v/>
      </c>
    </row>
    <row r="469" spans="3:3" x14ac:dyDescent="0.2">
      <c r="C469" s="199" t="str">
        <f t="shared" si="6"/>
        <v/>
      </c>
    </row>
    <row r="470" spans="3:3" x14ac:dyDescent="0.2">
      <c r="C470" s="199" t="str">
        <f t="shared" si="6"/>
        <v/>
      </c>
    </row>
    <row r="471" spans="3:3" x14ac:dyDescent="0.2">
      <c r="C471" s="199" t="str">
        <f t="shared" ref="C471:C534" si="7">IF(A471=0,"","Elastic")</f>
        <v/>
      </c>
    </row>
    <row r="472" spans="3:3" x14ac:dyDescent="0.2">
      <c r="C472" s="199" t="str">
        <f t="shared" si="7"/>
        <v/>
      </c>
    </row>
    <row r="473" spans="3:3" x14ac:dyDescent="0.2">
      <c r="C473" s="199" t="str">
        <f t="shared" si="7"/>
        <v/>
      </c>
    </row>
    <row r="474" spans="3:3" x14ac:dyDescent="0.2">
      <c r="C474" s="199" t="str">
        <f t="shared" si="7"/>
        <v/>
      </c>
    </row>
    <row r="475" spans="3:3" x14ac:dyDescent="0.2">
      <c r="C475" s="199" t="str">
        <f t="shared" si="7"/>
        <v/>
      </c>
    </row>
    <row r="476" spans="3:3" x14ac:dyDescent="0.2">
      <c r="C476" s="199" t="str">
        <f t="shared" si="7"/>
        <v/>
      </c>
    </row>
    <row r="477" spans="3:3" x14ac:dyDescent="0.2">
      <c r="C477" s="199" t="str">
        <f t="shared" si="7"/>
        <v/>
      </c>
    </row>
    <row r="478" spans="3:3" x14ac:dyDescent="0.2">
      <c r="C478" s="199" t="str">
        <f t="shared" si="7"/>
        <v/>
      </c>
    </row>
    <row r="479" spans="3:3" x14ac:dyDescent="0.2">
      <c r="C479" s="199" t="str">
        <f t="shared" si="7"/>
        <v/>
      </c>
    </row>
    <row r="480" spans="3:3" x14ac:dyDescent="0.2">
      <c r="C480" s="199" t="str">
        <f t="shared" si="7"/>
        <v/>
      </c>
    </row>
    <row r="481" spans="3:3" x14ac:dyDescent="0.2">
      <c r="C481" s="199" t="str">
        <f t="shared" si="7"/>
        <v/>
      </c>
    </row>
    <row r="482" spans="3:3" x14ac:dyDescent="0.2">
      <c r="C482" s="199" t="str">
        <f t="shared" si="7"/>
        <v/>
      </c>
    </row>
    <row r="483" spans="3:3" x14ac:dyDescent="0.2">
      <c r="C483" s="199" t="str">
        <f t="shared" si="7"/>
        <v/>
      </c>
    </row>
    <row r="484" spans="3:3" x14ac:dyDescent="0.2">
      <c r="C484" s="199" t="str">
        <f t="shared" si="7"/>
        <v/>
      </c>
    </row>
    <row r="485" spans="3:3" x14ac:dyDescent="0.2">
      <c r="C485" s="199" t="str">
        <f t="shared" si="7"/>
        <v/>
      </c>
    </row>
    <row r="486" spans="3:3" x14ac:dyDescent="0.2">
      <c r="C486" s="199" t="str">
        <f t="shared" si="7"/>
        <v/>
      </c>
    </row>
    <row r="487" spans="3:3" x14ac:dyDescent="0.2">
      <c r="C487" s="199" t="str">
        <f t="shared" si="7"/>
        <v/>
      </c>
    </row>
    <row r="488" spans="3:3" x14ac:dyDescent="0.2">
      <c r="C488" s="199" t="str">
        <f t="shared" si="7"/>
        <v/>
      </c>
    </row>
    <row r="489" spans="3:3" x14ac:dyDescent="0.2">
      <c r="C489" s="199" t="str">
        <f t="shared" si="7"/>
        <v/>
      </c>
    </row>
    <row r="490" spans="3:3" x14ac:dyDescent="0.2">
      <c r="C490" s="199" t="str">
        <f t="shared" si="7"/>
        <v/>
      </c>
    </row>
    <row r="491" spans="3:3" x14ac:dyDescent="0.2">
      <c r="C491" s="199" t="str">
        <f t="shared" si="7"/>
        <v/>
      </c>
    </row>
    <row r="492" spans="3:3" x14ac:dyDescent="0.2">
      <c r="C492" s="199" t="str">
        <f t="shared" si="7"/>
        <v/>
      </c>
    </row>
    <row r="493" spans="3:3" x14ac:dyDescent="0.2">
      <c r="C493" s="199" t="str">
        <f t="shared" si="7"/>
        <v/>
      </c>
    </row>
    <row r="494" spans="3:3" x14ac:dyDescent="0.2">
      <c r="C494" s="199" t="str">
        <f t="shared" si="7"/>
        <v/>
      </c>
    </row>
    <row r="495" spans="3:3" x14ac:dyDescent="0.2">
      <c r="C495" s="199" t="str">
        <f t="shared" si="7"/>
        <v/>
      </c>
    </row>
    <row r="496" spans="3:3" x14ac:dyDescent="0.2">
      <c r="C496" s="199" t="str">
        <f t="shared" si="7"/>
        <v/>
      </c>
    </row>
    <row r="497" spans="3:3" x14ac:dyDescent="0.2">
      <c r="C497" s="199" t="str">
        <f t="shared" si="7"/>
        <v/>
      </c>
    </row>
    <row r="498" spans="3:3" x14ac:dyDescent="0.2">
      <c r="C498" s="199" t="str">
        <f t="shared" si="7"/>
        <v/>
      </c>
    </row>
    <row r="499" spans="3:3" x14ac:dyDescent="0.2">
      <c r="C499" s="199" t="str">
        <f t="shared" si="7"/>
        <v/>
      </c>
    </row>
    <row r="500" spans="3:3" x14ac:dyDescent="0.2">
      <c r="C500" s="199" t="str">
        <f t="shared" si="7"/>
        <v/>
      </c>
    </row>
    <row r="501" spans="3:3" x14ac:dyDescent="0.2">
      <c r="C501" s="199" t="str">
        <f t="shared" si="7"/>
        <v/>
      </c>
    </row>
    <row r="502" spans="3:3" x14ac:dyDescent="0.2">
      <c r="C502" s="199" t="str">
        <f t="shared" si="7"/>
        <v/>
      </c>
    </row>
    <row r="503" spans="3:3" x14ac:dyDescent="0.2">
      <c r="C503" s="199" t="str">
        <f t="shared" si="7"/>
        <v/>
      </c>
    </row>
    <row r="504" spans="3:3" x14ac:dyDescent="0.2">
      <c r="C504" s="199" t="str">
        <f t="shared" si="7"/>
        <v/>
      </c>
    </row>
    <row r="505" spans="3:3" x14ac:dyDescent="0.2">
      <c r="C505" s="199" t="str">
        <f t="shared" si="7"/>
        <v/>
      </c>
    </row>
    <row r="506" spans="3:3" x14ac:dyDescent="0.2">
      <c r="C506" s="199" t="str">
        <f t="shared" si="7"/>
        <v/>
      </c>
    </row>
    <row r="507" spans="3:3" x14ac:dyDescent="0.2">
      <c r="C507" s="199" t="str">
        <f t="shared" si="7"/>
        <v/>
      </c>
    </row>
    <row r="508" spans="3:3" x14ac:dyDescent="0.2">
      <c r="C508" s="199" t="str">
        <f t="shared" si="7"/>
        <v/>
      </c>
    </row>
    <row r="509" spans="3:3" x14ac:dyDescent="0.2">
      <c r="C509" s="199" t="str">
        <f t="shared" si="7"/>
        <v/>
      </c>
    </row>
    <row r="510" spans="3:3" x14ac:dyDescent="0.2">
      <c r="C510" s="199" t="str">
        <f t="shared" si="7"/>
        <v/>
      </c>
    </row>
    <row r="511" spans="3:3" x14ac:dyDescent="0.2">
      <c r="C511" s="199" t="str">
        <f t="shared" si="7"/>
        <v/>
      </c>
    </row>
    <row r="512" spans="3:3" x14ac:dyDescent="0.2">
      <c r="C512" s="199" t="str">
        <f t="shared" si="7"/>
        <v/>
      </c>
    </row>
    <row r="513" spans="3:3" x14ac:dyDescent="0.2">
      <c r="C513" s="199" t="str">
        <f t="shared" si="7"/>
        <v/>
      </c>
    </row>
    <row r="514" spans="3:3" x14ac:dyDescent="0.2">
      <c r="C514" s="199" t="str">
        <f t="shared" si="7"/>
        <v/>
      </c>
    </row>
    <row r="515" spans="3:3" x14ac:dyDescent="0.2">
      <c r="C515" s="199" t="str">
        <f t="shared" si="7"/>
        <v/>
      </c>
    </row>
    <row r="516" spans="3:3" x14ac:dyDescent="0.2">
      <c r="C516" s="199" t="str">
        <f t="shared" si="7"/>
        <v/>
      </c>
    </row>
    <row r="517" spans="3:3" x14ac:dyDescent="0.2">
      <c r="C517" s="199" t="str">
        <f t="shared" si="7"/>
        <v/>
      </c>
    </row>
    <row r="518" spans="3:3" x14ac:dyDescent="0.2">
      <c r="C518" s="199" t="str">
        <f t="shared" si="7"/>
        <v/>
      </c>
    </row>
    <row r="519" spans="3:3" x14ac:dyDescent="0.2">
      <c r="C519" s="199" t="str">
        <f t="shared" si="7"/>
        <v/>
      </c>
    </row>
    <row r="520" spans="3:3" x14ac:dyDescent="0.2">
      <c r="C520" s="199" t="str">
        <f t="shared" si="7"/>
        <v/>
      </c>
    </row>
    <row r="521" spans="3:3" x14ac:dyDescent="0.2">
      <c r="C521" s="199" t="str">
        <f t="shared" si="7"/>
        <v/>
      </c>
    </row>
    <row r="522" spans="3:3" x14ac:dyDescent="0.2">
      <c r="C522" s="199" t="str">
        <f t="shared" si="7"/>
        <v/>
      </c>
    </row>
    <row r="523" spans="3:3" x14ac:dyDescent="0.2">
      <c r="C523" s="199" t="str">
        <f t="shared" si="7"/>
        <v/>
      </c>
    </row>
    <row r="524" spans="3:3" x14ac:dyDescent="0.2">
      <c r="C524" s="199" t="str">
        <f t="shared" si="7"/>
        <v/>
      </c>
    </row>
    <row r="525" spans="3:3" x14ac:dyDescent="0.2">
      <c r="C525" s="199" t="str">
        <f t="shared" si="7"/>
        <v/>
      </c>
    </row>
    <row r="526" spans="3:3" x14ac:dyDescent="0.2">
      <c r="C526" s="199" t="str">
        <f t="shared" si="7"/>
        <v/>
      </c>
    </row>
    <row r="527" spans="3:3" x14ac:dyDescent="0.2">
      <c r="C527" s="199" t="str">
        <f t="shared" si="7"/>
        <v/>
      </c>
    </row>
    <row r="528" spans="3:3" x14ac:dyDescent="0.2">
      <c r="C528" s="199" t="str">
        <f t="shared" si="7"/>
        <v/>
      </c>
    </row>
    <row r="529" spans="3:3" x14ac:dyDescent="0.2">
      <c r="C529" s="199" t="str">
        <f t="shared" si="7"/>
        <v/>
      </c>
    </row>
    <row r="530" spans="3:3" x14ac:dyDescent="0.2">
      <c r="C530" s="199" t="str">
        <f t="shared" si="7"/>
        <v/>
      </c>
    </row>
    <row r="531" spans="3:3" x14ac:dyDescent="0.2">
      <c r="C531" s="199" t="str">
        <f t="shared" si="7"/>
        <v/>
      </c>
    </row>
    <row r="532" spans="3:3" x14ac:dyDescent="0.2">
      <c r="C532" s="199" t="str">
        <f t="shared" si="7"/>
        <v/>
      </c>
    </row>
    <row r="533" spans="3:3" x14ac:dyDescent="0.2">
      <c r="C533" s="199" t="str">
        <f t="shared" si="7"/>
        <v/>
      </c>
    </row>
    <row r="534" spans="3:3" x14ac:dyDescent="0.2">
      <c r="C534" s="199" t="str">
        <f t="shared" si="7"/>
        <v/>
      </c>
    </row>
    <row r="535" spans="3:3" x14ac:dyDescent="0.2">
      <c r="C535" s="199" t="str">
        <f t="shared" ref="C535:C598" si="8">IF(A535=0,"","Elastic")</f>
        <v/>
      </c>
    </row>
    <row r="536" spans="3:3" x14ac:dyDescent="0.2">
      <c r="C536" s="199" t="str">
        <f t="shared" si="8"/>
        <v/>
      </c>
    </row>
    <row r="537" spans="3:3" x14ac:dyDescent="0.2">
      <c r="C537" s="199" t="str">
        <f t="shared" si="8"/>
        <v/>
      </c>
    </row>
    <row r="538" spans="3:3" x14ac:dyDescent="0.2">
      <c r="C538" s="199" t="str">
        <f t="shared" si="8"/>
        <v/>
      </c>
    </row>
    <row r="539" spans="3:3" x14ac:dyDescent="0.2">
      <c r="C539" s="199" t="str">
        <f t="shared" si="8"/>
        <v/>
      </c>
    </row>
    <row r="540" spans="3:3" x14ac:dyDescent="0.2">
      <c r="C540" s="199" t="str">
        <f t="shared" si="8"/>
        <v/>
      </c>
    </row>
    <row r="541" spans="3:3" x14ac:dyDescent="0.2">
      <c r="C541" s="199" t="str">
        <f t="shared" si="8"/>
        <v/>
      </c>
    </row>
    <row r="542" spans="3:3" x14ac:dyDescent="0.2">
      <c r="C542" s="199" t="str">
        <f t="shared" si="8"/>
        <v/>
      </c>
    </row>
    <row r="543" spans="3:3" x14ac:dyDescent="0.2">
      <c r="C543" s="199" t="str">
        <f t="shared" si="8"/>
        <v/>
      </c>
    </row>
    <row r="544" spans="3:3" x14ac:dyDescent="0.2">
      <c r="C544" s="199" t="str">
        <f t="shared" si="8"/>
        <v/>
      </c>
    </row>
    <row r="545" spans="3:3" x14ac:dyDescent="0.2">
      <c r="C545" s="199" t="str">
        <f t="shared" si="8"/>
        <v/>
      </c>
    </row>
    <row r="546" spans="3:3" x14ac:dyDescent="0.2">
      <c r="C546" s="199" t="str">
        <f t="shared" si="8"/>
        <v/>
      </c>
    </row>
    <row r="547" spans="3:3" x14ac:dyDescent="0.2">
      <c r="C547" s="199" t="str">
        <f t="shared" si="8"/>
        <v/>
      </c>
    </row>
    <row r="548" spans="3:3" x14ac:dyDescent="0.2">
      <c r="C548" s="199" t="str">
        <f t="shared" si="8"/>
        <v/>
      </c>
    </row>
    <row r="549" spans="3:3" x14ac:dyDescent="0.2">
      <c r="C549" s="199" t="str">
        <f t="shared" si="8"/>
        <v/>
      </c>
    </row>
    <row r="550" spans="3:3" x14ac:dyDescent="0.2">
      <c r="C550" s="199" t="str">
        <f t="shared" si="8"/>
        <v/>
      </c>
    </row>
    <row r="551" spans="3:3" x14ac:dyDescent="0.2">
      <c r="C551" s="199" t="str">
        <f t="shared" si="8"/>
        <v/>
      </c>
    </row>
    <row r="552" spans="3:3" x14ac:dyDescent="0.2">
      <c r="C552" s="199" t="str">
        <f t="shared" si="8"/>
        <v/>
      </c>
    </row>
    <row r="553" spans="3:3" x14ac:dyDescent="0.2">
      <c r="C553" s="199" t="str">
        <f t="shared" si="8"/>
        <v/>
      </c>
    </row>
    <row r="554" spans="3:3" x14ac:dyDescent="0.2">
      <c r="C554" s="199" t="str">
        <f t="shared" si="8"/>
        <v/>
      </c>
    </row>
    <row r="555" spans="3:3" x14ac:dyDescent="0.2">
      <c r="C555" s="199" t="str">
        <f t="shared" si="8"/>
        <v/>
      </c>
    </row>
    <row r="556" spans="3:3" x14ac:dyDescent="0.2">
      <c r="C556" s="199" t="str">
        <f t="shared" si="8"/>
        <v/>
      </c>
    </row>
    <row r="557" spans="3:3" x14ac:dyDescent="0.2">
      <c r="C557" s="199" t="str">
        <f t="shared" si="8"/>
        <v/>
      </c>
    </row>
    <row r="558" spans="3:3" x14ac:dyDescent="0.2">
      <c r="C558" s="199" t="str">
        <f t="shared" si="8"/>
        <v/>
      </c>
    </row>
    <row r="559" spans="3:3" x14ac:dyDescent="0.2">
      <c r="C559" s="199" t="str">
        <f t="shared" si="8"/>
        <v/>
      </c>
    </row>
    <row r="560" spans="3:3" x14ac:dyDescent="0.2">
      <c r="C560" s="199" t="str">
        <f t="shared" si="8"/>
        <v/>
      </c>
    </row>
    <row r="561" spans="3:3" x14ac:dyDescent="0.2">
      <c r="C561" s="199" t="str">
        <f t="shared" si="8"/>
        <v/>
      </c>
    </row>
    <row r="562" spans="3:3" x14ac:dyDescent="0.2">
      <c r="C562" s="199" t="str">
        <f t="shared" si="8"/>
        <v/>
      </c>
    </row>
    <row r="563" spans="3:3" x14ac:dyDescent="0.2">
      <c r="C563" s="199" t="str">
        <f t="shared" si="8"/>
        <v/>
      </c>
    </row>
    <row r="564" spans="3:3" x14ac:dyDescent="0.2">
      <c r="C564" s="199" t="str">
        <f t="shared" si="8"/>
        <v/>
      </c>
    </row>
    <row r="565" spans="3:3" x14ac:dyDescent="0.2">
      <c r="C565" s="199" t="str">
        <f t="shared" si="8"/>
        <v/>
      </c>
    </row>
    <row r="566" spans="3:3" x14ac:dyDescent="0.2">
      <c r="C566" s="199" t="str">
        <f t="shared" si="8"/>
        <v/>
      </c>
    </row>
    <row r="567" spans="3:3" x14ac:dyDescent="0.2">
      <c r="C567" s="199" t="str">
        <f t="shared" si="8"/>
        <v/>
      </c>
    </row>
    <row r="568" spans="3:3" x14ac:dyDescent="0.2">
      <c r="C568" s="199" t="str">
        <f t="shared" si="8"/>
        <v/>
      </c>
    </row>
    <row r="569" spans="3:3" x14ac:dyDescent="0.2">
      <c r="C569" s="199" t="str">
        <f t="shared" si="8"/>
        <v/>
      </c>
    </row>
    <row r="570" spans="3:3" x14ac:dyDescent="0.2">
      <c r="C570" s="199" t="str">
        <f t="shared" si="8"/>
        <v/>
      </c>
    </row>
    <row r="571" spans="3:3" x14ac:dyDescent="0.2">
      <c r="C571" s="199" t="str">
        <f t="shared" si="8"/>
        <v/>
      </c>
    </row>
    <row r="572" spans="3:3" x14ac:dyDescent="0.2">
      <c r="C572" s="199" t="str">
        <f t="shared" si="8"/>
        <v/>
      </c>
    </row>
    <row r="573" spans="3:3" x14ac:dyDescent="0.2">
      <c r="C573" s="199" t="str">
        <f t="shared" si="8"/>
        <v/>
      </c>
    </row>
    <row r="574" spans="3:3" x14ac:dyDescent="0.2">
      <c r="C574" s="199" t="str">
        <f t="shared" si="8"/>
        <v/>
      </c>
    </row>
    <row r="575" spans="3:3" x14ac:dyDescent="0.2">
      <c r="C575" s="199" t="str">
        <f t="shared" si="8"/>
        <v/>
      </c>
    </row>
    <row r="576" spans="3:3" x14ac:dyDescent="0.2">
      <c r="C576" s="199" t="str">
        <f t="shared" si="8"/>
        <v/>
      </c>
    </row>
    <row r="577" spans="3:3" x14ac:dyDescent="0.2">
      <c r="C577" s="199" t="str">
        <f t="shared" si="8"/>
        <v/>
      </c>
    </row>
    <row r="578" spans="3:3" x14ac:dyDescent="0.2">
      <c r="C578" s="199" t="str">
        <f t="shared" si="8"/>
        <v/>
      </c>
    </row>
    <row r="579" spans="3:3" x14ac:dyDescent="0.2">
      <c r="C579" s="199" t="str">
        <f t="shared" si="8"/>
        <v/>
      </c>
    </row>
    <row r="580" spans="3:3" x14ac:dyDescent="0.2">
      <c r="C580" s="199" t="str">
        <f t="shared" si="8"/>
        <v/>
      </c>
    </row>
    <row r="581" spans="3:3" x14ac:dyDescent="0.2">
      <c r="C581" s="199" t="str">
        <f t="shared" si="8"/>
        <v/>
      </c>
    </row>
    <row r="582" spans="3:3" x14ac:dyDescent="0.2">
      <c r="C582" s="199" t="str">
        <f t="shared" si="8"/>
        <v/>
      </c>
    </row>
    <row r="583" spans="3:3" x14ac:dyDescent="0.2">
      <c r="C583" s="199" t="str">
        <f t="shared" si="8"/>
        <v/>
      </c>
    </row>
    <row r="584" spans="3:3" x14ac:dyDescent="0.2">
      <c r="C584" s="199" t="str">
        <f t="shared" si="8"/>
        <v/>
      </c>
    </row>
    <row r="585" spans="3:3" x14ac:dyDescent="0.2">
      <c r="C585" s="199" t="str">
        <f t="shared" si="8"/>
        <v/>
      </c>
    </row>
    <row r="586" spans="3:3" x14ac:dyDescent="0.2">
      <c r="C586" s="199" t="str">
        <f t="shared" si="8"/>
        <v/>
      </c>
    </row>
    <row r="587" spans="3:3" x14ac:dyDescent="0.2">
      <c r="C587" s="199" t="str">
        <f t="shared" si="8"/>
        <v/>
      </c>
    </row>
    <row r="588" spans="3:3" x14ac:dyDescent="0.2">
      <c r="C588" s="199" t="str">
        <f t="shared" si="8"/>
        <v/>
      </c>
    </row>
    <row r="589" spans="3:3" x14ac:dyDescent="0.2">
      <c r="C589" s="199" t="str">
        <f t="shared" si="8"/>
        <v/>
      </c>
    </row>
    <row r="590" spans="3:3" x14ac:dyDescent="0.2">
      <c r="C590" s="199" t="str">
        <f t="shared" si="8"/>
        <v/>
      </c>
    </row>
    <row r="591" spans="3:3" x14ac:dyDescent="0.2">
      <c r="C591" s="199" t="str">
        <f t="shared" si="8"/>
        <v/>
      </c>
    </row>
    <row r="592" spans="3:3" x14ac:dyDescent="0.2">
      <c r="C592" s="199" t="str">
        <f t="shared" si="8"/>
        <v/>
      </c>
    </row>
    <row r="593" spans="3:3" x14ac:dyDescent="0.2">
      <c r="C593" s="199" t="str">
        <f t="shared" si="8"/>
        <v/>
      </c>
    </row>
    <row r="594" spans="3:3" x14ac:dyDescent="0.2">
      <c r="C594" s="199" t="str">
        <f t="shared" si="8"/>
        <v/>
      </c>
    </row>
    <row r="595" spans="3:3" x14ac:dyDescent="0.2">
      <c r="C595" s="199" t="str">
        <f t="shared" si="8"/>
        <v/>
      </c>
    </row>
    <row r="596" spans="3:3" x14ac:dyDescent="0.2">
      <c r="C596" s="199" t="str">
        <f t="shared" si="8"/>
        <v/>
      </c>
    </row>
    <row r="597" spans="3:3" x14ac:dyDescent="0.2">
      <c r="C597" s="199" t="str">
        <f t="shared" si="8"/>
        <v/>
      </c>
    </row>
    <row r="598" spans="3:3" x14ac:dyDescent="0.2">
      <c r="C598" s="199" t="str">
        <f t="shared" si="8"/>
        <v/>
      </c>
    </row>
    <row r="599" spans="3:3" x14ac:dyDescent="0.2">
      <c r="C599" s="199" t="str">
        <f t="shared" ref="C599:C662" si="9">IF(A599=0,"","Elastic")</f>
        <v/>
      </c>
    </row>
    <row r="600" spans="3:3" x14ac:dyDescent="0.2">
      <c r="C600" s="199" t="str">
        <f t="shared" si="9"/>
        <v/>
      </c>
    </row>
    <row r="601" spans="3:3" x14ac:dyDescent="0.2">
      <c r="C601" s="199" t="str">
        <f t="shared" si="9"/>
        <v/>
      </c>
    </row>
    <row r="602" spans="3:3" x14ac:dyDescent="0.2">
      <c r="C602" s="199" t="str">
        <f t="shared" si="9"/>
        <v/>
      </c>
    </row>
    <row r="603" spans="3:3" x14ac:dyDescent="0.2">
      <c r="C603" s="199" t="str">
        <f t="shared" si="9"/>
        <v/>
      </c>
    </row>
    <row r="604" spans="3:3" x14ac:dyDescent="0.2">
      <c r="C604" s="199" t="str">
        <f t="shared" si="9"/>
        <v/>
      </c>
    </row>
    <row r="605" spans="3:3" x14ac:dyDescent="0.2">
      <c r="C605" s="199" t="str">
        <f t="shared" si="9"/>
        <v/>
      </c>
    </row>
    <row r="606" spans="3:3" x14ac:dyDescent="0.2">
      <c r="C606" s="199" t="str">
        <f t="shared" si="9"/>
        <v/>
      </c>
    </row>
    <row r="607" spans="3:3" x14ac:dyDescent="0.2">
      <c r="C607" s="199" t="str">
        <f t="shared" si="9"/>
        <v/>
      </c>
    </row>
    <row r="608" spans="3:3" x14ac:dyDescent="0.2">
      <c r="C608" s="199" t="str">
        <f t="shared" si="9"/>
        <v/>
      </c>
    </row>
    <row r="609" spans="3:3" x14ac:dyDescent="0.2">
      <c r="C609" s="199" t="str">
        <f t="shared" si="9"/>
        <v/>
      </c>
    </row>
    <row r="610" spans="3:3" x14ac:dyDescent="0.2">
      <c r="C610" s="199" t="str">
        <f t="shared" si="9"/>
        <v/>
      </c>
    </row>
    <row r="611" spans="3:3" x14ac:dyDescent="0.2">
      <c r="C611" s="199" t="str">
        <f t="shared" si="9"/>
        <v/>
      </c>
    </row>
    <row r="612" spans="3:3" x14ac:dyDescent="0.2">
      <c r="C612" s="199" t="str">
        <f t="shared" si="9"/>
        <v/>
      </c>
    </row>
    <row r="613" spans="3:3" x14ac:dyDescent="0.2">
      <c r="C613" s="199" t="str">
        <f t="shared" si="9"/>
        <v/>
      </c>
    </row>
    <row r="614" spans="3:3" x14ac:dyDescent="0.2">
      <c r="C614" s="199" t="str">
        <f t="shared" si="9"/>
        <v/>
      </c>
    </row>
    <row r="615" spans="3:3" x14ac:dyDescent="0.2">
      <c r="C615" s="199" t="str">
        <f t="shared" si="9"/>
        <v/>
      </c>
    </row>
    <row r="616" spans="3:3" x14ac:dyDescent="0.2">
      <c r="C616" s="199" t="str">
        <f t="shared" si="9"/>
        <v/>
      </c>
    </row>
    <row r="617" spans="3:3" x14ac:dyDescent="0.2">
      <c r="C617" s="199" t="str">
        <f t="shared" si="9"/>
        <v/>
      </c>
    </row>
    <row r="618" spans="3:3" x14ac:dyDescent="0.2">
      <c r="C618" s="199" t="str">
        <f t="shared" si="9"/>
        <v/>
      </c>
    </row>
    <row r="619" spans="3:3" x14ac:dyDescent="0.2">
      <c r="C619" s="199" t="str">
        <f t="shared" si="9"/>
        <v/>
      </c>
    </row>
    <row r="620" spans="3:3" x14ac:dyDescent="0.2">
      <c r="C620" s="199" t="str">
        <f t="shared" si="9"/>
        <v/>
      </c>
    </row>
    <row r="621" spans="3:3" x14ac:dyDescent="0.2">
      <c r="C621" s="199" t="str">
        <f t="shared" si="9"/>
        <v/>
      </c>
    </row>
    <row r="622" spans="3:3" x14ac:dyDescent="0.2">
      <c r="C622" s="199" t="str">
        <f t="shared" si="9"/>
        <v/>
      </c>
    </row>
    <row r="623" spans="3:3" x14ac:dyDescent="0.2">
      <c r="C623" s="199" t="str">
        <f t="shared" si="9"/>
        <v/>
      </c>
    </row>
    <row r="624" spans="3:3" x14ac:dyDescent="0.2">
      <c r="C624" s="199" t="str">
        <f t="shared" si="9"/>
        <v/>
      </c>
    </row>
    <row r="625" spans="3:3" x14ac:dyDescent="0.2">
      <c r="C625" s="199" t="str">
        <f t="shared" si="9"/>
        <v/>
      </c>
    </row>
    <row r="626" spans="3:3" x14ac:dyDescent="0.2">
      <c r="C626" s="199" t="str">
        <f t="shared" si="9"/>
        <v/>
      </c>
    </row>
    <row r="627" spans="3:3" x14ac:dyDescent="0.2">
      <c r="C627" s="199" t="str">
        <f t="shared" si="9"/>
        <v/>
      </c>
    </row>
    <row r="628" spans="3:3" x14ac:dyDescent="0.2">
      <c r="C628" s="199" t="str">
        <f t="shared" si="9"/>
        <v/>
      </c>
    </row>
    <row r="629" spans="3:3" x14ac:dyDescent="0.2">
      <c r="C629" s="199" t="str">
        <f t="shared" si="9"/>
        <v/>
      </c>
    </row>
    <row r="630" spans="3:3" x14ac:dyDescent="0.2">
      <c r="C630" s="199" t="str">
        <f t="shared" si="9"/>
        <v/>
      </c>
    </row>
    <row r="631" spans="3:3" x14ac:dyDescent="0.2">
      <c r="C631" s="199" t="str">
        <f t="shared" si="9"/>
        <v/>
      </c>
    </row>
    <row r="632" spans="3:3" x14ac:dyDescent="0.2">
      <c r="C632" s="199" t="str">
        <f t="shared" si="9"/>
        <v/>
      </c>
    </row>
    <row r="633" spans="3:3" x14ac:dyDescent="0.2">
      <c r="C633" s="199" t="str">
        <f t="shared" si="9"/>
        <v/>
      </c>
    </row>
    <row r="634" spans="3:3" x14ac:dyDescent="0.2">
      <c r="C634" s="199" t="str">
        <f t="shared" si="9"/>
        <v/>
      </c>
    </row>
    <row r="635" spans="3:3" x14ac:dyDescent="0.2">
      <c r="C635" s="199" t="str">
        <f t="shared" si="9"/>
        <v/>
      </c>
    </row>
    <row r="636" spans="3:3" x14ac:dyDescent="0.2">
      <c r="C636" s="199" t="str">
        <f t="shared" si="9"/>
        <v/>
      </c>
    </row>
    <row r="637" spans="3:3" x14ac:dyDescent="0.2">
      <c r="C637" s="199" t="str">
        <f t="shared" si="9"/>
        <v/>
      </c>
    </row>
    <row r="638" spans="3:3" x14ac:dyDescent="0.2">
      <c r="C638" s="199" t="str">
        <f t="shared" si="9"/>
        <v/>
      </c>
    </row>
    <row r="639" spans="3:3" x14ac:dyDescent="0.2">
      <c r="C639" s="199" t="str">
        <f t="shared" si="9"/>
        <v/>
      </c>
    </row>
    <row r="640" spans="3:3" x14ac:dyDescent="0.2">
      <c r="C640" s="199" t="str">
        <f t="shared" si="9"/>
        <v/>
      </c>
    </row>
    <row r="641" spans="3:3" x14ac:dyDescent="0.2">
      <c r="C641" s="199" t="str">
        <f t="shared" si="9"/>
        <v/>
      </c>
    </row>
    <row r="642" spans="3:3" x14ac:dyDescent="0.2">
      <c r="C642" s="199" t="str">
        <f t="shared" si="9"/>
        <v/>
      </c>
    </row>
    <row r="643" spans="3:3" x14ac:dyDescent="0.2">
      <c r="C643" s="199" t="str">
        <f t="shared" si="9"/>
        <v/>
      </c>
    </row>
    <row r="644" spans="3:3" x14ac:dyDescent="0.2">
      <c r="C644" s="199" t="str">
        <f t="shared" si="9"/>
        <v/>
      </c>
    </row>
    <row r="645" spans="3:3" x14ac:dyDescent="0.2">
      <c r="C645" s="199" t="str">
        <f t="shared" si="9"/>
        <v/>
      </c>
    </row>
    <row r="646" spans="3:3" x14ac:dyDescent="0.2">
      <c r="C646" s="199" t="str">
        <f t="shared" si="9"/>
        <v/>
      </c>
    </row>
    <row r="647" spans="3:3" x14ac:dyDescent="0.2">
      <c r="C647" s="199" t="str">
        <f t="shared" si="9"/>
        <v/>
      </c>
    </row>
    <row r="648" spans="3:3" x14ac:dyDescent="0.2">
      <c r="C648" s="199" t="str">
        <f t="shared" si="9"/>
        <v/>
      </c>
    </row>
    <row r="649" spans="3:3" x14ac:dyDescent="0.2">
      <c r="C649" s="199" t="str">
        <f t="shared" si="9"/>
        <v/>
      </c>
    </row>
    <row r="650" spans="3:3" x14ac:dyDescent="0.2">
      <c r="C650" s="199" t="str">
        <f t="shared" si="9"/>
        <v/>
      </c>
    </row>
    <row r="651" spans="3:3" x14ac:dyDescent="0.2">
      <c r="C651" s="199" t="str">
        <f t="shared" si="9"/>
        <v/>
      </c>
    </row>
    <row r="652" spans="3:3" x14ac:dyDescent="0.2">
      <c r="C652" s="199" t="str">
        <f t="shared" si="9"/>
        <v/>
      </c>
    </row>
    <row r="653" spans="3:3" x14ac:dyDescent="0.2">
      <c r="C653" s="199" t="str">
        <f t="shared" si="9"/>
        <v/>
      </c>
    </row>
    <row r="654" spans="3:3" x14ac:dyDescent="0.2">
      <c r="C654" s="199" t="str">
        <f t="shared" si="9"/>
        <v/>
      </c>
    </row>
    <row r="655" spans="3:3" x14ac:dyDescent="0.2">
      <c r="C655" s="199" t="str">
        <f t="shared" si="9"/>
        <v/>
      </c>
    </row>
    <row r="656" spans="3:3" x14ac:dyDescent="0.2">
      <c r="C656" s="199" t="str">
        <f t="shared" si="9"/>
        <v/>
      </c>
    </row>
    <row r="657" spans="3:3" x14ac:dyDescent="0.2">
      <c r="C657" s="199" t="str">
        <f t="shared" si="9"/>
        <v/>
      </c>
    </row>
    <row r="658" spans="3:3" x14ac:dyDescent="0.2">
      <c r="C658" s="199" t="str">
        <f t="shared" si="9"/>
        <v/>
      </c>
    </row>
    <row r="659" spans="3:3" x14ac:dyDescent="0.2">
      <c r="C659" s="199" t="str">
        <f t="shared" si="9"/>
        <v/>
      </c>
    </row>
    <row r="660" spans="3:3" x14ac:dyDescent="0.2">
      <c r="C660" s="199" t="str">
        <f t="shared" si="9"/>
        <v/>
      </c>
    </row>
    <row r="661" spans="3:3" x14ac:dyDescent="0.2">
      <c r="C661" s="199" t="str">
        <f t="shared" si="9"/>
        <v/>
      </c>
    </row>
    <row r="662" spans="3:3" x14ac:dyDescent="0.2">
      <c r="C662" s="199" t="str">
        <f t="shared" si="9"/>
        <v/>
      </c>
    </row>
    <row r="663" spans="3:3" x14ac:dyDescent="0.2">
      <c r="C663" s="199" t="str">
        <f t="shared" ref="C663:C726" si="10">IF(A663=0,"","Elastic")</f>
        <v/>
      </c>
    </row>
    <row r="664" spans="3:3" x14ac:dyDescent="0.2">
      <c r="C664" s="199" t="str">
        <f t="shared" si="10"/>
        <v/>
      </c>
    </row>
    <row r="665" spans="3:3" x14ac:dyDescent="0.2">
      <c r="C665" s="199" t="str">
        <f t="shared" si="10"/>
        <v/>
      </c>
    </row>
    <row r="666" spans="3:3" x14ac:dyDescent="0.2">
      <c r="C666" s="199" t="str">
        <f t="shared" si="10"/>
        <v/>
      </c>
    </row>
    <row r="667" spans="3:3" x14ac:dyDescent="0.2">
      <c r="C667" s="199" t="str">
        <f t="shared" si="10"/>
        <v/>
      </c>
    </row>
    <row r="668" spans="3:3" x14ac:dyDescent="0.2">
      <c r="C668" s="199" t="str">
        <f t="shared" si="10"/>
        <v/>
      </c>
    </row>
    <row r="669" spans="3:3" x14ac:dyDescent="0.2">
      <c r="C669" s="199" t="str">
        <f t="shared" si="10"/>
        <v/>
      </c>
    </row>
    <row r="670" spans="3:3" x14ac:dyDescent="0.2">
      <c r="C670" s="199" t="str">
        <f t="shared" si="10"/>
        <v/>
      </c>
    </row>
    <row r="671" spans="3:3" x14ac:dyDescent="0.2">
      <c r="C671" s="199" t="str">
        <f t="shared" si="10"/>
        <v/>
      </c>
    </row>
    <row r="672" spans="3:3" x14ac:dyDescent="0.2">
      <c r="C672" s="199" t="str">
        <f t="shared" si="10"/>
        <v/>
      </c>
    </row>
    <row r="673" spans="3:3" x14ac:dyDescent="0.2">
      <c r="C673" s="199" t="str">
        <f t="shared" si="10"/>
        <v/>
      </c>
    </row>
    <row r="674" spans="3:3" x14ac:dyDescent="0.2">
      <c r="C674" s="199" t="str">
        <f t="shared" si="10"/>
        <v/>
      </c>
    </row>
    <row r="675" spans="3:3" x14ac:dyDescent="0.2">
      <c r="C675" s="199" t="str">
        <f t="shared" si="10"/>
        <v/>
      </c>
    </row>
    <row r="676" spans="3:3" x14ac:dyDescent="0.2">
      <c r="C676" s="199" t="str">
        <f t="shared" si="10"/>
        <v/>
      </c>
    </row>
    <row r="677" spans="3:3" x14ac:dyDescent="0.2">
      <c r="C677" s="199" t="str">
        <f t="shared" si="10"/>
        <v/>
      </c>
    </row>
    <row r="678" spans="3:3" x14ac:dyDescent="0.2">
      <c r="C678" s="199" t="str">
        <f t="shared" si="10"/>
        <v/>
      </c>
    </row>
    <row r="679" spans="3:3" x14ac:dyDescent="0.2">
      <c r="C679" s="199" t="str">
        <f t="shared" si="10"/>
        <v/>
      </c>
    </row>
    <row r="680" spans="3:3" x14ac:dyDescent="0.2">
      <c r="C680" s="199" t="str">
        <f t="shared" si="10"/>
        <v/>
      </c>
    </row>
    <row r="681" spans="3:3" x14ac:dyDescent="0.2">
      <c r="C681" s="199" t="str">
        <f t="shared" si="10"/>
        <v/>
      </c>
    </row>
    <row r="682" spans="3:3" x14ac:dyDescent="0.2">
      <c r="C682" s="199" t="str">
        <f t="shared" si="10"/>
        <v/>
      </c>
    </row>
    <row r="683" spans="3:3" x14ac:dyDescent="0.2">
      <c r="C683" s="199" t="str">
        <f t="shared" si="10"/>
        <v/>
      </c>
    </row>
    <row r="684" spans="3:3" x14ac:dyDescent="0.2">
      <c r="C684" s="199" t="str">
        <f t="shared" si="10"/>
        <v/>
      </c>
    </row>
    <row r="685" spans="3:3" x14ac:dyDescent="0.2">
      <c r="C685" s="199" t="str">
        <f t="shared" si="10"/>
        <v/>
      </c>
    </row>
    <row r="686" spans="3:3" x14ac:dyDescent="0.2">
      <c r="C686" s="199" t="str">
        <f t="shared" si="10"/>
        <v/>
      </c>
    </row>
    <row r="687" spans="3:3" x14ac:dyDescent="0.2">
      <c r="C687" s="199" t="str">
        <f t="shared" si="10"/>
        <v/>
      </c>
    </row>
    <row r="688" spans="3:3" x14ac:dyDescent="0.2">
      <c r="C688" s="199" t="str">
        <f t="shared" si="10"/>
        <v/>
      </c>
    </row>
    <row r="689" spans="3:3" x14ac:dyDescent="0.2">
      <c r="C689" s="199" t="str">
        <f t="shared" si="10"/>
        <v/>
      </c>
    </row>
    <row r="690" spans="3:3" x14ac:dyDescent="0.2">
      <c r="C690" s="199" t="str">
        <f t="shared" si="10"/>
        <v/>
      </c>
    </row>
    <row r="691" spans="3:3" x14ac:dyDescent="0.2">
      <c r="C691" s="199" t="str">
        <f t="shared" si="10"/>
        <v/>
      </c>
    </row>
    <row r="692" spans="3:3" x14ac:dyDescent="0.2">
      <c r="C692" s="199" t="str">
        <f t="shared" si="10"/>
        <v/>
      </c>
    </row>
    <row r="693" spans="3:3" x14ac:dyDescent="0.2">
      <c r="C693" s="199" t="str">
        <f t="shared" si="10"/>
        <v/>
      </c>
    </row>
    <row r="694" spans="3:3" x14ac:dyDescent="0.2">
      <c r="C694" s="199" t="str">
        <f t="shared" si="10"/>
        <v/>
      </c>
    </row>
    <row r="695" spans="3:3" x14ac:dyDescent="0.2">
      <c r="C695" s="199" t="str">
        <f t="shared" si="10"/>
        <v/>
      </c>
    </row>
    <row r="696" spans="3:3" x14ac:dyDescent="0.2">
      <c r="C696" s="199" t="str">
        <f t="shared" si="10"/>
        <v/>
      </c>
    </row>
    <row r="697" spans="3:3" x14ac:dyDescent="0.2">
      <c r="C697" s="199" t="str">
        <f t="shared" si="10"/>
        <v/>
      </c>
    </row>
    <row r="698" spans="3:3" x14ac:dyDescent="0.2">
      <c r="C698" s="199" t="str">
        <f t="shared" si="10"/>
        <v/>
      </c>
    </row>
    <row r="699" spans="3:3" x14ac:dyDescent="0.2">
      <c r="C699" s="199" t="str">
        <f t="shared" si="10"/>
        <v/>
      </c>
    </row>
    <row r="700" spans="3:3" x14ac:dyDescent="0.2">
      <c r="C700" s="199" t="str">
        <f t="shared" si="10"/>
        <v/>
      </c>
    </row>
    <row r="701" spans="3:3" x14ac:dyDescent="0.2">
      <c r="C701" s="199" t="str">
        <f t="shared" si="10"/>
        <v/>
      </c>
    </row>
    <row r="702" spans="3:3" x14ac:dyDescent="0.2">
      <c r="C702" s="199" t="str">
        <f t="shared" si="10"/>
        <v/>
      </c>
    </row>
    <row r="703" spans="3:3" x14ac:dyDescent="0.2">
      <c r="C703" s="199" t="str">
        <f t="shared" si="10"/>
        <v/>
      </c>
    </row>
    <row r="704" spans="3:3" x14ac:dyDescent="0.2">
      <c r="C704" s="199" t="str">
        <f t="shared" si="10"/>
        <v/>
      </c>
    </row>
    <row r="705" spans="3:3" x14ac:dyDescent="0.2">
      <c r="C705" s="199" t="str">
        <f t="shared" si="10"/>
        <v/>
      </c>
    </row>
    <row r="706" spans="3:3" x14ac:dyDescent="0.2">
      <c r="C706" s="199" t="str">
        <f t="shared" si="10"/>
        <v/>
      </c>
    </row>
    <row r="707" spans="3:3" x14ac:dyDescent="0.2">
      <c r="C707" s="199" t="str">
        <f t="shared" si="10"/>
        <v/>
      </c>
    </row>
    <row r="708" spans="3:3" x14ac:dyDescent="0.2">
      <c r="C708" s="199" t="str">
        <f t="shared" si="10"/>
        <v/>
      </c>
    </row>
    <row r="709" spans="3:3" x14ac:dyDescent="0.2">
      <c r="C709" s="199" t="str">
        <f t="shared" si="10"/>
        <v/>
      </c>
    </row>
    <row r="710" spans="3:3" x14ac:dyDescent="0.2">
      <c r="C710" s="199" t="str">
        <f t="shared" si="10"/>
        <v/>
      </c>
    </row>
    <row r="711" spans="3:3" x14ac:dyDescent="0.2">
      <c r="C711" s="199" t="str">
        <f t="shared" si="10"/>
        <v/>
      </c>
    </row>
    <row r="712" spans="3:3" x14ac:dyDescent="0.2">
      <c r="C712" s="199" t="str">
        <f t="shared" si="10"/>
        <v/>
      </c>
    </row>
    <row r="713" spans="3:3" x14ac:dyDescent="0.2">
      <c r="C713" s="199" t="str">
        <f t="shared" si="10"/>
        <v/>
      </c>
    </row>
    <row r="714" spans="3:3" x14ac:dyDescent="0.2">
      <c r="C714" s="199" t="str">
        <f t="shared" si="10"/>
        <v/>
      </c>
    </row>
    <row r="715" spans="3:3" x14ac:dyDescent="0.2">
      <c r="C715" s="199" t="str">
        <f t="shared" si="10"/>
        <v/>
      </c>
    </row>
    <row r="716" spans="3:3" x14ac:dyDescent="0.2">
      <c r="C716" s="199" t="str">
        <f t="shared" si="10"/>
        <v/>
      </c>
    </row>
    <row r="717" spans="3:3" x14ac:dyDescent="0.2">
      <c r="C717" s="199" t="str">
        <f t="shared" si="10"/>
        <v/>
      </c>
    </row>
    <row r="718" spans="3:3" x14ac:dyDescent="0.2">
      <c r="C718" s="199" t="str">
        <f t="shared" si="10"/>
        <v/>
      </c>
    </row>
    <row r="719" spans="3:3" x14ac:dyDescent="0.2">
      <c r="C719" s="199" t="str">
        <f t="shared" si="10"/>
        <v/>
      </c>
    </row>
    <row r="720" spans="3:3" x14ac:dyDescent="0.2">
      <c r="C720" s="199" t="str">
        <f t="shared" si="10"/>
        <v/>
      </c>
    </row>
    <row r="721" spans="3:3" x14ac:dyDescent="0.2">
      <c r="C721" s="199" t="str">
        <f t="shared" si="10"/>
        <v/>
      </c>
    </row>
    <row r="722" spans="3:3" x14ac:dyDescent="0.2">
      <c r="C722" s="199" t="str">
        <f t="shared" si="10"/>
        <v/>
      </c>
    </row>
    <row r="723" spans="3:3" x14ac:dyDescent="0.2">
      <c r="C723" s="199" t="str">
        <f t="shared" si="10"/>
        <v/>
      </c>
    </row>
    <row r="724" spans="3:3" x14ac:dyDescent="0.2">
      <c r="C724" s="199" t="str">
        <f t="shared" si="10"/>
        <v/>
      </c>
    </row>
    <row r="725" spans="3:3" x14ac:dyDescent="0.2">
      <c r="C725" s="199" t="str">
        <f t="shared" si="10"/>
        <v/>
      </c>
    </row>
    <row r="726" spans="3:3" x14ac:dyDescent="0.2">
      <c r="C726" s="199" t="str">
        <f t="shared" si="10"/>
        <v/>
      </c>
    </row>
    <row r="727" spans="3:3" x14ac:dyDescent="0.2">
      <c r="C727" s="199" t="str">
        <f t="shared" ref="C727:C790" si="11">IF(A727=0,"","Elastic")</f>
        <v/>
      </c>
    </row>
    <row r="728" spans="3:3" x14ac:dyDescent="0.2">
      <c r="C728" s="199" t="str">
        <f t="shared" si="11"/>
        <v/>
      </c>
    </row>
    <row r="729" spans="3:3" x14ac:dyDescent="0.2">
      <c r="C729" s="199" t="str">
        <f t="shared" si="11"/>
        <v/>
      </c>
    </row>
    <row r="730" spans="3:3" x14ac:dyDescent="0.2">
      <c r="C730" s="199" t="str">
        <f t="shared" si="11"/>
        <v/>
      </c>
    </row>
    <row r="731" spans="3:3" x14ac:dyDescent="0.2">
      <c r="C731" s="199" t="str">
        <f t="shared" si="11"/>
        <v/>
      </c>
    </row>
    <row r="732" spans="3:3" x14ac:dyDescent="0.2">
      <c r="C732" s="199" t="str">
        <f t="shared" si="11"/>
        <v/>
      </c>
    </row>
    <row r="733" spans="3:3" x14ac:dyDescent="0.2">
      <c r="C733" s="199" t="str">
        <f t="shared" si="11"/>
        <v/>
      </c>
    </row>
    <row r="734" spans="3:3" x14ac:dyDescent="0.2">
      <c r="C734" s="199" t="str">
        <f t="shared" si="11"/>
        <v/>
      </c>
    </row>
    <row r="735" spans="3:3" x14ac:dyDescent="0.2">
      <c r="C735" s="199" t="str">
        <f t="shared" si="11"/>
        <v/>
      </c>
    </row>
    <row r="736" spans="3:3" x14ac:dyDescent="0.2">
      <c r="C736" s="199" t="str">
        <f t="shared" si="11"/>
        <v/>
      </c>
    </row>
    <row r="737" spans="3:3" x14ac:dyDescent="0.2">
      <c r="C737" s="199" t="str">
        <f t="shared" si="11"/>
        <v/>
      </c>
    </row>
    <row r="738" spans="3:3" x14ac:dyDescent="0.2">
      <c r="C738" s="199" t="str">
        <f t="shared" si="11"/>
        <v/>
      </c>
    </row>
    <row r="739" spans="3:3" x14ac:dyDescent="0.2">
      <c r="C739" s="199" t="str">
        <f t="shared" si="11"/>
        <v/>
      </c>
    </row>
    <row r="740" spans="3:3" x14ac:dyDescent="0.2">
      <c r="C740" s="199" t="str">
        <f t="shared" si="11"/>
        <v/>
      </c>
    </row>
    <row r="741" spans="3:3" x14ac:dyDescent="0.2">
      <c r="C741" s="199" t="str">
        <f t="shared" si="11"/>
        <v/>
      </c>
    </row>
    <row r="742" spans="3:3" x14ac:dyDescent="0.2">
      <c r="C742" s="199" t="str">
        <f t="shared" si="11"/>
        <v/>
      </c>
    </row>
    <row r="743" spans="3:3" x14ac:dyDescent="0.2">
      <c r="C743" s="199" t="str">
        <f t="shared" si="11"/>
        <v/>
      </c>
    </row>
    <row r="744" spans="3:3" x14ac:dyDescent="0.2">
      <c r="C744" s="199" t="str">
        <f t="shared" si="11"/>
        <v/>
      </c>
    </row>
    <row r="745" spans="3:3" x14ac:dyDescent="0.2">
      <c r="C745" s="199" t="str">
        <f t="shared" si="11"/>
        <v/>
      </c>
    </row>
    <row r="746" spans="3:3" x14ac:dyDescent="0.2">
      <c r="C746" s="199" t="str">
        <f t="shared" si="11"/>
        <v/>
      </c>
    </row>
    <row r="747" spans="3:3" x14ac:dyDescent="0.2">
      <c r="C747" s="199" t="str">
        <f t="shared" si="11"/>
        <v/>
      </c>
    </row>
    <row r="748" spans="3:3" x14ac:dyDescent="0.2">
      <c r="C748" s="199" t="str">
        <f t="shared" si="11"/>
        <v/>
      </c>
    </row>
    <row r="749" spans="3:3" x14ac:dyDescent="0.2">
      <c r="C749" s="199" t="str">
        <f t="shared" si="11"/>
        <v/>
      </c>
    </row>
    <row r="750" spans="3:3" x14ac:dyDescent="0.2">
      <c r="C750" s="199" t="str">
        <f t="shared" si="11"/>
        <v/>
      </c>
    </row>
    <row r="751" spans="3:3" x14ac:dyDescent="0.2">
      <c r="C751" s="199" t="str">
        <f t="shared" si="11"/>
        <v/>
      </c>
    </row>
    <row r="752" spans="3:3" x14ac:dyDescent="0.2">
      <c r="C752" s="199" t="str">
        <f t="shared" si="11"/>
        <v/>
      </c>
    </row>
    <row r="753" spans="3:3" x14ac:dyDescent="0.2">
      <c r="C753" s="199" t="str">
        <f t="shared" si="11"/>
        <v/>
      </c>
    </row>
    <row r="754" spans="3:3" x14ac:dyDescent="0.2">
      <c r="C754" s="199" t="str">
        <f t="shared" si="11"/>
        <v/>
      </c>
    </row>
    <row r="755" spans="3:3" x14ac:dyDescent="0.2">
      <c r="C755" s="199" t="str">
        <f t="shared" si="11"/>
        <v/>
      </c>
    </row>
    <row r="756" spans="3:3" x14ac:dyDescent="0.2">
      <c r="C756" s="199" t="str">
        <f t="shared" si="11"/>
        <v/>
      </c>
    </row>
    <row r="757" spans="3:3" x14ac:dyDescent="0.2">
      <c r="C757" s="199" t="str">
        <f t="shared" si="11"/>
        <v/>
      </c>
    </row>
    <row r="758" spans="3:3" x14ac:dyDescent="0.2">
      <c r="C758" s="199" t="str">
        <f t="shared" si="11"/>
        <v/>
      </c>
    </row>
    <row r="759" spans="3:3" x14ac:dyDescent="0.2">
      <c r="C759" s="199" t="str">
        <f t="shared" si="11"/>
        <v/>
      </c>
    </row>
    <row r="760" spans="3:3" x14ac:dyDescent="0.2">
      <c r="C760" s="199" t="str">
        <f t="shared" si="11"/>
        <v/>
      </c>
    </row>
    <row r="761" spans="3:3" x14ac:dyDescent="0.2">
      <c r="C761" s="199" t="str">
        <f t="shared" si="11"/>
        <v/>
      </c>
    </row>
    <row r="762" spans="3:3" x14ac:dyDescent="0.2">
      <c r="C762" s="199" t="str">
        <f t="shared" si="11"/>
        <v/>
      </c>
    </row>
    <row r="763" spans="3:3" x14ac:dyDescent="0.2">
      <c r="C763" s="199" t="str">
        <f t="shared" si="11"/>
        <v/>
      </c>
    </row>
    <row r="764" spans="3:3" x14ac:dyDescent="0.2">
      <c r="C764" s="199" t="str">
        <f t="shared" si="11"/>
        <v/>
      </c>
    </row>
    <row r="765" spans="3:3" x14ac:dyDescent="0.2">
      <c r="C765" s="199" t="str">
        <f t="shared" si="11"/>
        <v/>
      </c>
    </row>
    <row r="766" spans="3:3" x14ac:dyDescent="0.2">
      <c r="C766" s="199" t="str">
        <f t="shared" si="11"/>
        <v/>
      </c>
    </row>
    <row r="767" spans="3:3" x14ac:dyDescent="0.2">
      <c r="C767" s="199" t="str">
        <f t="shared" si="11"/>
        <v/>
      </c>
    </row>
    <row r="768" spans="3:3" x14ac:dyDescent="0.2">
      <c r="C768" s="199" t="str">
        <f t="shared" si="11"/>
        <v/>
      </c>
    </row>
    <row r="769" spans="3:3" x14ac:dyDescent="0.2">
      <c r="C769" s="199" t="str">
        <f t="shared" si="11"/>
        <v/>
      </c>
    </row>
    <row r="770" spans="3:3" x14ac:dyDescent="0.2">
      <c r="C770" s="199" t="str">
        <f t="shared" si="11"/>
        <v/>
      </c>
    </row>
    <row r="771" spans="3:3" x14ac:dyDescent="0.2">
      <c r="C771" s="199" t="str">
        <f t="shared" si="11"/>
        <v/>
      </c>
    </row>
    <row r="772" spans="3:3" x14ac:dyDescent="0.2">
      <c r="C772" s="199" t="str">
        <f t="shared" si="11"/>
        <v/>
      </c>
    </row>
    <row r="773" spans="3:3" x14ac:dyDescent="0.2">
      <c r="C773" s="199" t="str">
        <f t="shared" si="11"/>
        <v/>
      </c>
    </row>
    <row r="774" spans="3:3" x14ac:dyDescent="0.2">
      <c r="C774" s="199" t="str">
        <f t="shared" si="11"/>
        <v/>
      </c>
    </row>
    <row r="775" spans="3:3" x14ac:dyDescent="0.2">
      <c r="C775" s="199" t="str">
        <f t="shared" si="11"/>
        <v/>
      </c>
    </row>
    <row r="776" spans="3:3" x14ac:dyDescent="0.2">
      <c r="C776" s="199" t="str">
        <f t="shared" si="11"/>
        <v/>
      </c>
    </row>
    <row r="777" spans="3:3" x14ac:dyDescent="0.2">
      <c r="C777" s="199" t="str">
        <f t="shared" si="11"/>
        <v/>
      </c>
    </row>
    <row r="778" spans="3:3" x14ac:dyDescent="0.2">
      <c r="C778" s="199" t="str">
        <f t="shared" si="11"/>
        <v/>
      </c>
    </row>
    <row r="779" spans="3:3" x14ac:dyDescent="0.2">
      <c r="C779" s="199" t="str">
        <f t="shared" si="11"/>
        <v/>
      </c>
    </row>
    <row r="780" spans="3:3" x14ac:dyDescent="0.2">
      <c r="C780" s="199" t="str">
        <f t="shared" si="11"/>
        <v/>
      </c>
    </row>
    <row r="781" spans="3:3" x14ac:dyDescent="0.2">
      <c r="C781" s="199" t="str">
        <f t="shared" si="11"/>
        <v/>
      </c>
    </row>
    <row r="782" spans="3:3" x14ac:dyDescent="0.2">
      <c r="C782" s="199" t="str">
        <f t="shared" si="11"/>
        <v/>
      </c>
    </row>
    <row r="783" spans="3:3" x14ac:dyDescent="0.2">
      <c r="C783" s="199" t="str">
        <f t="shared" si="11"/>
        <v/>
      </c>
    </row>
    <row r="784" spans="3:3" x14ac:dyDescent="0.2">
      <c r="C784" s="199" t="str">
        <f t="shared" si="11"/>
        <v/>
      </c>
    </row>
    <row r="785" spans="3:3" x14ac:dyDescent="0.2">
      <c r="C785" s="199" t="str">
        <f t="shared" si="11"/>
        <v/>
      </c>
    </row>
    <row r="786" spans="3:3" x14ac:dyDescent="0.2">
      <c r="C786" s="199" t="str">
        <f t="shared" si="11"/>
        <v/>
      </c>
    </row>
    <row r="787" spans="3:3" x14ac:dyDescent="0.2">
      <c r="C787" s="199" t="str">
        <f t="shared" si="11"/>
        <v/>
      </c>
    </row>
    <row r="788" spans="3:3" x14ac:dyDescent="0.2">
      <c r="C788" s="199" t="str">
        <f t="shared" si="11"/>
        <v/>
      </c>
    </row>
    <row r="789" spans="3:3" x14ac:dyDescent="0.2">
      <c r="C789" s="199" t="str">
        <f t="shared" si="11"/>
        <v/>
      </c>
    </row>
    <row r="790" spans="3:3" x14ac:dyDescent="0.2">
      <c r="C790" s="199" t="str">
        <f t="shared" si="11"/>
        <v/>
      </c>
    </row>
    <row r="791" spans="3:3" x14ac:dyDescent="0.2">
      <c r="C791" s="199" t="str">
        <f t="shared" ref="C791:C854" si="12">IF(A791=0,"","Elastic")</f>
        <v/>
      </c>
    </row>
    <row r="792" spans="3:3" x14ac:dyDescent="0.2">
      <c r="C792" s="199" t="str">
        <f t="shared" si="12"/>
        <v/>
      </c>
    </row>
    <row r="793" spans="3:3" x14ac:dyDescent="0.2">
      <c r="C793" s="199" t="str">
        <f t="shared" si="12"/>
        <v/>
      </c>
    </row>
    <row r="794" spans="3:3" x14ac:dyDescent="0.2">
      <c r="C794" s="199" t="str">
        <f t="shared" si="12"/>
        <v/>
      </c>
    </row>
    <row r="795" spans="3:3" x14ac:dyDescent="0.2">
      <c r="C795" s="199" t="str">
        <f t="shared" si="12"/>
        <v/>
      </c>
    </row>
    <row r="796" spans="3:3" x14ac:dyDescent="0.2">
      <c r="C796" s="199" t="str">
        <f t="shared" si="12"/>
        <v/>
      </c>
    </row>
    <row r="797" spans="3:3" x14ac:dyDescent="0.2">
      <c r="C797" s="199" t="str">
        <f t="shared" si="12"/>
        <v/>
      </c>
    </row>
    <row r="798" spans="3:3" x14ac:dyDescent="0.2">
      <c r="C798" s="199" t="str">
        <f t="shared" si="12"/>
        <v/>
      </c>
    </row>
    <row r="799" spans="3:3" x14ac:dyDescent="0.2">
      <c r="C799" s="199" t="str">
        <f t="shared" si="12"/>
        <v/>
      </c>
    </row>
    <row r="800" spans="3:3" x14ac:dyDescent="0.2">
      <c r="C800" s="199" t="str">
        <f t="shared" si="12"/>
        <v/>
      </c>
    </row>
    <row r="801" spans="3:3" x14ac:dyDescent="0.2">
      <c r="C801" s="199" t="str">
        <f t="shared" si="12"/>
        <v/>
      </c>
    </row>
    <row r="802" spans="3:3" x14ac:dyDescent="0.2">
      <c r="C802" s="199" t="str">
        <f t="shared" si="12"/>
        <v/>
      </c>
    </row>
    <row r="803" spans="3:3" x14ac:dyDescent="0.2">
      <c r="C803" s="199" t="str">
        <f t="shared" si="12"/>
        <v/>
      </c>
    </row>
    <row r="804" spans="3:3" x14ac:dyDescent="0.2">
      <c r="C804" s="199" t="str">
        <f t="shared" si="12"/>
        <v/>
      </c>
    </row>
    <row r="805" spans="3:3" x14ac:dyDescent="0.2">
      <c r="C805" s="199" t="str">
        <f t="shared" si="12"/>
        <v/>
      </c>
    </row>
    <row r="806" spans="3:3" x14ac:dyDescent="0.2">
      <c r="C806" s="199" t="str">
        <f t="shared" si="12"/>
        <v/>
      </c>
    </row>
    <row r="807" spans="3:3" x14ac:dyDescent="0.2">
      <c r="C807" s="199" t="str">
        <f t="shared" si="12"/>
        <v/>
      </c>
    </row>
    <row r="808" spans="3:3" x14ac:dyDescent="0.2">
      <c r="C808" s="199" t="str">
        <f t="shared" si="12"/>
        <v/>
      </c>
    </row>
    <row r="809" spans="3:3" x14ac:dyDescent="0.2">
      <c r="C809" s="199" t="str">
        <f t="shared" si="12"/>
        <v/>
      </c>
    </row>
    <row r="810" spans="3:3" x14ac:dyDescent="0.2">
      <c r="C810" s="199" t="str">
        <f t="shared" si="12"/>
        <v/>
      </c>
    </row>
    <row r="811" spans="3:3" x14ac:dyDescent="0.2">
      <c r="C811" s="199" t="str">
        <f t="shared" si="12"/>
        <v/>
      </c>
    </row>
    <row r="812" spans="3:3" x14ac:dyDescent="0.2">
      <c r="C812" s="199" t="str">
        <f t="shared" si="12"/>
        <v/>
      </c>
    </row>
    <row r="813" spans="3:3" x14ac:dyDescent="0.2">
      <c r="C813" s="199" t="str">
        <f t="shared" si="12"/>
        <v/>
      </c>
    </row>
    <row r="814" spans="3:3" x14ac:dyDescent="0.2">
      <c r="C814" s="199" t="str">
        <f t="shared" si="12"/>
        <v/>
      </c>
    </row>
    <row r="815" spans="3:3" x14ac:dyDescent="0.2">
      <c r="C815" s="199" t="str">
        <f t="shared" si="12"/>
        <v/>
      </c>
    </row>
    <row r="816" spans="3:3" x14ac:dyDescent="0.2">
      <c r="C816" s="199" t="str">
        <f t="shared" si="12"/>
        <v/>
      </c>
    </row>
    <row r="817" spans="3:3" x14ac:dyDescent="0.2">
      <c r="C817" s="199" t="str">
        <f t="shared" si="12"/>
        <v/>
      </c>
    </row>
    <row r="818" spans="3:3" x14ac:dyDescent="0.2">
      <c r="C818" s="199" t="str">
        <f t="shared" si="12"/>
        <v/>
      </c>
    </row>
    <row r="819" spans="3:3" x14ac:dyDescent="0.2">
      <c r="C819" s="199" t="str">
        <f t="shared" si="12"/>
        <v/>
      </c>
    </row>
    <row r="820" spans="3:3" x14ac:dyDescent="0.2">
      <c r="C820" s="199" t="str">
        <f t="shared" si="12"/>
        <v/>
      </c>
    </row>
    <row r="821" spans="3:3" x14ac:dyDescent="0.2">
      <c r="C821" s="199" t="str">
        <f t="shared" si="12"/>
        <v/>
      </c>
    </row>
    <row r="822" spans="3:3" x14ac:dyDescent="0.2">
      <c r="C822" s="199" t="str">
        <f t="shared" si="12"/>
        <v/>
      </c>
    </row>
    <row r="823" spans="3:3" x14ac:dyDescent="0.2">
      <c r="C823" s="199" t="str">
        <f t="shared" si="12"/>
        <v/>
      </c>
    </row>
    <row r="824" spans="3:3" x14ac:dyDescent="0.2">
      <c r="C824" s="199" t="str">
        <f t="shared" si="12"/>
        <v/>
      </c>
    </row>
    <row r="825" spans="3:3" x14ac:dyDescent="0.2">
      <c r="C825" s="199" t="str">
        <f t="shared" si="12"/>
        <v/>
      </c>
    </row>
    <row r="826" spans="3:3" x14ac:dyDescent="0.2">
      <c r="C826" s="199" t="str">
        <f t="shared" si="12"/>
        <v/>
      </c>
    </row>
    <row r="827" spans="3:3" x14ac:dyDescent="0.2">
      <c r="C827" s="199" t="str">
        <f t="shared" si="12"/>
        <v/>
      </c>
    </row>
    <row r="828" spans="3:3" x14ac:dyDescent="0.2">
      <c r="C828" s="199" t="str">
        <f t="shared" si="12"/>
        <v/>
      </c>
    </row>
    <row r="829" spans="3:3" x14ac:dyDescent="0.2">
      <c r="C829" s="199" t="str">
        <f t="shared" si="12"/>
        <v/>
      </c>
    </row>
    <row r="830" spans="3:3" x14ac:dyDescent="0.2">
      <c r="C830" s="199" t="str">
        <f t="shared" si="12"/>
        <v/>
      </c>
    </row>
    <row r="831" spans="3:3" x14ac:dyDescent="0.2">
      <c r="C831" s="199" t="str">
        <f t="shared" si="12"/>
        <v/>
      </c>
    </row>
    <row r="832" spans="3:3" x14ac:dyDescent="0.2">
      <c r="C832" s="199" t="str">
        <f t="shared" si="12"/>
        <v/>
      </c>
    </row>
    <row r="833" spans="3:3" x14ac:dyDescent="0.2">
      <c r="C833" s="199" t="str">
        <f t="shared" si="12"/>
        <v/>
      </c>
    </row>
    <row r="834" spans="3:3" x14ac:dyDescent="0.2">
      <c r="C834" s="199" t="str">
        <f t="shared" si="12"/>
        <v/>
      </c>
    </row>
    <row r="835" spans="3:3" x14ac:dyDescent="0.2">
      <c r="C835" s="199" t="str">
        <f t="shared" si="12"/>
        <v/>
      </c>
    </row>
    <row r="836" spans="3:3" x14ac:dyDescent="0.2">
      <c r="C836" s="199" t="str">
        <f t="shared" si="12"/>
        <v/>
      </c>
    </row>
    <row r="837" spans="3:3" x14ac:dyDescent="0.2">
      <c r="C837" s="199" t="str">
        <f t="shared" si="12"/>
        <v/>
      </c>
    </row>
    <row r="838" spans="3:3" x14ac:dyDescent="0.2">
      <c r="C838" s="199" t="str">
        <f t="shared" si="12"/>
        <v/>
      </c>
    </row>
    <row r="839" spans="3:3" x14ac:dyDescent="0.2">
      <c r="C839" s="199" t="str">
        <f t="shared" si="12"/>
        <v/>
      </c>
    </row>
    <row r="840" spans="3:3" x14ac:dyDescent="0.2">
      <c r="C840" s="199" t="str">
        <f t="shared" si="12"/>
        <v/>
      </c>
    </row>
    <row r="841" spans="3:3" x14ac:dyDescent="0.2">
      <c r="C841" s="199" t="str">
        <f t="shared" si="12"/>
        <v/>
      </c>
    </row>
    <row r="842" spans="3:3" x14ac:dyDescent="0.2">
      <c r="C842" s="199" t="str">
        <f t="shared" si="12"/>
        <v/>
      </c>
    </row>
    <row r="843" spans="3:3" x14ac:dyDescent="0.2">
      <c r="C843" s="199" t="str">
        <f t="shared" si="12"/>
        <v/>
      </c>
    </row>
    <row r="844" spans="3:3" x14ac:dyDescent="0.2">
      <c r="C844" s="199" t="str">
        <f t="shared" si="12"/>
        <v/>
      </c>
    </row>
    <row r="845" spans="3:3" x14ac:dyDescent="0.2">
      <c r="C845" s="199" t="str">
        <f t="shared" si="12"/>
        <v/>
      </c>
    </row>
    <row r="846" spans="3:3" x14ac:dyDescent="0.2">
      <c r="C846" s="199" t="str">
        <f t="shared" si="12"/>
        <v/>
      </c>
    </row>
    <row r="847" spans="3:3" x14ac:dyDescent="0.2">
      <c r="C847" s="199" t="str">
        <f t="shared" si="12"/>
        <v/>
      </c>
    </row>
    <row r="848" spans="3:3" x14ac:dyDescent="0.2">
      <c r="C848" s="199" t="str">
        <f t="shared" si="12"/>
        <v/>
      </c>
    </row>
    <row r="849" spans="3:3" x14ac:dyDescent="0.2">
      <c r="C849" s="199" t="str">
        <f t="shared" si="12"/>
        <v/>
      </c>
    </row>
    <row r="850" spans="3:3" x14ac:dyDescent="0.2">
      <c r="C850" s="199" t="str">
        <f t="shared" si="12"/>
        <v/>
      </c>
    </row>
    <row r="851" spans="3:3" x14ac:dyDescent="0.2">
      <c r="C851" s="199" t="str">
        <f t="shared" si="12"/>
        <v/>
      </c>
    </row>
    <row r="852" spans="3:3" x14ac:dyDescent="0.2">
      <c r="C852" s="199" t="str">
        <f t="shared" si="12"/>
        <v/>
      </c>
    </row>
    <row r="853" spans="3:3" x14ac:dyDescent="0.2">
      <c r="C853" s="199" t="str">
        <f t="shared" si="12"/>
        <v/>
      </c>
    </row>
    <row r="854" spans="3:3" x14ac:dyDescent="0.2">
      <c r="C854" s="199" t="str">
        <f t="shared" si="12"/>
        <v/>
      </c>
    </row>
    <row r="855" spans="3:3" x14ac:dyDescent="0.2">
      <c r="C855" s="199" t="str">
        <f t="shared" ref="C855:C918" si="13">IF(A855=0,"","Elastic")</f>
        <v/>
      </c>
    </row>
    <row r="856" spans="3:3" x14ac:dyDescent="0.2">
      <c r="C856" s="199" t="str">
        <f t="shared" si="13"/>
        <v/>
      </c>
    </row>
    <row r="857" spans="3:3" x14ac:dyDescent="0.2">
      <c r="C857" s="199" t="str">
        <f t="shared" si="13"/>
        <v/>
      </c>
    </row>
    <row r="858" spans="3:3" x14ac:dyDescent="0.2">
      <c r="C858" s="199" t="str">
        <f t="shared" si="13"/>
        <v/>
      </c>
    </row>
    <row r="859" spans="3:3" x14ac:dyDescent="0.2">
      <c r="C859" s="199" t="str">
        <f t="shared" si="13"/>
        <v/>
      </c>
    </row>
    <row r="860" spans="3:3" x14ac:dyDescent="0.2">
      <c r="C860" s="199" t="str">
        <f t="shared" si="13"/>
        <v/>
      </c>
    </row>
    <row r="861" spans="3:3" x14ac:dyDescent="0.2">
      <c r="C861" s="199" t="str">
        <f t="shared" si="13"/>
        <v/>
      </c>
    </row>
    <row r="862" spans="3:3" x14ac:dyDescent="0.2">
      <c r="C862" s="199" t="str">
        <f t="shared" si="13"/>
        <v/>
      </c>
    </row>
    <row r="863" spans="3:3" x14ac:dyDescent="0.2">
      <c r="C863" s="199" t="str">
        <f t="shared" si="13"/>
        <v/>
      </c>
    </row>
    <row r="864" spans="3:3" x14ac:dyDescent="0.2">
      <c r="C864" s="199" t="str">
        <f t="shared" si="13"/>
        <v/>
      </c>
    </row>
    <row r="865" spans="3:3" x14ac:dyDescent="0.2">
      <c r="C865" s="199" t="str">
        <f t="shared" si="13"/>
        <v/>
      </c>
    </row>
    <row r="866" spans="3:3" x14ac:dyDescent="0.2">
      <c r="C866" s="199" t="str">
        <f t="shared" si="13"/>
        <v/>
      </c>
    </row>
    <row r="867" spans="3:3" x14ac:dyDescent="0.2">
      <c r="C867" s="199" t="str">
        <f t="shared" si="13"/>
        <v/>
      </c>
    </row>
    <row r="868" spans="3:3" x14ac:dyDescent="0.2">
      <c r="C868" s="199" t="str">
        <f t="shared" si="13"/>
        <v/>
      </c>
    </row>
    <row r="869" spans="3:3" x14ac:dyDescent="0.2">
      <c r="C869" s="199" t="str">
        <f t="shared" si="13"/>
        <v/>
      </c>
    </row>
    <row r="870" spans="3:3" x14ac:dyDescent="0.2">
      <c r="C870" s="199" t="str">
        <f t="shared" si="13"/>
        <v/>
      </c>
    </row>
    <row r="871" spans="3:3" x14ac:dyDescent="0.2">
      <c r="C871" s="199" t="str">
        <f t="shared" si="13"/>
        <v/>
      </c>
    </row>
    <row r="872" spans="3:3" x14ac:dyDescent="0.2">
      <c r="C872" s="199" t="str">
        <f t="shared" si="13"/>
        <v/>
      </c>
    </row>
    <row r="873" spans="3:3" x14ac:dyDescent="0.2">
      <c r="C873" s="199" t="str">
        <f t="shared" si="13"/>
        <v/>
      </c>
    </row>
    <row r="874" spans="3:3" x14ac:dyDescent="0.2">
      <c r="C874" s="199" t="str">
        <f t="shared" si="13"/>
        <v/>
      </c>
    </row>
    <row r="875" spans="3:3" x14ac:dyDescent="0.2">
      <c r="C875" s="199" t="str">
        <f t="shared" si="13"/>
        <v/>
      </c>
    </row>
    <row r="876" spans="3:3" x14ac:dyDescent="0.2">
      <c r="C876" s="199" t="str">
        <f t="shared" si="13"/>
        <v/>
      </c>
    </row>
    <row r="877" spans="3:3" x14ac:dyDescent="0.2">
      <c r="C877" s="199" t="str">
        <f t="shared" si="13"/>
        <v/>
      </c>
    </row>
    <row r="878" spans="3:3" x14ac:dyDescent="0.2">
      <c r="C878" s="199" t="str">
        <f t="shared" si="13"/>
        <v/>
      </c>
    </row>
    <row r="879" spans="3:3" x14ac:dyDescent="0.2">
      <c r="C879" s="199" t="str">
        <f t="shared" si="13"/>
        <v/>
      </c>
    </row>
    <row r="880" spans="3:3" x14ac:dyDescent="0.2">
      <c r="C880" s="199" t="str">
        <f t="shared" si="13"/>
        <v/>
      </c>
    </row>
    <row r="881" spans="3:3" x14ac:dyDescent="0.2">
      <c r="C881" s="199" t="str">
        <f t="shared" si="13"/>
        <v/>
      </c>
    </row>
    <row r="882" spans="3:3" x14ac:dyDescent="0.2">
      <c r="C882" s="199" t="str">
        <f t="shared" si="13"/>
        <v/>
      </c>
    </row>
    <row r="883" spans="3:3" x14ac:dyDescent="0.2">
      <c r="C883" s="199" t="str">
        <f t="shared" si="13"/>
        <v/>
      </c>
    </row>
    <row r="884" spans="3:3" x14ac:dyDescent="0.2">
      <c r="C884" s="199" t="str">
        <f t="shared" si="13"/>
        <v/>
      </c>
    </row>
    <row r="885" spans="3:3" x14ac:dyDescent="0.2">
      <c r="C885" s="199" t="str">
        <f t="shared" si="13"/>
        <v/>
      </c>
    </row>
    <row r="886" spans="3:3" x14ac:dyDescent="0.2">
      <c r="C886" s="199" t="str">
        <f t="shared" si="13"/>
        <v/>
      </c>
    </row>
    <row r="887" spans="3:3" x14ac:dyDescent="0.2">
      <c r="C887" s="199" t="str">
        <f t="shared" si="13"/>
        <v/>
      </c>
    </row>
    <row r="888" spans="3:3" x14ac:dyDescent="0.2">
      <c r="C888" s="199" t="str">
        <f t="shared" si="13"/>
        <v/>
      </c>
    </row>
    <row r="889" spans="3:3" x14ac:dyDescent="0.2">
      <c r="C889" s="199" t="str">
        <f t="shared" si="13"/>
        <v/>
      </c>
    </row>
    <row r="890" spans="3:3" x14ac:dyDescent="0.2">
      <c r="C890" s="199" t="str">
        <f t="shared" si="13"/>
        <v/>
      </c>
    </row>
    <row r="891" spans="3:3" x14ac:dyDescent="0.2">
      <c r="C891" s="199" t="str">
        <f t="shared" si="13"/>
        <v/>
      </c>
    </row>
    <row r="892" spans="3:3" x14ac:dyDescent="0.2">
      <c r="C892" s="199" t="str">
        <f t="shared" si="13"/>
        <v/>
      </c>
    </row>
    <row r="893" spans="3:3" x14ac:dyDescent="0.2">
      <c r="C893" s="199" t="str">
        <f t="shared" si="13"/>
        <v/>
      </c>
    </row>
    <row r="894" spans="3:3" x14ac:dyDescent="0.2">
      <c r="C894" s="199" t="str">
        <f t="shared" si="13"/>
        <v/>
      </c>
    </row>
    <row r="895" spans="3:3" x14ac:dyDescent="0.2">
      <c r="C895" s="199" t="str">
        <f t="shared" si="13"/>
        <v/>
      </c>
    </row>
    <row r="896" spans="3:3" x14ac:dyDescent="0.2">
      <c r="C896" s="199" t="str">
        <f t="shared" si="13"/>
        <v/>
      </c>
    </row>
    <row r="897" spans="3:3" x14ac:dyDescent="0.2">
      <c r="C897" s="199" t="str">
        <f t="shared" si="13"/>
        <v/>
      </c>
    </row>
    <row r="898" spans="3:3" x14ac:dyDescent="0.2">
      <c r="C898" s="199" t="str">
        <f t="shared" si="13"/>
        <v/>
      </c>
    </row>
    <row r="899" spans="3:3" x14ac:dyDescent="0.2">
      <c r="C899" s="199" t="str">
        <f t="shared" si="13"/>
        <v/>
      </c>
    </row>
    <row r="900" spans="3:3" x14ac:dyDescent="0.2">
      <c r="C900" s="199" t="str">
        <f t="shared" si="13"/>
        <v/>
      </c>
    </row>
    <row r="901" spans="3:3" x14ac:dyDescent="0.2">
      <c r="C901" s="199" t="str">
        <f t="shared" si="13"/>
        <v/>
      </c>
    </row>
    <row r="902" spans="3:3" x14ac:dyDescent="0.2">
      <c r="C902" s="199" t="str">
        <f t="shared" si="13"/>
        <v/>
      </c>
    </row>
    <row r="903" spans="3:3" x14ac:dyDescent="0.2">
      <c r="C903" s="199" t="str">
        <f t="shared" si="13"/>
        <v/>
      </c>
    </row>
    <row r="904" spans="3:3" x14ac:dyDescent="0.2">
      <c r="C904" s="199" t="str">
        <f t="shared" si="13"/>
        <v/>
      </c>
    </row>
    <row r="905" spans="3:3" x14ac:dyDescent="0.2">
      <c r="C905" s="199" t="str">
        <f t="shared" si="13"/>
        <v/>
      </c>
    </row>
    <row r="906" spans="3:3" x14ac:dyDescent="0.2">
      <c r="C906" s="199" t="str">
        <f t="shared" si="13"/>
        <v/>
      </c>
    </row>
    <row r="907" spans="3:3" x14ac:dyDescent="0.2">
      <c r="C907" s="199" t="str">
        <f t="shared" si="13"/>
        <v/>
      </c>
    </row>
    <row r="908" spans="3:3" x14ac:dyDescent="0.2">
      <c r="C908" s="199" t="str">
        <f t="shared" si="13"/>
        <v/>
      </c>
    </row>
    <row r="909" spans="3:3" x14ac:dyDescent="0.2">
      <c r="C909" s="199" t="str">
        <f t="shared" si="13"/>
        <v/>
      </c>
    </row>
    <row r="910" spans="3:3" x14ac:dyDescent="0.2">
      <c r="C910" s="199" t="str">
        <f t="shared" si="13"/>
        <v/>
      </c>
    </row>
    <row r="911" spans="3:3" x14ac:dyDescent="0.2">
      <c r="C911" s="199" t="str">
        <f t="shared" si="13"/>
        <v/>
      </c>
    </row>
    <row r="912" spans="3:3" x14ac:dyDescent="0.2">
      <c r="C912" s="199" t="str">
        <f t="shared" si="13"/>
        <v/>
      </c>
    </row>
    <row r="913" spans="3:3" x14ac:dyDescent="0.2">
      <c r="C913" s="199" t="str">
        <f t="shared" si="13"/>
        <v/>
      </c>
    </row>
    <row r="914" spans="3:3" x14ac:dyDescent="0.2">
      <c r="C914" s="199" t="str">
        <f t="shared" si="13"/>
        <v/>
      </c>
    </row>
    <row r="915" spans="3:3" x14ac:dyDescent="0.2">
      <c r="C915" s="199" t="str">
        <f t="shared" si="13"/>
        <v/>
      </c>
    </row>
    <row r="916" spans="3:3" x14ac:dyDescent="0.2">
      <c r="C916" s="199" t="str">
        <f t="shared" si="13"/>
        <v/>
      </c>
    </row>
    <row r="917" spans="3:3" x14ac:dyDescent="0.2">
      <c r="C917" s="199" t="str">
        <f t="shared" si="13"/>
        <v/>
      </c>
    </row>
    <row r="918" spans="3:3" x14ac:dyDescent="0.2">
      <c r="C918" s="199" t="str">
        <f t="shared" si="13"/>
        <v/>
      </c>
    </row>
    <row r="919" spans="3:3" x14ac:dyDescent="0.2">
      <c r="C919" s="199" t="str">
        <f t="shared" ref="C919:C982" si="14">IF(A919=0,"","Elastic")</f>
        <v/>
      </c>
    </row>
    <row r="920" spans="3:3" x14ac:dyDescent="0.2">
      <c r="C920" s="199" t="str">
        <f t="shared" si="14"/>
        <v/>
      </c>
    </row>
    <row r="921" spans="3:3" x14ac:dyDescent="0.2">
      <c r="C921" s="199" t="str">
        <f t="shared" si="14"/>
        <v/>
      </c>
    </row>
    <row r="922" spans="3:3" x14ac:dyDescent="0.2">
      <c r="C922" s="199" t="str">
        <f t="shared" si="14"/>
        <v/>
      </c>
    </row>
    <row r="923" spans="3:3" x14ac:dyDescent="0.2">
      <c r="C923" s="199" t="str">
        <f t="shared" si="14"/>
        <v/>
      </c>
    </row>
    <row r="924" spans="3:3" x14ac:dyDescent="0.2">
      <c r="C924" s="199" t="str">
        <f t="shared" si="14"/>
        <v/>
      </c>
    </row>
    <row r="925" spans="3:3" x14ac:dyDescent="0.2">
      <c r="C925" s="199" t="str">
        <f t="shared" si="14"/>
        <v/>
      </c>
    </row>
    <row r="926" spans="3:3" x14ac:dyDescent="0.2">
      <c r="C926" s="199" t="str">
        <f t="shared" si="14"/>
        <v/>
      </c>
    </row>
    <row r="927" spans="3:3" x14ac:dyDescent="0.2">
      <c r="C927" s="199" t="str">
        <f t="shared" si="14"/>
        <v/>
      </c>
    </row>
    <row r="928" spans="3:3" x14ac:dyDescent="0.2">
      <c r="C928" s="199" t="str">
        <f t="shared" si="14"/>
        <v/>
      </c>
    </row>
    <row r="929" spans="3:3" x14ac:dyDescent="0.2">
      <c r="C929" s="199" t="str">
        <f t="shared" si="14"/>
        <v/>
      </c>
    </row>
    <row r="930" spans="3:3" x14ac:dyDescent="0.2">
      <c r="C930" s="199" t="str">
        <f t="shared" si="14"/>
        <v/>
      </c>
    </row>
    <row r="931" spans="3:3" x14ac:dyDescent="0.2">
      <c r="C931" s="199" t="str">
        <f t="shared" si="14"/>
        <v/>
      </c>
    </row>
    <row r="932" spans="3:3" x14ac:dyDescent="0.2">
      <c r="C932" s="199" t="str">
        <f t="shared" si="14"/>
        <v/>
      </c>
    </row>
    <row r="933" spans="3:3" x14ac:dyDescent="0.2">
      <c r="C933" s="199" t="str">
        <f t="shared" si="14"/>
        <v/>
      </c>
    </row>
    <row r="934" spans="3:3" x14ac:dyDescent="0.2">
      <c r="C934" s="199" t="str">
        <f t="shared" si="14"/>
        <v/>
      </c>
    </row>
    <row r="935" spans="3:3" x14ac:dyDescent="0.2">
      <c r="C935" s="199" t="str">
        <f t="shared" si="14"/>
        <v/>
      </c>
    </row>
    <row r="936" spans="3:3" x14ac:dyDescent="0.2">
      <c r="C936" s="199" t="str">
        <f t="shared" si="14"/>
        <v/>
      </c>
    </row>
    <row r="937" spans="3:3" x14ac:dyDescent="0.2">
      <c r="C937" s="199" t="str">
        <f t="shared" si="14"/>
        <v/>
      </c>
    </row>
    <row r="938" spans="3:3" x14ac:dyDescent="0.2">
      <c r="C938" s="199" t="str">
        <f t="shared" si="14"/>
        <v/>
      </c>
    </row>
    <row r="939" spans="3:3" x14ac:dyDescent="0.2">
      <c r="C939" s="199" t="str">
        <f t="shared" si="14"/>
        <v/>
      </c>
    </row>
    <row r="940" spans="3:3" x14ac:dyDescent="0.2">
      <c r="C940" s="199" t="str">
        <f t="shared" si="14"/>
        <v/>
      </c>
    </row>
    <row r="941" spans="3:3" x14ac:dyDescent="0.2">
      <c r="C941" s="199" t="str">
        <f t="shared" si="14"/>
        <v/>
      </c>
    </row>
    <row r="942" spans="3:3" x14ac:dyDescent="0.2">
      <c r="C942" s="199" t="str">
        <f t="shared" si="14"/>
        <v/>
      </c>
    </row>
    <row r="943" spans="3:3" x14ac:dyDescent="0.2">
      <c r="C943" s="199" t="str">
        <f t="shared" si="14"/>
        <v/>
      </c>
    </row>
    <row r="944" spans="3:3" x14ac:dyDescent="0.2">
      <c r="C944" s="199" t="str">
        <f t="shared" si="14"/>
        <v/>
      </c>
    </row>
    <row r="945" spans="3:3" x14ac:dyDescent="0.2">
      <c r="C945" s="199" t="str">
        <f t="shared" si="14"/>
        <v/>
      </c>
    </row>
    <row r="946" spans="3:3" x14ac:dyDescent="0.2">
      <c r="C946" s="199" t="str">
        <f t="shared" si="14"/>
        <v/>
      </c>
    </row>
    <row r="947" spans="3:3" x14ac:dyDescent="0.2">
      <c r="C947" s="199" t="str">
        <f t="shared" si="14"/>
        <v/>
      </c>
    </row>
    <row r="948" spans="3:3" x14ac:dyDescent="0.2">
      <c r="C948" s="199" t="str">
        <f t="shared" si="14"/>
        <v/>
      </c>
    </row>
    <row r="949" spans="3:3" x14ac:dyDescent="0.2">
      <c r="C949" s="199" t="str">
        <f t="shared" si="14"/>
        <v/>
      </c>
    </row>
    <row r="950" spans="3:3" x14ac:dyDescent="0.2">
      <c r="C950" s="199" t="str">
        <f t="shared" si="14"/>
        <v/>
      </c>
    </row>
    <row r="951" spans="3:3" x14ac:dyDescent="0.2">
      <c r="C951" s="199" t="str">
        <f t="shared" si="14"/>
        <v/>
      </c>
    </row>
    <row r="952" spans="3:3" x14ac:dyDescent="0.2">
      <c r="C952" s="199" t="str">
        <f t="shared" si="14"/>
        <v/>
      </c>
    </row>
    <row r="953" spans="3:3" x14ac:dyDescent="0.2">
      <c r="C953" s="199" t="str">
        <f t="shared" si="14"/>
        <v/>
      </c>
    </row>
    <row r="954" spans="3:3" x14ac:dyDescent="0.2">
      <c r="C954" s="199" t="str">
        <f t="shared" si="14"/>
        <v/>
      </c>
    </row>
    <row r="955" spans="3:3" x14ac:dyDescent="0.2">
      <c r="C955" s="199" t="str">
        <f t="shared" si="14"/>
        <v/>
      </c>
    </row>
    <row r="956" spans="3:3" x14ac:dyDescent="0.2">
      <c r="C956" s="199" t="str">
        <f t="shared" si="14"/>
        <v/>
      </c>
    </row>
    <row r="957" spans="3:3" x14ac:dyDescent="0.2">
      <c r="C957" s="199" t="str">
        <f t="shared" si="14"/>
        <v/>
      </c>
    </row>
    <row r="958" spans="3:3" x14ac:dyDescent="0.2">
      <c r="C958" s="199" t="str">
        <f t="shared" si="14"/>
        <v/>
      </c>
    </row>
    <row r="959" spans="3:3" x14ac:dyDescent="0.2">
      <c r="C959" s="199" t="str">
        <f t="shared" si="14"/>
        <v/>
      </c>
    </row>
    <row r="960" spans="3:3" x14ac:dyDescent="0.2">
      <c r="C960" s="199" t="str">
        <f t="shared" si="14"/>
        <v/>
      </c>
    </row>
    <row r="961" spans="3:3" x14ac:dyDescent="0.2">
      <c r="C961" s="199" t="str">
        <f t="shared" si="14"/>
        <v/>
      </c>
    </row>
    <row r="962" spans="3:3" x14ac:dyDescent="0.2">
      <c r="C962" s="199" t="str">
        <f t="shared" si="14"/>
        <v/>
      </c>
    </row>
    <row r="963" spans="3:3" x14ac:dyDescent="0.2">
      <c r="C963" s="199" t="str">
        <f t="shared" si="14"/>
        <v/>
      </c>
    </row>
    <row r="964" spans="3:3" x14ac:dyDescent="0.2">
      <c r="C964" s="199" t="str">
        <f t="shared" si="14"/>
        <v/>
      </c>
    </row>
    <row r="965" spans="3:3" x14ac:dyDescent="0.2">
      <c r="C965" s="199" t="str">
        <f t="shared" si="14"/>
        <v/>
      </c>
    </row>
    <row r="966" spans="3:3" x14ac:dyDescent="0.2">
      <c r="C966" s="199" t="str">
        <f t="shared" si="14"/>
        <v/>
      </c>
    </row>
    <row r="967" spans="3:3" x14ac:dyDescent="0.2">
      <c r="C967" s="199" t="str">
        <f t="shared" si="14"/>
        <v/>
      </c>
    </row>
    <row r="968" spans="3:3" x14ac:dyDescent="0.2">
      <c r="C968" s="199" t="str">
        <f t="shared" si="14"/>
        <v/>
      </c>
    </row>
    <row r="969" spans="3:3" x14ac:dyDescent="0.2">
      <c r="C969" s="199" t="str">
        <f t="shared" si="14"/>
        <v/>
      </c>
    </row>
    <row r="970" spans="3:3" x14ac:dyDescent="0.2">
      <c r="C970" s="199" t="str">
        <f t="shared" si="14"/>
        <v/>
      </c>
    </row>
    <row r="971" spans="3:3" x14ac:dyDescent="0.2">
      <c r="C971" s="199" t="str">
        <f t="shared" si="14"/>
        <v/>
      </c>
    </row>
    <row r="972" spans="3:3" x14ac:dyDescent="0.2">
      <c r="C972" s="199" t="str">
        <f t="shared" si="14"/>
        <v/>
      </c>
    </row>
    <row r="973" spans="3:3" x14ac:dyDescent="0.2">
      <c r="C973" s="199" t="str">
        <f t="shared" si="14"/>
        <v/>
      </c>
    </row>
    <row r="974" spans="3:3" x14ac:dyDescent="0.2">
      <c r="C974" s="199" t="str">
        <f t="shared" si="14"/>
        <v/>
      </c>
    </row>
    <row r="975" spans="3:3" x14ac:dyDescent="0.2">
      <c r="C975" s="199" t="str">
        <f t="shared" si="14"/>
        <v/>
      </c>
    </row>
    <row r="976" spans="3:3" x14ac:dyDescent="0.2">
      <c r="C976" s="199" t="str">
        <f t="shared" si="14"/>
        <v/>
      </c>
    </row>
    <row r="977" spans="3:3" x14ac:dyDescent="0.2">
      <c r="C977" s="199" t="str">
        <f t="shared" si="14"/>
        <v/>
      </c>
    </row>
    <row r="978" spans="3:3" x14ac:dyDescent="0.2">
      <c r="C978" s="199" t="str">
        <f t="shared" si="14"/>
        <v/>
      </c>
    </row>
    <row r="979" spans="3:3" x14ac:dyDescent="0.2">
      <c r="C979" s="199" t="str">
        <f t="shared" si="14"/>
        <v/>
      </c>
    </row>
    <row r="980" spans="3:3" x14ac:dyDescent="0.2">
      <c r="C980" s="199" t="str">
        <f t="shared" si="14"/>
        <v/>
      </c>
    </row>
    <row r="981" spans="3:3" x14ac:dyDescent="0.2">
      <c r="C981" s="199" t="str">
        <f t="shared" si="14"/>
        <v/>
      </c>
    </row>
    <row r="982" spans="3:3" x14ac:dyDescent="0.2">
      <c r="C982" s="199" t="str">
        <f t="shared" si="14"/>
        <v/>
      </c>
    </row>
    <row r="983" spans="3:3" x14ac:dyDescent="0.2">
      <c r="C983" s="199" t="str">
        <f t="shared" ref="C983:C1019" si="15">IF(A983=0,"","Elastic")</f>
        <v/>
      </c>
    </row>
    <row r="984" spans="3:3" x14ac:dyDescent="0.2">
      <c r="C984" s="199" t="str">
        <f t="shared" si="15"/>
        <v/>
      </c>
    </row>
    <row r="985" spans="3:3" x14ac:dyDescent="0.2">
      <c r="C985" s="199" t="str">
        <f t="shared" si="15"/>
        <v/>
      </c>
    </row>
    <row r="986" spans="3:3" x14ac:dyDescent="0.2">
      <c r="C986" s="199" t="str">
        <f t="shared" si="15"/>
        <v/>
      </c>
    </row>
    <row r="987" spans="3:3" x14ac:dyDescent="0.2">
      <c r="C987" s="199" t="str">
        <f t="shared" si="15"/>
        <v/>
      </c>
    </row>
    <row r="988" spans="3:3" x14ac:dyDescent="0.2">
      <c r="C988" s="199" t="str">
        <f t="shared" si="15"/>
        <v/>
      </c>
    </row>
    <row r="989" spans="3:3" x14ac:dyDescent="0.2">
      <c r="C989" s="199" t="str">
        <f t="shared" si="15"/>
        <v/>
      </c>
    </row>
    <row r="990" spans="3:3" x14ac:dyDescent="0.2">
      <c r="C990" s="199" t="str">
        <f t="shared" si="15"/>
        <v/>
      </c>
    </row>
    <row r="991" spans="3:3" x14ac:dyDescent="0.2">
      <c r="C991" s="199" t="str">
        <f t="shared" si="15"/>
        <v/>
      </c>
    </row>
    <row r="992" spans="3:3" x14ac:dyDescent="0.2">
      <c r="C992" s="199" t="str">
        <f t="shared" si="15"/>
        <v/>
      </c>
    </row>
    <row r="993" spans="3:3" x14ac:dyDescent="0.2">
      <c r="C993" s="199" t="str">
        <f t="shared" si="15"/>
        <v/>
      </c>
    </row>
    <row r="994" spans="3:3" x14ac:dyDescent="0.2">
      <c r="C994" s="199" t="str">
        <f t="shared" si="15"/>
        <v/>
      </c>
    </row>
    <row r="995" spans="3:3" x14ac:dyDescent="0.2">
      <c r="C995" s="199" t="str">
        <f t="shared" si="15"/>
        <v/>
      </c>
    </row>
    <row r="996" spans="3:3" x14ac:dyDescent="0.2">
      <c r="C996" s="199" t="str">
        <f t="shared" si="15"/>
        <v/>
      </c>
    </row>
    <row r="997" spans="3:3" x14ac:dyDescent="0.2">
      <c r="C997" s="199" t="str">
        <f t="shared" si="15"/>
        <v/>
      </c>
    </row>
    <row r="998" spans="3:3" x14ac:dyDescent="0.2">
      <c r="C998" s="199" t="str">
        <f t="shared" si="15"/>
        <v/>
      </c>
    </row>
    <row r="999" spans="3:3" x14ac:dyDescent="0.2">
      <c r="C999" s="199" t="str">
        <f t="shared" si="15"/>
        <v/>
      </c>
    </row>
    <row r="1000" spans="3:3" x14ac:dyDescent="0.2">
      <c r="C1000" s="199" t="str">
        <f t="shared" si="15"/>
        <v/>
      </c>
    </row>
    <row r="1001" spans="3:3" x14ac:dyDescent="0.2">
      <c r="C1001" s="199" t="str">
        <f t="shared" si="15"/>
        <v/>
      </c>
    </row>
    <row r="1002" spans="3:3" x14ac:dyDescent="0.2">
      <c r="C1002" s="199" t="str">
        <f t="shared" si="15"/>
        <v/>
      </c>
    </row>
    <row r="1003" spans="3:3" x14ac:dyDescent="0.2">
      <c r="C1003" s="199" t="str">
        <f t="shared" si="15"/>
        <v/>
      </c>
    </row>
    <row r="1004" spans="3:3" x14ac:dyDescent="0.2">
      <c r="C1004" s="199" t="str">
        <f t="shared" si="15"/>
        <v/>
      </c>
    </row>
    <row r="1005" spans="3:3" x14ac:dyDescent="0.2">
      <c r="C1005" s="199" t="str">
        <f t="shared" si="15"/>
        <v/>
      </c>
    </row>
    <row r="1006" spans="3:3" x14ac:dyDescent="0.2">
      <c r="C1006" s="199" t="str">
        <f t="shared" si="15"/>
        <v/>
      </c>
    </row>
    <row r="1007" spans="3:3" x14ac:dyDescent="0.2">
      <c r="C1007" s="199" t="str">
        <f t="shared" si="15"/>
        <v/>
      </c>
    </row>
    <row r="1008" spans="3:3" x14ac:dyDescent="0.2">
      <c r="C1008" s="199" t="str">
        <f t="shared" si="15"/>
        <v/>
      </c>
    </row>
    <row r="1009" spans="3:3" x14ac:dyDescent="0.2">
      <c r="C1009" s="199" t="str">
        <f t="shared" si="15"/>
        <v/>
      </c>
    </row>
    <row r="1010" spans="3:3" x14ac:dyDescent="0.2">
      <c r="C1010" s="199" t="str">
        <f t="shared" si="15"/>
        <v/>
      </c>
    </row>
    <row r="1011" spans="3:3" x14ac:dyDescent="0.2">
      <c r="C1011" s="199" t="str">
        <f t="shared" si="15"/>
        <v/>
      </c>
    </row>
    <row r="1012" spans="3:3" x14ac:dyDescent="0.2">
      <c r="C1012" s="199" t="str">
        <f t="shared" si="15"/>
        <v/>
      </c>
    </row>
    <row r="1013" spans="3:3" x14ac:dyDescent="0.2">
      <c r="C1013" s="199" t="str">
        <f t="shared" si="15"/>
        <v/>
      </c>
    </row>
    <row r="1014" spans="3:3" x14ac:dyDescent="0.2">
      <c r="C1014" s="199" t="str">
        <f t="shared" si="15"/>
        <v/>
      </c>
    </row>
    <row r="1015" spans="3:3" x14ac:dyDescent="0.2">
      <c r="C1015" s="199" t="str">
        <f t="shared" si="15"/>
        <v/>
      </c>
    </row>
    <row r="1016" spans="3:3" x14ac:dyDescent="0.2">
      <c r="C1016" s="199" t="str">
        <f t="shared" si="15"/>
        <v/>
      </c>
    </row>
    <row r="1017" spans="3:3" x14ac:dyDescent="0.2">
      <c r="C1017" s="199" t="str">
        <f t="shared" si="15"/>
        <v/>
      </c>
    </row>
    <row r="1018" spans="3:3" x14ac:dyDescent="0.2">
      <c r="C1018" s="199" t="str">
        <f t="shared" si="15"/>
        <v/>
      </c>
    </row>
    <row r="1019" spans="3:3" x14ac:dyDescent="0.2">
      <c r="C1019" s="199" t="str">
        <f t="shared" si="15"/>
        <v/>
      </c>
    </row>
  </sheetData>
  <mergeCells count="6">
    <mergeCell ref="A9:J9"/>
    <mergeCell ref="A10:J10"/>
    <mergeCell ref="A11:J11"/>
    <mergeCell ref="A5:J6"/>
    <mergeCell ref="A7:J7"/>
    <mergeCell ref="A8:J8"/>
  </mergeCells>
  <conditionalFormatting sqref="T20:AA1048576 E20:J1048576">
    <cfRule type="expression" dxfId="6" priority="6">
      <formula>OR($C20="Elastic")</formula>
    </cfRule>
  </conditionalFormatting>
  <conditionalFormatting sqref="K20:K1048576">
    <cfRule type="expression" dxfId="5" priority="3">
      <formula>OR($C20="Elastic",$C20="Fiber")</formula>
    </cfRule>
  </conditionalFormatting>
  <conditionalFormatting sqref="L20:AA1048576">
    <cfRule type="expression" dxfId="3" priority="2">
      <formula>OR($C20="Aggregator")</formula>
    </cfRule>
  </conditionalFormatting>
  <conditionalFormatting sqref="J20:J1048576">
    <cfRule type="expression" dxfId="2" priority="1">
      <formula>OR($C20="Aggregator")</formula>
    </cfRule>
  </conditionalFormatting>
  <dataValidations count="8">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L20:X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Int_Type_Dist</formula1>
    </dataValidation>
    <dataValidation type="whole" allowBlank="1" showInputMessage="1" showErrorMessage="1" errorTitle="Invalid Input" error="Please enter an integer value only." sqref="Y20:AA1048576" xr:uid="{9E7E1E85-07CA-4166-9E90-B8217F2A4E1E}">
      <formula1>0</formula1>
      <formula2>1000000000000</formula2>
    </dataValidation>
    <dataValidation type="list" showInputMessage="1" showErrorMessage="1" errorTitle="Invalid Input" error="Choose from the list" sqref="D20:I1048576" xr:uid="{A8355B54-42F1-4EFA-9077-D2579C7DD321}">
      <formula1>IF($C20="Elastic",Elastic_Mat_Name,IF(OR($C20="Fiber",$C20="Aggregator"),Mat_Name,""))</formula1>
    </dataValidation>
    <dataValidation type="list" showInputMessage="1" showErrorMessage="1" errorTitle="Invalid Input" error="Choose from the list" sqref="K20:K1048576" xr:uid="{3F4AD803-8899-594D-BE04-1E356DCDC571}">
      <formula1>Sec_name_wo_agg</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baseColWidth="10" defaultColWidth="10.83203125" defaultRowHeight="16" x14ac:dyDescent="0.2"/>
  <cols>
    <col min="1" max="2" width="20.6640625" style="39" customWidth="1"/>
    <col min="3" max="3" width="10.6640625" style="43" customWidth="1"/>
    <col min="4" max="16384" width="10.83203125" style="2"/>
  </cols>
  <sheetData>
    <row r="1" spans="1:5" x14ac:dyDescent="0.2">
      <c r="A1" s="27" t="s">
        <v>120</v>
      </c>
      <c r="B1" s="33"/>
      <c r="C1" s="40"/>
      <c r="D1" s="111"/>
      <c r="E1" s="34"/>
    </row>
    <row r="2" spans="1:5" x14ac:dyDescent="0.2">
      <c r="A2" s="41" t="s">
        <v>211</v>
      </c>
      <c r="B2" s="35"/>
      <c r="C2" s="48"/>
      <c r="D2" s="110"/>
      <c r="E2" s="36"/>
    </row>
    <row r="3" spans="1:5" x14ac:dyDescent="0.2">
      <c r="A3" s="121" t="s">
        <v>242</v>
      </c>
      <c r="B3" s="35"/>
      <c r="C3" s="48"/>
      <c r="D3" s="110"/>
      <c r="E3" s="36"/>
    </row>
    <row r="4" spans="1:5" x14ac:dyDescent="0.2">
      <c r="A4" s="44" t="str">
        <f>"- t: Slab thickness (Input as float) ("&amp;'User Defined Units'!$B$11&amp;")"</f>
        <v>- t: Slab thickness (Input as float) (m)</v>
      </c>
      <c r="B4" s="37"/>
      <c r="C4" s="42"/>
      <c r="D4" s="112"/>
      <c r="E4" s="38"/>
    </row>
    <row r="5" spans="1:5" x14ac:dyDescent="0.2">
      <c r="A5" s="28"/>
      <c r="B5" s="1"/>
      <c r="C5" s="3"/>
    </row>
    <row r="6" spans="1:5" s="5" customFormat="1" x14ac:dyDescent="0.2">
      <c r="A6" s="26" t="s">
        <v>24</v>
      </c>
      <c r="B6" s="25" t="s">
        <v>241</v>
      </c>
      <c r="C6" s="26" t="s">
        <v>35</v>
      </c>
    </row>
    <row r="7" spans="1:5" x14ac:dyDescent="0.2">
      <c r="A7" s="39" t="s">
        <v>36</v>
      </c>
      <c r="B7" s="39" t="s">
        <v>13</v>
      </c>
      <c r="C7" s="43">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9" sqref="A9"/>
    </sheetView>
  </sheetViews>
  <sheetFormatPr baseColWidth="10" defaultColWidth="10.83203125" defaultRowHeight="16" x14ac:dyDescent="0.2"/>
  <cols>
    <col min="1" max="1" width="15.6640625" style="109" customWidth="1"/>
    <col min="2" max="4" width="10.6640625" style="76" customWidth="1"/>
    <col min="5" max="5" width="10.6640625" style="75" customWidth="1"/>
    <col min="6" max="6" width="10.83203125" style="75" customWidth="1"/>
    <col min="7" max="16384" width="10.83203125" style="64"/>
  </cols>
  <sheetData>
    <row r="1" spans="1:9" x14ac:dyDescent="0.2">
      <c r="A1" s="60" t="s">
        <v>120</v>
      </c>
      <c r="B1" s="61"/>
      <c r="C1" s="61"/>
      <c r="D1" s="61"/>
      <c r="E1" s="62"/>
      <c r="F1" s="62"/>
      <c r="G1" s="62"/>
      <c r="H1" s="62"/>
      <c r="I1" s="63"/>
    </row>
    <row r="2" spans="1:9" x14ac:dyDescent="0.2">
      <c r="A2" s="84" t="s">
        <v>208</v>
      </c>
      <c r="B2" s="115"/>
      <c r="C2" s="115"/>
      <c r="D2" s="115"/>
      <c r="E2" s="116"/>
      <c r="F2" s="116"/>
      <c r="G2" s="116"/>
      <c r="H2" s="116"/>
      <c r="I2" s="66"/>
    </row>
    <row r="3" spans="1:9" x14ac:dyDescent="0.2">
      <c r="A3" s="67" t="str">
        <f>"- X: X coordinate of point objects (Input as Float) ("&amp;'User Defined Units'!$B$11&amp;")"</f>
        <v>- X: X coordinate of point objects (Input as Float) (m)</v>
      </c>
      <c r="B3" s="115"/>
      <c r="C3" s="115"/>
      <c r="D3" s="115"/>
      <c r="E3" s="116"/>
      <c r="F3" s="116"/>
      <c r="G3" s="116"/>
      <c r="H3" s="116"/>
      <c r="I3" s="66"/>
    </row>
    <row r="4" spans="1:9" x14ac:dyDescent="0.2">
      <c r="A4" s="67" t="str">
        <f>"- Y: Y coordinate of point objects (Input as Float) ("&amp;'User Defined Units'!$B$11&amp;")"</f>
        <v>- Y: Y coordinate of point objects (Input as Float) (m)</v>
      </c>
      <c r="B4" s="115"/>
      <c r="C4" s="115"/>
      <c r="D4" s="115"/>
      <c r="E4" s="116"/>
      <c r="F4" s="116"/>
      <c r="G4" s="116"/>
      <c r="H4" s="116"/>
      <c r="I4" s="66"/>
    </row>
    <row r="5" spans="1:9" x14ac:dyDescent="0.2">
      <c r="A5" s="68" t="str">
        <f>"- Z: Z coordinate of point objects (Input as Float) ("&amp;'User Defined Units'!$B$11&amp;")"</f>
        <v>- Z: Z coordinate of point objects (Input as Float) (m)</v>
      </c>
      <c r="B5" s="69"/>
      <c r="C5" s="69"/>
      <c r="D5" s="69"/>
      <c r="E5" s="70"/>
      <c r="F5" s="70"/>
      <c r="G5" s="70"/>
      <c r="H5" s="70"/>
      <c r="I5" s="71"/>
    </row>
    <row r="6" spans="1:9" x14ac:dyDescent="0.2">
      <c r="A6" s="72"/>
      <c r="B6" s="73"/>
      <c r="C6" s="73"/>
      <c r="D6" s="73"/>
      <c r="E6" s="64"/>
      <c r="F6" s="64"/>
    </row>
    <row r="7" spans="1:9" s="7" customFormat="1" x14ac:dyDescent="0.2">
      <c r="A7" s="74" t="s">
        <v>207</v>
      </c>
      <c r="B7" s="11" t="s">
        <v>37</v>
      </c>
      <c r="C7" s="11" t="s">
        <v>38</v>
      </c>
      <c r="D7" s="11" t="s">
        <v>39</v>
      </c>
      <c r="E7" s="124"/>
      <c r="F7" s="75"/>
    </row>
    <row r="8" spans="1:9" x14ac:dyDescent="0.2">
      <c r="A8" s="109">
        <v>1</v>
      </c>
      <c r="B8" s="76">
        <v>0</v>
      </c>
      <c r="C8" s="76">
        <v>0</v>
      </c>
      <c r="D8" s="76">
        <v>0</v>
      </c>
    </row>
    <row r="9" spans="1:9" x14ac:dyDescent="0.2">
      <c r="A9" s="109">
        <v>2</v>
      </c>
      <c r="B9" s="76">
        <v>8</v>
      </c>
      <c r="C9" s="76">
        <v>0</v>
      </c>
      <c r="D9" s="76">
        <v>0</v>
      </c>
    </row>
    <row r="10" spans="1:9" x14ac:dyDescent="0.2">
      <c r="A10" s="107">
        <v>3</v>
      </c>
      <c r="B10" s="76">
        <v>16</v>
      </c>
      <c r="C10" s="76">
        <v>0</v>
      </c>
      <c r="D10" s="76">
        <v>0</v>
      </c>
    </row>
    <row r="11" spans="1:9" x14ac:dyDescent="0.2">
      <c r="A11" s="109">
        <v>4</v>
      </c>
      <c r="B11" s="76">
        <v>24</v>
      </c>
      <c r="C11" s="76">
        <v>0</v>
      </c>
      <c r="D11" s="76">
        <v>0</v>
      </c>
    </row>
    <row r="12" spans="1:9" x14ac:dyDescent="0.2">
      <c r="A12" s="109">
        <v>5</v>
      </c>
      <c r="B12" s="76">
        <v>32</v>
      </c>
      <c r="C12" s="76">
        <v>0</v>
      </c>
      <c r="D12" s="76">
        <v>0</v>
      </c>
    </row>
    <row r="13" spans="1:9" x14ac:dyDescent="0.2">
      <c r="A13" s="109">
        <v>6</v>
      </c>
      <c r="B13" s="76">
        <v>0</v>
      </c>
      <c r="C13" s="76">
        <v>8</v>
      </c>
      <c r="D13" s="76">
        <v>0</v>
      </c>
    </row>
    <row r="14" spans="1:9" x14ac:dyDescent="0.2">
      <c r="A14" s="109">
        <v>7</v>
      </c>
      <c r="B14" s="76">
        <v>8</v>
      </c>
      <c r="C14" s="76">
        <v>8</v>
      </c>
      <c r="D14" s="76">
        <v>0</v>
      </c>
    </row>
    <row r="15" spans="1:9" x14ac:dyDescent="0.2">
      <c r="A15" s="109">
        <v>8</v>
      </c>
      <c r="B15" s="76">
        <v>16</v>
      </c>
      <c r="C15" s="76">
        <v>8</v>
      </c>
      <c r="D15" s="76">
        <v>0</v>
      </c>
    </row>
    <row r="16" spans="1:9" x14ac:dyDescent="0.2">
      <c r="A16" s="109">
        <v>9</v>
      </c>
      <c r="B16" s="76">
        <v>24</v>
      </c>
      <c r="C16" s="76">
        <v>8</v>
      </c>
      <c r="D16" s="76">
        <v>0</v>
      </c>
    </row>
    <row r="17" spans="1:4" x14ac:dyDescent="0.2">
      <c r="A17" s="109">
        <v>10</v>
      </c>
      <c r="B17" s="76">
        <v>32</v>
      </c>
      <c r="C17" s="76">
        <v>8</v>
      </c>
      <c r="D17" s="76">
        <v>0</v>
      </c>
    </row>
    <row r="18" spans="1:4" x14ac:dyDescent="0.2">
      <c r="A18" s="109">
        <v>11</v>
      </c>
      <c r="B18" s="76">
        <v>0</v>
      </c>
      <c r="C18" s="76">
        <v>16</v>
      </c>
      <c r="D18" s="76">
        <v>0</v>
      </c>
    </row>
    <row r="19" spans="1:4" x14ac:dyDescent="0.2">
      <c r="A19" s="109">
        <v>12</v>
      </c>
      <c r="B19" s="76">
        <v>8</v>
      </c>
      <c r="C19" s="76">
        <v>16</v>
      </c>
      <c r="D19" s="76">
        <v>0</v>
      </c>
    </row>
    <row r="20" spans="1:4" x14ac:dyDescent="0.2">
      <c r="A20" s="109">
        <v>13</v>
      </c>
      <c r="B20" s="76">
        <v>16</v>
      </c>
      <c r="C20" s="76">
        <v>16</v>
      </c>
      <c r="D20" s="76">
        <v>0</v>
      </c>
    </row>
    <row r="21" spans="1:4" x14ac:dyDescent="0.2">
      <c r="A21" s="109">
        <v>14</v>
      </c>
      <c r="B21" s="76">
        <v>24</v>
      </c>
      <c r="C21" s="76">
        <v>16</v>
      </c>
      <c r="D21" s="76">
        <v>0</v>
      </c>
    </row>
    <row r="22" spans="1:4" x14ac:dyDescent="0.2">
      <c r="A22" s="109">
        <v>15</v>
      </c>
      <c r="B22" s="76">
        <v>32</v>
      </c>
      <c r="C22" s="76">
        <v>16</v>
      </c>
      <c r="D22" s="76">
        <v>0</v>
      </c>
    </row>
    <row r="23" spans="1:4" x14ac:dyDescent="0.2">
      <c r="A23" s="109">
        <v>16</v>
      </c>
      <c r="B23" s="76">
        <v>0</v>
      </c>
      <c r="C23" s="76">
        <v>24</v>
      </c>
      <c r="D23" s="76">
        <v>0</v>
      </c>
    </row>
    <row r="24" spans="1:4" x14ac:dyDescent="0.2">
      <c r="A24" s="109">
        <v>17</v>
      </c>
      <c r="B24" s="76">
        <v>8</v>
      </c>
      <c r="C24" s="76">
        <v>24</v>
      </c>
      <c r="D24" s="76">
        <v>0</v>
      </c>
    </row>
    <row r="25" spans="1:4" x14ac:dyDescent="0.2">
      <c r="A25" s="109">
        <v>18</v>
      </c>
      <c r="B25" s="76">
        <v>16</v>
      </c>
      <c r="C25" s="76">
        <v>24</v>
      </c>
      <c r="D25" s="76">
        <v>0</v>
      </c>
    </row>
    <row r="26" spans="1:4" x14ac:dyDescent="0.2">
      <c r="A26" s="109">
        <v>19</v>
      </c>
      <c r="B26" s="76">
        <v>24</v>
      </c>
      <c r="C26" s="76">
        <v>24</v>
      </c>
      <c r="D26" s="76">
        <v>0</v>
      </c>
    </row>
    <row r="27" spans="1:4" x14ac:dyDescent="0.2">
      <c r="A27" s="109">
        <v>20</v>
      </c>
      <c r="B27" s="76">
        <v>32</v>
      </c>
      <c r="C27" s="76">
        <v>24</v>
      </c>
      <c r="D27" s="76">
        <v>0</v>
      </c>
    </row>
    <row r="28" spans="1:4" x14ac:dyDescent="0.2">
      <c r="A28" s="109">
        <v>21</v>
      </c>
      <c r="B28" s="76">
        <v>0</v>
      </c>
      <c r="C28" s="76">
        <v>32</v>
      </c>
      <c r="D28" s="76">
        <v>0</v>
      </c>
    </row>
    <row r="29" spans="1:4" x14ac:dyDescent="0.2">
      <c r="A29" s="109">
        <v>22</v>
      </c>
      <c r="B29" s="76">
        <v>8</v>
      </c>
      <c r="C29" s="76">
        <v>32</v>
      </c>
      <c r="D29" s="76">
        <v>0</v>
      </c>
    </row>
    <row r="30" spans="1:4" x14ac:dyDescent="0.2">
      <c r="A30" s="109">
        <v>23</v>
      </c>
      <c r="B30" s="76">
        <v>16</v>
      </c>
      <c r="C30" s="76">
        <v>32</v>
      </c>
      <c r="D30" s="76">
        <v>0</v>
      </c>
    </row>
    <row r="31" spans="1:4" x14ac:dyDescent="0.2">
      <c r="A31" s="109">
        <v>24</v>
      </c>
      <c r="B31" s="76">
        <v>24</v>
      </c>
      <c r="C31" s="76">
        <v>32</v>
      </c>
      <c r="D31" s="76">
        <v>0</v>
      </c>
    </row>
    <row r="32" spans="1:4" x14ac:dyDescent="0.2">
      <c r="A32" s="109">
        <v>25</v>
      </c>
      <c r="B32" s="76">
        <v>32</v>
      </c>
      <c r="C32" s="76">
        <v>32</v>
      </c>
      <c r="D32" s="76">
        <v>0</v>
      </c>
    </row>
    <row r="33" spans="1:4" x14ac:dyDescent="0.2">
      <c r="A33" s="109">
        <v>26</v>
      </c>
      <c r="B33" s="76">
        <v>0</v>
      </c>
      <c r="C33" s="76">
        <v>0</v>
      </c>
      <c r="D33" s="76">
        <v>4</v>
      </c>
    </row>
    <row r="34" spans="1:4" x14ac:dyDescent="0.2">
      <c r="A34" s="109">
        <v>27</v>
      </c>
      <c r="B34" s="76">
        <v>8</v>
      </c>
      <c r="C34" s="76">
        <v>0</v>
      </c>
      <c r="D34" s="76">
        <v>4</v>
      </c>
    </row>
    <row r="35" spans="1:4" x14ac:dyDescent="0.2">
      <c r="A35" s="109">
        <v>28</v>
      </c>
      <c r="B35" s="76">
        <v>16</v>
      </c>
      <c r="C35" s="76">
        <v>0</v>
      </c>
      <c r="D35" s="76">
        <v>4</v>
      </c>
    </row>
    <row r="36" spans="1:4" x14ac:dyDescent="0.2">
      <c r="A36" s="109">
        <v>29</v>
      </c>
      <c r="B36" s="76">
        <v>24</v>
      </c>
      <c r="C36" s="76">
        <v>0</v>
      </c>
      <c r="D36" s="76">
        <v>4</v>
      </c>
    </row>
    <row r="37" spans="1:4" x14ac:dyDescent="0.2">
      <c r="A37" s="109">
        <v>30</v>
      </c>
      <c r="B37" s="76">
        <v>32</v>
      </c>
      <c r="C37" s="76">
        <v>0</v>
      </c>
      <c r="D37" s="76">
        <v>4</v>
      </c>
    </row>
    <row r="38" spans="1:4" x14ac:dyDescent="0.2">
      <c r="A38" s="109">
        <v>31</v>
      </c>
      <c r="B38" s="76">
        <v>0</v>
      </c>
      <c r="C38" s="76">
        <v>8</v>
      </c>
      <c r="D38" s="76">
        <v>4</v>
      </c>
    </row>
    <row r="39" spans="1:4" x14ac:dyDescent="0.2">
      <c r="A39" s="109">
        <v>32</v>
      </c>
      <c r="B39" s="76">
        <v>8</v>
      </c>
      <c r="C39" s="76">
        <v>8</v>
      </c>
      <c r="D39" s="76">
        <v>4</v>
      </c>
    </row>
    <row r="40" spans="1:4" x14ac:dyDescent="0.2">
      <c r="A40" s="109">
        <v>33</v>
      </c>
      <c r="B40" s="76">
        <v>16</v>
      </c>
      <c r="C40" s="76">
        <v>8</v>
      </c>
      <c r="D40" s="76">
        <v>4</v>
      </c>
    </row>
    <row r="41" spans="1:4" x14ac:dyDescent="0.2">
      <c r="A41" s="109">
        <v>34</v>
      </c>
      <c r="B41" s="76">
        <v>24</v>
      </c>
      <c r="C41" s="76">
        <v>8</v>
      </c>
      <c r="D41" s="76">
        <v>4</v>
      </c>
    </row>
    <row r="42" spans="1:4" x14ac:dyDescent="0.2">
      <c r="A42" s="109">
        <v>35</v>
      </c>
      <c r="B42" s="76">
        <v>32</v>
      </c>
      <c r="C42" s="76">
        <v>8</v>
      </c>
      <c r="D42" s="76">
        <v>4</v>
      </c>
    </row>
    <row r="43" spans="1:4" x14ac:dyDescent="0.2">
      <c r="A43" s="109">
        <v>36</v>
      </c>
      <c r="B43" s="76">
        <v>0</v>
      </c>
      <c r="C43" s="76">
        <v>16</v>
      </c>
      <c r="D43" s="76">
        <v>4</v>
      </c>
    </row>
    <row r="44" spans="1:4" x14ac:dyDescent="0.2">
      <c r="A44" s="109">
        <v>37</v>
      </c>
      <c r="B44" s="76">
        <v>8</v>
      </c>
      <c r="C44" s="76">
        <v>16</v>
      </c>
      <c r="D44" s="76">
        <v>4</v>
      </c>
    </row>
    <row r="45" spans="1:4" x14ac:dyDescent="0.2">
      <c r="A45" s="109">
        <v>38</v>
      </c>
      <c r="B45" s="76">
        <v>16</v>
      </c>
      <c r="C45" s="76">
        <v>16</v>
      </c>
      <c r="D45" s="76">
        <v>4</v>
      </c>
    </row>
    <row r="46" spans="1:4" x14ac:dyDescent="0.2">
      <c r="A46" s="109">
        <v>39</v>
      </c>
      <c r="B46" s="76">
        <v>24</v>
      </c>
      <c r="C46" s="76">
        <v>16</v>
      </c>
      <c r="D46" s="76">
        <v>4</v>
      </c>
    </row>
    <row r="47" spans="1:4" x14ac:dyDescent="0.2">
      <c r="A47" s="109">
        <v>40</v>
      </c>
      <c r="B47" s="76">
        <v>32</v>
      </c>
      <c r="C47" s="76">
        <v>16</v>
      </c>
      <c r="D47" s="76">
        <v>4</v>
      </c>
    </row>
    <row r="48" spans="1:4" x14ac:dyDescent="0.2">
      <c r="A48" s="109">
        <v>41</v>
      </c>
      <c r="B48" s="76">
        <v>0</v>
      </c>
      <c r="C48" s="76">
        <v>24</v>
      </c>
      <c r="D48" s="76">
        <v>4</v>
      </c>
    </row>
    <row r="49" spans="1:4" x14ac:dyDescent="0.2">
      <c r="A49" s="109">
        <v>42</v>
      </c>
      <c r="B49" s="76">
        <v>8</v>
      </c>
      <c r="C49" s="76">
        <v>24</v>
      </c>
      <c r="D49" s="76">
        <v>4</v>
      </c>
    </row>
    <row r="50" spans="1:4" x14ac:dyDescent="0.2">
      <c r="A50" s="109">
        <v>43</v>
      </c>
      <c r="B50" s="76">
        <v>16</v>
      </c>
      <c r="C50" s="76">
        <v>24</v>
      </c>
      <c r="D50" s="76">
        <v>4</v>
      </c>
    </row>
    <row r="51" spans="1:4" x14ac:dyDescent="0.2">
      <c r="A51" s="109">
        <v>44</v>
      </c>
      <c r="B51" s="76">
        <v>24</v>
      </c>
      <c r="C51" s="76">
        <v>24</v>
      </c>
      <c r="D51" s="76">
        <v>4</v>
      </c>
    </row>
    <row r="52" spans="1:4" x14ac:dyDescent="0.2">
      <c r="A52" s="109">
        <v>45</v>
      </c>
      <c r="B52" s="76">
        <v>32</v>
      </c>
      <c r="C52" s="76">
        <v>24</v>
      </c>
      <c r="D52" s="76">
        <v>4</v>
      </c>
    </row>
    <row r="53" spans="1:4" x14ac:dyDescent="0.2">
      <c r="A53" s="109">
        <v>46</v>
      </c>
      <c r="B53" s="76">
        <v>0</v>
      </c>
      <c r="C53" s="76">
        <v>32</v>
      </c>
      <c r="D53" s="76">
        <v>4</v>
      </c>
    </row>
    <row r="54" spans="1:4" x14ac:dyDescent="0.2">
      <c r="A54" s="109">
        <v>47</v>
      </c>
      <c r="B54" s="76">
        <v>8</v>
      </c>
      <c r="C54" s="76">
        <v>32</v>
      </c>
      <c r="D54" s="76">
        <v>4</v>
      </c>
    </row>
    <row r="55" spans="1:4" x14ac:dyDescent="0.2">
      <c r="A55" s="109">
        <v>48</v>
      </c>
      <c r="B55" s="76">
        <v>16</v>
      </c>
      <c r="C55" s="76">
        <v>32</v>
      </c>
      <c r="D55" s="76">
        <v>4</v>
      </c>
    </row>
    <row r="56" spans="1:4" x14ac:dyDescent="0.2">
      <c r="A56" s="109">
        <v>49</v>
      </c>
      <c r="B56" s="76">
        <v>24</v>
      </c>
      <c r="C56" s="76">
        <v>32</v>
      </c>
      <c r="D56" s="76">
        <v>4</v>
      </c>
    </row>
    <row r="57" spans="1:4" x14ac:dyDescent="0.2">
      <c r="A57" s="109">
        <v>50</v>
      </c>
      <c r="B57" s="76">
        <v>32</v>
      </c>
      <c r="C57" s="76">
        <v>32</v>
      </c>
      <c r="D57" s="76">
        <v>4</v>
      </c>
    </row>
    <row r="58" spans="1:4" x14ac:dyDescent="0.2">
      <c r="A58" s="109">
        <v>51</v>
      </c>
      <c r="B58" s="76">
        <v>0</v>
      </c>
      <c r="C58" s="76">
        <v>0</v>
      </c>
      <c r="D58" s="76">
        <v>7.5</v>
      </c>
    </row>
    <row r="59" spans="1:4" x14ac:dyDescent="0.2">
      <c r="A59" s="109">
        <v>52</v>
      </c>
      <c r="B59" s="76">
        <v>8</v>
      </c>
      <c r="C59" s="76">
        <v>0</v>
      </c>
      <c r="D59" s="76">
        <v>7.5</v>
      </c>
    </row>
    <row r="60" spans="1:4" x14ac:dyDescent="0.2">
      <c r="A60" s="109">
        <v>53</v>
      </c>
      <c r="B60" s="76">
        <v>16</v>
      </c>
      <c r="C60" s="76">
        <v>0</v>
      </c>
      <c r="D60" s="76">
        <v>7.5</v>
      </c>
    </row>
    <row r="61" spans="1:4" x14ac:dyDescent="0.2">
      <c r="A61" s="109">
        <v>54</v>
      </c>
      <c r="B61" s="76">
        <v>24</v>
      </c>
      <c r="C61" s="76">
        <v>0</v>
      </c>
      <c r="D61" s="76">
        <v>7.5</v>
      </c>
    </row>
    <row r="62" spans="1:4" x14ac:dyDescent="0.2">
      <c r="A62" s="109">
        <v>55</v>
      </c>
      <c r="B62" s="76">
        <v>32</v>
      </c>
      <c r="C62" s="76">
        <v>0</v>
      </c>
      <c r="D62" s="76">
        <v>7.5</v>
      </c>
    </row>
    <row r="63" spans="1:4" x14ac:dyDescent="0.2">
      <c r="A63" s="109">
        <v>56</v>
      </c>
      <c r="B63" s="76">
        <v>0</v>
      </c>
      <c r="C63" s="76">
        <v>8</v>
      </c>
      <c r="D63" s="76">
        <v>7.5</v>
      </c>
    </row>
    <row r="64" spans="1:4" x14ac:dyDescent="0.2">
      <c r="A64" s="109">
        <v>57</v>
      </c>
      <c r="B64" s="76">
        <v>8</v>
      </c>
      <c r="C64" s="76">
        <v>8</v>
      </c>
      <c r="D64" s="76">
        <v>7.5</v>
      </c>
    </row>
    <row r="65" spans="1:4" x14ac:dyDescent="0.2">
      <c r="A65" s="109">
        <v>58</v>
      </c>
      <c r="B65" s="76">
        <v>16</v>
      </c>
      <c r="C65" s="76">
        <v>8</v>
      </c>
      <c r="D65" s="76">
        <v>7.5</v>
      </c>
    </row>
    <row r="66" spans="1:4" x14ac:dyDescent="0.2">
      <c r="A66" s="109">
        <v>59</v>
      </c>
      <c r="B66" s="76">
        <v>24</v>
      </c>
      <c r="C66" s="76">
        <v>8</v>
      </c>
      <c r="D66" s="76">
        <v>7.5</v>
      </c>
    </row>
    <row r="67" spans="1:4" x14ac:dyDescent="0.2">
      <c r="A67" s="109">
        <v>60</v>
      </c>
      <c r="B67" s="76">
        <v>32</v>
      </c>
      <c r="C67" s="76">
        <v>8</v>
      </c>
      <c r="D67" s="76">
        <v>7.5</v>
      </c>
    </row>
    <row r="68" spans="1:4" x14ac:dyDescent="0.2">
      <c r="A68" s="109">
        <v>61</v>
      </c>
      <c r="B68" s="76">
        <v>0</v>
      </c>
      <c r="C68" s="76">
        <v>16</v>
      </c>
      <c r="D68" s="76">
        <v>7.5</v>
      </c>
    </row>
    <row r="69" spans="1:4" x14ac:dyDescent="0.2">
      <c r="A69" s="109">
        <v>62</v>
      </c>
      <c r="B69" s="76">
        <v>8</v>
      </c>
      <c r="C69" s="76">
        <v>16</v>
      </c>
      <c r="D69" s="76">
        <v>7.5</v>
      </c>
    </row>
    <row r="70" spans="1:4" x14ac:dyDescent="0.2">
      <c r="A70" s="109">
        <v>63</v>
      </c>
      <c r="B70" s="76">
        <v>16</v>
      </c>
      <c r="C70" s="76">
        <v>16</v>
      </c>
      <c r="D70" s="76">
        <v>7.5</v>
      </c>
    </row>
    <row r="71" spans="1:4" x14ac:dyDescent="0.2">
      <c r="A71" s="109">
        <v>64</v>
      </c>
      <c r="B71" s="76">
        <v>24</v>
      </c>
      <c r="C71" s="76">
        <v>16</v>
      </c>
      <c r="D71" s="76">
        <v>7.5</v>
      </c>
    </row>
    <row r="72" spans="1:4" x14ac:dyDescent="0.2">
      <c r="A72" s="109">
        <v>65</v>
      </c>
      <c r="B72" s="76">
        <v>32</v>
      </c>
      <c r="C72" s="76">
        <v>16</v>
      </c>
      <c r="D72" s="76">
        <v>7.5</v>
      </c>
    </row>
    <row r="73" spans="1:4" x14ac:dyDescent="0.2">
      <c r="A73" s="109">
        <v>66</v>
      </c>
      <c r="B73" s="76">
        <v>0</v>
      </c>
      <c r="C73" s="76">
        <v>24</v>
      </c>
      <c r="D73" s="76">
        <v>7.5</v>
      </c>
    </row>
    <row r="74" spans="1:4" x14ac:dyDescent="0.2">
      <c r="A74" s="109">
        <v>67</v>
      </c>
      <c r="B74" s="76">
        <v>8</v>
      </c>
      <c r="C74" s="76">
        <v>24</v>
      </c>
      <c r="D74" s="76">
        <v>7.5</v>
      </c>
    </row>
    <row r="75" spans="1:4" x14ac:dyDescent="0.2">
      <c r="A75" s="109">
        <v>68</v>
      </c>
      <c r="B75" s="76">
        <v>16</v>
      </c>
      <c r="C75" s="76">
        <v>24</v>
      </c>
      <c r="D75" s="76">
        <v>7.5</v>
      </c>
    </row>
    <row r="76" spans="1:4" x14ac:dyDescent="0.2">
      <c r="A76" s="109">
        <v>69</v>
      </c>
      <c r="B76" s="76">
        <v>24</v>
      </c>
      <c r="C76" s="76">
        <v>24</v>
      </c>
      <c r="D76" s="76">
        <v>7.5</v>
      </c>
    </row>
    <row r="77" spans="1:4" x14ac:dyDescent="0.2">
      <c r="A77" s="109">
        <v>70</v>
      </c>
      <c r="B77" s="76">
        <v>32</v>
      </c>
      <c r="C77" s="76">
        <v>24</v>
      </c>
      <c r="D77" s="76">
        <v>7.5</v>
      </c>
    </row>
    <row r="78" spans="1:4" x14ac:dyDescent="0.2">
      <c r="A78" s="109">
        <v>71</v>
      </c>
      <c r="B78" s="76">
        <v>0</v>
      </c>
      <c r="C78" s="76">
        <v>32</v>
      </c>
      <c r="D78" s="76">
        <v>7.5</v>
      </c>
    </row>
    <row r="79" spans="1:4" x14ac:dyDescent="0.2">
      <c r="A79" s="109">
        <v>72</v>
      </c>
      <c r="B79" s="76">
        <v>8</v>
      </c>
      <c r="C79" s="76">
        <v>32</v>
      </c>
      <c r="D79" s="76">
        <v>7.5</v>
      </c>
    </row>
    <row r="80" spans="1:4" x14ac:dyDescent="0.2">
      <c r="A80" s="109">
        <v>73</v>
      </c>
      <c r="B80" s="76">
        <v>16</v>
      </c>
      <c r="C80" s="76">
        <v>32</v>
      </c>
      <c r="D80" s="76">
        <v>7.5</v>
      </c>
    </row>
    <row r="81" spans="1:4" x14ac:dyDescent="0.2">
      <c r="A81" s="109">
        <v>74</v>
      </c>
      <c r="B81" s="76">
        <v>24</v>
      </c>
      <c r="C81" s="76">
        <v>32</v>
      </c>
      <c r="D81" s="76">
        <v>7.5</v>
      </c>
    </row>
    <row r="82" spans="1:4" x14ac:dyDescent="0.2">
      <c r="A82" s="109">
        <v>75</v>
      </c>
      <c r="B82" s="76">
        <v>32</v>
      </c>
      <c r="C82" s="76">
        <v>32</v>
      </c>
      <c r="D82" s="76">
        <v>7.5</v>
      </c>
    </row>
    <row r="83" spans="1:4" x14ac:dyDescent="0.2">
      <c r="A83" s="109">
        <v>76</v>
      </c>
      <c r="B83" s="76">
        <v>0</v>
      </c>
      <c r="C83" s="76">
        <v>0</v>
      </c>
      <c r="D83" s="76">
        <v>11</v>
      </c>
    </row>
    <row r="84" spans="1:4" x14ac:dyDescent="0.2">
      <c r="A84" s="109">
        <v>77</v>
      </c>
      <c r="B84" s="76">
        <v>8</v>
      </c>
      <c r="C84" s="76">
        <v>0</v>
      </c>
      <c r="D84" s="76">
        <v>11</v>
      </c>
    </row>
    <row r="85" spans="1:4" x14ac:dyDescent="0.2">
      <c r="A85" s="109">
        <v>78</v>
      </c>
      <c r="B85" s="76">
        <v>16</v>
      </c>
      <c r="C85" s="76">
        <v>0</v>
      </c>
      <c r="D85" s="76">
        <v>11</v>
      </c>
    </row>
    <row r="86" spans="1:4" x14ac:dyDescent="0.2">
      <c r="A86" s="109">
        <v>79</v>
      </c>
      <c r="B86" s="76">
        <v>24</v>
      </c>
      <c r="C86" s="76">
        <v>0</v>
      </c>
      <c r="D86" s="76">
        <v>11</v>
      </c>
    </row>
    <row r="87" spans="1:4" x14ac:dyDescent="0.2">
      <c r="A87" s="109">
        <v>80</v>
      </c>
      <c r="B87" s="76">
        <v>32</v>
      </c>
      <c r="C87" s="76">
        <v>0</v>
      </c>
      <c r="D87" s="76">
        <v>11</v>
      </c>
    </row>
    <row r="88" spans="1:4" x14ac:dyDescent="0.2">
      <c r="A88" s="109">
        <v>81</v>
      </c>
      <c r="B88" s="76">
        <v>0</v>
      </c>
      <c r="C88" s="76">
        <v>8</v>
      </c>
      <c r="D88" s="76">
        <v>11</v>
      </c>
    </row>
    <row r="89" spans="1:4" x14ac:dyDescent="0.2">
      <c r="A89" s="109">
        <v>82</v>
      </c>
      <c r="B89" s="76">
        <v>8</v>
      </c>
      <c r="C89" s="76">
        <v>8</v>
      </c>
      <c r="D89" s="76">
        <v>11</v>
      </c>
    </row>
    <row r="90" spans="1:4" x14ac:dyDescent="0.2">
      <c r="A90" s="109">
        <v>83</v>
      </c>
      <c r="B90" s="76">
        <v>16</v>
      </c>
      <c r="C90" s="76">
        <v>8</v>
      </c>
      <c r="D90" s="76">
        <v>11</v>
      </c>
    </row>
    <row r="91" spans="1:4" x14ac:dyDescent="0.2">
      <c r="A91" s="109">
        <v>84</v>
      </c>
      <c r="B91" s="76">
        <v>24</v>
      </c>
      <c r="C91" s="76">
        <v>8</v>
      </c>
      <c r="D91" s="76">
        <v>11</v>
      </c>
    </row>
    <row r="92" spans="1:4" x14ac:dyDescent="0.2">
      <c r="A92" s="109">
        <v>85</v>
      </c>
      <c r="B92" s="76">
        <v>32</v>
      </c>
      <c r="C92" s="76">
        <v>8</v>
      </c>
      <c r="D92" s="76">
        <v>11</v>
      </c>
    </row>
    <row r="93" spans="1:4" x14ac:dyDescent="0.2">
      <c r="A93" s="109">
        <v>86</v>
      </c>
      <c r="B93" s="76">
        <v>0</v>
      </c>
      <c r="C93" s="76">
        <v>16</v>
      </c>
      <c r="D93" s="76">
        <v>11</v>
      </c>
    </row>
    <row r="94" spans="1:4" x14ac:dyDescent="0.2">
      <c r="A94" s="109">
        <v>87</v>
      </c>
      <c r="B94" s="76">
        <v>8</v>
      </c>
      <c r="C94" s="76">
        <v>16</v>
      </c>
      <c r="D94" s="76">
        <v>11</v>
      </c>
    </row>
    <row r="95" spans="1:4" x14ac:dyDescent="0.2">
      <c r="A95" s="109">
        <v>88</v>
      </c>
      <c r="B95" s="76">
        <v>16</v>
      </c>
      <c r="C95" s="76">
        <v>16</v>
      </c>
      <c r="D95" s="76">
        <v>11</v>
      </c>
    </row>
    <row r="96" spans="1:4" x14ac:dyDescent="0.2">
      <c r="A96" s="109">
        <v>89</v>
      </c>
      <c r="B96" s="76">
        <v>24</v>
      </c>
      <c r="C96" s="76">
        <v>16</v>
      </c>
      <c r="D96" s="76">
        <v>11</v>
      </c>
    </row>
    <row r="97" spans="1:4" x14ac:dyDescent="0.2">
      <c r="A97" s="109">
        <v>90</v>
      </c>
      <c r="B97" s="76">
        <v>32</v>
      </c>
      <c r="C97" s="76">
        <v>16</v>
      </c>
      <c r="D97" s="76">
        <v>11</v>
      </c>
    </row>
    <row r="98" spans="1:4" x14ac:dyDescent="0.2">
      <c r="A98" s="109">
        <v>91</v>
      </c>
      <c r="B98" s="76">
        <v>0</v>
      </c>
      <c r="C98" s="76">
        <v>24</v>
      </c>
      <c r="D98" s="76">
        <v>11</v>
      </c>
    </row>
    <row r="99" spans="1:4" x14ac:dyDescent="0.2">
      <c r="A99" s="109">
        <v>92</v>
      </c>
      <c r="B99" s="76">
        <v>8</v>
      </c>
      <c r="C99" s="76">
        <v>24</v>
      </c>
      <c r="D99" s="76">
        <v>11</v>
      </c>
    </row>
    <row r="100" spans="1:4" x14ac:dyDescent="0.2">
      <c r="A100" s="109">
        <v>93</v>
      </c>
      <c r="B100" s="76">
        <v>16</v>
      </c>
      <c r="C100" s="76">
        <v>24</v>
      </c>
      <c r="D100" s="76">
        <v>11</v>
      </c>
    </row>
    <row r="101" spans="1:4" x14ac:dyDescent="0.2">
      <c r="A101" s="109">
        <v>94</v>
      </c>
      <c r="B101" s="76">
        <v>24</v>
      </c>
      <c r="C101" s="76">
        <v>24</v>
      </c>
      <c r="D101" s="76">
        <v>11</v>
      </c>
    </row>
    <row r="102" spans="1:4" x14ac:dyDescent="0.2">
      <c r="A102" s="109">
        <v>95</v>
      </c>
      <c r="B102" s="76">
        <v>32</v>
      </c>
      <c r="C102" s="76">
        <v>24</v>
      </c>
      <c r="D102" s="76">
        <v>11</v>
      </c>
    </row>
    <row r="103" spans="1:4" x14ac:dyDescent="0.2">
      <c r="A103" s="109">
        <v>96</v>
      </c>
      <c r="B103" s="76">
        <v>0</v>
      </c>
      <c r="C103" s="76">
        <v>32</v>
      </c>
      <c r="D103" s="76">
        <v>11</v>
      </c>
    </row>
    <row r="104" spans="1:4" x14ac:dyDescent="0.2">
      <c r="A104" s="109">
        <v>97</v>
      </c>
      <c r="B104" s="76">
        <v>8</v>
      </c>
      <c r="C104" s="76">
        <v>32</v>
      </c>
      <c r="D104" s="76">
        <v>11</v>
      </c>
    </row>
    <row r="105" spans="1:4" x14ac:dyDescent="0.2">
      <c r="A105" s="109">
        <v>98</v>
      </c>
      <c r="B105" s="76">
        <v>16</v>
      </c>
      <c r="C105" s="76">
        <v>32</v>
      </c>
      <c r="D105" s="76">
        <v>11</v>
      </c>
    </row>
    <row r="106" spans="1:4" x14ac:dyDescent="0.2">
      <c r="A106" s="109">
        <v>99</v>
      </c>
      <c r="B106" s="76">
        <v>24</v>
      </c>
      <c r="C106" s="76">
        <v>32</v>
      </c>
      <c r="D106" s="76">
        <v>11</v>
      </c>
    </row>
    <row r="107" spans="1:4" x14ac:dyDescent="0.2">
      <c r="A107" s="109">
        <v>100</v>
      </c>
      <c r="B107" s="76">
        <v>32</v>
      </c>
      <c r="C107" s="76">
        <v>32</v>
      </c>
      <c r="D107" s="76">
        <v>11</v>
      </c>
    </row>
    <row r="108" spans="1:4" x14ac:dyDescent="0.2">
      <c r="A108" s="109">
        <v>101</v>
      </c>
      <c r="B108" s="76">
        <v>0</v>
      </c>
      <c r="C108" s="76">
        <v>0</v>
      </c>
      <c r="D108" s="76">
        <v>14.5</v>
      </c>
    </row>
    <row r="109" spans="1:4" x14ac:dyDescent="0.2">
      <c r="A109" s="109">
        <v>102</v>
      </c>
      <c r="B109" s="76">
        <v>8</v>
      </c>
      <c r="C109" s="76">
        <v>0</v>
      </c>
      <c r="D109" s="76">
        <v>14.5</v>
      </c>
    </row>
    <row r="110" spans="1:4" x14ac:dyDescent="0.2">
      <c r="A110" s="109">
        <v>103</v>
      </c>
      <c r="B110" s="76">
        <v>16</v>
      </c>
      <c r="C110" s="76">
        <v>0</v>
      </c>
      <c r="D110" s="76">
        <v>14.5</v>
      </c>
    </row>
    <row r="111" spans="1:4" x14ac:dyDescent="0.2">
      <c r="A111" s="109">
        <v>104</v>
      </c>
      <c r="B111" s="76">
        <v>24</v>
      </c>
      <c r="C111" s="76">
        <v>0</v>
      </c>
      <c r="D111" s="76">
        <v>14.5</v>
      </c>
    </row>
    <row r="112" spans="1:4" x14ac:dyDescent="0.2">
      <c r="A112" s="109">
        <v>105</v>
      </c>
      <c r="B112" s="76">
        <v>32</v>
      </c>
      <c r="C112" s="76">
        <v>0</v>
      </c>
      <c r="D112" s="76">
        <v>14.5</v>
      </c>
    </row>
    <row r="113" spans="1:4" x14ac:dyDescent="0.2">
      <c r="A113" s="109">
        <v>106</v>
      </c>
      <c r="B113" s="76">
        <v>0</v>
      </c>
      <c r="C113" s="76">
        <v>8</v>
      </c>
      <c r="D113" s="76">
        <v>14.5</v>
      </c>
    </row>
    <row r="114" spans="1:4" x14ac:dyDescent="0.2">
      <c r="A114" s="109">
        <v>107</v>
      </c>
      <c r="B114" s="76">
        <v>8</v>
      </c>
      <c r="C114" s="76">
        <v>8</v>
      </c>
      <c r="D114" s="76">
        <v>14.5</v>
      </c>
    </row>
    <row r="115" spans="1:4" x14ac:dyDescent="0.2">
      <c r="A115" s="109">
        <v>108</v>
      </c>
      <c r="B115" s="76">
        <v>16</v>
      </c>
      <c r="C115" s="76">
        <v>8</v>
      </c>
      <c r="D115" s="76">
        <v>14.5</v>
      </c>
    </row>
    <row r="116" spans="1:4" x14ac:dyDescent="0.2">
      <c r="A116" s="109">
        <v>109</v>
      </c>
      <c r="B116" s="76">
        <v>24</v>
      </c>
      <c r="C116" s="76">
        <v>8</v>
      </c>
      <c r="D116" s="76">
        <v>14.5</v>
      </c>
    </row>
    <row r="117" spans="1:4" x14ac:dyDescent="0.2">
      <c r="A117" s="109">
        <v>110</v>
      </c>
      <c r="B117" s="76">
        <v>32</v>
      </c>
      <c r="C117" s="76">
        <v>8</v>
      </c>
      <c r="D117" s="76">
        <v>14.5</v>
      </c>
    </row>
    <row r="118" spans="1:4" x14ac:dyDescent="0.2">
      <c r="A118" s="109">
        <v>111</v>
      </c>
      <c r="B118" s="76">
        <v>0</v>
      </c>
      <c r="C118" s="76">
        <v>16</v>
      </c>
      <c r="D118" s="76">
        <v>14.5</v>
      </c>
    </row>
    <row r="119" spans="1:4" x14ac:dyDescent="0.2">
      <c r="A119" s="109">
        <v>112</v>
      </c>
      <c r="B119" s="76">
        <v>8</v>
      </c>
      <c r="C119" s="76">
        <v>16</v>
      </c>
      <c r="D119" s="76">
        <v>14.5</v>
      </c>
    </row>
    <row r="120" spans="1:4" x14ac:dyDescent="0.2">
      <c r="A120" s="109">
        <v>113</v>
      </c>
      <c r="B120" s="76">
        <v>16</v>
      </c>
      <c r="C120" s="76">
        <v>16</v>
      </c>
      <c r="D120" s="76">
        <v>14.5</v>
      </c>
    </row>
    <row r="121" spans="1:4" x14ac:dyDescent="0.2">
      <c r="A121" s="109">
        <v>114</v>
      </c>
      <c r="B121" s="76">
        <v>24</v>
      </c>
      <c r="C121" s="76">
        <v>16</v>
      </c>
      <c r="D121" s="76">
        <v>14.5</v>
      </c>
    </row>
    <row r="122" spans="1:4" x14ac:dyDescent="0.2">
      <c r="A122" s="109">
        <v>115</v>
      </c>
      <c r="B122" s="76">
        <v>32</v>
      </c>
      <c r="C122" s="76">
        <v>16</v>
      </c>
      <c r="D122" s="76">
        <v>14.5</v>
      </c>
    </row>
    <row r="123" spans="1:4" x14ac:dyDescent="0.2">
      <c r="A123" s="109">
        <v>116</v>
      </c>
      <c r="B123" s="76">
        <v>0</v>
      </c>
      <c r="C123" s="76">
        <v>24</v>
      </c>
      <c r="D123" s="76">
        <v>14.5</v>
      </c>
    </row>
    <row r="124" spans="1:4" x14ac:dyDescent="0.2">
      <c r="A124" s="109">
        <v>117</v>
      </c>
      <c r="B124" s="76">
        <v>8</v>
      </c>
      <c r="C124" s="76">
        <v>24</v>
      </c>
      <c r="D124" s="76">
        <v>14.5</v>
      </c>
    </row>
    <row r="125" spans="1:4" x14ac:dyDescent="0.2">
      <c r="A125" s="109">
        <v>118</v>
      </c>
      <c r="B125" s="76">
        <v>16</v>
      </c>
      <c r="C125" s="76">
        <v>24</v>
      </c>
      <c r="D125" s="76">
        <v>14.5</v>
      </c>
    </row>
    <row r="126" spans="1:4" x14ac:dyDescent="0.2">
      <c r="A126" s="109">
        <v>119</v>
      </c>
      <c r="B126" s="76">
        <v>24</v>
      </c>
      <c r="C126" s="76">
        <v>24</v>
      </c>
      <c r="D126" s="76">
        <v>14.5</v>
      </c>
    </row>
    <row r="127" spans="1:4" x14ac:dyDescent="0.2">
      <c r="A127" s="109">
        <v>120</v>
      </c>
      <c r="B127" s="76">
        <v>32</v>
      </c>
      <c r="C127" s="76">
        <v>24</v>
      </c>
      <c r="D127" s="76">
        <v>14.5</v>
      </c>
    </row>
    <row r="128" spans="1:4" x14ac:dyDescent="0.2">
      <c r="A128" s="109">
        <v>121</v>
      </c>
      <c r="B128" s="76">
        <v>0</v>
      </c>
      <c r="C128" s="76">
        <v>32</v>
      </c>
      <c r="D128" s="76">
        <v>14.5</v>
      </c>
    </row>
    <row r="129" spans="1:4" x14ac:dyDescent="0.2">
      <c r="A129" s="109">
        <v>122</v>
      </c>
      <c r="B129" s="76">
        <v>8</v>
      </c>
      <c r="C129" s="76">
        <v>32</v>
      </c>
      <c r="D129" s="76">
        <v>14.5</v>
      </c>
    </row>
    <row r="130" spans="1:4" x14ac:dyDescent="0.2">
      <c r="A130" s="109">
        <v>123</v>
      </c>
      <c r="B130" s="76">
        <v>16</v>
      </c>
      <c r="C130" s="76">
        <v>32</v>
      </c>
      <c r="D130" s="76">
        <v>14.5</v>
      </c>
    </row>
    <row r="131" spans="1:4" x14ac:dyDescent="0.2">
      <c r="A131" s="109">
        <v>124</v>
      </c>
      <c r="B131" s="76">
        <v>24</v>
      </c>
      <c r="C131" s="76">
        <v>32</v>
      </c>
      <c r="D131" s="76">
        <v>14.5</v>
      </c>
    </row>
    <row r="132" spans="1:4" x14ac:dyDescent="0.2">
      <c r="A132" s="109">
        <v>125</v>
      </c>
      <c r="B132" s="76">
        <v>32</v>
      </c>
      <c r="C132" s="76">
        <v>32</v>
      </c>
      <c r="D132" s="76">
        <v>14.5</v>
      </c>
    </row>
  </sheetData>
  <phoneticPr fontId="14"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opLeftCell="A96" zoomScale="130" zoomScaleNormal="130" workbookViewId="0">
      <selection activeCell="J116" sqref="J116:J275"/>
    </sheetView>
  </sheetViews>
  <sheetFormatPr baseColWidth="10" defaultColWidth="10.83203125" defaultRowHeight="16" x14ac:dyDescent="0.2"/>
  <cols>
    <col min="1" max="1" width="15.6640625" style="92" customWidth="1"/>
    <col min="2" max="3" width="10.6640625" style="92" customWidth="1"/>
    <col min="4" max="4" width="20.6640625" style="39" customWidth="1"/>
    <col min="5" max="5" width="25.6640625" style="50" customWidth="1"/>
    <col min="6" max="6" width="20.6640625" style="50" customWidth="1"/>
    <col min="7" max="8" width="20.6640625" style="89" customWidth="1"/>
    <col min="9" max="9" width="10.6640625" style="50" customWidth="1"/>
    <col min="10" max="10" width="20.6640625" style="50" customWidth="1"/>
    <col min="11" max="16384" width="10.83203125" style="80"/>
  </cols>
  <sheetData>
    <row r="1" spans="1:10" x14ac:dyDescent="0.2">
      <c r="A1" s="60" t="s">
        <v>120</v>
      </c>
      <c r="B1" s="77"/>
      <c r="C1" s="77"/>
      <c r="D1" s="35"/>
      <c r="E1" s="78"/>
      <c r="F1" s="78"/>
      <c r="G1" s="78"/>
      <c r="H1" s="78"/>
      <c r="I1" s="77"/>
      <c r="J1" s="118"/>
    </row>
    <row r="2" spans="1:10" x14ac:dyDescent="0.2">
      <c r="A2" s="84" t="s">
        <v>209</v>
      </c>
      <c r="B2" s="81"/>
      <c r="C2" s="81"/>
      <c r="D2" s="35"/>
      <c r="E2" s="82"/>
      <c r="F2" s="82"/>
      <c r="G2" s="82"/>
      <c r="H2" s="82"/>
      <c r="I2" s="81"/>
      <c r="J2" s="119"/>
    </row>
    <row r="3" spans="1:10" x14ac:dyDescent="0.2">
      <c r="A3" s="117" t="s">
        <v>245</v>
      </c>
      <c r="B3" s="81"/>
      <c r="C3" s="81"/>
      <c r="D3" s="35"/>
      <c r="E3" s="82"/>
      <c r="F3" s="82"/>
      <c r="G3" s="82"/>
      <c r="H3" s="82"/>
      <c r="I3" s="81"/>
      <c r="J3" s="119"/>
    </row>
    <row r="4" spans="1:10" x14ac:dyDescent="0.2">
      <c r="A4" s="117" t="s">
        <v>246</v>
      </c>
      <c r="B4" s="81"/>
      <c r="C4" s="81"/>
      <c r="D4" s="35"/>
      <c r="E4" s="82"/>
      <c r="F4" s="82"/>
      <c r="G4" s="82"/>
      <c r="H4" s="82"/>
      <c r="I4" s="81"/>
      <c r="J4" s="119"/>
    </row>
    <row r="5" spans="1:10" x14ac:dyDescent="0.2">
      <c r="A5" s="117" t="s">
        <v>195</v>
      </c>
      <c r="B5" s="81"/>
      <c r="C5" s="81"/>
      <c r="D5" s="35"/>
      <c r="E5" s="82"/>
      <c r="F5" s="82"/>
      <c r="G5" s="82"/>
      <c r="H5" s="82"/>
      <c r="I5" s="81"/>
      <c r="J5" s="119"/>
    </row>
    <row r="6" spans="1:10" x14ac:dyDescent="0.2">
      <c r="A6" s="84" t="s">
        <v>147</v>
      </c>
      <c r="B6" s="81"/>
      <c r="C6" s="81"/>
      <c r="D6" s="35"/>
      <c r="E6" s="82"/>
      <c r="F6" s="82"/>
      <c r="G6" s="82"/>
      <c r="H6" s="82"/>
      <c r="I6" s="81"/>
      <c r="J6" s="119"/>
    </row>
    <row r="7" spans="1:10" x14ac:dyDescent="0.2">
      <c r="A7" s="117" t="s">
        <v>244</v>
      </c>
      <c r="B7" s="81"/>
      <c r="C7" s="81"/>
      <c r="D7" s="35"/>
      <c r="E7" s="82"/>
      <c r="F7" s="82"/>
      <c r="G7" s="82"/>
      <c r="H7" s="82"/>
      <c r="I7" s="81"/>
      <c r="J7" s="119"/>
    </row>
    <row r="8" spans="1:10" x14ac:dyDescent="0.2">
      <c r="A8" s="84" t="str">
        <f>"- I-End Offset Length: Offset length at the start (I) of the line object (Input as Float) ("&amp;'User Defined Units'!$B$11&amp;")"</f>
        <v>- I-End Offset Length: Offset length at the start (I) of the line object (Input as Float) (m)</v>
      </c>
      <c r="B8" s="81"/>
      <c r="C8" s="81"/>
      <c r="D8" s="35"/>
      <c r="E8" s="82"/>
      <c r="F8" s="82"/>
      <c r="G8" s="82"/>
      <c r="H8" s="82"/>
      <c r="I8" s="81"/>
      <c r="J8" s="119"/>
    </row>
    <row r="9" spans="1:10" x14ac:dyDescent="0.2">
      <c r="A9" s="84" t="str">
        <f>"-J-End Offset Length: Offset length at the end (J) of the line object (Input as Float) ("&amp;'User Defined Units'!$B$11&amp;")"</f>
        <v>-J-End Offset Length: Offset length at the end (J) of the line object (Input as Float) (m)</v>
      </c>
      <c r="B9" s="81"/>
      <c r="C9" s="81"/>
      <c r="D9" s="35"/>
      <c r="E9" s="82"/>
      <c r="F9" s="82"/>
      <c r="G9" s="82"/>
      <c r="H9" s="82"/>
      <c r="I9" s="81"/>
      <c r="J9" s="119"/>
    </row>
    <row r="10" spans="1:10" x14ac:dyDescent="0.2">
      <c r="A10" s="117" t="s">
        <v>217</v>
      </c>
      <c r="B10" s="81"/>
      <c r="C10" s="81"/>
      <c r="D10" s="35"/>
      <c r="E10" s="82"/>
      <c r="F10" s="82"/>
      <c r="G10" s="82"/>
      <c r="H10" s="82"/>
      <c r="I10" s="81"/>
      <c r="J10" s="119"/>
    </row>
    <row r="11" spans="1:10" x14ac:dyDescent="0.2">
      <c r="A11" s="117" t="s">
        <v>216</v>
      </c>
      <c r="B11" s="81"/>
      <c r="C11" s="81"/>
      <c r="D11" s="35"/>
      <c r="E11" s="82"/>
      <c r="F11" s="82"/>
      <c r="G11" s="82"/>
      <c r="H11" s="82"/>
      <c r="I11" s="81"/>
      <c r="J11" s="119"/>
    </row>
    <row r="12" spans="1:10" x14ac:dyDescent="0.2">
      <c r="A12" s="85" t="s">
        <v>142</v>
      </c>
      <c r="B12" s="81"/>
      <c r="C12" s="81"/>
      <c r="D12" s="35"/>
      <c r="E12" s="82"/>
      <c r="F12" s="82"/>
      <c r="G12" s="82"/>
      <c r="H12" s="82"/>
      <c r="I12" s="81"/>
      <c r="J12" s="119"/>
    </row>
    <row r="13" spans="1:10" x14ac:dyDescent="0.2">
      <c r="A13" s="86" t="s">
        <v>155</v>
      </c>
      <c r="B13" s="87"/>
      <c r="C13" s="88"/>
      <c r="D13" s="37"/>
      <c r="E13" s="88"/>
      <c r="F13" s="88"/>
      <c r="G13" s="88"/>
      <c r="H13" s="88"/>
      <c r="I13" s="123"/>
      <c r="J13" s="120"/>
    </row>
    <row r="14" spans="1:10" x14ac:dyDescent="0.2">
      <c r="A14" s="90"/>
      <c r="B14" s="50"/>
      <c r="C14" s="50"/>
      <c r="D14" s="1"/>
      <c r="E14" s="80"/>
      <c r="F14" s="80"/>
      <c r="G14" s="80"/>
      <c r="H14" s="80"/>
    </row>
    <row r="15" spans="1:10" s="7" customFormat="1" x14ac:dyDescent="0.2">
      <c r="A15" s="74" t="s">
        <v>207</v>
      </c>
      <c r="B15" s="11" t="s">
        <v>125</v>
      </c>
      <c r="C15" s="11" t="s">
        <v>126</v>
      </c>
      <c r="D15" s="25" t="s">
        <v>40</v>
      </c>
      <c r="E15" s="74" t="s">
        <v>145</v>
      </c>
      <c r="F15" s="74" t="s">
        <v>243</v>
      </c>
      <c r="G15" s="91" t="s">
        <v>143</v>
      </c>
      <c r="H15" s="91" t="s">
        <v>144</v>
      </c>
      <c r="I15" s="74" t="s">
        <v>212</v>
      </c>
      <c r="J15" s="74" t="s">
        <v>215</v>
      </c>
    </row>
    <row r="16" spans="1:10" x14ac:dyDescent="0.2">
      <c r="A16" s="92">
        <v>1</v>
      </c>
      <c r="B16" s="92">
        <v>1</v>
      </c>
      <c r="C16" s="92">
        <v>26</v>
      </c>
      <c r="D16" s="39" t="s">
        <v>41</v>
      </c>
      <c r="E16" s="128" t="s">
        <v>146</v>
      </c>
      <c r="F16" s="128">
        <v>1</v>
      </c>
      <c r="G16" s="89">
        <v>0</v>
      </c>
      <c r="H16" s="89">
        <v>0</v>
      </c>
      <c r="I16" s="50" t="s">
        <v>31</v>
      </c>
      <c r="J16" s="50" t="s">
        <v>204</v>
      </c>
    </row>
    <row r="17" spans="1:10" x14ac:dyDescent="0.2">
      <c r="A17" s="92">
        <v>2</v>
      </c>
      <c r="B17" s="92">
        <v>2</v>
      </c>
      <c r="C17" s="92">
        <v>27</v>
      </c>
      <c r="D17" s="39" t="s">
        <v>41</v>
      </c>
      <c r="E17" s="50" t="s">
        <v>146</v>
      </c>
      <c r="F17" s="128">
        <v>1</v>
      </c>
      <c r="G17" s="89">
        <v>0</v>
      </c>
      <c r="H17" s="89">
        <v>0</v>
      </c>
      <c r="I17" s="50" t="s">
        <v>31</v>
      </c>
      <c r="J17" s="50" t="s">
        <v>204</v>
      </c>
    </row>
    <row r="18" spans="1:10" x14ac:dyDescent="0.2">
      <c r="A18" s="92">
        <v>3</v>
      </c>
      <c r="B18" s="92">
        <v>3</v>
      </c>
      <c r="C18" s="92">
        <v>28</v>
      </c>
      <c r="D18" s="39" t="s">
        <v>41</v>
      </c>
      <c r="E18" s="50" t="s">
        <v>146</v>
      </c>
      <c r="F18" s="128">
        <v>1</v>
      </c>
      <c r="G18" s="89">
        <v>0</v>
      </c>
      <c r="H18" s="89">
        <v>0</v>
      </c>
      <c r="I18" s="50" t="s">
        <v>31</v>
      </c>
      <c r="J18" s="50" t="s">
        <v>204</v>
      </c>
    </row>
    <row r="19" spans="1:10" x14ac:dyDescent="0.2">
      <c r="A19" s="92">
        <v>4</v>
      </c>
      <c r="B19" s="92">
        <v>4</v>
      </c>
      <c r="C19" s="92">
        <v>29</v>
      </c>
      <c r="D19" s="39" t="s">
        <v>41</v>
      </c>
      <c r="E19" s="50" t="s">
        <v>146</v>
      </c>
      <c r="F19" s="128">
        <v>1</v>
      </c>
      <c r="G19" s="89">
        <v>0</v>
      </c>
      <c r="H19" s="89">
        <v>0</v>
      </c>
      <c r="I19" s="50" t="s">
        <v>31</v>
      </c>
      <c r="J19" s="50" t="s">
        <v>204</v>
      </c>
    </row>
    <row r="20" spans="1:10" x14ac:dyDescent="0.2">
      <c r="A20" s="92">
        <v>5</v>
      </c>
      <c r="B20" s="92">
        <v>5</v>
      </c>
      <c r="C20" s="92">
        <v>30</v>
      </c>
      <c r="D20" s="39" t="s">
        <v>41</v>
      </c>
      <c r="E20" s="50" t="s">
        <v>146</v>
      </c>
      <c r="F20" s="128">
        <v>1</v>
      </c>
      <c r="G20" s="89">
        <v>0</v>
      </c>
      <c r="H20" s="89">
        <v>0</v>
      </c>
      <c r="I20" s="50" t="s">
        <v>31</v>
      </c>
      <c r="J20" s="50" t="s">
        <v>204</v>
      </c>
    </row>
    <row r="21" spans="1:10" x14ac:dyDescent="0.2">
      <c r="A21" s="92">
        <v>6</v>
      </c>
      <c r="B21" s="92">
        <v>6</v>
      </c>
      <c r="C21" s="92">
        <v>31</v>
      </c>
      <c r="D21" s="39" t="s">
        <v>41</v>
      </c>
      <c r="E21" s="50" t="s">
        <v>146</v>
      </c>
      <c r="F21" s="128">
        <v>1</v>
      </c>
      <c r="G21" s="89">
        <v>0</v>
      </c>
      <c r="H21" s="89">
        <v>0</v>
      </c>
      <c r="I21" s="50" t="s">
        <v>31</v>
      </c>
      <c r="J21" s="50" t="s">
        <v>204</v>
      </c>
    </row>
    <row r="22" spans="1:10" x14ac:dyDescent="0.2">
      <c r="A22" s="92">
        <v>7</v>
      </c>
      <c r="B22" s="92">
        <v>7</v>
      </c>
      <c r="C22" s="92">
        <v>32</v>
      </c>
      <c r="D22" s="39" t="s">
        <v>41</v>
      </c>
      <c r="E22" s="50" t="s">
        <v>146</v>
      </c>
      <c r="F22" s="128">
        <v>1</v>
      </c>
      <c r="G22" s="89">
        <v>0</v>
      </c>
      <c r="H22" s="89">
        <v>0</v>
      </c>
      <c r="I22" s="50" t="s">
        <v>31</v>
      </c>
      <c r="J22" s="50" t="s">
        <v>204</v>
      </c>
    </row>
    <row r="23" spans="1:10" x14ac:dyDescent="0.2">
      <c r="A23" s="92">
        <v>8</v>
      </c>
      <c r="B23" s="92">
        <v>8</v>
      </c>
      <c r="C23" s="92">
        <v>33</v>
      </c>
      <c r="D23" s="39" t="s">
        <v>41</v>
      </c>
      <c r="E23" s="50" t="s">
        <v>146</v>
      </c>
      <c r="F23" s="128">
        <v>1</v>
      </c>
      <c r="G23" s="89">
        <v>0</v>
      </c>
      <c r="H23" s="89">
        <v>0</v>
      </c>
      <c r="I23" s="50" t="s">
        <v>31</v>
      </c>
      <c r="J23" s="50" t="s">
        <v>204</v>
      </c>
    </row>
    <row r="24" spans="1:10" x14ac:dyDescent="0.2">
      <c r="A24" s="92">
        <v>9</v>
      </c>
      <c r="B24" s="92">
        <v>9</v>
      </c>
      <c r="C24" s="92">
        <v>34</v>
      </c>
      <c r="D24" s="39" t="s">
        <v>41</v>
      </c>
      <c r="E24" s="50" t="s">
        <v>146</v>
      </c>
      <c r="F24" s="128">
        <v>1</v>
      </c>
      <c r="G24" s="89">
        <v>0</v>
      </c>
      <c r="H24" s="89">
        <v>0</v>
      </c>
      <c r="I24" s="50" t="s">
        <v>31</v>
      </c>
      <c r="J24" s="50" t="s">
        <v>204</v>
      </c>
    </row>
    <row r="25" spans="1:10" x14ac:dyDescent="0.2">
      <c r="A25" s="92">
        <v>10</v>
      </c>
      <c r="B25" s="92">
        <v>10</v>
      </c>
      <c r="C25" s="92">
        <v>35</v>
      </c>
      <c r="D25" s="39" t="s">
        <v>41</v>
      </c>
      <c r="E25" s="50" t="s">
        <v>146</v>
      </c>
      <c r="F25" s="128">
        <v>1</v>
      </c>
      <c r="G25" s="89">
        <v>0</v>
      </c>
      <c r="H25" s="89">
        <v>0</v>
      </c>
      <c r="I25" s="50" t="s">
        <v>31</v>
      </c>
      <c r="J25" s="50" t="s">
        <v>204</v>
      </c>
    </row>
    <row r="26" spans="1:10" x14ac:dyDescent="0.2">
      <c r="A26" s="92">
        <v>11</v>
      </c>
      <c r="B26" s="92">
        <v>11</v>
      </c>
      <c r="C26" s="92">
        <v>36</v>
      </c>
      <c r="D26" s="39" t="s">
        <v>41</v>
      </c>
      <c r="E26" s="50" t="s">
        <v>146</v>
      </c>
      <c r="F26" s="128">
        <v>1</v>
      </c>
      <c r="G26" s="89">
        <v>0</v>
      </c>
      <c r="H26" s="89">
        <v>0</v>
      </c>
      <c r="I26" s="50" t="s">
        <v>31</v>
      </c>
      <c r="J26" s="50" t="s">
        <v>204</v>
      </c>
    </row>
    <row r="27" spans="1:10" x14ac:dyDescent="0.2">
      <c r="A27" s="92">
        <v>12</v>
      </c>
      <c r="B27" s="92">
        <v>12</v>
      </c>
      <c r="C27" s="92">
        <v>37</v>
      </c>
      <c r="D27" s="39" t="s">
        <v>41</v>
      </c>
      <c r="E27" s="50" t="s">
        <v>146</v>
      </c>
      <c r="F27" s="128">
        <v>1</v>
      </c>
      <c r="G27" s="89">
        <v>0</v>
      </c>
      <c r="H27" s="89">
        <v>0</v>
      </c>
      <c r="I27" s="50" t="s">
        <v>31</v>
      </c>
      <c r="J27" s="50" t="s">
        <v>204</v>
      </c>
    </row>
    <row r="28" spans="1:10" x14ac:dyDescent="0.2">
      <c r="A28" s="92">
        <v>13</v>
      </c>
      <c r="B28" s="92">
        <v>13</v>
      </c>
      <c r="C28" s="92">
        <v>38</v>
      </c>
      <c r="D28" s="39" t="s">
        <v>41</v>
      </c>
      <c r="E28" s="50" t="s">
        <v>146</v>
      </c>
      <c r="F28" s="128">
        <v>1</v>
      </c>
      <c r="G28" s="89">
        <v>0</v>
      </c>
      <c r="H28" s="89">
        <v>0</v>
      </c>
      <c r="I28" s="50" t="s">
        <v>31</v>
      </c>
      <c r="J28" s="50" t="s">
        <v>204</v>
      </c>
    </row>
    <row r="29" spans="1:10" x14ac:dyDescent="0.2">
      <c r="A29" s="92">
        <v>14</v>
      </c>
      <c r="B29" s="92">
        <v>14</v>
      </c>
      <c r="C29" s="92">
        <v>39</v>
      </c>
      <c r="D29" s="39" t="s">
        <v>41</v>
      </c>
      <c r="E29" s="50" t="s">
        <v>146</v>
      </c>
      <c r="F29" s="128">
        <v>1</v>
      </c>
      <c r="G29" s="89">
        <v>0</v>
      </c>
      <c r="H29" s="89">
        <v>0</v>
      </c>
      <c r="I29" s="50" t="s">
        <v>31</v>
      </c>
      <c r="J29" s="50" t="s">
        <v>204</v>
      </c>
    </row>
    <row r="30" spans="1:10" x14ac:dyDescent="0.2">
      <c r="A30" s="92">
        <v>15</v>
      </c>
      <c r="B30" s="92">
        <v>15</v>
      </c>
      <c r="C30" s="92">
        <v>40</v>
      </c>
      <c r="D30" s="39" t="s">
        <v>41</v>
      </c>
      <c r="E30" s="50" t="s">
        <v>146</v>
      </c>
      <c r="F30" s="128">
        <v>1</v>
      </c>
      <c r="G30" s="89">
        <v>0</v>
      </c>
      <c r="H30" s="89">
        <v>0</v>
      </c>
      <c r="I30" s="50" t="s">
        <v>31</v>
      </c>
      <c r="J30" s="50" t="s">
        <v>204</v>
      </c>
    </row>
    <row r="31" spans="1:10" x14ac:dyDescent="0.2">
      <c r="A31" s="92">
        <v>16</v>
      </c>
      <c r="B31" s="92">
        <v>16</v>
      </c>
      <c r="C31" s="92">
        <v>41</v>
      </c>
      <c r="D31" s="39" t="s">
        <v>41</v>
      </c>
      <c r="E31" s="50" t="s">
        <v>146</v>
      </c>
      <c r="F31" s="128">
        <v>1</v>
      </c>
      <c r="G31" s="89">
        <v>0</v>
      </c>
      <c r="H31" s="89">
        <v>0</v>
      </c>
      <c r="I31" s="50" t="s">
        <v>31</v>
      </c>
      <c r="J31" s="50" t="s">
        <v>204</v>
      </c>
    </row>
    <row r="32" spans="1:10" x14ac:dyDescent="0.2">
      <c r="A32" s="92">
        <v>17</v>
      </c>
      <c r="B32" s="92">
        <v>17</v>
      </c>
      <c r="C32" s="92">
        <v>42</v>
      </c>
      <c r="D32" s="39" t="s">
        <v>41</v>
      </c>
      <c r="E32" s="50" t="s">
        <v>146</v>
      </c>
      <c r="F32" s="128">
        <v>1</v>
      </c>
      <c r="G32" s="89">
        <v>0</v>
      </c>
      <c r="H32" s="89">
        <v>0</v>
      </c>
      <c r="I32" s="50" t="s">
        <v>31</v>
      </c>
      <c r="J32" s="50" t="s">
        <v>204</v>
      </c>
    </row>
    <row r="33" spans="1:10" x14ac:dyDescent="0.2">
      <c r="A33" s="92">
        <v>18</v>
      </c>
      <c r="B33" s="92">
        <v>18</v>
      </c>
      <c r="C33" s="92">
        <v>43</v>
      </c>
      <c r="D33" s="39" t="s">
        <v>41</v>
      </c>
      <c r="E33" s="50" t="s">
        <v>146</v>
      </c>
      <c r="F33" s="128">
        <v>1</v>
      </c>
      <c r="G33" s="89">
        <v>0</v>
      </c>
      <c r="H33" s="89">
        <v>0</v>
      </c>
      <c r="I33" s="50" t="s">
        <v>31</v>
      </c>
      <c r="J33" s="50" t="s">
        <v>204</v>
      </c>
    </row>
    <row r="34" spans="1:10" x14ac:dyDescent="0.2">
      <c r="A34" s="92">
        <v>19</v>
      </c>
      <c r="B34" s="92">
        <v>19</v>
      </c>
      <c r="C34" s="92">
        <v>44</v>
      </c>
      <c r="D34" s="39" t="s">
        <v>41</v>
      </c>
      <c r="E34" s="50" t="s">
        <v>146</v>
      </c>
      <c r="F34" s="128">
        <v>1</v>
      </c>
      <c r="G34" s="89">
        <v>0</v>
      </c>
      <c r="H34" s="89">
        <v>0</v>
      </c>
      <c r="I34" s="50" t="s">
        <v>31</v>
      </c>
      <c r="J34" s="50" t="s">
        <v>204</v>
      </c>
    </row>
    <row r="35" spans="1:10" x14ac:dyDescent="0.2">
      <c r="A35" s="92">
        <v>20</v>
      </c>
      <c r="B35" s="92">
        <v>20</v>
      </c>
      <c r="C35" s="92">
        <v>45</v>
      </c>
      <c r="D35" s="39" t="s">
        <v>41</v>
      </c>
      <c r="E35" s="50" t="s">
        <v>146</v>
      </c>
      <c r="F35" s="128">
        <v>1</v>
      </c>
      <c r="G35" s="89">
        <v>0</v>
      </c>
      <c r="H35" s="89">
        <v>0</v>
      </c>
      <c r="I35" s="50" t="s">
        <v>31</v>
      </c>
      <c r="J35" s="50" t="s">
        <v>204</v>
      </c>
    </row>
    <row r="36" spans="1:10" x14ac:dyDescent="0.2">
      <c r="A36" s="92">
        <v>21</v>
      </c>
      <c r="B36" s="92">
        <v>21</v>
      </c>
      <c r="C36" s="92">
        <v>46</v>
      </c>
      <c r="D36" s="39" t="s">
        <v>41</v>
      </c>
      <c r="E36" s="50" t="s">
        <v>146</v>
      </c>
      <c r="F36" s="128">
        <v>1</v>
      </c>
      <c r="G36" s="89">
        <v>0</v>
      </c>
      <c r="H36" s="89">
        <v>0</v>
      </c>
      <c r="I36" s="50" t="s">
        <v>31</v>
      </c>
      <c r="J36" s="50" t="s">
        <v>204</v>
      </c>
    </row>
    <row r="37" spans="1:10" x14ac:dyDescent="0.2">
      <c r="A37" s="92">
        <v>22</v>
      </c>
      <c r="B37" s="92">
        <v>22</v>
      </c>
      <c r="C37" s="92">
        <v>47</v>
      </c>
      <c r="D37" s="39" t="s">
        <v>41</v>
      </c>
      <c r="E37" s="50" t="s">
        <v>146</v>
      </c>
      <c r="F37" s="128">
        <v>1</v>
      </c>
      <c r="G37" s="89">
        <v>0</v>
      </c>
      <c r="H37" s="89">
        <v>0</v>
      </c>
      <c r="I37" s="50" t="s">
        <v>31</v>
      </c>
      <c r="J37" s="50" t="s">
        <v>204</v>
      </c>
    </row>
    <row r="38" spans="1:10" x14ac:dyDescent="0.2">
      <c r="A38" s="92">
        <v>23</v>
      </c>
      <c r="B38" s="92">
        <v>23</v>
      </c>
      <c r="C38" s="92">
        <v>48</v>
      </c>
      <c r="D38" s="39" t="s">
        <v>41</v>
      </c>
      <c r="E38" s="50" t="s">
        <v>146</v>
      </c>
      <c r="F38" s="128">
        <v>1</v>
      </c>
      <c r="G38" s="89">
        <v>0</v>
      </c>
      <c r="H38" s="89">
        <v>0</v>
      </c>
      <c r="I38" s="50" t="s">
        <v>31</v>
      </c>
      <c r="J38" s="50" t="s">
        <v>204</v>
      </c>
    </row>
    <row r="39" spans="1:10" x14ac:dyDescent="0.2">
      <c r="A39" s="92">
        <v>24</v>
      </c>
      <c r="B39" s="92">
        <v>24</v>
      </c>
      <c r="C39" s="92">
        <v>49</v>
      </c>
      <c r="D39" s="39" t="s">
        <v>41</v>
      </c>
      <c r="E39" s="50" t="s">
        <v>146</v>
      </c>
      <c r="F39" s="128">
        <v>1</v>
      </c>
      <c r="G39" s="89">
        <v>0</v>
      </c>
      <c r="H39" s="89">
        <v>0</v>
      </c>
      <c r="I39" s="50" t="s">
        <v>31</v>
      </c>
      <c r="J39" s="50" t="s">
        <v>204</v>
      </c>
    </row>
    <row r="40" spans="1:10" x14ac:dyDescent="0.2">
      <c r="A40" s="92">
        <v>25</v>
      </c>
      <c r="B40" s="92">
        <v>25</v>
      </c>
      <c r="C40" s="92">
        <v>50</v>
      </c>
      <c r="D40" s="39" t="s">
        <v>41</v>
      </c>
      <c r="E40" s="50" t="s">
        <v>146</v>
      </c>
      <c r="F40" s="128">
        <v>1</v>
      </c>
      <c r="G40" s="89">
        <v>0</v>
      </c>
      <c r="H40" s="89">
        <v>0</v>
      </c>
      <c r="I40" s="50" t="s">
        <v>31</v>
      </c>
      <c r="J40" s="50" t="s">
        <v>204</v>
      </c>
    </row>
    <row r="41" spans="1:10" x14ac:dyDescent="0.2">
      <c r="A41" s="92">
        <v>26</v>
      </c>
      <c r="B41" s="92">
        <v>26</v>
      </c>
      <c r="C41" s="92">
        <v>51</v>
      </c>
      <c r="D41" s="39" t="s">
        <v>41</v>
      </c>
      <c r="E41" s="50" t="s">
        <v>146</v>
      </c>
      <c r="F41" s="128">
        <v>1</v>
      </c>
      <c r="G41" s="89">
        <v>0</v>
      </c>
      <c r="H41" s="89">
        <v>0</v>
      </c>
      <c r="I41" s="50" t="s">
        <v>31</v>
      </c>
      <c r="J41" s="50" t="s">
        <v>204</v>
      </c>
    </row>
    <row r="42" spans="1:10" x14ac:dyDescent="0.2">
      <c r="A42" s="92">
        <v>27</v>
      </c>
      <c r="B42" s="92">
        <v>27</v>
      </c>
      <c r="C42" s="92">
        <v>52</v>
      </c>
      <c r="D42" s="39" t="s">
        <v>41</v>
      </c>
      <c r="E42" s="50" t="s">
        <v>146</v>
      </c>
      <c r="F42" s="128">
        <v>1</v>
      </c>
      <c r="G42" s="89">
        <v>0</v>
      </c>
      <c r="H42" s="89">
        <v>0</v>
      </c>
      <c r="I42" s="50" t="s">
        <v>31</v>
      </c>
      <c r="J42" s="50" t="s">
        <v>204</v>
      </c>
    </row>
    <row r="43" spans="1:10" x14ac:dyDescent="0.2">
      <c r="A43" s="92">
        <v>28</v>
      </c>
      <c r="B43" s="92">
        <v>28</v>
      </c>
      <c r="C43" s="92">
        <v>53</v>
      </c>
      <c r="D43" s="39" t="s">
        <v>41</v>
      </c>
      <c r="E43" s="50" t="s">
        <v>146</v>
      </c>
      <c r="F43" s="128">
        <v>1</v>
      </c>
      <c r="G43" s="89">
        <v>0</v>
      </c>
      <c r="H43" s="89">
        <v>0</v>
      </c>
      <c r="I43" s="50" t="s">
        <v>31</v>
      </c>
      <c r="J43" s="50" t="s">
        <v>204</v>
      </c>
    </row>
    <row r="44" spans="1:10" x14ac:dyDescent="0.2">
      <c r="A44" s="92">
        <v>29</v>
      </c>
      <c r="B44" s="92">
        <v>29</v>
      </c>
      <c r="C44" s="92">
        <v>54</v>
      </c>
      <c r="D44" s="39" t="s">
        <v>41</v>
      </c>
      <c r="E44" s="50" t="s">
        <v>146</v>
      </c>
      <c r="F44" s="128">
        <v>1</v>
      </c>
      <c r="G44" s="89">
        <v>0</v>
      </c>
      <c r="H44" s="89">
        <v>0</v>
      </c>
      <c r="I44" s="50" t="s">
        <v>31</v>
      </c>
      <c r="J44" s="50" t="s">
        <v>204</v>
      </c>
    </row>
    <row r="45" spans="1:10" x14ac:dyDescent="0.2">
      <c r="A45" s="92">
        <v>30</v>
      </c>
      <c r="B45" s="92">
        <v>30</v>
      </c>
      <c r="C45" s="92">
        <v>55</v>
      </c>
      <c r="D45" s="39" t="s">
        <v>41</v>
      </c>
      <c r="E45" s="50" t="s">
        <v>146</v>
      </c>
      <c r="F45" s="128">
        <v>1</v>
      </c>
      <c r="G45" s="89">
        <v>0</v>
      </c>
      <c r="H45" s="89">
        <v>0</v>
      </c>
      <c r="I45" s="50" t="s">
        <v>31</v>
      </c>
      <c r="J45" s="50" t="s">
        <v>204</v>
      </c>
    </row>
    <row r="46" spans="1:10" x14ac:dyDescent="0.2">
      <c r="A46" s="92">
        <v>31</v>
      </c>
      <c r="B46" s="92">
        <v>31</v>
      </c>
      <c r="C46" s="92">
        <v>56</v>
      </c>
      <c r="D46" s="39" t="s">
        <v>41</v>
      </c>
      <c r="E46" s="50" t="s">
        <v>146</v>
      </c>
      <c r="F46" s="128">
        <v>1</v>
      </c>
      <c r="G46" s="89">
        <v>0</v>
      </c>
      <c r="H46" s="89">
        <v>0</v>
      </c>
      <c r="I46" s="50" t="s">
        <v>31</v>
      </c>
      <c r="J46" s="50" t="s">
        <v>204</v>
      </c>
    </row>
    <row r="47" spans="1:10" x14ac:dyDescent="0.2">
      <c r="A47" s="92">
        <v>32</v>
      </c>
      <c r="B47" s="92">
        <v>32</v>
      </c>
      <c r="C47" s="92">
        <v>57</v>
      </c>
      <c r="D47" s="39" t="s">
        <v>41</v>
      </c>
      <c r="E47" s="50" t="s">
        <v>146</v>
      </c>
      <c r="F47" s="128">
        <v>1</v>
      </c>
      <c r="G47" s="89">
        <v>0</v>
      </c>
      <c r="H47" s="89">
        <v>0</v>
      </c>
      <c r="I47" s="50" t="s">
        <v>31</v>
      </c>
      <c r="J47" s="50" t="s">
        <v>204</v>
      </c>
    </row>
    <row r="48" spans="1:10" x14ac:dyDescent="0.2">
      <c r="A48" s="92">
        <v>33</v>
      </c>
      <c r="B48" s="92">
        <v>33</v>
      </c>
      <c r="C48" s="92">
        <v>58</v>
      </c>
      <c r="D48" s="39" t="s">
        <v>41</v>
      </c>
      <c r="E48" s="50" t="s">
        <v>146</v>
      </c>
      <c r="F48" s="128">
        <v>1</v>
      </c>
      <c r="G48" s="89">
        <v>0</v>
      </c>
      <c r="H48" s="89">
        <v>0</v>
      </c>
      <c r="I48" s="50" t="s">
        <v>31</v>
      </c>
      <c r="J48" s="50" t="s">
        <v>204</v>
      </c>
    </row>
    <row r="49" spans="1:10" x14ac:dyDescent="0.2">
      <c r="A49" s="92">
        <v>34</v>
      </c>
      <c r="B49" s="92">
        <v>34</v>
      </c>
      <c r="C49" s="92">
        <v>59</v>
      </c>
      <c r="D49" s="39" t="s">
        <v>41</v>
      </c>
      <c r="E49" s="50" t="s">
        <v>146</v>
      </c>
      <c r="F49" s="128">
        <v>1</v>
      </c>
      <c r="G49" s="89">
        <v>0</v>
      </c>
      <c r="H49" s="89">
        <v>0</v>
      </c>
      <c r="I49" s="50" t="s">
        <v>31</v>
      </c>
      <c r="J49" s="50" t="s">
        <v>204</v>
      </c>
    </row>
    <row r="50" spans="1:10" x14ac:dyDescent="0.2">
      <c r="A50" s="92">
        <v>35</v>
      </c>
      <c r="B50" s="92">
        <v>35</v>
      </c>
      <c r="C50" s="92">
        <v>60</v>
      </c>
      <c r="D50" s="39" t="s">
        <v>41</v>
      </c>
      <c r="E50" s="50" t="s">
        <v>146</v>
      </c>
      <c r="F50" s="128">
        <v>1</v>
      </c>
      <c r="G50" s="89">
        <v>0</v>
      </c>
      <c r="H50" s="89">
        <v>0</v>
      </c>
      <c r="I50" s="50" t="s">
        <v>31</v>
      </c>
      <c r="J50" s="50" t="s">
        <v>204</v>
      </c>
    </row>
    <row r="51" spans="1:10" x14ac:dyDescent="0.2">
      <c r="A51" s="92">
        <v>36</v>
      </c>
      <c r="B51" s="92">
        <v>36</v>
      </c>
      <c r="C51" s="92">
        <v>61</v>
      </c>
      <c r="D51" s="39" t="s">
        <v>41</v>
      </c>
      <c r="E51" s="50" t="s">
        <v>146</v>
      </c>
      <c r="F51" s="128">
        <v>1</v>
      </c>
      <c r="G51" s="89">
        <v>0</v>
      </c>
      <c r="H51" s="89">
        <v>0</v>
      </c>
      <c r="I51" s="50" t="s">
        <v>31</v>
      </c>
      <c r="J51" s="50" t="s">
        <v>204</v>
      </c>
    </row>
    <row r="52" spans="1:10" x14ac:dyDescent="0.2">
      <c r="A52" s="92">
        <v>37</v>
      </c>
      <c r="B52" s="92">
        <v>37</v>
      </c>
      <c r="C52" s="92">
        <v>62</v>
      </c>
      <c r="D52" s="39" t="s">
        <v>41</v>
      </c>
      <c r="E52" s="50" t="s">
        <v>146</v>
      </c>
      <c r="F52" s="128">
        <v>1</v>
      </c>
      <c r="G52" s="89">
        <v>0</v>
      </c>
      <c r="H52" s="89">
        <v>0</v>
      </c>
      <c r="I52" s="50" t="s">
        <v>31</v>
      </c>
      <c r="J52" s="50" t="s">
        <v>204</v>
      </c>
    </row>
    <row r="53" spans="1:10" x14ac:dyDescent="0.2">
      <c r="A53" s="92">
        <v>38</v>
      </c>
      <c r="B53" s="92">
        <v>38</v>
      </c>
      <c r="C53" s="92">
        <v>63</v>
      </c>
      <c r="D53" s="39" t="s">
        <v>41</v>
      </c>
      <c r="E53" s="50" t="s">
        <v>146</v>
      </c>
      <c r="F53" s="128">
        <v>1</v>
      </c>
      <c r="G53" s="89">
        <v>0</v>
      </c>
      <c r="H53" s="89">
        <v>0</v>
      </c>
      <c r="I53" s="50" t="s">
        <v>31</v>
      </c>
      <c r="J53" s="50" t="s">
        <v>204</v>
      </c>
    </row>
    <row r="54" spans="1:10" x14ac:dyDescent="0.2">
      <c r="A54" s="92">
        <v>39</v>
      </c>
      <c r="B54" s="92">
        <v>39</v>
      </c>
      <c r="C54" s="92">
        <v>64</v>
      </c>
      <c r="D54" s="39" t="s">
        <v>41</v>
      </c>
      <c r="E54" s="50" t="s">
        <v>146</v>
      </c>
      <c r="F54" s="128">
        <v>1</v>
      </c>
      <c r="G54" s="89">
        <v>0</v>
      </c>
      <c r="H54" s="89">
        <v>0</v>
      </c>
      <c r="I54" s="50" t="s">
        <v>31</v>
      </c>
      <c r="J54" s="50" t="s">
        <v>204</v>
      </c>
    </row>
    <row r="55" spans="1:10" x14ac:dyDescent="0.2">
      <c r="A55" s="92">
        <v>40</v>
      </c>
      <c r="B55" s="92">
        <v>40</v>
      </c>
      <c r="C55" s="92">
        <v>65</v>
      </c>
      <c r="D55" s="39" t="s">
        <v>41</v>
      </c>
      <c r="E55" s="50" t="s">
        <v>146</v>
      </c>
      <c r="F55" s="128">
        <v>1</v>
      </c>
      <c r="G55" s="89">
        <v>0</v>
      </c>
      <c r="H55" s="89">
        <v>0</v>
      </c>
      <c r="I55" s="50" t="s">
        <v>31</v>
      </c>
      <c r="J55" s="50" t="s">
        <v>204</v>
      </c>
    </row>
    <row r="56" spans="1:10" x14ac:dyDescent="0.2">
      <c r="A56" s="92">
        <v>41</v>
      </c>
      <c r="B56" s="92">
        <v>41</v>
      </c>
      <c r="C56" s="92">
        <v>66</v>
      </c>
      <c r="D56" s="39" t="s">
        <v>41</v>
      </c>
      <c r="E56" s="50" t="s">
        <v>146</v>
      </c>
      <c r="F56" s="128">
        <v>1</v>
      </c>
      <c r="G56" s="89">
        <v>0</v>
      </c>
      <c r="H56" s="89">
        <v>0</v>
      </c>
      <c r="I56" s="50" t="s">
        <v>31</v>
      </c>
      <c r="J56" s="50" t="s">
        <v>204</v>
      </c>
    </row>
    <row r="57" spans="1:10" x14ac:dyDescent="0.2">
      <c r="A57" s="92">
        <v>42</v>
      </c>
      <c r="B57" s="92">
        <v>42</v>
      </c>
      <c r="C57" s="92">
        <v>67</v>
      </c>
      <c r="D57" s="39" t="s">
        <v>41</v>
      </c>
      <c r="E57" s="50" t="s">
        <v>146</v>
      </c>
      <c r="F57" s="128">
        <v>1</v>
      </c>
      <c r="G57" s="89">
        <v>0</v>
      </c>
      <c r="H57" s="89">
        <v>0</v>
      </c>
      <c r="I57" s="50" t="s">
        <v>31</v>
      </c>
      <c r="J57" s="50" t="s">
        <v>204</v>
      </c>
    </row>
    <row r="58" spans="1:10" x14ac:dyDescent="0.2">
      <c r="A58" s="92">
        <v>43</v>
      </c>
      <c r="B58" s="92">
        <v>43</v>
      </c>
      <c r="C58" s="92">
        <v>68</v>
      </c>
      <c r="D58" s="39" t="s">
        <v>41</v>
      </c>
      <c r="E58" s="50" t="s">
        <v>146</v>
      </c>
      <c r="F58" s="128">
        <v>1</v>
      </c>
      <c r="G58" s="89">
        <v>0</v>
      </c>
      <c r="H58" s="89">
        <v>0</v>
      </c>
      <c r="I58" s="50" t="s">
        <v>31</v>
      </c>
      <c r="J58" s="50" t="s">
        <v>204</v>
      </c>
    </row>
    <row r="59" spans="1:10" x14ac:dyDescent="0.2">
      <c r="A59" s="92">
        <v>44</v>
      </c>
      <c r="B59" s="92">
        <v>44</v>
      </c>
      <c r="C59" s="92">
        <v>69</v>
      </c>
      <c r="D59" s="39" t="s">
        <v>41</v>
      </c>
      <c r="E59" s="50" t="s">
        <v>146</v>
      </c>
      <c r="F59" s="128">
        <v>1</v>
      </c>
      <c r="G59" s="89">
        <v>0</v>
      </c>
      <c r="H59" s="89">
        <v>0</v>
      </c>
      <c r="I59" s="50" t="s">
        <v>31</v>
      </c>
      <c r="J59" s="50" t="s">
        <v>204</v>
      </c>
    </row>
    <row r="60" spans="1:10" x14ac:dyDescent="0.2">
      <c r="A60" s="92">
        <v>45</v>
      </c>
      <c r="B60" s="92">
        <v>45</v>
      </c>
      <c r="C60" s="92">
        <v>70</v>
      </c>
      <c r="D60" s="39" t="s">
        <v>41</v>
      </c>
      <c r="E60" s="50" t="s">
        <v>146</v>
      </c>
      <c r="F60" s="128">
        <v>1</v>
      </c>
      <c r="G60" s="89">
        <v>0</v>
      </c>
      <c r="H60" s="89">
        <v>0</v>
      </c>
      <c r="I60" s="50" t="s">
        <v>31</v>
      </c>
      <c r="J60" s="50" t="s">
        <v>204</v>
      </c>
    </row>
    <row r="61" spans="1:10" x14ac:dyDescent="0.2">
      <c r="A61" s="92">
        <v>46</v>
      </c>
      <c r="B61" s="92">
        <v>46</v>
      </c>
      <c r="C61" s="92">
        <v>71</v>
      </c>
      <c r="D61" s="39" t="s">
        <v>41</v>
      </c>
      <c r="E61" s="50" t="s">
        <v>146</v>
      </c>
      <c r="F61" s="128">
        <v>1</v>
      </c>
      <c r="G61" s="89">
        <v>0</v>
      </c>
      <c r="H61" s="89">
        <v>0</v>
      </c>
      <c r="I61" s="50" t="s">
        <v>31</v>
      </c>
      <c r="J61" s="50" t="s">
        <v>204</v>
      </c>
    </row>
    <row r="62" spans="1:10" x14ac:dyDescent="0.2">
      <c r="A62" s="92">
        <v>47</v>
      </c>
      <c r="B62" s="92">
        <v>47</v>
      </c>
      <c r="C62" s="92">
        <v>72</v>
      </c>
      <c r="D62" s="39" t="s">
        <v>41</v>
      </c>
      <c r="E62" s="50" t="s">
        <v>146</v>
      </c>
      <c r="F62" s="128">
        <v>1</v>
      </c>
      <c r="G62" s="89">
        <v>0</v>
      </c>
      <c r="H62" s="89">
        <v>0</v>
      </c>
      <c r="I62" s="50" t="s">
        <v>31</v>
      </c>
      <c r="J62" s="50" t="s">
        <v>204</v>
      </c>
    </row>
    <row r="63" spans="1:10" x14ac:dyDescent="0.2">
      <c r="A63" s="92">
        <v>48</v>
      </c>
      <c r="B63" s="92">
        <v>48</v>
      </c>
      <c r="C63" s="92">
        <v>73</v>
      </c>
      <c r="D63" s="39" t="s">
        <v>41</v>
      </c>
      <c r="E63" s="50" t="s">
        <v>146</v>
      </c>
      <c r="F63" s="128">
        <v>1</v>
      </c>
      <c r="G63" s="89">
        <v>0</v>
      </c>
      <c r="H63" s="89">
        <v>0</v>
      </c>
      <c r="I63" s="50" t="s">
        <v>31</v>
      </c>
      <c r="J63" s="50" t="s">
        <v>204</v>
      </c>
    </row>
    <row r="64" spans="1:10" x14ac:dyDescent="0.2">
      <c r="A64" s="92">
        <v>49</v>
      </c>
      <c r="B64" s="92">
        <v>49</v>
      </c>
      <c r="C64" s="92">
        <v>74</v>
      </c>
      <c r="D64" s="39" t="s">
        <v>41</v>
      </c>
      <c r="E64" s="50" t="s">
        <v>146</v>
      </c>
      <c r="F64" s="128">
        <v>1</v>
      </c>
      <c r="G64" s="89">
        <v>0</v>
      </c>
      <c r="H64" s="89">
        <v>0</v>
      </c>
      <c r="I64" s="50" t="s">
        <v>31</v>
      </c>
      <c r="J64" s="50" t="s">
        <v>204</v>
      </c>
    </row>
    <row r="65" spans="1:10" x14ac:dyDescent="0.2">
      <c r="A65" s="92">
        <v>50</v>
      </c>
      <c r="B65" s="92">
        <v>50</v>
      </c>
      <c r="C65" s="92">
        <v>75</v>
      </c>
      <c r="D65" s="39" t="s">
        <v>41</v>
      </c>
      <c r="E65" s="50" t="s">
        <v>146</v>
      </c>
      <c r="F65" s="128">
        <v>1</v>
      </c>
      <c r="G65" s="89">
        <v>0</v>
      </c>
      <c r="H65" s="89">
        <v>0</v>
      </c>
      <c r="I65" s="50" t="s">
        <v>31</v>
      </c>
      <c r="J65" s="50" t="s">
        <v>204</v>
      </c>
    </row>
    <row r="66" spans="1:10" x14ac:dyDescent="0.2">
      <c r="A66" s="92">
        <v>51</v>
      </c>
      <c r="B66" s="92">
        <v>51</v>
      </c>
      <c r="C66" s="92">
        <v>76</v>
      </c>
      <c r="D66" s="39" t="s">
        <v>41</v>
      </c>
      <c r="E66" s="50" t="s">
        <v>146</v>
      </c>
      <c r="F66" s="128">
        <v>1</v>
      </c>
      <c r="G66" s="89">
        <v>0</v>
      </c>
      <c r="H66" s="89">
        <v>0</v>
      </c>
      <c r="I66" s="50" t="s">
        <v>31</v>
      </c>
      <c r="J66" s="50" t="s">
        <v>204</v>
      </c>
    </row>
    <row r="67" spans="1:10" x14ac:dyDescent="0.2">
      <c r="A67" s="92">
        <v>52</v>
      </c>
      <c r="B67" s="92">
        <v>52</v>
      </c>
      <c r="C67" s="92">
        <v>77</v>
      </c>
      <c r="D67" s="39" t="s">
        <v>41</v>
      </c>
      <c r="E67" s="50" t="s">
        <v>146</v>
      </c>
      <c r="F67" s="128">
        <v>1</v>
      </c>
      <c r="G67" s="89">
        <v>0</v>
      </c>
      <c r="H67" s="89">
        <v>0</v>
      </c>
      <c r="I67" s="50" t="s">
        <v>31</v>
      </c>
      <c r="J67" s="50" t="s">
        <v>204</v>
      </c>
    </row>
    <row r="68" spans="1:10" x14ac:dyDescent="0.2">
      <c r="A68" s="92">
        <v>53</v>
      </c>
      <c r="B68" s="92">
        <v>53</v>
      </c>
      <c r="C68" s="92">
        <v>78</v>
      </c>
      <c r="D68" s="39" t="s">
        <v>41</v>
      </c>
      <c r="E68" s="50" t="s">
        <v>146</v>
      </c>
      <c r="F68" s="128">
        <v>1</v>
      </c>
      <c r="G68" s="89">
        <v>0</v>
      </c>
      <c r="H68" s="89">
        <v>0</v>
      </c>
      <c r="I68" s="50" t="s">
        <v>31</v>
      </c>
      <c r="J68" s="50" t="s">
        <v>204</v>
      </c>
    </row>
    <row r="69" spans="1:10" x14ac:dyDescent="0.2">
      <c r="A69" s="92">
        <v>54</v>
      </c>
      <c r="B69" s="92">
        <v>54</v>
      </c>
      <c r="C69" s="92">
        <v>79</v>
      </c>
      <c r="D69" s="39" t="s">
        <v>41</v>
      </c>
      <c r="E69" s="50" t="s">
        <v>146</v>
      </c>
      <c r="F69" s="128">
        <v>1</v>
      </c>
      <c r="G69" s="89">
        <v>0</v>
      </c>
      <c r="H69" s="89">
        <v>0</v>
      </c>
      <c r="I69" s="50" t="s">
        <v>31</v>
      </c>
      <c r="J69" s="50" t="s">
        <v>204</v>
      </c>
    </row>
    <row r="70" spans="1:10" x14ac:dyDescent="0.2">
      <c r="A70" s="92">
        <v>55</v>
      </c>
      <c r="B70" s="92">
        <v>55</v>
      </c>
      <c r="C70" s="92">
        <v>80</v>
      </c>
      <c r="D70" s="39" t="s">
        <v>41</v>
      </c>
      <c r="E70" s="50" t="s">
        <v>146</v>
      </c>
      <c r="F70" s="128">
        <v>1</v>
      </c>
      <c r="G70" s="89">
        <v>0</v>
      </c>
      <c r="H70" s="89">
        <v>0</v>
      </c>
      <c r="I70" s="50" t="s">
        <v>31</v>
      </c>
      <c r="J70" s="50" t="s">
        <v>204</v>
      </c>
    </row>
    <row r="71" spans="1:10" x14ac:dyDescent="0.2">
      <c r="A71" s="92">
        <v>56</v>
      </c>
      <c r="B71" s="92">
        <v>56</v>
      </c>
      <c r="C71" s="92">
        <v>81</v>
      </c>
      <c r="D71" s="39" t="s">
        <v>41</v>
      </c>
      <c r="E71" s="50" t="s">
        <v>146</v>
      </c>
      <c r="F71" s="128">
        <v>1</v>
      </c>
      <c r="G71" s="89">
        <v>0</v>
      </c>
      <c r="H71" s="89">
        <v>0</v>
      </c>
      <c r="I71" s="50" t="s">
        <v>31</v>
      </c>
      <c r="J71" s="50" t="s">
        <v>204</v>
      </c>
    </row>
    <row r="72" spans="1:10" x14ac:dyDescent="0.2">
      <c r="A72" s="92">
        <v>57</v>
      </c>
      <c r="B72" s="92">
        <v>57</v>
      </c>
      <c r="C72" s="92">
        <v>82</v>
      </c>
      <c r="D72" s="39" t="s">
        <v>41</v>
      </c>
      <c r="E72" s="50" t="s">
        <v>146</v>
      </c>
      <c r="F72" s="128">
        <v>1</v>
      </c>
      <c r="G72" s="89">
        <v>0</v>
      </c>
      <c r="H72" s="89">
        <v>0</v>
      </c>
      <c r="I72" s="50" t="s">
        <v>31</v>
      </c>
      <c r="J72" s="50" t="s">
        <v>204</v>
      </c>
    </row>
    <row r="73" spans="1:10" x14ac:dyDescent="0.2">
      <c r="A73" s="92">
        <v>58</v>
      </c>
      <c r="B73" s="92">
        <v>58</v>
      </c>
      <c r="C73" s="92">
        <v>83</v>
      </c>
      <c r="D73" s="39" t="s">
        <v>41</v>
      </c>
      <c r="E73" s="50" t="s">
        <v>146</v>
      </c>
      <c r="F73" s="128">
        <v>1</v>
      </c>
      <c r="G73" s="89">
        <v>0</v>
      </c>
      <c r="H73" s="89">
        <v>0</v>
      </c>
      <c r="I73" s="50" t="s">
        <v>31</v>
      </c>
      <c r="J73" s="50" t="s">
        <v>204</v>
      </c>
    </row>
    <row r="74" spans="1:10" x14ac:dyDescent="0.2">
      <c r="A74" s="92">
        <v>59</v>
      </c>
      <c r="B74" s="92">
        <v>59</v>
      </c>
      <c r="C74" s="92">
        <v>84</v>
      </c>
      <c r="D74" s="39" t="s">
        <v>41</v>
      </c>
      <c r="E74" s="50" t="s">
        <v>146</v>
      </c>
      <c r="F74" s="128">
        <v>1</v>
      </c>
      <c r="G74" s="89">
        <v>0</v>
      </c>
      <c r="H74" s="89">
        <v>0</v>
      </c>
      <c r="I74" s="50" t="s">
        <v>31</v>
      </c>
      <c r="J74" s="50" t="s">
        <v>204</v>
      </c>
    </row>
    <row r="75" spans="1:10" x14ac:dyDescent="0.2">
      <c r="A75" s="92">
        <v>60</v>
      </c>
      <c r="B75" s="92">
        <v>60</v>
      </c>
      <c r="C75" s="92">
        <v>85</v>
      </c>
      <c r="D75" s="39" t="s">
        <v>41</v>
      </c>
      <c r="E75" s="50" t="s">
        <v>146</v>
      </c>
      <c r="F75" s="128">
        <v>1</v>
      </c>
      <c r="G75" s="89">
        <v>0</v>
      </c>
      <c r="H75" s="89">
        <v>0</v>
      </c>
      <c r="I75" s="50" t="s">
        <v>31</v>
      </c>
      <c r="J75" s="50" t="s">
        <v>204</v>
      </c>
    </row>
    <row r="76" spans="1:10" x14ac:dyDescent="0.2">
      <c r="A76" s="92">
        <v>61</v>
      </c>
      <c r="B76" s="92">
        <v>61</v>
      </c>
      <c r="C76" s="92">
        <v>86</v>
      </c>
      <c r="D76" s="39" t="s">
        <v>41</v>
      </c>
      <c r="E76" s="50" t="s">
        <v>146</v>
      </c>
      <c r="F76" s="128">
        <v>1</v>
      </c>
      <c r="G76" s="89">
        <v>0</v>
      </c>
      <c r="H76" s="89">
        <v>0</v>
      </c>
      <c r="I76" s="50" t="s">
        <v>31</v>
      </c>
      <c r="J76" s="50" t="s">
        <v>204</v>
      </c>
    </row>
    <row r="77" spans="1:10" x14ac:dyDescent="0.2">
      <c r="A77" s="92">
        <v>62</v>
      </c>
      <c r="B77" s="92">
        <v>62</v>
      </c>
      <c r="C77" s="92">
        <v>87</v>
      </c>
      <c r="D77" s="39" t="s">
        <v>41</v>
      </c>
      <c r="E77" s="50" t="s">
        <v>146</v>
      </c>
      <c r="F77" s="128">
        <v>1</v>
      </c>
      <c r="G77" s="89">
        <v>0</v>
      </c>
      <c r="H77" s="89">
        <v>0</v>
      </c>
      <c r="I77" s="50" t="s">
        <v>31</v>
      </c>
      <c r="J77" s="50" t="s">
        <v>204</v>
      </c>
    </row>
    <row r="78" spans="1:10" x14ac:dyDescent="0.2">
      <c r="A78" s="92">
        <v>63</v>
      </c>
      <c r="B78" s="92">
        <v>63</v>
      </c>
      <c r="C78" s="92">
        <v>88</v>
      </c>
      <c r="D78" s="39" t="s">
        <v>41</v>
      </c>
      <c r="E78" s="50" t="s">
        <v>146</v>
      </c>
      <c r="F78" s="128">
        <v>1</v>
      </c>
      <c r="G78" s="89">
        <v>0</v>
      </c>
      <c r="H78" s="89">
        <v>0</v>
      </c>
      <c r="I78" s="50" t="s">
        <v>31</v>
      </c>
      <c r="J78" s="50" t="s">
        <v>204</v>
      </c>
    </row>
    <row r="79" spans="1:10" x14ac:dyDescent="0.2">
      <c r="A79" s="92">
        <v>64</v>
      </c>
      <c r="B79" s="92">
        <v>64</v>
      </c>
      <c r="C79" s="92">
        <v>89</v>
      </c>
      <c r="D79" s="39" t="s">
        <v>41</v>
      </c>
      <c r="E79" s="50" t="s">
        <v>146</v>
      </c>
      <c r="F79" s="128">
        <v>1</v>
      </c>
      <c r="G79" s="89">
        <v>0</v>
      </c>
      <c r="H79" s="89">
        <v>0</v>
      </c>
      <c r="I79" s="50" t="s">
        <v>31</v>
      </c>
      <c r="J79" s="50" t="s">
        <v>204</v>
      </c>
    </row>
    <row r="80" spans="1:10" x14ac:dyDescent="0.2">
      <c r="A80" s="92">
        <v>65</v>
      </c>
      <c r="B80" s="92">
        <v>65</v>
      </c>
      <c r="C80" s="92">
        <v>90</v>
      </c>
      <c r="D80" s="39" t="s">
        <v>41</v>
      </c>
      <c r="E80" s="50" t="s">
        <v>146</v>
      </c>
      <c r="F80" s="128">
        <v>1</v>
      </c>
      <c r="G80" s="89">
        <v>0</v>
      </c>
      <c r="H80" s="89">
        <v>0</v>
      </c>
      <c r="I80" s="50" t="s">
        <v>31</v>
      </c>
      <c r="J80" s="50" t="s">
        <v>204</v>
      </c>
    </row>
    <row r="81" spans="1:10" x14ac:dyDescent="0.2">
      <c r="A81" s="92">
        <v>66</v>
      </c>
      <c r="B81" s="92">
        <v>66</v>
      </c>
      <c r="C81" s="92">
        <v>91</v>
      </c>
      <c r="D81" s="39" t="s">
        <v>41</v>
      </c>
      <c r="E81" s="50" t="s">
        <v>146</v>
      </c>
      <c r="F81" s="128">
        <v>1</v>
      </c>
      <c r="G81" s="89">
        <v>0</v>
      </c>
      <c r="H81" s="89">
        <v>0</v>
      </c>
      <c r="I81" s="50" t="s">
        <v>31</v>
      </c>
      <c r="J81" s="50" t="s">
        <v>204</v>
      </c>
    </row>
    <row r="82" spans="1:10" x14ac:dyDescent="0.2">
      <c r="A82" s="92">
        <v>67</v>
      </c>
      <c r="B82" s="92">
        <v>67</v>
      </c>
      <c r="C82" s="92">
        <v>92</v>
      </c>
      <c r="D82" s="39" t="s">
        <v>41</v>
      </c>
      <c r="E82" s="50" t="s">
        <v>146</v>
      </c>
      <c r="F82" s="128">
        <v>1</v>
      </c>
      <c r="G82" s="89">
        <v>0</v>
      </c>
      <c r="H82" s="89">
        <v>0</v>
      </c>
      <c r="I82" s="50" t="s">
        <v>31</v>
      </c>
      <c r="J82" s="50" t="s">
        <v>204</v>
      </c>
    </row>
    <row r="83" spans="1:10" x14ac:dyDescent="0.2">
      <c r="A83" s="92">
        <v>68</v>
      </c>
      <c r="B83" s="92">
        <v>68</v>
      </c>
      <c r="C83" s="92">
        <v>93</v>
      </c>
      <c r="D83" s="39" t="s">
        <v>41</v>
      </c>
      <c r="E83" s="50" t="s">
        <v>146</v>
      </c>
      <c r="F83" s="128">
        <v>1</v>
      </c>
      <c r="G83" s="89">
        <v>0</v>
      </c>
      <c r="H83" s="89">
        <v>0</v>
      </c>
      <c r="I83" s="50" t="s">
        <v>31</v>
      </c>
      <c r="J83" s="50" t="s">
        <v>204</v>
      </c>
    </row>
    <row r="84" spans="1:10" x14ac:dyDescent="0.2">
      <c r="A84" s="92">
        <v>69</v>
      </c>
      <c r="B84" s="92">
        <v>69</v>
      </c>
      <c r="C84" s="92">
        <v>94</v>
      </c>
      <c r="D84" s="39" t="s">
        <v>41</v>
      </c>
      <c r="E84" s="50" t="s">
        <v>146</v>
      </c>
      <c r="F84" s="128">
        <v>1</v>
      </c>
      <c r="G84" s="89">
        <v>0</v>
      </c>
      <c r="H84" s="89">
        <v>0</v>
      </c>
      <c r="I84" s="50" t="s">
        <v>31</v>
      </c>
      <c r="J84" s="50" t="s">
        <v>204</v>
      </c>
    </row>
    <row r="85" spans="1:10" x14ac:dyDescent="0.2">
      <c r="A85" s="92">
        <v>70</v>
      </c>
      <c r="B85" s="92">
        <v>70</v>
      </c>
      <c r="C85" s="92">
        <v>95</v>
      </c>
      <c r="D85" s="39" t="s">
        <v>41</v>
      </c>
      <c r="E85" s="50" t="s">
        <v>146</v>
      </c>
      <c r="F85" s="128">
        <v>1</v>
      </c>
      <c r="G85" s="89">
        <v>0</v>
      </c>
      <c r="H85" s="89">
        <v>0</v>
      </c>
      <c r="I85" s="50" t="s">
        <v>31</v>
      </c>
      <c r="J85" s="50" t="s">
        <v>204</v>
      </c>
    </row>
    <row r="86" spans="1:10" x14ac:dyDescent="0.2">
      <c r="A86" s="92">
        <v>71</v>
      </c>
      <c r="B86" s="92">
        <v>71</v>
      </c>
      <c r="C86" s="92">
        <v>96</v>
      </c>
      <c r="D86" s="39" t="s">
        <v>41</v>
      </c>
      <c r="E86" s="50" t="s">
        <v>146</v>
      </c>
      <c r="F86" s="128">
        <v>1</v>
      </c>
      <c r="G86" s="89">
        <v>0</v>
      </c>
      <c r="H86" s="89">
        <v>0</v>
      </c>
      <c r="I86" s="50" t="s">
        <v>31</v>
      </c>
      <c r="J86" s="50" t="s">
        <v>204</v>
      </c>
    </row>
    <row r="87" spans="1:10" x14ac:dyDescent="0.2">
      <c r="A87" s="92">
        <v>72</v>
      </c>
      <c r="B87" s="92">
        <v>72</v>
      </c>
      <c r="C87" s="92">
        <v>97</v>
      </c>
      <c r="D87" s="39" t="s">
        <v>41</v>
      </c>
      <c r="E87" s="50" t="s">
        <v>146</v>
      </c>
      <c r="F87" s="128">
        <v>1</v>
      </c>
      <c r="G87" s="89">
        <v>0</v>
      </c>
      <c r="H87" s="89">
        <v>0</v>
      </c>
      <c r="I87" s="50" t="s">
        <v>31</v>
      </c>
      <c r="J87" s="50" t="s">
        <v>204</v>
      </c>
    </row>
    <row r="88" spans="1:10" x14ac:dyDescent="0.2">
      <c r="A88" s="92">
        <v>73</v>
      </c>
      <c r="B88" s="92">
        <v>73</v>
      </c>
      <c r="C88" s="92">
        <v>98</v>
      </c>
      <c r="D88" s="39" t="s">
        <v>41</v>
      </c>
      <c r="E88" s="50" t="s">
        <v>146</v>
      </c>
      <c r="F88" s="128">
        <v>1</v>
      </c>
      <c r="G88" s="89">
        <v>0</v>
      </c>
      <c r="H88" s="89">
        <v>0</v>
      </c>
      <c r="I88" s="50" t="s">
        <v>31</v>
      </c>
      <c r="J88" s="50" t="s">
        <v>204</v>
      </c>
    </row>
    <row r="89" spans="1:10" x14ac:dyDescent="0.2">
      <c r="A89" s="92">
        <v>74</v>
      </c>
      <c r="B89" s="92">
        <v>74</v>
      </c>
      <c r="C89" s="92">
        <v>99</v>
      </c>
      <c r="D89" s="39" t="s">
        <v>41</v>
      </c>
      <c r="E89" s="50" t="s">
        <v>146</v>
      </c>
      <c r="F89" s="128">
        <v>1</v>
      </c>
      <c r="G89" s="89">
        <v>0</v>
      </c>
      <c r="H89" s="89">
        <v>0</v>
      </c>
      <c r="I89" s="50" t="s">
        <v>31</v>
      </c>
      <c r="J89" s="50" t="s">
        <v>204</v>
      </c>
    </row>
    <row r="90" spans="1:10" x14ac:dyDescent="0.2">
      <c r="A90" s="92">
        <v>75</v>
      </c>
      <c r="B90" s="92">
        <v>75</v>
      </c>
      <c r="C90" s="92">
        <v>100</v>
      </c>
      <c r="D90" s="39" t="s">
        <v>41</v>
      </c>
      <c r="E90" s="50" t="s">
        <v>146</v>
      </c>
      <c r="F90" s="128">
        <v>1</v>
      </c>
      <c r="G90" s="89">
        <v>0</v>
      </c>
      <c r="H90" s="89">
        <v>0</v>
      </c>
      <c r="I90" s="50" t="s">
        <v>31</v>
      </c>
      <c r="J90" s="50" t="s">
        <v>204</v>
      </c>
    </row>
    <row r="91" spans="1:10" x14ac:dyDescent="0.2">
      <c r="A91" s="92">
        <v>76</v>
      </c>
      <c r="B91" s="92">
        <v>76</v>
      </c>
      <c r="C91" s="92">
        <v>101</v>
      </c>
      <c r="D91" s="39" t="s">
        <v>41</v>
      </c>
      <c r="E91" s="50" t="s">
        <v>146</v>
      </c>
      <c r="F91" s="128">
        <v>1</v>
      </c>
      <c r="G91" s="89">
        <v>0</v>
      </c>
      <c r="H91" s="89">
        <v>0</v>
      </c>
      <c r="I91" s="50" t="s">
        <v>31</v>
      </c>
      <c r="J91" s="50" t="s">
        <v>204</v>
      </c>
    </row>
    <row r="92" spans="1:10" x14ac:dyDescent="0.2">
      <c r="A92" s="92">
        <v>77</v>
      </c>
      <c r="B92" s="92">
        <v>77</v>
      </c>
      <c r="C92" s="92">
        <v>102</v>
      </c>
      <c r="D92" s="39" t="s">
        <v>41</v>
      </c>
      <c r="E92" s="50" t="s">
        <v>146</v>
      </c>
      <c r="F92" s="128">
        <v>1</v>
      </c>
      <c r="G92" s="89">
        <v>0</v>
      </c>
      <c r="H92" s="89">
        <v>0</v>
      </c>
      <c r="I92" s="50" t="s">
        <v>31</v>
      </c>
      <c r="J92" s="50" t="s">
        <v>204</v>
      </c>
    </row>
    <row r="93" spans="1:10" x14ac:dyDescent="0.2">
      <c r="A93" s="92">
        <v>78</v>
      </c>
      <c r="B93" s="92">
        <v>78</v>
      </c>
      <c r="C93" s="92">
        <v>103</v>
      </c>
      <c r="D93" s="39" t="s">
        <v>41</v>
      </c>
      <c r="E93" s="50" t="s">
        <v>146</v>
      </c>
      <c r="F93" s="128">
        <v>1</v>
      </c>
      <c r="G93" s="89">
        <v>0</v>
      </c>
      <c r="H93" s="89">
        <v>0</v>
      </c>
      <c r="I93" s="50" t="s">
        <v>31</v>
      </c>
      <c r="J93" s="50" t="s">
        <v>204</v>
      </c>
    </row>
    <row r="94" spans="1:10" x14ac:dyDescent="0.2">
      <c r="A94" s="92">
        <v>79</v>
      </c>
      <c r="B94" s="92">
        <v>79</v>
      </c>
      <c r="C94" s="92">
        <v>104</v>
      </c>
      <c r="D94" s="39" t="s">
        <v>41</v>
      </c>
      <c r="E94" s="50" t="s">
        <v>146</v>
      </c>
      <c r="F94" s="128">
        <v>1</v>
      </c>
      <c r="G94" s="89">
        <v>0</v>
      </c>
      <c r="H94" s="89">
        <v>0</v>
      </c>
      <c r="I94" s="50" t="s">
        <v>31</v>
      </c>
      <c r="J94" s="50" t="s">
        <v>204</v>
      </c>
    </row>
    <row r="95" spans="1:10" x14ac:dyDescent="0.2">
      <c r="A95" s="92">
        <v>80</v>
      </c>
      <c r="B95" s="92">
        <v>80</v>
      </c>
      <c r="C95" s="92">
        <v>105</v>
      </c>
      <c r="D95" s="39" t="s">
        <v>41</v>
      </c>
      <c r="E95" s="50" t="s">
        <v>146</v>
      </c>
      <c r="F95" s="128">
        <v>1</v>
      </c>
      <c r="G95" s="89">
        <v>0</v>
      </c>
      <c r="H95" s="89">
        <v>0</v>
      </c>
      <c r="I95" s="50" t="s">
        <v>31</v>
      </c>
      <c r="J95" s="50" t="s">
        <v>204</v>
      </c>
    </row>
    <row r="96" spans="1:10" x14ac:dyDescent="0.2">
      <c r="A96" s="92">
        <v>81</v>
      </c>
      <c r="B96" s="92">
        <v>81</v>
      </c>
      <c r="C96" s="92">
        <v>106</v>
      </c>
      <c r="D96" s="39" t="s">
        <v>41</v>
      </c>
      <c r="E96" s="50" t="s">
        <v>146</v>
      </c>
      <c r="F96" s="128">
        <v>1</v>
      </c>
      <c r="G96" s="89">
        <v>0</v>
      </c>
      <c r="H96" s="89">
        <v>0</v>
      </c>
      <c r="I96" s="50" t="s">
        <v>31</v>
      </c>
      <c r="J96" s="50" t="s">
        <v>204</v>
      </c>
    </row>
    <row r="97" spans="1:10" x14ac:dyDescent="0.2">
      <c r="A97" s="92">
        <v>82</v>
      </c>
      <c r="B97" s="92">
        <v>82</v>
      </c>
      <c r="C97" s="92">
        <v>107</v>
      </c>
      <c r="D97" s="39" t="s">
        <v>41</v>
      </c>
      <c r="E97" s="50" t="s">
        <v>146</v>
      </c>
      <c r="F97" s="128">
        <v>1</v>
      </c>
      <c r="G97" s="89">
        <v>0</v>
      </c>
      <c r="H97" s="89">
        <v>0</v>
      </c>
      <c r="I97" s="50" t="s">
        <v>31</v>
      </c>
      <c r="J97" s="50" t="s">
        <v>204</v>
      </c>
    </row>
    <row r="98" spans="1:10" x14ac:dyDescent="0.2">
      <c r="A98" s="92">
        <v>83</v>
      </c>
      <c r="B98" s="92">
        <v>83</v>
      </c>
      <c r="C98" s="92">
        <v>108</v>
      </c>
      <c r="D98" s="39" t="s">
        <v>41</v>
      </c>
      <c r="E98" s="50" t="s">
        <v>146</v>
      </c>
      <c r="F98" s="128">
        <v>1</v>
      </c>
      <c r="G98" s="89">
        <v>0</v>
      </c>
      <c r="H98" s="89">
        <v>0</v>
      </c>
      <c r="I98" s="50" t="s">
        <v>31</v>
      </c>
      <c r="J98" s="50" t="s">
        <v>204</v>
      </c>
    </row>
    <row r="99" spans="1:10" x14ac:dyDescent="0.2">
      <c r="A99" s="92">
        <v>84</v>
      </c>
      <c r="B99" s="92">
        <v>84</v>
      </c>
      <c r="C99" s="92">
        <v>109</v>
      </c>
      <c r="D99" s="39" t="s">
        <v>41</v>
      </c>
      <c r="E99" s="50" t="s">
        <v>146</v>
      </c>
      <c r="F99" s="128">
        <v>1</v>
      </c>
      <c r="G99" s="89">
        <v>0</v>
      </c>
      <c r="H99" s="89">
        <v>0</v>
      </c>
      <c r="I99" s="50" t="s">
        <v>31</v>
      </c>
      <c r="J99" s="50" t="s">
        <v>204</v>
      </c>
    </row>
    <row r="100" spans="1:10" x14ac:dyDescent="0.2">
      <c r="A100" s="92">
        <v>85</v>
      </c>
      <c r="B100" s="92">
        <v>85</v>
      </c>
      <c r="C100" s="92">
        <v>110</v>
      </c>
      <c r="D100" s="39" t="s">
        <v>41</v>
      </c>
      <c r="E100" s="50" t="s">
        <v>146</v>
      </c>
      <c r="F100" s="128">
        <v>1</v>
      </c>
      <c r="G100" s="89">
        <v>0</v>
      </c>
      <c r="H100" s="89">
        <v>0</v>
      </c>
      <c r="I100" s="50" t="s">
        <v>31</v>
      </c>
      <c r="J100" s="50" t="s">
        <v>204</v>
      </c>
    </row>
    <row r="101" spans="1:10" x14ac:dyDescent="0.2">
      <c r="A101" s="92">
        <v>86</v>
      </c>
      <c r="B101" s="92">
        <v>86</v>
      </c>
      <c r="C101" s="92">
        <v>111</v>
      </c>
      <c r="D101" s="39" t="s">
        <v>41</v>
      </c>
      <c r="E101" s="50" t="s">
        <v>146</v>
      </c>
      <c r="F101" s="128">
        <v>1</v>
      </c>
      <c r="G101" s="89">
        <v>0</v>
      </c>
      <c r="H101" s="89">
        <v>0</v>
      </c>
      <c r="I101" s="50" t="s">
        <v>31</v>
      </c>
      <c r="J101" s="50" t="s">
        <v>204</v>
      </c>
    </row>
    <row r="102" spans="1:10" x14ac:dyDescent="0.2">
      <c r="A102" s="92">
        <v>87</v>
      </c>
      <c r="B102" s="92">
        <v>87</v>
      </c>
      <c r="C102" s="92">
        <v>112</v>
      </c>
      <c r="D102" s="39" t="s">
        <v>41</v>
      </c>
      <c r="E102" s="50" t="s">
        <v>146</v>
      </c>
      <c r="F102" s="128">
        <v>1</v>
      </c>
      <c r="G102" s="89">
        <v>0</v>
      </c>
      <c r="H102" s="89">
        <v>0</v>
      </c>
      <c r="I102" s="50" t="s">
        <v>31</v>
      </c>
      <c r="J102" s="50" t="s">
        <v>204</v>
      </c>
    </row>
    <row r="103" spans="1:10" x14ac:dyDescent="0.2">
      <c r="A103" s="92">
        <v>88</v>
      </c>
      <c r="B103" s="92">
        <v>88</v>
      </c>
      <c r="C103" s="92">
        <v>113</v>
      </c>
      <c r="D103" s="39" t="s">
        <v>41</v>
      </c>
      <c r="E103" s="50" t="s">
        <v>146</v>
      </c>
      <c r="F103" s="128">
        <v>1</v>
      </c>
      <c r="G103" s="89">
        <v>0</v>
      </c>
      <c r="H103" s="89">
        <v>0</v>
      </c>
      <c r="I103" s="50" t="s">
        <v>31</v>
      </c>
      <c r="J103" s="50" t="s">
        <v>204</v>
      </c>
    </row>
    <row r="104" spans="1:10" x14ac:dyDescent="0.2">
      <c r="A104" s="92">
        <v>89</v>
      </c>
      <c r="B104" s="92">
        <v>89</v>
      </c>
      <c r="C104" s="92">
        <v>114</v>
      </c>
      <c r="D104" s="39" t="s">
        <v>41</v>
      </c>
      <c r="E104" s="50" t="s">
        <v>146</v>
      </c>
      <c r="F104" s="128">
        <v>1</v>
      </c>
      <c r="G104" s="89">
        <v>0</v>
      </c>
      <c r="H104" s="89">
        <v>0</v>
      </c>
      <c r="I104" s="50" t="s">
        <v>31</v>
      </c>
      <c r="J104" s="50" t="s">
        <v>204</v>
      </c>
    </row>
    <row r="105" spans="1:10" x14ac:dyDescent="0.2">
      <c r="A105" s="92">
        <v>90</v>
      </c>
      <c r="B105" s="92">
        <v>90</v>
      </c>
      <c r="C105" s="92">
        <v>115</v>
      </c>
      <c r="D105" s="39" t="s">
        <v>41</v>
      </c>
      <c r="E105" s="50" t="s">
        <v>146</v>
      </c>
      <c r="F105" s="128">
        <v>1</v>
      </c>
      <c r="G105" s="89">
        <v>0</v>
      </c>
      <c r="H105" s="89">
        <v>0</v>
      </c>
      <c r="I105" s="50" t="s">
        <v>31</v>
      </c>
      <c r="J105" s="50" t="s">
        <v>204</v>
      </c>
    </row>
    <row r="106" spans="1:10" x14ac:dyDescent="0.2">
      <c r="A106" s="92">
        <v>91</v>
      </c>
      <c r="B106" s="92">
        <v>91</v>
      </c>
      <c r="C106" s="92">
        <v>116</v>
      </c>
      <c r="D106" s="39" t="s">
        <v>41</v>
      </c>
      <c r="E106" s="50" t="s">
        <v>146</v>
      </c>
      <c r="F106" s="128">
        <v>1</v>
      </c>
      <c r="G106" s="89">
        <v>0</v>
      </c>
      <c r="H106" s="89">
        <v>0</v>
      </c>
      <c r="I106" s="50" t="s">
        <v>31</v>
      </c>
      <c r="J106" s="50" t="s">
        <v>204</v>
      </c>
    </row>
    <row r="107" spans="1:10" x14ac:dyDescent="0.2">
      <c r="A107" s="92">
        <v>92</v>
      </c>
      <c r="B107" s="92">
        <v>92</v>
      </c>
      <c r="C107" s="92">
        <v>117</v>
      </c>
      <c r="D107" s="39" t="s">
        <v>41</v>
      </c>
      <c r="E107" s="50" t="s">
        <v>146</v>
      </c>
      <c r="F107" s="128">
        <v>1</v>
      </c>
      <c r="G107" s="89">
        <v>0</v>
      </c>
      <c r="H107" s="89">
        <v>0</v>
      </c>
      <c r="I107" s="50" t="s">
        <v>31</v>
      </c>
      <c r="J107" s="50" t="s">
        <v>204</v>
      </c>
    </row>
    <row r="108" spans="1:10" x14ac:dyDescent="0.2">
      <c r="A108" s="92">
        <v>93</v>
      </c>
      <c r="B108" s="92">
        <v>93</v>
      </c>
      <c r="C108" s="92">
        <v>118</v>
      </c>
      <c r="D108" s="39" t="s">
        <v>41</v>
      </c>
      <c r="E108" s="50" t="s">
        <v>146</v>
      </c>
      <c r="F108" s="128">
        <v>1</v>
      </c>
      <c r="G108" s="89">
        <v>0</v>
      </c>
      <c r="H108" s="89">
        <v>0</v>
      </c>
      <c r="I108" s="50" t="s">
        <v>31</v>
      </c>
      <c r="J108" s="50" t="s">
        <v>204</v>
      </c>
    </row>
    <row r="109" spans="1:10" x14ac:dyDescent="0.2">
      <c r="A109" s="92">
        <v>94</v>
      </c>
      <c r="B109" s="92">
        <v>94</v>
      </c>
      <c r="C109" s="92">
        <v>119</v>
      </c>
      <c r="D109" s="39" t="s">
        <v>41</v>
      </c>
      <c r="E109" s="50" t="s">
        <v>146</v>
      </c>
      <c r="F109" s="128">
        <v>1</v>
      </c>
      <c r="G109" s="89">
        <v>0</v>
      </c>
      <c r="H109" s="89">
        <v>0</v>
      </c>
      <c r="I109" s="50" t="s">
        <v>31</v>
      </c>
      <c r="J109" s="50" t="s">
        <v>204</v>
      </c>
    </row>
    <row r="110" spans="1:10" x14ac:dyDescent="0.2">
      <c r="A110" s="92">
        <v>95</v>
      </c>
      <c r="B110" s="92">
        <v>95</v>
      </c>
      <c r="C110" s="92">
        <v>120</v>
      </c>
      <c r="D110" s="39" t="s">
        <v>41</v>
      </c>
      <c r="E110" s="50" t="s">
        <v>146</v>
      </c>
      <c r="F110" s="128">
        <v>1</v>
      </c>
      <c r="G110" s="89">
        <v>0</v>
      </c>
      <c r="H110" s="89">
        <v>0</v>
      </c>
      <c r="I110" s="50" t="s">
        <v>31</v>
      </c>
      <c r="J110" s="50" t="s">
        <v>204</v>
      </c>
    </row>
    <row r="111" spans="1:10" x14ac:dyDescent="0.2">
      <c r="A111" s="92">
        <v>96</v>
      </c>
      <c r="B111" s="92">
        <v>96</v>
      </c>
      <c r="C111" s="92">
        <v>121</v>
      </c>
      <c r="D111" s="39" t="s">
        <v>41</v>
      </c>
      <c r="E111" s="50" t="s">
        <v>146</v>
      </c>
      <c r="F111" s="128">
        <v>1</v>
      </c>
      <c r="G111" s="89">
        <v>0</v>
      </c>
      <c r="H111" s="89">
        <v>0</v>
      </c>
      <c r="I111" s="50" t="s">
        <v>31</v>
      </c>
      <c r="J111" s="50" t="s">
        <v>204</v>
      </c>
    </row>
    <row r="112" spans="1:10" x14ac:dyDescent="0.2">
      <c r="A112" s="92">
        <v>97</v>
      </c>
      <c r="B112" s="92">
        <v>97</v>
      </c>
      <c r="C112" s="92">
        <v>122</v>
      </c>
      <c r="D112" s="39" t="s">
        <v>41</v>
      </c>
      <c r="E112" s="50" t="s">
        <v>146</v>
      </c>
      <c r="F112" s="128">
        <v>1</v>
      </c>
      <c r="G112" s="89">
        <v>0</v>
      </c>
      <c r="H112" s="89">
        <v>0</v>
      </c>
      <c r="I112" s="50" t="s">
        <v>31</v>
      </c>
      <c r="J112" s="50" t="s">
        <v>204</v>
      </c>
    </row>
    <row r="113" spans="1:10" x14ac:dyDescent="0.2">
      <c r="A113" s="92">
        <v>98</v>
      </c>
      <c r="B113" s="92">
        <v>98</v>
      </c>
      <c r="C113" s="92">
        <v>123</v>
      </c>
      <c r="D113" s="39" t="s">
        <v>41</v>
      </c>
      <c r="E113" s="50" t="s">
        <v>146</v>
      </c>
      <c r="F113" s="128">
        <v>1</v>
      </c>
      <c r="G113" s="89">
        <v>0</v>
      </c>
      <c r="H113" s="89">
        <v>0</v>
      </c>
      <c r="I113" s="50" t="s">
        <v>31</v>
      </c>
      <c r="J113" s="50" t="s">
        <v>204</v>
      </c>
    </row>
    <row r="114" spans="1:10" x14ac:dyDescent="0.2">
      <c r="A114" s="92">
        <v>99</v>
      </c>
      <c r="B114" s="92">
        <v>99</v>
      </c>
      <c r="C114" s="92">
        <v>124</v>
      </c>
      <c r="D114" s="39" t="s">
        <v>41</v>
      </c>
      <c r="E114" s="50" t="s">
        <v>146</v>
      </c>
      <c r="F114" s="128">
        <v>1</v>
      </c>
      <c r="G114" s="89">
        <v>0</v>
      </c>
      <c r="H114" s="89">
        <v>0</v>
      </c>
      <c r="I114" s="50" t="s">
        <v>31</v>
      </c>
      <c r="J114" s="50" t="s">
        <v>204</v>
      </c>
    </row>
    <row r="115" spans="1:10" x14ac:dyDescent="0.2">
      <c r="A115" s="92">
        <v>100</v>
      </c>
      <c r="B115" s="92">
        <v>100</v>
      </c>
      <c r="C115" s="92">
        <v>125</v>
      </c>
      <c r="D115" s="39" t="s">
        <v>41</v>
      </c>
      <c r="E115" s="50" t="s">
        <v>146</v>
      </c>
      <c r="F115" s="128">
        <v>1</v>
      </c>
      <c r="G115" s="89">
        <v>0</v>
      </c>
      <c r="H115" s="89">
        <v>0</v>
      </c>
      <c r="I115" s="50" t="s">
        <v>31</v>
      </c>
      <c r="J115" s="50" t="s">
        <v>204</v>
      </c>
    </row>
    <row r="116" spans="1:10" x14ac:dyDescent="0.2">
      <c r="A116" s="92">
        <v>101</v>
      </c>
      <c r="B116" s="92">
        <v>26</v>
      </c>
      <c r="C116" s="92">
        <v>27</v>
      </c>
      <c r="D116" s="39" t="s">
        <v>42</v>
      </c>
      <c r="E116" s="50" t="s">
        <v>146</v>
      </c>
      <c r="F116" s="50">
        <v>0</v>
      </c>
      <c r="G116" s="89">
        <v>0</v>
      </c>
      <c r="H116" s="89">
        <v>0</v>
      </c>
      <c r="I116" s="50" t="s">
        <v>32</v>
      </c>
      <c r="J116" s="50" t="s">
        <v>70</v>
      </c>
    </row>
    <row r="117" spans="1:10" x14ac:dyDescent="0.2">
      <c r="A117" s="92">
        <v>102</v>
      </c>
      <c r="B117" s="92">
        <v>27</v>
      </c>
      <c r="C117" s="92">
        <v>28</v>
      </c>
      <c r="D117" s="39" t="s">
        <v>42</v>
      </c>
      <c r="E117" s="50" t="s">
        <v>146</v>
      </c>
      <c r="F117" s="50">
        <v>0</v>
      </c>
      <c r="G117" s="89">
        <v>0</v>
      </c>
      <c r="H117" s="89">
        <v>0</v>
      </c>
      <c r="I117" s="50" t="s">
        <v>32</v>
      </c>
      <c r="J117" s="50" t="s">
        <v>70</v>
      </c>
    </row>
    <row r="118" spans="1:10" x14ac:dyDescent="0.2">
      <c r="A118" s="92">
        <v>103</v>
      </c>
      <c r="B118" s="92">
        <v>28</v>
      </c>
      <c r="C118" s="92">
        <v>29</v>
      </c>
      <c r="D118" s="39" t="s">
        <v>42</v>
      </c>
      <c r="E118" s="50" t="s">
        <v>146</v>
      </c>
      <c r="F118" s="50">
        <v>0</v>
      </c>
      <c r="G118" s="89">
        <v>0</v>
      </c>
      <c r="H118" s="89">
        <v>0</v>
      </c>
      <c r="I118" s="50" t="s">
        <v>32</v>
      </c>
      <c r="J118" s="50" t="s">
        <v>70</v>
      </c>
    </row>
    <row r="119" spans="1:10" x14ac:dyDescent="0.2">
      <c r="A119" s="92">
        <v>104</v>
      </c>
      <c r="B119" s="92">
        <v>29</v>
      </c>
      <c r="C119" s="92">
        <v>30</v>
      </c>
      <c r="D119" s="39" t="s">
        <v>42</v>
      </c>
      <c r="E119" s="50" t="s">
        <v>146</v>
      </c>
      <c r="F119" s="50">
        <v>0</v>
      </c>
      <c r="G119" s="89">
        <v>0</v>
      </c>
      <c r="H119" s="89">
        <v>0</v>
      </c>
      <c r="I119" s="50" t="s">
        <v>32</v>
      </c>
      <c r="J119" s="50" t="s">
        <v>70</v>
      </c>
    </row>
    <row r="120" spans="1:10" x14ac:dyDescent="0.2">
      <c r="A120" s="92">
        <v>105</v>
      </c>
      <c r="B120" s="92">
        <v>31</v>
      </c>
      <c r="C120" s="92">
        <v>32</v>
      </c>
      <c r="D120" s="39" t="s">
        <v>42</v>
      </c>
      <c r="E120" s="50" t="s">
        <v>146</v>
      </c>
      <c r="F120" s="50">
        <v>0</v>
      </c>
      <c r="G120" s="89">
        <v>0</v>
      </c>
      <c r="H120" s="89">
        <v>0</v>
      </c>
      <c r="I120" s="50" t="s">
        <v>32</v>
      </c>
      <c r="J120" s="50" t="s">
        <v>70</v>
      </c>
    </row>
    <row r="121" spans="1:10" x14ac:dyDescent="0.2">
      <c r="A121" s="92">
        <v>106</v>
      </c>
      <c r="B121" s="92">
        <v>32</v>
      </c>
      <c r="C121" s="92">
        <v>33</v>
      </c>
      <c r="D121" s="39" t="s">
        <v>42</v>
      </c>
      <c r="E121" s="50" t="s">
        <v>146</v>
      </c>
      <c r="F121" s="50">
        <v>0</v>
      </c>
      <c r="G121" s="89">
        <v>0</v>
      </c>
      <c r="H121" s="89">
        <v>0</v>
      </c>
      <c r="I121" s="50" t="s">
        <v>32</v>
      </c>
      <c r="J121" s="50" t="s">
        <v>70</v>
      </c>
    </row>
    <row r="122" spans="1:10" x14ac:dyDescent="0.2">
      <c r="A122" s="92">
        <v>107</v>
      </c>
      <c r="B122" s="92">
        <v>33</v>
      </c>
      <c r="C122" s="92">
        <v>34</v>
      </c>
      <c r="D122" s="39" t="s">
        <v>42</v>
      </c>
      <c r="E122" s="50" t="s">
        <v>146</v>
      </c>
      <c r="F122" s="50">
        <v>0</v>
      </c>
      <c r="G122" s="89">
        <v>0</v>
      </c>
      <c r="H122" s="89">
        <v>0</v>
      </c>
      <c r="I122" s="50" t="s">
        <v>32</v>
      </c>
      <c r="J122" s="50" t="s">
        <v>70</v>
      </c>
    </row>
    <row r="123" spans="1:10" x14ac:dyDescent="0.2">
      <c r="A123" s="92">
        <v>108</v>
      </c>
      <c r="B123" s="92">
        <v>34</v>
      </c>
      <c r="C123" s="92">
        <v>35</v>
      </c>
      <c r="D123" s="39" t="s">
        <v>42</v>
      </c>
      <c r="E123" s="50" t="s">
        <v>146</v>
      </c>
      <c r="F123" s="50">
        <v>0</v>
      </c>
      <c r="G123" s="89">
        <v>0</v>
      </c>
      <c r="H123" s="89">
        <v>0</v>
      </c>
      <c r="I123" s="50" t="s">
        <v>32</v>
      </c>
      <c r="J123" s="50" t="s">
        <v>70</v>
      </c>
    </row>
    <row r="124" spans="1:10" x14ac:dyDescent="0.2">
      <c r="A124" s="92">
        <v>109</v>
      </c>
      <c r="B124" s="92">
        <v>36</v>
      </c>
      <c r="C124" s="92">
        <v>37</v>
      </c>
      <c r="D124" s="39" t="s">
        <v>42</v>
      </c>
      <c r="E124" s="50" t="s">
        <v>146</v>
      </c>
      <c r="F124" s="50">
        <v>0</v>
      </c>
      <c r="G124" s="89">
        <v>0</v>
      </c>
      <c r="H124" s="89">
        <v>0</v>
      </c>
      <c r="I124" s="50" t="s">
        <v>32</v>
      </c>
      <c r="J124" s="50" t="s">
        <v>70</v>
      </c>
    </row>
    <row r="125" spans="1:10" x14ac:dyDescent="0.2">
      <c r="A125" s="92">
        <v>110</v>
      </c>
      <c r="B125" s="92">
        <v>37</v>
      </c>
      <c r="C125" s="92">
        <v>38</v>
      </c>
      <c r="D125" s="39" t="s">
        <v>42</v>
      </c>
      <c r="E125" s="50" t="s">
        <v>146</v>
      </c>
      <c r="F125" s="50">
        <v>0</v>
      </c>
      <c r="G125" s="89">
        <v>0</v>
      </c>
      <c r="H125" s="89">
        <v>0</v>
      </c>
      <c r="I125" s="50" t="s">
        <v>32</v>
      </c>
      <c r="J125" s="50" t="s">
        <v>70</v>
      </c>
    </row>
    <row r="126" spans="1:10" x14ac:dyDescent="0.2">
      <c r="A126" s="92">
        <v>111</v>
      </c>
      <c r="B126" s="92">
        <v>38</v>
      </c>
      <c r="C126" s="92">
        <v>39</v>
      </c>
      <c r="D126" s="39" t="s">
        <v>42</v>
      </c>
      <c r="E126" s="50" t="s">
        <v>146</v>
      </c>
      <c r="F126" s="50">
        <v>0</v>
      </c>
      <c r="G126" s="89">
        <v>0</v>
      </c>
      <c r="H126" s="89">
        <v>0</v>
      </c>
      <c r="I126" s="50" t="s">
        <v>32</v>
      </c>
      <c r="J126" s="50" t="s">
        <v>70</v>
      </c>
    </row>
    <row r="127" spans="1:10" x14ac:dyDescent="0.2">
      <c r="A127" s="92">
        <v>112</v>
      </c>
      <c r="B127" s="92">
        <v>39</v>
      </c>
      <c r="C127" s="92">
        <v>40</v>
      </c>
      <c r="D127" s="39" t="s">
        <v>42</v>
      </c>
      <c r="E127" s="50" t="s">
        <v>146</v>
      </c>
      <c r="F127" s="50">
        <v>0</v>
      </c>
      <c r="G127" s="89">
        <v>0</v>
      </c>
      <c r="H127" s="89">
        <v>0</v>
      </c>
      <c r="I127" s="50" t="s">
        <v>32</v>
      </c>
      <c r="J127" s="50" t="s">
        <v>70</v>
      </c>
    </row>
    <row r="128" spans="1:10" x14ac:dyDescent="0.2">
      <c r="A128" s="92">
        <v>113</v>
      </c>
      <c r="B128" s="92">
        <v>41</v>
      </c>
      <c r="C128" s="92">
        <v>42</v>
      </c>
      <c r="D128" s="39" t="s">
        <v>42</v>
      </c>
      <c r="E128" s="50" t="s">
        <v>146</v>
      </c>
      <c r="F128" s="50">
        <v>0</v>
      </c>
      <c r="G128" s="89">
        <v>0</v>
      </c>
      <c r="H128" s="89">
        <v>0</v>
      </c>
      <c r="I128" s="50" t="s">
        <v>32</v>
      </c>
      <c r="J128" s="50" t="s">
        <v>70</v>
      </c>
    </row>
    <row r="129" spans="1:10" x14ac:dyDescent="0.2">
      <c r="A129" s="92">
        <v>114</v>
      </c>
      <c r="B129" s="92">
        <v>42</v>
      </c>
      <c r="C129" s="92">
        <v>43</v>
      </c>
      <c r="D129" s="39" t="s">
        <v>42</v>
      </c>
      <c r="E129" s="50" t="s">
        <v>146</v>
      </c>
      <c r="F129" s="50">
        <v>0</v>
      </c>
      <c r="G129" s="89">
        <v>0</v>
      </c>
      <c r="H129" s="89">
        <v>0</v>
      </c>
      <c r="I129" s="50" t="s">
        <v>32</v>
      </c>
      <c r="J129" s="50" t="s">
        <v>70</v>
      </c>
    </row>
    <row r="130" spans="1:10" x14ac:dyDescent="0.2">
      <c r="A130" s="92">
        <v>115</v>
      </c>
      <c r="B130" s="92">
        <v>43</v>
      </c>
      <c r="C130" s="92">
        <v>44</v>
      </c>
      <c r="D130" s="39" t="s">
        <v>42</v>
      </c>
      <c r="E130" s="50" t="s">
        <v>146</v>
      </c>
      <c r="F130" s="50">
        <v>0</v>
      </c>
      <c r="G130" s="89">
        <v>0</v>
      </c>
      <c r="H130" s="89">
        <v>0</v>
      </c>
      <c r="I130" s="50" t="s">
        <v>32</v>
      </c>
      <c r="J130" s="50" t="s">
        <v>70</v>
      </c>
    </row>
    <row r="131" spans="1:10" x14ac:dyDescent="0.2">
      <c r="A131" s="92">
        <v>116</v>
      </c>
      <c r="B131" s="92">
        <v>44</v>
      </c>
      <c r="C131" s="92">
        <v>45</v>
      </c>
      <c r="D131" s="39" t="s">
        <v>42</v>
      </c>
      <c r="E131" s="50" t="s">
        <v>146</v>
      </c>
      <c r="F131" s="50">
        <v>0</v>
      </c>
      <c r="G131" s="89">
        <v>0</v>
      </c>
      <c r="H131" s="89">
        <v>0</v>
      </c>
      <c r="I131" s="50" t="s">
        <v>32</v>
      </c>
      <c r="J131" s="50" t="s">
        <v>70</v>
      </c>
    </row>
    <row r="132" spans="1:10" x14ac:dyDescent="0.2">
      <c r="A132" s="92">
        <v>117</v>
      </c>
      <c r="B132" s="92">
        <v>46</v>
      </c>
      <c r="C132" s="92">
        <v>47</v>
      </c>
      <c r="D132" s="39" t="s">
        <v>42</v>
      </c>
      <c r="E132" s="50" t="s">
        <v>146</v>
      </c>
      <c r="F132" s="50">
        <v>0</v>
      </c>
      <c r="G132" s="89">
        <v>0</v>
      </c>
      <c r="H132" s="89">
        <v>0</v>
      </c>
      <c r="I132" s="50" t="s">
        <v>32</v>
      </c>
      <c r="J132" s="50" t="s">
        <v>70</v>
      </c>
    </row>
    <row r="133" spans="1:10" x14ac:dyDescent="0.2">
      <c r="A133" s="92">
        <v>118</v>
      </c>
      <c r="B133" s="92">
        <v>47</v>
      </c>
      <c r="C133" s="92">
        <v>48</v>
      </c>
      <c r="D133" s="39" t="s">
        <v>42</v>
      </c>
      <c r="E133" s="50" t="s">
        <v>146</v>
      </c>
      <c r="F133" s="50">
        <v>0</v>
      </c>
      <c r="G133" s="89">
        <v>0</v>
      </c>
      <c r="H133" s="89">
        <v>0</v>
      </c>
      <c r="I133" s="50" t="s">
        <v>32</v>
      </c>
      <c r="J133" s="50" t="s">
        <v>70</v>
      </c>
    </row>
    <row r="134" spans="1:10" x14ac:dyDescent="0.2">
      <c r="A134" s="92">
        <v>119</v>
      </c>
      <c r="B134" s="92">
        <v>48</v>
      </c>
      <c r="C134" s="92">
        <v>49</v>
      </c>
      <c r="D134" s="39" t="s">
        <v>42</v>
      </c>
      <c r="E134" s="50" t="s">
        <v>146</v>
      </c>
      <c r="F134" s="50">
        <v>0</v>
      </c>
      <c r="G134" s="89">
        <v>0</v>
      </c>
      <c r="H134" s="89">
        <v>0</v>
      </c>
      <c r="I134" s="50" t="s">
        <v>32</v>
      </c>
      <c r="J134" s="50" t="s">
        <v>70</v>
      </c>
    </row>
    <row r="135" spans="1:10" x14ac:dyDescent="0.2">
      <c r="A135" s="92">
        <v>120</v>
      </c>
      <c r="B135" s="92">
        <v>49</v>
      </c>
      <c r="C135" s="92">
        <v>50</v>
      </c>
      <c r="D135" s="39" t="s">
        <v>42</v>
      </c>
      <c r="E135" s="50" t="s">
        <v>146</v>
      </c>
      <c r="F135" s="50">
        <v>0</v>
      </c>
      <c r="G135" s="89">
        <v>0</v>
      </c>
      <c r="H135" s="89">
        <v>0</v>
      </c>
      <c r="I135" s="50" t="s">
        <v>32</v>
      </c>
      <c r="J135" s="50" t="s">
        <v>70</v>
      </c>
    </row>
    <row r="136" spans="1:10" x14ac:dyDescent="0.2">
      <c r="A136" s="92">
        <v>121</v>
      </c>
      <c r="B136" s="92">
        <v>51</v>
      </c>
      <c r="C136" s="92">
        <v>52</v>
      </c>
      <c r="D136" s="39" t="s">
        <v>42</v>
      </c>
      <c r="E136" s="50" t="s">
        <v>146</v>
      </c>
      <c r="F136" s="50">
        <v>0</v>
      </c>
      <c r="G136" s="89">
        <v>0</v>
      </c>
      <c r="H136" s="89">
        <v>0</v>
      </c>
      <c r="I136" s="50" t="s">
        <v>32</v>
      </c>
      <c r="J136" s="50" t="s">
        <v>70</v>
      </c>
    </row>
    <row r="137" spans="1:10" x14ac:dyDescent="0.2">
      <c r="A137" s="92">
        <v>122</v>
      </c>
      <c r="B137" s="92">
        <v>52</v>
      </c>
      <c r="C137" s="92">
        <v>53</v>
      </c>
      <c r="D137" s="39" t="s">
        <v>42</v>
      </c>
      <c r="E137" s="50" t="s">
        <v>146</v>
      </c>
      <c r="F137" s="50">
        <v>0</v>
      </c>
      <c r="G137" s="89">
        <v>0</v>
      </c>
      <c r="H137" s="89">
        <v>0</v>
      </c>
      <c r="I137" s="50" t="s">
        <v>32</v>
      </c>
      <c r="J137" s="50" t="s">
        <v>70</v>
      </c>
    </row>
    <row r="138" spans="1:10" x14ac:dyDescent="0.2">
      <c r="A138" s="92">
        <v>123</v>
      </c>
      <c r="B138" s="92">
        <v>53</v>
      </c>
      <c r="C138" s="92">
        <v>54</v>
      </c>
      <c r="D138" s="39" t="s">
        <v>42</v>
      </c>
      <c r="E138" s="50" t="s">
        <v>146</v>
      </c>
      <c r="F138" s="50">
        <v>0</v>
      </c>
      <c r="G138" s="89">
        <v>0</v>
      </c>
      <c r="H138" s="89">
        <v>0</v>
      </c>
      <c r="I138" s="50" t="s">
        <v>32</v>
      </c>
      <c r="J138" s="50" t="s">
        <v>70</v>
      </c>
    </row>
    <row r="139" spans="1:10" x14ac:dyDescent="0.2">
      <c r="A139" s="92">
        <v>124</v>
      </c>
      <c r="B139" s="92">
        <v>54</v>
      </c>
      <c r="C139" s="92">
        <v>55</v>
      </c>
      <c r="D139" s="39" t="s">
        <v>42</v>
      </c>
      <c r="E139" s="50" t="s">
        <v>146</v>
      </c>
      <c r="F139" s="50">
        <v>0</v>
      </c>
      <c r="G139" s="89">
        <v>0</v>
      </c>
      <c r="H139" s="89">
        <v>0</v>
      </c>
      <c r="I139" s="50" t="s">
        <v>32</v>
      </c>
      <c r="J139" s="50" t="s">
        <v>70</v>
      </c>
    </row>
    <row r="140" spans="1:10" x14ac:dyDescent="0.2">
      <c r="A140" s="92">
        <v>125</v>
      </c>
      <c r="B140" s="92">
        <v>56</v>
      </c>
      <c r="C140" s="92">
        <v>57</v>
      </c>
      <c r="D140" s="39" t="s">
        <v>42</v>
      </c>
      <c r="E140" s="50" t="s">
        <v>146</v>
      </c>
      <c r="F140" s="50">
        <v>0</v>
      </c>
      <c r="G140" s="89">
        <v>0</v>
      </c>
      <c r="H140" s="89">
        <v>0</v>
      </c>
      <c r="I140" s="50" t="s">
        <v>32</v>
      </c>
      <c r="J140" s="50" t="s">
        <v>70</v>
      </c>
    </row>
    <row r="141" spans="1:10" x14ac:dyDescent="0.2">
      <c r="A141" s="92">
        <v>126</v>
      </c>
      <c r="B141" s="92">
        <v>57</v>
      </c>
      <c r="C141" s="92">
        <v>58</v>
      </c>
      <c r="D141" s="39" t="s">
        <v>42</v>
      </c>
      <c r="E141" s="50" t="s">
        <v>146</v>
      </c>
      <c r="F141" s="50">
        <v>0</v>
      </c>
      <c r="G141" s="89">
        <v>0</v>
      </c>
      <c r="H141" s="89">
        <v>0</v>
      </c>
      <c r="I141" s="50" t="s">
        <v>32</v>
      </c>
      <c r="J141" s="50" t="s">
        <v>70</v>
      </c>
    </row>
    <row r="142" spans="1:10" x14ac:dyDescent="0.2">
      <c r="A142" s="92">
        <v>127</v>
      </c>
      <c r="B142" s="92">
        <v>58</v>
      </c>
      <c r="C142" s="92">
        <v>59</v>
      </c>
      <c r="D142" s="39" t="s">
        <v>42</v>
      </c>
      <c r="E142" s="50" t="s">
        <v>146</v>
      </c>
      <c r="F142" s="50">
        <v>0</v>
      </c>
      <c r="G142" s="89">
        <v>0</v>
      </c>
      <c r="H142" s="89">
        <v>0</v>
      </c>
      <c r="I142" s="50" t="s">
        <v>32</v>
      </c>
      <c r="J142" s="50" t="s">
        <v>70</v>
      </c>
    </row>
    <row r="143" spans="1:10" x14ac:dyDescent="0.2">
      <c r="A143" s="92">
        <v>128</v>
      </c>
      <c r="B143" s="92">
        <v>59</v>
      </c>
      <c r="C143" s="92">
        <v>60</v>
      </c>
      <c r="D143" s="39" t="s">
        <v>42</v>
      </c>
      <c r="E143" s="50" t="s">
        <v>146</v>
      </c>
      <c r="F143" s="50">
        <v>0</v>
      </c>
      <c r="G143" s="89">
        <v>0</v>
      </c>
      <c r="H143" s="89">
        <v>0</v>
      </c>
      <c r="I143" s="50" t="s">
        <v>32</v>
      </c>
      <c r="J143" s="50" t="s">
        <v>70</v>
      </c>
    </row>
    <row r="144" spans="1:10" x14ac:dyDescent="0.2">
      <c r="A144" s="92">
        <v>129</v>
      </c>
      <c r="B144" s="92">
        <v>61</v>
      </c>
      <c r="C144" s="92">
        <v>62</v>
      </c>
      <c r="D144" s="39" t="s">
        <v>42</v>
      </c>
      <c r="E144" s="50" t="s">
        <v>146</v>
      </c>
      <c r="F144" s="50">
        <v>0</v>
      </c>
      <c r="G144" s="89">
        <v>0</v>
      </c>
      <c r="H144" s="89">
        <v>0</v>
      </c>
      <c r="I144" s="50" t="s">
        <v>32</v>
      </c>
      <c r="J144" s="50" t="s">
        <v>70</v>
      </c>
    </row>
    <row r="145" spans="1:10" x14ac:dyDescent="0.2">
      <c r="A145" s="92">
        <v>130</v>
      </c>
      <c r="B145" s="92">
        <v>62</v>
      </c>
      <c r="C145" s="92">
        <v>63</v>
      </c>
      <c r="D145" s="39" t="s">
        <v>42</v>
      </c>
      <c r="E145" s="50" t="s">
        <v>146</v>
      </c>
      <c r="F145" s="50">
        <v>0</v>
      </c>
      <c r="G145" s="89">
        <v>0</v>
      </c>
      <c r="H145" s="89">
        <v>0</v>
      </c>
      <c r="I145" s="50" t="s">
        <v>32</v>
      </c>
      <c r="J145" s="50" t="s">
        <v>70</v>
      </c>
    </row>
    <row r="146" spans="1:10" x14ac:dyDescent="0.2">
      <c r="A146" s="92">
        <v>131</v>
      </c>
      <c r="B146" s="92">
        <v>63</v>
      </c>
      <c r="C146" s="92">
        <v>64</v>
      </c>
      <c r="D146" s="39" t="s">
        <v>42</v>
      </c>
      <c r="E146" s="50" t="s">
        <v>146</v>
      </c>
      <c r="F146" s="50">
        <v>0</v>
      </c>
      <c r="G146" s="89">
        <v>0</v>
      </c>
      <c r="H146" s="89">
        <v>0</v>
      </c>
      <c r="I146" s="50" t="s">
        <v>32</v>
      </c>
      <c r="J146" s="50" t="s">
        <v>70</v>
      </c>
    </row>
    <row r="147" spans="1:10" x14ac:dyDescent="0.2">
      <c r="A147" s="92">
        <v>132</v>
      </c>
      <c r="B147" s="92">
        <v>64</v>
      </c>
      <c r="C147" s="92">
        <v>65</v>
      </c>
      <c r="D147" s="39" t="s">
        <v>42</v>
      </c>
      <c r="E147" s="50" t="s">
        <v>146</v>
      </c>
      <c r="F147" s="50">
        <v>0</v>
      </c>
      <c r="G147" s="89">
        <v>0</v>
      </c>
      <c r="H147" s="89">
        <v>0</v>
      </c>
      <c r="I147" s="50" t="s">
        <v>32</v>
      </c>
      <c r="J147" s="50" t="s">
        <v>70</v>
      </c>
    </row>
    <row r="148" spans="1:10" x14ac:dyDescent="0.2">
      <c r="A148" s="92">
        <v>133</v>
      </c>
      <c r="B148" s="92">
        <v>66</v>
      </c>
      <c r="C148" s="92">
        <v>67</v>
      </c>
      <c r="D148" s="39" t="s">
        <v>42</v>
      </c>
      <c r="E148" s="50" t="s">
        <v>146</v>
      </c>
      <c r="F148" s="50">
        <v>0</v>
      </c>
      <c r="G148" s="89">
        <v>0</v>
      </c>
      <c r="H148" s="89">
        <v>0</v>
      </c>
      <c r="I148" s="50" t="s">
        <v>32</v>
      </c>
      <c r="J148" s="50" t="s">
        <v>70</v>
      </c>
    </row>
    <row r="149" spans="1:10" x14ac:dyDescent="0.2">
      <c r="A149" s="92">
        <v>134</v>
      </c>
      <c r="B149" s="92">
        <v>67</v>
      </c>
      <c r="C149" s="92">
        <v>68</v>
      </c>
      <c r="D149" s="39" t="s">
        <v>42</v>
      </c>
      <c r="E149" s="50" t="s">
        <v>146</v>
      </c>
      <c r="F149" s="50">
        <v>0</v>
      </c>
      <c r="G149" s="89">
        <v>0</v>
      </c>
      <c r="H149" s="89">
        <v>0</v>
      </c>
      <c r="I149" s="50" t="s">
        <v>32</v>
      </c>
      <c r="J149" s="50" t="s">
        <v>70</v>
      </c>
    </row>
    <row r="150" spans="1:10" x14ac:dyDescent="0.2">
      <c r="A150" s="92">
        <v>135</v>
      </c>
      <c r="B150" s="92">
        <v>68</v>
      </c>
      <c r="C150" s="92">
        <v>69</v>
      </c>
      <c r="D150" s="39" t="s">
        <v>42</v>
      </c>
      <c r="E150" s="50" t="s">
        <v>146</v>
      </c>
      <c r="F150" s="50">
        <v>0</v>
      </c>
      <c r="G150" s="89">
        <v>0</v>
      </c>
      <c r="H150" s="89">
        <v>0</v>
      </c>
      <c r="I150" s="50" t="s">
        <v>32</v>
      </c>
      <c r="J150" s="50" t="s">
        <v>70</v>
      </c>
    </row>
    <row r="151" spans="1:10" x14ac:dyDescent="0.2">
      <c r="A151" s="92">
        <v>136</v>
      </c>
      <c r="B151" s="92">
        <v>69</v>
      </c>
      <c r="C151" s="92">
        <v>70</v>
      </c>
      <c r="D151" s="39" t="s">
        <v>42</v>
      </c>
      <c r="E151" s="50" t="s">
        <v>146</v>
      </c>
      <c r="F151" s="50">
        <v>0</v>
      </c>
      <c r="G151" s="89">
        <v>0</v>
      </c>
      <c r="H151" s="89">
        <v>0</v>
      </c>
      <c r="I151" s="50" t="s">
        <v>32</v>
      </c>
      <c r="J151" s="50" t="s">
        <v>70</v>
      </c>
    </row>
    <row r="152" spans="1:10" x14ac:dyDescent="0.2">
      <c r="A152" s="92">
        <v>137</v>
      </c>
      <c r="B152" s="92">
        <v>71</v>
      </c>
      <c r="C152" s="92">
        <v>72</v>
      </c>
      <c r="D152" s="39" t="s">
        <v>42</v>
      </c>
      <c r="E152" s="50" t="s">
        <v>146</v>
      </c>
      <c r="F152" s="50">
        <v>0</v>
      </c>
      <c r="G152" s="89">
        <v>0</v>
      </c>
      <c r="H152" s="89">
        <v>0</v>
      </c>
      <c r="I152" s="50" t="s">
        <v>32</v>
      </c>
      <c r="J152" s="50" t="s">
        <v>70</v>
      </c>
    </row>
    <row r="153" spans="1:10" x14ac:dyDescent="0.2">
      <c r="A153" s="92">
        <v>138</v>
      </c>
      <c r="B153" s="92">
        <v>72</v>
      </c>
      <c r="C153" s="92">
        <v>73</v>
      </c>
      <c r="D153" s="39" t="s">
        <v>42</v>
      </c>
      <c r="E153" s="50" t="s">
        <v>146</v>
      </c>
      <c r="F153" s="50">
        <v>0</v>
      </c>
      <c r="G153" s="89">
        <v>0</v>
      </c>
      <c r="H153" s="89">
        <v>0</v>
      </c>
      <c r="I153" s="50" t="s">
        <v>32</v>
      </c>
      <c r="J153" s="50" t="s">
        <v>70</v>
      </c>
    </row>
    <row r="154" spans="1:10" x14ac:dyDescent="0.2">
      <c r="A154" s="92">
        <v>139</v>
      </c>
      <c r="B154" s="92">
        <v>73</v>
      </c>
      <c r="C154" s="92">
        <v>74</v>
      </c>
      <c r="D154" s="39" t="s">
        <v>42</v>
      </c>
      <c r="E154" s="50" t="s">
        <v>146</v>
      </c>
      <c r="F154" s="50">
        <v>0</v>
      </c>
      <c r="G154" s="89">
        <v>0</v>
      </c>
      <c r="H154" s="89">
        <v>0</v>
      </c>
      <c r="I154" s="50" t="s">
        <v>32</v>
      </c>
      <c r="J154" s="50" t="s">
        <v>70</v>
      </c>
    </row>
    <row r="155" spans="1:10" x14ac:dyDescent="0.2">
      <c r="A155" s="92">
        <v>140</v>
      </c>
      <c r="B155" s="92">
        <v>74</v>
      </c>
      <c r="C155" s="92">
        <v>75</v>
      </c>
      <c r="D155" s="39" t="s">
        <v>42</v>
      </c>
      <c r="E155" s="50" t="s">
        <v>146</v>
      </c>
      <c r="F155" s="50">
        <v>0</v>
      </c>
      <c r="G155" s="89">
        <v>0</v>
      </c>
      <c r="H155" s="89">
        <v>0</v>
      </c>
      <c r="I155" s="50" t="s">
        <v>32</v>
      </c>
      <c r="J155" s="50" t="s">
        <v>70</v>
      </c>
    </row>
    <row r="156" spans="1:10" x14ac:dyDescent="0.2">
      <c r="A156" s="92">
        <v>141</v>
      </c>
      <c r="B156" s="92">
        <v>76</v>
      </c>
      <c r="C156" s="92">
        <v>77</v>
      </c>
      <c r="D156" s="39" t="s">
        <v>42</v>
      </c>
      <c r="E156" s="50" t="s">
        <v>146</v>
      </c>
      <c r="F156" s="50">
        <v>0</v>
      </c>
      <c r="G156" s="89">
        <v>0</v>
      </c>
      <c r="H156" s="89">
        <v>0</v>
      </c>
      <c r="I156" s="50" t="s">
        <v>32</v>
      </c>
      <c r="J156" s="50" t="s">
        <v>70</v>
      </c>
    </row>
    <row r="157" spans="1:10" x14ac:dyDescent="0.2">
      <c r="A157" s="92">
        <v>142</v>
      </c>
      <c r="B157" s="92">
        <v>77</v>
      </c>
      <c r="C157" s="92">
        <v>78</v>
      </c>
      <c r="D157" s="39" t="s">
        <v>42</v>
      </c>
      <c r="E157" s="50" t="s">
        <v>146</v>
      </c>
      <c r="F157" s="50">
        <v>0</v>
      </c>
      <c r="G157" s="89">
        <v>0</v>
      </c>
      <c r="H157" s="89">
        <v>0</v>
      </c>
      <c r="I157" s="50" t="s">
        <v>32</v>
      </c>
      <c r="J157" s="50" t="s">
        <v>70</v>
      </c>
    </row>
    <row r="158" spans="1:10" x14ac:dyDescent="0.2">
      <c r="A158" s="92">
        <v>143</v>
      </c>
      <c r="B158" s="92">
        <v>78</v>
      </c>
      <c r="C158" s="92">
        <v>79</v>
      </c>
      <c r="D158" s="39" t="s">
        <v>42</v>
      </c>
      <c r="E158" s="50" t="s">
        <v>146</v>
      </c>
      <c r="F158" s="50">
        <v>0</v>
      </c>
      <c r="G158" s="89">
        <v>0</v>
      </c>
      <c r="H158" s="89">
        <v>0</v>
      </c>
      <c r="I158" s="50" t="s">
        <v>32</v>
      </c>
      <c r="J158" s="50" t="s">
        <v>70</v>
      </c>
    </row>
    <row r="159" spans="1:10" x14ac:dyDescent="0.2">
      <c r="A159" s="92">
        <v>144</v>
      </c>
      <c r="B159" s="92">
        <v>79</v>
      </c>
      <c r="C159" s="92">
        <v>80</v>
      </c>
      <c r="D159" s="39" t="s">
        <v>42</v>
      </c>
      <c r="E159" s="50" t="s">
        <v>146</v>
      </c>
      <c r="F159" s="50">
        <v>0</v>
      </c>
      <c r="G159" s="89">
        <v>0</v>
      </c>
      <c r="H159" s="89">
        <v>0</v>
      </c>
      <c r="I159" s="50" t="s">
        <v>32</v>
      </c>
      <c r="J159" s="50" t="s">
        <v>70</v>
      </c>
    </row>
    <row r="160" spans="1:10" x14ac:dyDescent="0.2">
      <c r="A160" s="92">
        <v>145</v>
      </c>
      <c r="B160" s="92">
        <v>81</v>
      </c>
      <c r="C160" s="92">
        <v>82</v>
      </c>
      <c r="D160" s="39" t="s">
        <v>42</v>
      </c>
      <c r="E160" s="50" t="s">
        <v>146</v>
      </c>
      <c r="F160" s="50">
        <v>0</v>
      </c>
      <c r="G160" s="89">
        <v>0</v>
      </c>
      <c r="H160" s="89">
        <v>0</v>
      </c>
      <c r="I160" s="50" t="s">
        <v>32</v>
      </c>
      <c r="J160" s="50" t="s">
        <v>70</v>
      </c>
    </row>
    <row r="161" spans="1:10" x14ac:dyDescent="0.2">
      <c r="A161" s="92">
        <v>146</v>
      </c>
      <c r="B161" s="92">
        <v>82</v>
      </c>
      <c r="C161" s="92">
        <v>83</v>
      </c>
      <c r="D161" s="39" t="s">
        <v>42</v>
      </c>
      <c r="E161" s="50" t="s">
        <v>146</v>
      </c>
      <c r="F161" s="50">
        <v>0</v>
      </c>
      <c r="G161" s="89">
        <v>0</v>
      </c>
      <c r="H161" s="89">
        <v>0</v>
      </c>
      <c r="I161" s="50" t="s">
        <v>32</v>
      </c>
      <c r="J161" s="50" t="s">
        <v>70</v>
      </c>
    </row>
    <row r="162" spans="1:10" x14ac:dyDescent="0.2">
      <c r="A162" s="92">
        <v>147</v>
      </c>
      <c r="B162" s="92">
        <v>83</v>
      </c>
      <c r="C162" s="92">
        <v>84</v>
      </c>
      <c r="D162" s="39" t="s">
        <v>42</v>
      </c>
      <c r="E162" s="50" t="s">
        <v>146</v>
      </c>
      <c r="F162" s="50">
        <v>0</v>
      </c>
      <c r="G162" s="89">
        <v>0</v>
      </c>
      <c r="H162" s="89">
        <v>0</v>
      </c>
      <c r="I162" s="50" t="s">
        <v>32</v>
      </c>
      <c r="J162" s="50" t="s">
        <v>70</v>
      </c>
    </row>
    <row r="163" spans="1:10" x14ac:dyDescent="0.2">
      <c r="A163" s="92">
        <v>148</v>
      </c>
      <c r="B163" s="92">
        <v>84</v>
      </c>
      <c r="C163" s="92">
        <v>85</v>
      </c>
      <c r="D163" s="39" t="s">
        <v>42</v>
      </c>
      <c r="E163" s="50" t="s">
        <v>146</v>
      </c>
      <c r="F163" s="50">
        <v>0</v>
      </c>
      <c r="G163" s="89">
        <v>0</v>
      </c>
      <c r="H163" s="89">
        <v>0</v>
      </c>
      <c r="I163" s="50" t="s">
        <v>32</v>
      </c>
      <c r="J163" s="50" t="s">
        <v>70</v>
      </c>
    </row>
    <row r="164" spans="1:10" x14ac:dyDescent="0.2">
      <c r="A164" s="92">
        <v>149</v>
      </c>
      <c r="B164" s="92">
        <v>86</v>
      </c>
      <c r="C164" s="92">
        <v>87</v>
      </c>
      <c r="D164" s="39" t="s">
        <v>42</v>
      </c>
      <c r="E164" s="50" t="s">
        <v>146</v>
      </c>
      <c r="F164" s="50">
        <v>0</v>
      </c>
      <c r="G164" s="89">
        <v>0</v>
      </c>
      <c r="H164" s="89">
        <v>0</v>
      </c>
      <c r="I164" s="50" t="s">
        <v>32</v>
      </c>
      <c r="J164" s="50" t="s">
        <v>70</v>
      </c>
    </row>
    <row r="165" spans="1:10" x14ac:dyDescent="0.2">
      <c r="A165" s="92">
        <v>150</v>
      </c>
      <c r="B165" s="92">
        <v>87</v>
      </c>
      <c r="C165" s="92">
        <v>88</v>
      </c>
      <c r="D165" s="39" t="s">
        <v>42</v>
      </c>
      <c r="E165" s="50" t="s">
        <v>146</v>
      </c>
      <c r="F165" s="50">
        <v>0</v>
      </c>
      <c r="G165" s="89">
        <v>0</v>
      </c>
      <c r="H165" s="89">
        <v>0</v>
      </c>
      <c r="I165" s="50" t="s">
        <v>32</v>
      </c>
      <c r="J165" s="50" t="s">
        <v>70</v>
      </c>
    </row>
    <row r="166" spans="1:10" x14ac:dyDescent="0.2">
      <c r="A166" s="92">
        <v>151</v>
      </c>
      <c r="B166" s="92">
        <v>88</v>
      </c>
      <c r="C166" s="92">
        <v>89</v>
      </c>
      <c r="D166" s="39" t="s">
        <v>42</v>
      </c>
      <c r="E166" s="50" t="s">
        <v>146</v>
      </c>
      <c r="F166" s="50">
        <v>0</v>
      </c>
      <c r="G166" s="89">
        <v>0</v>
      </c>
      <c r="H166" s="89">
        <v>0</v>
      </c>
      <c r="I166" s="50" t="s">
        <v>32</v>
      </c>
      <c r="J166" s="50" t="s">
        <v>70</v>
      </c>
    </row>
    <row r="167" spans="1:10" x14ac:dyDescent="0.2">
      <c r="A167" s="92">
        <v>152</v>
      </c>
      <c r="B167" s="92">
        <v>89</v>
      </c>
      <c r="C167" s="92">
        <v>90</v>
      </c>
      <c r="D167" s="39" t="s">
        <v>42</v>
      </c>
      <c r="E167" s="50" t="s">
        <v>146</v>
      </c>
      <c r="F167" s="50">
        <v>0</v>
      </c>
      <c r="G167" s="89">
        <v>0</v>
      </c>
      <c r="H167" s="89">
        <v>0</v>
      </c>
      <c r="I167" s="50" t="s">
        <v>32</v>
      </c>
      <c r="J167" s="50" t="s">
        <v>70</v>
      </c>
    </row>
    <row r="168" spans="1:10" x14ac:dyDescent="0.2">
      <c r="A168" s="92">
        <v>153</v>
      </c>
      <c r="B168" s="92">
        <v>91</v>
      </c>
      <c r="C168" s="92">
        <v>92</v>
      </c>
      <c r="D168" s="39" t="s">
        <v>42</v>
      </c>
      <c r="E168" s="50" t="s">
        <v>146</v>
      </c>
      <c r="F168" s="50">
        <v>0</v>
      </c>
      <c r="G168" s="89">
        <v>0</v>
      </c>
      <c r="H168" s="89">
        <v>0</v>
      </c>
      <c r="I168" s="50" t="s">
        <v>32</v>
      </c>
      <c r="J168" s="50" t="s">
        <v>70</v>
      </c>
    </row>
    <row r="169" spans="1:10" x14ac:dyDescent="0.2">
      <c r="A169" s="92">
        <v>154</v>
      </c>
      <c r="B169" s="92">
        <v>92</v>
      </c>
      <c r="C169" s="92">
        <v>93</v>
      </c>
      <c r="D169" s="39" t="s">
        <v>42</v>
      </c>
      <c r="E169" s="50" t="s">
        <v>146</v>
      </c>
      <c r="F169" s="50">
        <v>0</v>
      </c>
      <c r="G169" s="89">
        <v>0</v>
      </c>
      <c r="H169" s="89">
        <v>0</v>
      </c>
      <c r="I169" s="50" t="s">
        <v>32</v>
      </c>
      <c r="J169" s="50" t="s">
        <v>70</v>
      </c>
    </row>
    <row r="170" spans="1:10" x14ac:dyDescent="0.2">
      <c r="A170" s="92">
        <v>155</v>
      </c>
      <c r="B170" s="92">
        <v>93</v>
      </c>
      <c r="C170" s="92">
        <v>94</v>
      </c>
      <c r="D170" s="39" t="s">
        <v>42</v>
      </c>
      <c r="E170" s="50" t="s">
        <v>146</v>
      </c>
      <c r="F170" s="50">
        <v>0</v>
      </c>
      <c r="G170" s="89">
        <v>0</v>
      </c>
      <c r="H170" s="89">
        <v>0</v>
      </c>
      <c r="I170" s="50" t="s">
        <v>32</v>
      </c>
      <c r="J170" s="50" t="s">
        <v>70</v>
      </c>
    </row>
    <row r="171" spans="1:10" x14ac:dyDescent="0.2">
      <c r="A171" s="92">
        <v>156</v>
      </c>
      <c r="B171" s="92">
        <v>94</v>
      </c>
      <c r="C171" s="92">
        <v>95</v>
      </c>
      <c r="D171" s="39" t="s">
        <v>42</v>
      </c>
      <c r="E171" s="50" t="s">
        <v>146</v>
      </c>
      <c r="F171" s="50">
        <v>0</v>
      </c>
      <c r="G171" s="89">
        <v>0</v>
      </c>
      <c r="H171" s="89">
        <v>0</v>
      </c>
      <c r="I171" s="50" t="s">
        <v>32</v>
      </c>
      <c r="J171" s="50" t="s">
        <v>70</v>
      </c>
    </row>
    <row r="172" spans="1:10" x14ac:dyDescent="0.2">
      <c r="A172" s="92">
        <v>157</v>
      </c>
      <c r="B172" s="92">
        <v>96</v>
      </c>
      <c r="C172" s="92">
        <v>97</v>
      </c>
      <c r="D172" s="39" t="s">
        <v>42</v>
      </c>
      <c r="E172" s="50" t="s">
        <v>146</v>
      </c>
      <c r="F172" s="50">
        <v>0</v>
      </c>
      <c r="G172" s="89">
        <v>0</v>
      </c>
      <c r="H172" s="89">
        <v>0</v>
      </c>
      <c r="I172" s="50" t="s">
        <v>32</v>
      </c>
      <c r="J172" s="50" t="s">
        <v>70</v>
      </c>
    </row>
    <row r="173" spans="1:10" x14ac:dyDescent="0.2">
      <c r="A173" s="92">
        <v>158</v>
      </c>
      <c r="B173" s="92">
        <v>97</v>
      </c>
      <c r="C173" s="92">
        <v>98</v>
      </c>
      <c r="D173" s="39" t="s">
        <v>42</v>
      </c>
      <c r="E173" s="50" t="s">
        <v>146</v>
      </c>
      <c r="F173" s="50">
        <v>0</v>
      </c>
      <c r="G173" s="89">
        <v>0</v>
      </c>
      <c r="H173" s="89">
        <v>0</v>
      </c>
      <c r="I173" s="50" t="s">
        <v>32</v>
      </c>
      <c r="J173" s="50" t="s">
        <v>70</v>
      </c>
    </row>
    <row r="174" spans="1:10" x14ac:dyDescent="0.2">
      <c r="A174" s="92">
        <v>159</v>
      </c>
      <c r="B174" s="92">
        <v>98</v>
      </c>
      <c r="C174" s="92">
        <v>99</v>
      </c>
      <c r="D174" s="39" t="s">
        <v>42</v>
      </c>
      <c r="E174" s="50" t="s">
        <v>146</v>
      </c>
      <c r="F174" s="50">
        <v>0</v>
      </c>
      <c r="G174" s="89">
        <v>0</v>
      </c>
      <c r="H174" s="89">
        <v>0</v>
      </c>
      <c r="I174" s="50" t="s">
        <v>32</v>
      </c>
      <c r="J174" s="50" t="s">
        <v>70</v>
      </c>
    </row>
    <row r="175" spans="1:10" x14ac:dyDescent="0.2">
      <c r="A175" s="92">
        <v>160</v>
      </c>
      <c r="B175" s="92">
        <v>99</v>
      </c>
      <c r="C175" s="92">
        <v>100</v>
      </c>
      <c r="D175" s="39" t="s">
        <v>42</v>
      </c>
      <c r="E175" s="50" t="s">
        <v>146</v>
      </c>
      <c r="F175" s="50">
        <v>0</v>
      </c>
      <c r="G175" s="89">
        <v>0</v>
      </c>
      <c r="H175" s="89">
        <v>0</v>
      </c>
      <c r="I175" s="50" t="s">
        <v>32</v>
      </c>
      <c r="J175" s="50" t="s">
        <v>70</v>
      </c>
    </row>
    <row r="176" spans="1:10" x14ac:dyDescent="0.2">
      <c r="A176" s="92">
        <v>161</v>
      </c>
      <c r="B176" s="92">
        <v>101</v>
      </c>
      <c r="C176" s="92">
        <v>102</v>
      </c>
      <c r="D176" s="39" t="s">
        <v>42</v>
      </c>
      <c r="E176" s="50" t="s">
        <v>146</v>
      </c>
      <c r="F176" s="50">
        <v>0</v>
      </c>
      <c r="G176" s="89">
        <v>0</v>
      </c>
      <c r="H176" s="89">
        <v>0</v>
      </c>
      <c r="I176" s="50" t="s">
        <v>32</v>
      </c>
      <c r="J176" s="50" t="s">
        <v>70</v>
      </c>
    </row>
    <row r="177" spans="1:10" x14ac:dyDescent="0.2">
      <c r="A177" s="92">
        <v>162</v>
      </c>
      <c r="B177" s="92">
        <v>102</v>
      </c>
      <c r="C177" s="92">
        <v>103</v>
      </c>
      <c r="D177" s="39" t="s">
        <v>42</v>
      </c>
      <c r="E177" s="50" t="s">
        <v>146</v>
      </c>
      <c r="F177" s="50">
        <v>0</v>
      </c>
      <c r="G177" s="89">
        <v>0</v>
      </c>
      <c r="H177" s="89">
        <v>0</v>
      </c>
      <c r="I177" s="50" t="s">
        <v>32</v>
      </c>
      <c r="J177" s="50" t="s">
        <v>70</v>
      </c>
    </row>
    <row r="178" spans="1:10" x14ac:dyDescent="0.2">
      <c r="A178" s="92">
        <v>163</v>
      </c>
      <c r="B178" s="92">
        <v>103</v>
      </c>
      <c r="C178" s="92">
        <v>104</v>
      </c>
      <c r="D178" s="39" t="s">
        <v>42</v>
      </c>
      <c r="E178" s="50" t="s">
        <v>146</v>
      </c>
      <c r="F178" s="50">
        <v>0</v>
      </c>
      <c r="G178" s="89">
        <v>0</v>
      </c>
      <c r="H178" s="89">
        <v>0</v>
      </c>
      <c r="I178" s="50" t="s">
        <v>32</v>
      </c>
      <c r="J178" s="50" t="s">
        <v>70</v>
      </c>
    </row>
    <row r="179" spans="1:10" x14ac:dyDescent="0.2">
      <c r="A179" s="92">
        <v>164</v>
      </c>
      <c r="B179" s="92">
        <v>104</v>
      </c>
      <c r="C179" s="92">
        <v>105</v>
      </c>
      <c r="D179" s="39" t="s">
        <v>42</v>
      </c>
      <c r="E179" s="50" t="s">
        <v>146</v>
      </c>
      <c r="F179" s="50">
        <v>0</v>
      </c>
      <c r="G179" s="89">
        <v>0</v>
      </c>
      <c r="H179" s="89">
        <v>0</v>
      </c>
      <c r="I179" s="50" t="s">
        <v>32</v>
      </c>
      <c r="J179" s="50" t="s">
        <v>70</v>
      </c>
    </row>
    <row r="180" spans="1:10" x14ac:dyDescent="0.2">
      <c r="A180" s="92">
        <v>165</v>
      </c>
      <c r="B180" s="92">
        <v>106</v>
      </c>
      <c r="C180" s="92">
        <v>107</v>
      </c>
      <c r="D180" s="39" t="s">
        <v>42</v>
      </c>
      <c r="E180" s="50" t="s">
        <v>146</v>
      </c>
      <c r="F180" s="50">
        <v>0</v>
      </c>
      <c r="G180" s="89">
        <v>0</v>
      </c>
      <c r="H180" s="89">
        <v>0</v>
      </c>
      <c r="I180" s="50" t="s">
        <v>32</v>
      </c>
      <c r="J180" s="50" t="s">
        <v>70</v>
      </c>
    </row>
    <row r="181" spans="1:10" x14ac:dyDescent="0.2">
      <c r="A181" s="92">
        <v>166</v>
      </c>
      <c r="B181" s="92">
        <v>107</v>
      </c>
      <c r="C181" s="92">
        <v>108</v>
      </c>
      <c r="D181" s="39" t="s">
        <v>42</v>
      </c>
      <c r="E181" s="50" t="s">
        <v>146</v>
      </c>
      <c r="F181" s="50">
        <v>0</v>
      </c>
      <c r="G181" s="89">
        <v>0</v>
      </c>
      <c r="H181" s="89">
        <v>0</v>
      </c>
      <c r="I181" s="50" t="s">
        <v>32</v>
      </c>
      <c r="J181" s="50" t="s">
        <v>70</v>
      </c>
    </row>
    <row r="182" spans="1:10" x14ac:dyDescent="0.2">
      <c r="A182" s="92">
        <v>167</v>
      </c>
      <c r="B182" s="92">
        <v>108</v>
      </c>
      <c r="C182" s="92">
        <v>109</v>
      </c>
      <c r="D182" s="39" t="s">
        <v>42</v>
      </c>
      <c r="E182" s="50" t="s">
        <v>146</v>
      </c>
      <c r="F182" s="50">
        <v>0</v>
      </c>
      <c r="G182" s="89">
        <v>0</v>
      </c>
      <c r="H182" s="89">
        <v>0</v>
      </c>
      <c r="I182" s="50" t="s">
        <v>32</v>
      </c>
      <c r="J182" s="50" t="s">
        <v>70</v>
      </c>
    </row>
    <row r="183" spans="1:10" x14ac:dyDescent="0.2">
      <c r="A183" s="92">
        <v>168</v>
      </c>
      <c r="B183" s="92">
        <v>109</v>
      </c>
      <c r="C183" s="92">
        <v>110</v>
      </c>
      <c r="D183" s="39" t="s">
        <v>42</v>
      </c>
      <c r="E183" s="50" t="s">
        <v>146</v>
      </c>
      <c r="F183" s="50">
        <v>0</v>
      </c>
      <c r="G183" s="89">
        <v>0</v>
      </c>
      <c r="H183" s="89">
        <v>0</v>
      </c>
      <c r="I183" s="50" t="s">
        <v>32</v>
      </c>
      <c r="J183" s="50" t="s">
        <v>70</v>
      </c>
    </row>
    <row r="184" spans="1:10" x14ac:dyDescent="0.2">
      <c r="A184" s="92">
        <v>169</v>
      </c>
      <c r="B184" s="92">
        <v>111</v>
      </c>
      <c r="C184" s="92">
        <v>112</v>
      </c>
      <c r="D184" s="39" t="s">
        <v>42</v>
      </c>
      <c r="E184" s="50" t="s">
        <v>146</v>
      </c>
      <c r="F184" s="50">
        <v>0</v>
      </c>
      <c r="G184" s="89">
        <v>0</v>
      </c>
      <c r="H184" s="89">
        <v>0</v>
      </c>
      <c r="I184" s="50" t="s">
        <v>32</v>
      </c>
      <c r="J184" s="50" t="s">
        <v>70</v>
      </c>
    </row>
    <row r="185" spans="1:10" x14ac:dyDescent="0.2">
      <c r="A185" s="92">
        <v>170</v>
      </c>
      <c r="B185" s="92">
        <v>112</v>
      </c>
      <c r="C185" s="92">
        <v>113</v>
      </c>
      <c r="D185" s="39" t="s">
        <v>42</v>
      </c>
      <c r="E185" s="50" t="s">
        <v>146</v>
      </c>
      <c r="F185" s="50">
        <v>0</v>
      </c>
      <c r="G185" s="89">
        <v>0</v>
      </c>
      <c r="H185" s="89">
        <v>0</v>
      </c>
      <c r="I185" s="50" t="s">
        <v>32</v>
      </c>
      <c r="J185" s="50" t="s">
        <v>70</v>
      </c>
    </row>
    <row r="186" spans="1:10" x14ac:dyDescent="0.2">
      <c r="A186" s="92">
        <v>171</v>
      </c>
      <c r="B186" s="92">
        <v>113</v>
      </c>
      <c r="C186" s="92">
        <v>114</v>
      </c>
      <c r="D186" s="39" t="s">
        <v>42</v>
      </c>
      <c r="E186" s="50" t="s">
        <v>146</v>
      </c>
      <c r="F186" s="50">
        <v>0</v>
      </c>
      <c r="G186" s="89">
        <v>0</v>
      </c>
      <c r="H186" s="89">
        <v>0</v>
      </c>
      <c r="I186" s="50" t="s">
        <v>32</v>
      </c>
      <c r="J186" s="50" t="s">
        <v>70</v>
      </c>
    </row>
    <row r="187" spans="1:10" x14ac:dyDescent="0.2">
      <c r="A187" s="92">
        <v>172</v>
      </c>
      <c r="B187" s="92">
        <v>114</v>
      </c>
      <c r="C187" s="92">
        <v>115</v>
      </c>
      <c r="D187" s="39" t="s">
        <v>42</v>
      </c>
      <c r="E187" s="50" t="s">
        <v>146</v>
      </c>
      <c r="F187" s="50">
        <v>0</v>
      </c>
      <c r="G187" s="89">
        <v>0</v>
      </c>
      <c r="H187" s="89">
        <v>0</v>
      </c>
      <c r="I187" s="50" t="s">
        <v>32</v>
      </c>
      <c r="J187" s="50" t="s">
        <v>70</v>
      </c>
    </row>
    <row r="188" spans="1:10" x14ac:dyDescent="0.2">
      <c r="A188" s="92">
        <v>173</v>
      </c>
      <c r="B188" s="92">
        <v>116</v>
      </c>
      <c r="C188" s="92">
        <v>117</v>
      </c>
      <c r="D188" s="39" t="s">
        <v>42</v>
      </c>
      <c r="E188" s="50" t="s">
        <v>146</v>
      </c>
      <c r="F188" s="50">
        <v>0</v>
      </c>
      <c r="G188" s="89">
        <v>0</v>
      </c>
      <c r="H188" s="89">
        <v>0</v>
      </c>
      <c r="I188" s="50" t="s">
        <v>32</v>
      </c>
      <c r="J188" s="50" t="s">
        <v>70</v>
      </c>
    </row>
    <row r="189" spans="1:10" x14ac:dyDescent="0.2">
      <c r="A189" s="92">
        <v>174</v>
      </c>
      <c r="B189" s="92">
        <v>117</v>
      </c>
      <c r="C189" s="92">
        <v>118</v>
      </c>
      <c r="D189" s="39" t="s">
        <v>42</v>
      </c>
      <c r="E189" s="50" t="s">
        <v>146</v>
      </c>
      <c r="F189" s="50">
        <v>0</v>
      </c>
      <c r="G189" s="89">
        <v>0</v>
      </c>
      <c r="H189" s="89">
        <v>0</v>
      </c>
      <c r="I189" s="50" t="s">
        <v>32</v>
      </c>
      <c r="J189" s="50" t="s">
        <v>70</v>
      </c>
    </row>
    <row r="190" spans="1:10" x14ac:dyDescent="0.2">
      <c r="A190" s="92">
        <v>175</v>
      </c>
      <c r="B190" s="92">
        <v>118</v>
      </c>
      <c r="C190" s="92">
        <v>119</v>
      </c>
      <c r="D190" s="39" t="s">
        <v>42</v>
      </c>
      <c r="E190" s="50" t="s">
        <v>146</v>
      </c>
      <c r="F190" s="50">
        <v>0</v>
      </c>
      <c r="G190" s="89">
        <v>0</v>
      </c>
      <c r="H190" s="89">
        <v>0</v>
      </c>
      <c r="I190" s="50" t="s">
        <v>32</v>
      </c>
      <c r="J190" s="50" t="s">
        <v>70</v>
      </c>
    </row>
    <row r="191" spans="1:10" x14ac:dyDescent="0.2">
      <c r="A191" s="92">
        <v>176</v>
      </c>
      <c r="B191" s="92">
        <v>119</v>
      </c>
      <c r="C191" s="92">
        <v>120</v>
      </c>
      <c r="D191" s="39" t="s">
        <v>42</v>
      </c>
      <c r="E191" s="50" t="s">
        <v>146</v>
      </c>
      <c r="F191" s="50">
        <v>0</v>
      </c>
      <c r="G191" s="89">
        <v>0</v>
      </c>
      <c r="H191" s="89">
        <v>0</v>
      </c>
      <c r="I191" s="50" t="s">
        <v>32</v>
      </c>
      <c r="J191" s="50" t="s">
        <v>70</v>
      </c>
    </row>
    <row r="192" spans="1:10" x14ac:dyDescent="0.2">
      <c r="A192" s="92">
        <v>177</v>
      </c>
      <c r="B192" s="92">
        <v>121</v>
      </c>
      <c r="C192" s="92">
        <v>122</v>
      </c>
      <c r="D192" s="39" t="s">
        <v>42</v>
      </c>
      <c r="E192" s="50" t="s">
        <v>146</v>
      </c>
      <c r="F192" s="50">
        <v>0</v>
      </c>
      <c r="G192" s="89">
        <v>0</v>
      </c>
      <c r="H192" s="89">
        <v>0</v>
      </c>
      <c r="I192" s="50" t="s">
        <v>32</v>
      </c>
      <c r="J192" s="50" t="s">
        <v>70</v>
      </c>
    </row>
    <row r="193" spans="1:10" x14ac:dyDescent="0.2">
      <c r="A193" s="92">
        <v>178</v>
      </c>
      <c r="B193" s="92">
        <v>122</v>
      </c>
      <c r="C193" s="92">
        <v>123</v>
      </c>
      <c r="D193" s="39" t="s">
        <v>42</v>
      </c>
      <c r="E193" s="50" t="s">
        <v>146</v>
      </c>
      <c r="F193" s="50">
        <v>0</v>
      </c>
      <c r="G193" s="89">
        <v>0</v>
      </c>
      <c r="H193" s="89">
        <v>0</v>
      </c>
      <c r="I193" s="50" t="s">
        <v>32</v>
      </c>
      <c r="J193" s="50" t="s">
        <v>70</v>
      </c>
    </row>
    <row r="194" spans="1:10" x14ac:dyDescent="0.2">
      <c r="A194" s="92">
        <v>179</v>
      </c>
      <c r="B194" s="92">
        <v>123</v>
      </c>
      <c r="C194" s="92">
        <v>124</v>
      </c>
      <c r="D194" s="39" t="s">
        <v>42</v>
      </c>
      <c r="E194" s="50" t="s">
        <v>146</v>
      </c>
      <c r="F194" s="50">
        <v>0</v>
      </c>
      <c r="G194" s="89">
        <v>0</v>
      </c>
      <c r="H194" s="89">
        <v>0</v>
      </c>
      <c r="I194" s="50" t="s">
        <v>32</v>
      </c>
      <c r="J194" s="50" t="s">
        <v>70</v>
      </c>
    </row>
    <row r="195" spans="1:10" x14ac:dyDescent="0.2">
      <c r="A195" s="92">
        <v>180</v>
      </c>
      <c r="B195" s="92">
        <v>124</v>
      </c>
      <c r="C195" s="92">
        <v>125</v>
      </c>
      <c r="D195" s="39" t="s">
        <v>42</v>
      </c>
      <c r="E195" s="50" t="s">
        <v>146</v>
      </c>
      <c r="F195" s="50">
        <v>0</v>
      </c>
      <c r="G195" s="89">
        <v>0</v>
      </c>
      <c r="H195" s="89">
        <v>0</v>
      </c>
      <c r="I195" s="50" t="s">
        <v>32</v>
      </c>
      <c r="J195" s="50" t="s">
        <v>70</v>
      </c>
    </row>
    <row r="196" spans="1:10" x14ac:dyDescent="0.2">
      <c r="A196" s="92">
        <v>181</v>
      </c>
      <c r="B196" s="92">
        <v>26</v>
      </c>
      <c r="C196" s="92">
        <v>31</v>
      </c>
      <c r="D196" s="39" t="s">
        <v>42</v>
      </c>
      <c r="E196" s="50" t="s">
        <v>146</v>
      </c>
      <c r="F196" s="50">
        <v>0</v>
      </c>
      <c r="G196" s="89">
        <v>0</v>
      </c>
      <c r="H196" s="89">
        <v>0</v>
      </c>
      <c r="I196" s="50" t="s">
        <v>32</v>
      </c>
      <c r="J196" s="50" t="s">
        <v>70</v>
      </c>
    </row>
    <row r="197" spans="1:10" x14ac:dyDescent="0.2">
      <c r="A197" s="92">
        <v>182</v>
      </c>
      <c r="B197" s="92">
        <v>27</v>
      </c>
      <c r="C197" s="92">
        <v>32</v>
      </c>
      <c r="D197" s="39" t="s">
        <v>42</v>
      </c>
      <c r="E197" s="50" t="s">
        <v>146</v>
      </c>
      <c r="F197" s="50">
        <v>0</v>
      </c>
      <c r="G197" s="89">
        <v>0</v>
      </c>
      <c r="H197" s="89">
        <v>0</v>
      </c>
      <c r="I197" s="50" t="s">
        <v>32</v>
      </c>
      <c r="J197" s="50" t="s">
        <v>70</v>
      </c>
    </row>
    <row r="198" spans="1:10" x14ac:dyDescent="0.2">
      <c r="A198" s="92">
        <v>183</v>
      </c>
      <c r="B198" s="92">
        <v>28</v>
      </c>
      <c r="C198" s="92">
        <v>33</v>
      </c>
      <c r="D198" s="39" t="s">
        <v>42</v>
      </c>
      <c r="E198" s="50" t="s">
        <v>146</v>
      </c>
      <c r="F198" s="50">
        <v>0</v>
      </c>
      <c r="G198" s="89">
        <v>0</v>
      </c>
      <c r="H198" s="89">
        <v>0</v>
      </c>
      <c r="I198" s="50" t="s">
        <v>32</v>
      </c>
      <c r="J198" s="50" t="s">
        <v>70</v>
      </c>
    </row>
    <row r="199" spans="1:10" x14ac:dyDescent="0.2">
      <c r="A199" s="92">
        <v>184</v>
      </c>
      <c r="B199" s="92">
        <v>29</v>
      </c>
      <c r="C199" s="92">
        <v>34</v>
      </c>
      <c r="D199" s="39" t="s">
        <v>42</v>
      </c>
      <c r="E199" s="50" t="s">
        <v>146</v>
      </c>
      <c r="F199" s="50">
        <v>0</v>
      </c>
      <c r="G199" s="89">
        <v>0</v>
      </c>
      <c r="H199" s="89">
        <v>0</v>
      </c>
      <c r="I199" s="50" t="s">
        <v>32</v>
      </c>
      <c r="J199" s="50" t="s">
        <v>70</v>
      </c>
    </row>
    <row r="200" spans="1:10" x14ac:dyDescent="0.2">
      <c r="A200" s="92">
        <v>185</v>
      </c>
      <c r="B200" s="92">
        <v>30</v>
      </c>
      <c r="C200" s="92">
        <v>35</v>
      </c>
      <c r="D200" s="39" t="s">
        <v>42</v>
      </c>
      <c r="E200" s="50" t="s">
        <v>146</v>
      </c>
      <c r="F200" s="50">
        <v>0</v>
      </c>
      <c r="G200" s="89">
        <v>0</v>
      </c>
      <c r="H200" s="89">
        <v>0</v>
      </c>
      <c r="I200" s="50" t="s">
        <v>32</v>
      </c>
      <c r="J200" s="50" t="s">
        <v>70</v>
      </c>
    </row>
    <row r="201" spans="1:10" x14ac:dyDescent="0.2">
      <c r="A201" s="92">
        <v>186</v>
      </c>
      <c r="B201" s="92">
        <v>31</v>
      </c>
      <c r="C201" s="92">
        <v>36</v>
      </c>
      <c r="D201" s="39" t="s">
        <v>42</v>
      </c>
      <c r="E201" s="50" t="s">
        <v>146</v>
      </c>
      <c r="F201" s="50">
        <v>0</v>
      </c>
      <c r="G201" s="89">
        <v>0</v>
      </c>
      <c r="H201" s="89">
        <v>0</v>
      </c>
      <c r="I201" s="50" t="s">
        <v>32</v>
      </c>
      <c r="J201" s="50" t="s">
        <v>70</v>
      </c>
    </row>
    <row r="202" spans="1:10" x14ac:dyDescent="0.2">
      <c r="A202" s="92">
        <v>187</v>
      </c>
      <c r="B202" s="92">
        <v>32</v>
      </c>
      <c r="C202" s="92">
        <v>37</v>
      </c>
      <c r="D202" s="39" t="s">
        <v>42</v>
      </c>
      <c r="E202" s="50" t="s">
        <v>146</v>
      </c>
      <c r="F202" s="50">
        <v>0</v>
      </c>
      <c r="G202" s="89">
        <v>0</v>
      </c>
      <c r="H202" s="89">
        <v>0</v>
      </c>
      <c r="I202" s="50" t="s">
        <v>32</v>
      </c>
      <c r="J202" s="50" t="s">
        <v>70</v>
      </c>
    </row>
    <row r="203" spans="1:10" x14ac:dyDescent="0.2">
      <c r="A203" s="92">
        <v>188</v>
      </c>
      <c r="B203" s="92">
        <v>33</v>
      </c>
      <c r="C203" s="92">
        <v>38</v>
      </c>
      <c r="D203" s="39" t="s">
        <v>42</v>
      </c>
      <c r="E203" s="50" t="s">
        <v>146</v>
      </c>
      <c r="F203" s="50">
        <v>0</v>
      </c>
      <c r="G203" s="89">
        <v>0</v>
      </c>
      <c r="H203" s="89">
        <v>0</v>
      </c>
      <c r="I203" s="50" t="s">
        <v>32</v>
      </c>
      <c r="J203" s="50" t="s">
        <v>70</v>
      </c>
    </row>
    <row r="204" spans="1:10" x14ac:dyDescent="0.2">
      <c r="A204" s="92">
        <v>189</v>
      </c>
      <c r="B204" s="92">
        <v>34</v>
      </c>
      <c r="C204" s="92">
        <v>39</v>
      </c>
      <c r="D204" s="39" t="s">
        <v>42</v>
      </c>
      <c r="E204" s="50" t="s">
        <v>146</v>
      </c>
      <c r="F204" s="50">
        <v>0</v>
      </c>
      <c r="G204" s="89">
        <v>0</v>
      </c>
      <c r="H204" s="89">
        <v>0</v>
      </c>
      <c r="I204" s="50" t="s">
        <v>32</v>
      </c>
      <c r="J204" s="50" t="s">
        <v>70</v>
      </c>
    </row>
    <row r="205" spans="1:10" x14ac:dyDescent="0.2">
      <c r="A205" s="92">
        <v>190</v>
      </c>
      <c r="B205" s="92">
        <v>35</v>
      </c>
      <c r="C205" s="92">
        <v>40</v>
      </c>
      <c r="D205" s="39" t="s">
        <v>42</v>
      </c>
      <c r="E205" s="50" t="s">
        <v>146</v>
      </c>
      <c r="F205" s="50">
        <v>0</v>
      </c>
      <c r="G205" s="89">
        <v>0</v>
      </c>
      <c r="H205" s="89">
        <v>0</v>
      </c>
      <c r="I205" s="50" t="s">
        <v>32</v>
      </c>
      <c r="J205" s="50" t="s">
        <v>70</v>
      </c>
    </row>
    <row r="206" spans="1:10" x14ac:dyDescent="0.2">
      <c r="A206" s="92">
        <v>191</v>
      </c>
      <c r="B206" s="92">
        <v>36</v>
      </c>
      <c r="C206" s="92">
        <v>41</v>
      </c>
      <c r="D206" s="39" t="s">
        <v>42</v>
      </c>
      <c r="E206" s="50" t="s">
        <v>146</v>
      </c>
      <c r="F206" s="50">
        <v>0</v>
      </c>
      <c r="G206" s="89">
        <v>0</v>
      </c>
      <c r="H206" s="89">
        <v>0</v>
      </c>
      <c r="I206" s="50" t="s">
        <v>32</v>
      </c>
      <c r="J206" s="50" t="s">
        <v>70</v>
      </c>
    </row>
    <row r="207" spans="1:10" x14ac:dyDescent="0.2">
      <c r="A207" s="92">
        <v>192</v>
      </c>
      <c r="B207" s="92">
        <v>37</v>
      </c>
      <c r="C207" s="92">
        <v>42</v>
      </c>
      <c r="D207" s="39" t="s">
        <v>42</v>
      </c>
      <c r="E207" s="50" t="s">
        <v>146</v>
      </c>
      <c r="F207" s="50">
        <v>0</v>
      </c>
      <c r="G207" s="89">
        <v>0</v>
      </c>
      <c r="H207" s="89">
        <v>0</v>
      </c>
      <c r="I207" s="50" t="s">
        <v>32</v>
      </c>
      <c r="J207" s="50" t="s">
        <v>70</v>
      </c>
    </row>
    <row r="208" spans="1:10" x14ac:dyDescent="0.2">
      <c r="A208" s="92">
        <v>193</v>
      </c>
      <c r="B208" s="92">
        <v>38</v>
      </c>
      <c r="C208" s="92">
        <v>43</v>
      </c>
      <c r="D208" s="39" t="s">
        <v>42</v>
      </c>
      <c r="E208" s="50" t="s">
        <v>146</v>
      </c>
      <c r="F208" s="50">
        <v>0</v>
      </c>
      <c r="G208" s="89">
        <v>0</v>
      </c>
      <c r="H208" s="89">
        <v>0</v>
      </c>
      <c r="I208" s="50" t="s">
        <v>32</v>
      </c>
      <c r="J208" s="50" t="s">
        <v>70</v>
      </c>
    </row>
    <row r="209" spans="1:10" x14ac:dyDescent="0.2">
      <c r="A209" s="92">
        <v>194</v>
      </c>
      <c r="B209" s="92">
        <v>39</v>
      </c>
      <c r="C209" s="92">
        <v>44</v>
      </c>
      <c r="D209" s="39" t="s">
        <v>42</v>
      </c>
      <c r="E209" s="50" t="s">
        <v>146</v>
      </c>
      <c r="F209" s="50">
        <v>0</v>
      </c>
      <c r="G209" s="89">
        <v>0</v>
      </c>
      <c r="H209" s="89">
        <v>0</v>
      </c>
      <c r="I209" s="50" t="s">
        <v>32</v>
      </c>
      <c r="J209" s="50" t="s">
        <v>70</v>
      </c>
    </row>
    <row r="210" spans="1:10" x14ac:dyDescent="0.2">
      <c r="A210" s="92">
        <v>195</v>
      </c>
      <c r="B210" s="92">
        <v>40</v>
      </c>
      <c r="C210" s="92">
        <v>45</v>
      </c>
      <c r="D210" s="39" t="s">
        <v>42</v>
      </c>
      <c r="E210" s="50" t="s">
        <v>146</v>
      </c>
      <c r="F210" s="50">
        <v>0</v>
      </c>
      <c r="G210" s="89">
        <v>0</v>
      </c>
      <c r="H210" s="89">
        <v>0</v>
      </c>
      <c r="I210" s="50" t="s">
        <v>32</v>
      </c>
      <c r="J210" s="50" t="s">
        <v>70</v>
      </c>
    </row>
    <row r="211" spans="1:10" x14ac:dyDescent="0.2">
      <c r="A211" s="92">
        <v>196</v>
      </c>
      <c r="B211" s="92">
        <v>41</v>
      </c>
      <c r="C211" s="92">
        <v>46</v>
      </c>
      <c r="D211" s="39" t="s">
        <v>42</v>
      </c>
      <c r="E211" s="50" t="s">
        <v>146</v>
      </c>
      <c r="F211" s="50">
        <v>0</v>
      </c>
      <c r="G211" s="89">
        <v>0</v>
      </c>
      <c r="H211" s="89">
        <v>0</v>
      </c>
      <c r="I211" s="50" t="s">
        <v>32</v>
      </c>
      <c r="J211" s="50" t="s">
        <v>70</v>
      </c>
    </row>
    <row r="212" spans="1:10" x14ac:dyDescent="0.2">
      <c r="A212" s="92">
        <v>197</v>
      </c>
      <c r="B212" s="92">
        <v>42</v>
      </c>
      <c r="C212" s="92">
        <v>47</v>
      </c>
      <c r="D212" s="39" t="s">
        <v>42</v>
      </c>
      <c r="E212" s="50" t="s">
        <v>146</v>
      </c>
      <c r="F212" s="50">
        <v>0</v>
      </c>
      <c r="G212" s="89">
        <v>0</v>
      </c>
      <c r="H212" s="89">
        <v>0</v>
      </c>
      <c r="I212" s="50" t="s">
        <v>32</v>
      </c>
      <c r="J212" s="50" t="s">
        <v>70</v>
      </c>
    </row>
    <row r="213" spans="1:10" x14ac:dyDescent="0.2">
      <c r="A213" s="92">
        <v>198</v>
      </c>
      <c r="B213" s="92">
        <v>43</v>
      </c>
      <c r="C213" s="92">
        <v>48</v>
      </c>
      <c r="D213" s="39" t="s">
        <v>42</v>
      </c>
      <c r="E213" s="50" t="s">
        <v>146</v>
      </c>
      <c r="F213" s="50">
        <v>0</v>
      </c>
      <c r="G213" s="89">
        <v>0</v>
      </c>
      <c r="H213" s="89">
        <v>0</v>
      </c>
      <c r="I213" s="50" t="s">
        <v>32</v>
      </c>
      <c r="J213" s="50" t="s">
        <v>70</v>
      </c>
    </row>
    <row r="214" spans="1:10" x14ac:dyDescent="0.2">
      <c r="A214" s="92">
        <v>199</v>
      </c>
      <c r="B214" s="92">
        <v>44</v>
      </c>
      <c r="C214" s="92">
        <v>49</v>
      </c>
      <c r="D214" s="39" t="s">
        <v>42</v>
      </c>
      <c r="E214" s="50" t="s">
        <v>146</v>
      </c>
      <c r="F214" s="50">
        <v>0</v>
      </c>
      <c r="G214" s="89">
        <v>0</v>
      </c>
      <c r="H214" s="89">
        <v>0</v>
      </c>
      <c r="I214" s="50" t="s">
        <v>32</v>
      </c>
      <c r="J214" s="50" t="s">
        <v>70</v>
      </c>
    </row>
    <row r="215" spans="1:10" x14ac:dyDescent="0.2">
      <c r="A215" s="92">
        <v>200</v>
      </c>
      <c r="B215" s="92">
        <v>45</v>
      </c>
      <c r="C215" s="92">
        <v>50</v>
      </c>
      <c r="D215" s="39" t="s">
        <v>42</v>
      </c>
      <c r="E215" s="50" t="s">
        <v>146</v>
      </c>
      <c r="F215" s="50">
        <v>0</v>
      </c>
      <c r="G215" s="89">
        <v>0</v>
      </c>
      <c r="H215" s="89">
        <v>0</v>
      </c>
      <c r="I215" s="50" t="s">
        <v>32</v>
      </c>
      <c r="J215" s="50" t="s">
        <v>70</v>
      </c>
    </row>
    <row r="216" spans="1:10" x14ac:dyDescent="0.2">
      <c r="A216" s="92">
        <v>201</v>
      </c>
      <c r="B216" s="92">
        <v>51</v>
      </c>
      <c r="C216" s="92">
        <v>56</v>
      </c>
      <c r="D216" s="39" t="s">
        <v>42</v>
      </c>
      <c r="E216" s="50" t="s">
        <v>146</v>
      </c>
      <c r="F216" s="50">
        <v>0</v>
      </c>
      <c r="G216" s="89">
        <v>0</v>
      </c>
      <c r="H216" s="89">
        <v>0</v>
      </c>
      <c r="I216" s="50" t="s">
        <v>32</v>
      </c>
      <c r="J216" s="50" t="s">
        <v>70</v>
      </c>
    </row>
    <row r="217" spans="1:10" x14ac:dyDescent="0.2">
      <c r="A217" s="92">
        <v>202</v>
      </c>
      <c r="B217" s="92">
        <v>52</v>
      </c>
      <c r="C217" s="92">
        <v>57</v>
      </c>
      <c r="D217" s="39" t="s">
        <v>42</v>
      </c>
      <c r="E217" s="50" t="s">
        <v>146</v>
      </c>
      <c r="F217" s="50">
        <v>0</v>
      </c>
      <c r="G217" s="89">
        <v>0</v>
      </c>
      <c r="H217" s="89">
        <v>0</v>
      </c>
      <c r="I217" s="50" t="s">
        <v>32</v>
      </c>
      <c r="J217" s="50" t="s">
        <v>70</v>
      </c>
    </row>
    <row r="218" spans="1:10" x14ac:dyDescent="0.2">
      <c r="A218" s="92">
        <v>203</v>
      </c>
      <c r="B218" s="92">
        <v>53</v>
      </c>
      <c r="C218" s="92">
        <v>58</v>
      </c>
      <c r="D218" s="39" t="s">
        <v>42</v>
      </c>
      <c r="E218" s="50" t="s">
        <v>146</v>
      </c>
      <c r="F218" s="50">
        <v>0</v>
      </c>
      <c r="G218" s="89">
        <v>0</v>
      </c>
      <c r="H218" s="89">
        <v>0</v>
      </c>
      <c r="I218" s="50" t="s">
        <v>32</v>
      </c>
      <c r="J218" s="50" t="s">
        <v>70</v>
      </c>
    </row>
    <row r="219" spans="1:10" x14ac:dyDescent="0.2">
      <c r="A219" s="92">
        <v>204</v>
      </c>
      <c r="B219" s="92">
        <v>54</v>
      </c>
      <c r="C219" s="92">
        <v>59</v>
      </c>
      <c r="D219" s="39" t="s">
        <v>42</v>
      </c>
      <c r="E219" s="50" t="s">
        <v>146</v>
      </c>
      <c r="F219" s="50">
        <v>0</v>
      </c>
      <c r="G219" s="89">
        <v>0</v>
      </c>
      <c r="H219" s="89">
        <v>0</v>
      </c>
      <c r="I219" s="50" t="s">
        <v>32</v>
      </c>
      <c r="J219" s="50" t="s">
        <v>70</v>
      </c>
    </row>
    <row r="220" spans="1:10" x14ac:dyDescent="0.2">
      <c r="A220" s="92">
        <v>205</v>
      </c>
      <c r="B220" s="92">
        <v>55</v>
      </c>
      <c r="C220" s="92">
        <v>60</v>
      </c>
      <c r="D220" s="39" t="s">
        <v>42</v>
      </c>
      <c r="E220" s="50" t="s">
        <v>146</v>
      </c>
      <c r="F220" s="50">
        <v>0</v>
      </c>
      <c r="G220" s="89">
        <v>0</v>
      </c>
      <c r="H220" s="89">
        <v>0</v>
      </c>
      <c r="I220" s="50" t="s">
        <v>32</v>
      </c>
      <c r="J220" s="50" t="s">
        <v>70</v>
      </c>
    </row>
    <row r="221" spans="1:10" x14ac:dyDescent="0.2">
      <c r="A221" s="92">
        <v>206</v>
      </c>
      <c r="B221" s="92">
        <v>56</v>
      </c>
      <c r="C221" s="92">
        <v>61</v>
      </c>
      <c r="D221" s="39" t="s">
        <v>42</v>
      </c>
      <c r="E221" s="50" t="s">
        <v>146</v>
      </c>
      <c r="F221" s="50">
        <v>0</v>
      </c>
      <c r="G221" s="89">
        <v>0</v>
      </c>
      <c r="H221" s="89">
        <v>0</v>
      </c>
      <c r="I221" s="50" t="s">
        <v>32</v>
      </c>
      <c r="J221" s="50" t="s">
        <v>70</v>
      </c>
    </row>
    <row r="222" spans="1:10" x14ac:dyDescent="0.2">
      <c r="A222" s="92">
        <v>207</v>
      </c>
      <c r="B222" s="92">
        <v>57</v>
      </c>
      <c r="C222" s="92">
        <v>62</v>
      </c>
      <c r="D222" s="39" t="s">
        <v>42</v>
      </c>
      <c r="E222" s="50" t="s">
        <v>146</v>
      </c>
      <c r="F222" s="50">
        <v>0</v>
      </c>
      <c r="G222" s="89">
        <v>0</v>
      </c>
      <c r="H222" s="89">
        <v>0</v>
      </c>
      <c r="I222" s="50" t="s">
        <v>32</v>
      </c>
      <c r="J222" s="50" t="s">
        <v>70</v>
      </c>
    </row>
    <row r="223" spans="1:10" x14ac:dyDescent="0.2">
      <c r="A223" s="92">
        <v>208</v>
      </c>
      <c r="B223" s="92">
        <v>58</v>
      </c>
      <c r="C223" s="92">
        <v>63</v>
      </c>
      <c r="D223" s="39" t="s">
        <v>42</v>
      </c>
      <c r="E223" s="50" t="s">
        <v>146</v>
      </c>
      <c r="F223" s="50">
        <v>0</v>
      </c>
      <c r="G223" s="89">
        <v>0</v>
      </c>
      <c r="H223" s="89">
        <v>0</v>
      </c>
      <c r="I223" s="50" t="s">
        <v>32</v>
      </c>
      <c r="J223" s="50" t="s">
        <v>70</v>
      </c>
    </row>
    <row r="224" spans="1:10" x14ac:dyDescent="0.2">
      <c r="A224" s="92">
        <v>209</v>
      </c>
      <c r="B224" s="92">
        <v>59</v>
      </c>
      <c r="C224" s="92">
        <v>64</v>
      </c>
      <c r="D224" s="39" t="s">
        <v>42</v>
      </c>
      <c r="E224" s="50" t="s">
        <v>146</v>
      </c>
      <c r="F224" s="50">
        <v>0</v>
      </c>
      <c r="G224" s="89">
        <v>0</v>
      </c>
      <c r="H224" s="89">
        <v>0</v>
      </c>
      <c r="I224" s="50" t="s">
        <v>32</v>
      </c>
      <c r="J224" s="50" t="s">
        <v>70</v>
      </c>
    </row>
    <row r="225" spans="1:10" x14ac:dyDescent="0.2">
      <c r="A225" s="92">
        <v>210</v>
      </c>
      <c r="B225" s="92">
        <v>60</v>
      </c>
      <c r="C225" s="92">
        <v>65</v>
      </c>
      <c r="D225" s="39" t="s">
        <v>42</v>
      </c>
      <c r="E225" s="50" t="s">
        <v>146</v>
      </c>
      <c r="F225" s="50">
        <v>0</v>
      </c>
      <c r="G225" s="89">
        <v>0</v>
      </c>
      <c r="H225" s="89">
        <v>0</v>
      </c>
      <c r="I225" s="50" t="s">
        <v>32</v>
      </c>
      <c r="J225" s="50" t="s">
        <v>70</v>
      </c>
    </row>
    <row r="226" spans="1:10" x14ac:dyDescent="0.2">
      <c r="A226" s="92">
        <v>211</v>
      </c>
      <c r="B226" s="92">
        <v>61</v>
      </c>
      <c r="C226" s="92">
        <v>66</v>
      </c>
      <c r="D226" s="39" t="s">
        <v>42</v>
      </c>
      <c r="E226" s="50" t="s">
        <v>146</v>
      </c>
      <c r="F226" s="50">
        <v>0</v>
      </c>
      <c r="G226" s="89">
        <v>0</v>
      </c>
      <c r="H226" s="89">
        <v>0</v>
      </c>
      <c r="I226" s="50" t="s">
        <v>32</v>
      </c>
      <c r="J226" s="50" t="s">
        <v>70</v>
      </c>
    </row>
    <row r="227" spans="1:10" x14ac:dyDescent="0.2">
      <c r="A227" s="92">
        <v>212</v>
      </c>
      <c r="B227" s="92">
        <v>62</v>
      </c>
      <c r="C227" s="92">
        <v>67</v>
      </c>
      <c r="D227" s="39" t="s">
        <v>42</v>
      </c>
      <c r="E227" s="50" t="s">
        <v>146</v>
      </c>
      <c r="F227" s="50">
        <v>0</v>
      </c>
      <c r="G227" s="89">
        <v>0</v>
      </c>
      <c r="H227" s="89">
        <v>0</v>
      </c>
      <c r="I227" s="50" t="s">
        <v>32</v>
      </c>
      <c r="J227" s="50" t="s">
        <v>70</v>
      </c>
    </row>
    <row r="228" spans="1:10" x14ac:dyDescent="0.2">
      <c r="A228" s="92">
        <v>213</v>
      </c>
      <c r="B228" s="92">
        <v>63</v>
      </c>
      <c r="C228" s="92">
        <v>68</v>
      </c>
      <c r="D228" s="39" t="s">
        <v>42</v>
      </c>
      <c r="E228" s="50" t="s">
        <v>146</v>
      </c>
      <c r="F228" s="50">
        <v>0</v>
      </c>
      <c r="G228" s="89">
        <v>0</v>
      </c>
      <c r="H228" s="89">
        <v>0</v>
      </c>
      <c r="I228" s="50" t="s">
        <v>32</v>
      </c>
      <c r="J228" s="50" t="s">
        <v>70</v>
      </c>
    </row>
    <row r="229" spans="1:10" x14ac:dyDescent="0.2">
      <c r="A229" s="92">
        <v>214</v>
      </c>
      <c r="B229" s="92">
        <v>64</v>
      </c>
      <c r="C229" s="92">
        <v>69</v>
      </c>
      <c r="D229" s="39" t="s">
        <v>42</v>
      </c>
      <c r="E229" s="50" t="s">
        <v>146</v>
      </c>
      <c r="F229" s="50">
        <v>0</v>
      </c>
      <c r="G229" s="89">
        <v>0</v>
      </c>
      <c r="H229" s="89">
        <v>0</v>
      </c>
      <c r="I229" s="50" t="s">
        <v>32</v>
      </c>
      <c r="J229" s="50" t="s">
        <v>70</v>
      </c>
    </row>
    <row r="230" spans="1:10" x14ac:dyDescent="0.2">
      <c r="A230" s="92">
        <v>215</v>
      </c>
      <c r="B230" s="92">
        <v>65</v>
      </c>
      <c r="C230" s="92">
        <v>70</v>
      </c>
      <c r="D230" s="39" t="s">
        <v>42</v>
      </c>
      <c r="E230" s="50" t="s">
        <v>146</v>
      </c>
      <c r="F230" s="50">
        <v>0</v>
      </c>
      <c r="G230" s="89">
        <v>0</v>
      </c>
      <c r="H230" s="89">
        <v>0</v>
      </c>
      <c r="I230" s="50" t="s">
        <v>32</v>
      </c>
      <c r="J230" s="50" t="s">
        <v>70</v>
      </c>
    </row>
    <row r="231" spans="1:10" x14ac:dyDescent="0.2">
      <c r="A231" s="92">
        <v>216</v>
      </c>
      <c r="B231" s="92">
        <v>66</v>
      </c>
      <c r="C231" s="92">
        <v>71</v>
      </c>
      <c r="D231" s="39" t="s">
        <v>42</v>
      </c>
      <c r="E231" s="50" t="s">
        <v>146</v>
      </c>
      <c r="F231" s="50">
        <v>0</v>
      </c>
      <c r="G231" s="89">
        <v>0</v>
      </c>
      <c r="H231" s="89">
        <v>0</v>
      </c>
      <c r="I231" s="50" t="s">
        <v>32</v>
      </c>
      <c r="J231" s="50" t="s">
        <v>70</v>
      </c>
    </row>
    <row r="232" spans="1:10" x14ac:dyDescent="0.2">
      <c r="A232" s="92">
        <v>217</v>
      </c>
      <c r="B232" s="92">
        <v>67</v>
      </c>
      <c r="C232" s="92">
        <v>72</v>
      </c>
      <c r="D232" s="39" t="s">
        <v>42</v>
      </c>
      <c r="E232" s="50" t="s">
        <v>146</v>
      </c>
      <c r="F232" s="50">
        <v>0</v>
      </c>
      <c r="G232" s="89">
        <v>0</v>
      </c>
      <c r="H232" s="89">
        <v>0</v>
      </c>
      <c r="I232" s="50" t="s">
        <v>32</v>
      </c>
      <c r="J232" s="50" t="s">
        <v>70</v>
      </c>
    </row>
    <row r="233" spans="1:10" x14ac:dyDescent="0.2">
      <c r="A233" s="92">
        <v>218</v>
      </c>
      <c r="B233" s="92">
        <v>68</v>
      </c>
      <c r="C233" s="92">
        <v>73</v>
      </c>
      <c r="D233" s="39" t="s">
        <v>42</v>
      </c>
      <c r="E233" s="50" t="s">
        <v>146</v>
      </c>
      <c r="F233" s="50">
        <v>0</v>
      </c>
      <c r="G233" s="89">
        <v>0</v>
      </c>
      <c r="H233" s="89">
        <v>0</v>
      </c>
      <c r="I233" s="50" t="s">
        <v>32</v>
      </c>
      <c r="J233" s="50" t="s">
        <v>70</v>
      </c>
    </row>
    <row r="234" spans="1:10" x14ac:dyDescent="0.2">
      <c r="A234" s="92">
        <v>219</v>
      </c>
      <c r="B234" s="92">
        <v>69</v>
      </c>
      <c r="C234" s="92">
        <v>74</v>
      </c>
      <c r="D234" s="39" t="s">
        <v>42</v>
      </c>
      <c r="E234" s="50" t="s">
        <v>146</v>
      </c>
      <c r="F234" s="50">
        <v>0</v>
      </c>
      <c r="G234" s="89">
        <v>0</v>
      </c>
      <c r="H234" s="89">
        <v>0</v>
      </c>
      <c r="I234" s="50" t="s">
        <v>32</v>
      </c>
      <c r="J234" s="50" t="s">
        <v>70</v>
      </c>
    </row>
    <row r="235" spans="1:10" x14ac:dyDescent="0.2">
      <c r="A235" s="92">
        <v>220</v>
      </c>
      <c r="B235" s="92">
        <v>70</v>
      </c>
      <c r="C235" s="92">
        <v>75</v>
      </c>
      <c r="D235" s="39" t="s">
        <v>42</v>
      </c>
      <c r="E235" s="50" t="s">
        <v>146</v>
      </c>
      <c r="F235" s="50">
        <v>0</v>
      </c>
      <c r="G235" s="89">
        <v>0</v>
      </c>
      <c r="H235" s="89">
        <v>0</v>
      </c>
      <c r="I235" s="50" t="s">
        <v>32</v>
      </c>
      <c r="J235" s="50" t="s">
        <v>70</v>
      </c>
    </row>
    <row r="236" spans="1:10" x14ac:dyDescent="0.2">
      <c r="A236" s="92">
        <v>221</v>
      </c>
      <c r="B236" s="92">
        <v>76</v>
      </c>
      <c r="C236" s="92">
        <v>81</v>
      </c>
      <c r="D236" s="39" t="s">
        <v>42</v>
      </c>
      <c r="E236" s="50" t="s">
        <v>146</v>
      </c>
      <c r="F236" s="50">
        <v>0</v>
      </c>
      <c r="G236" s="89">
        <v>0</v>
      </c>
      <c r="H236" s="89">
        <v>0</v>
      </c>
      <c r="I236" s="50" t="s">
        <v>32</v>
      </c>
      <c r="J236" s="50" t="s">
        <v>70</v>
      </c>
    </row>
    <row r="237" spans="1:10" x14ac:dyDescent="0.2">
      <c r="A237" s="92">
        <v>222</v>
      </c>
      <c r="B237" s="92">
        <v>77</v>
      </c>
      <c r="C237" s="92">
        <v>82</v>
      </c>
      <c r="D237" s="39" t="s">
        <v>42</v>
      </c>
      <c r="E237" s="50" t="s">
        <v>146</v>
      </c>
      <c r="F237" s="50">
        <v>0</v>
      </c>
      <c r="G237" s="89">
        <v>0</v>
      </c>
      <c r="H237" s="89">
        <v>0</v>
      </c>
      <c r="I237" s="50" t="s">
        <v>32</v>
      </c>
      <c r="J237" s="50" t="s">
        <v>70</v>
      </c>
    </row>
    <row r="238" spans="1:10" x14ac:dyDescent="0.2">
      <c r="A238" s="92">
        <v>223</v>
      </c>
      <c r="B238" s="92">
        <v>78</v>
      </c>
      <c r="C238" s="92">
        <v>83</v>
      </c>
      <c r="D238" s="39" t="s">
        <v>42</v>
      </c>
      <c r="E238" s="50" t="s">
        <v>146</v>
      </c>
      <c r="F238" s="50">
        <v>0</v>
      </c>
      <c r="G238" s="89">
        <v>0</v>
      </c>
      <c r="H238" s="89">
        <v>0</v>
      </c>
      <c r="I238" s="50" t="s">
        <v>32</v>
      </c>
      <c r="J238" s="50" t="s">
        <v>70</v>
      </c>
    </row>
    <row r="239" spans="1:10" x14ac:dyDescent="0.2">
      <c r="A239" s="92">
        <v>224</v>
      </c>
      <c r="B239" s="92">
        <v>79</v>
      </c>
      <c r="C239" s="92">
        <v>84</v>
      </c>
      <c r="D239" s="39" t="s">
        <v>42</v>
      </c>
      <c r="E239" s="50" t="s">
        <v>146</v>
      </c>
      <c r="F239" s="50">
        <v>0</v>
      </c>
      <c r="G239" s="89">
        <v>0</v>
      </c>
      <c r="H239" s="89">
        <v>0</v>
      </c>
      <c r="I239" s="50" t="s">
        <v>32</v>
      </c>
      <c r="J239" s="50" t="s">
        <v>70</v>
      </c>
    </row>
    <row r="240" spans="1:10" x14ac:dyDescent="0.2">
      <c r="A240" s="92">
        <v>225</v>
      </c>
      <c r="B240" s="92">
        <v>80</v>
      </c>
      <c r="C240" s="92">
        <v>85</v>
      </c>
      <c r="D240" s="39" t="s">
        <v>42</v>
      </c>
      <c r="E240" s="50" t="s">
        <v>146</v>
      </c>
      <c r="F240" s="50">
        <v>0</v>
      </c>
      <c r="G240" s="89">
        <v>0</v>
      </c>
      <c r="H240" s="89">
        <v>0</v>
      </c>
      <c r="I240" s="50" t="s">
        <v>32</v>
      </c>
      <c r="J240" s="50" t="s">
        <v>70</v>
      </c>
    </row>
    <row r="241" spans="1:10" x14ac:dyDescent="0.2">
      <c r="A241" s="92">
        <v>226</v>
      </c>
      <c r="B241" s="92">
        <v>81</v>
      </c>
      <c r="C241" s="92">
        <v>86</v>
      </c>
      <c r="D241" s="39" t="s">
        <v>42</v>
      </c>
      <c r="E241" s="50" t="s">
        <v>146</v>
      </c>
      <c r="F241" s="50">
        <v>0</v>
      </c>
      <c r="G241" s="89">
        <v>0</v>
      </c>
      <c r="H241" s="89">
        <v>0</v>
      </c>
      <c r="I241" s="50" t="s">
        <v>32</v>
      </c>
      <c r="J241" s="50" t="s">
        <v>70</v>
      </c>
    </row>
    <row r="242" spans="1:10" x14ac:dyDescent="0.2">
      <c r="A242" s="92">
        <v>227</v>
      </c>
      <c r="B242" s="92">
        <v>82</v>
      </c>
      <c r="C242" s="92">
        <v>87</v>
      </c>
      <c r="D242" s="39" t="s">
        <v>42</v>
      </c>
      <c r="E242" s="50" t="s">
        <v>146</v>
      </c>
      <c r="F242" s="50">
        <v>0</v>
      </c>
      <c r="G242" s="89">
        <v>0</v>
      </c>
      <c r="H242" s="89">
        <v>0</v>
      </c>
      <c r="I242" s="50" t="s">
        <v>32</v>
      </c>
      <c r="J242" s="50" t="s">
        <v>70</v>
      </c>
    </row>
    <row r="243" spans="1:10" x14ac:dyDescent="0.2">
      <c r="A243" s="92">
        <v>228</v>
      </c>
      <c r="B243" s="92">
        <v>83</v>
      </c>
      <c r="C243" s="92">
        <v>88</v>
      </c>
      <c r="D243" s="39" t="s">
        <v>42</v>
      </c>
      <c r="E243" s="50" t="s">
        <v>146</v>
      </c>
      <c r="F243" s="50">
        <v>0</v>
      </c>
      <c r="G243" s="89">
        <v>0</v>
      </c>
      <c r="H243" s="89">
        <v>0</v>
      </c>
      <c r="I243" s="50" t="s">
        <v>32</v>
      </c>
      <c r="J243" s="50" t="s">
        <v>70</v>
      </c>
    </row>
    <row r="244" spans="1:10" x14ac:dyDescent="0.2">
      <c r="A244" s="92">
        <v>229</v>
      </c>
      <c r="B244" s="92">
        <v>84</v>
      </c>
      <c r="C244" s="92">
        <v>89</v>
      </c>
      <c r="D244" s="39" t="s">
        <v>42</v>
      </c>
      <c r="E244" s="50" t="s">
        <v>146</v>
      </c>
      <c r="F244" s="50">
        <v>0</v>
      </c>
      <c r="G244" s="89">
        <v>0</v>
      </c>
      <c r="H244" s="89">
        <v>0</v>
      </c>
      <c r="I244" s="50" t="s">
        <v>32</v>
      </c>
      <c r="J244" s="50" t="s">
        <v>70</v>
      </c>
    </row>
    <row r="245" spans="1:10" x14ac:dyDescent="0.2">
      <c r="A245" s="92">
        <v>230</v>
      </c>
      <c r="B245" s="92">
        <v>85</v>
      </c>
      <c r="C245" s="92">
        <v>90</v>
      </c>
      <c r="D245" s="39" t="s">
        <v>42</v>
      </c>
      <c r="E245" s="50" t="s">
        <v>146</v>
      </c>
      <c r="F245" s="50">
        <v>0</v>
      </c>
      <c r="G245" s="89">
        <v>0</v>
      </c>
      <c r="H245" s="89">
        <v>0</v>
      </c>
      <c r="I245" s="50" t="s">
        <v>32</v>
      </c>
      <c r="J245" s="50" t="s">
        <v>70</v>
      </c>
    </row>
    <row r="246" spans="1:10" x14ac:dyDescent="0.2">
      <c r="A246" s="92">
        <v>231</v>
      </c>
      <c r="B246" s="92">
        <v>86</v>
      </c>
      <c r="C246" s="92">
        <v>91</v>
      </c>
      <c r="D246" s="39" t="s">
        <v>42</v>
      </c>
      <c r="E246" s="50" t="s">
        <v>146</v>
      </c>
      <c r="F246" s="50">
        <v>0</v>
      </c>
      <c r="G246" s="89">
        <v>0</v>
      </c>
      <c r="H246" s="89">
        <v>0</v>
      </c>
      <c r="I246" s="50" t="s">
        <v>32</v>
      </c>
      <c r="J246" s="50" t="s">
        <v>70</v>
      </c>
    </row>
    <row r="247" spans="1:10" x14ac:dyDescent="0.2">
      <c r="A247" s="92">
        <v>232</v>
      </c>
      <c r="B247" s="92">
        <v>87</v>
      </c>
      <c r="C247" s="92">
        <v>92</v>
      </c>
      <c r="D247" s="39" t="s">
        <v>42</v>
      </c>
      <c r="E247" s="50" t="s">
        <v>146</v>
      </c>
      <c r="F247" s="50">
        <v>0</v>
      </c>
      <c r="G247" s="89">
        <v>0</v>
      </c>
      <c r="H247" s="89">
        <v>0</v>
      </c>
      <c r="I247" s="50" t="s">
        <v>32</v>
      </c>
      <c r="J247" s="50" t="s">
        <v>70</v>
      </c>
    </row>
    <row r="248" spans="1:10" x14ac:dyDescent="0.2">
      <c r="A248" s="92">
        <v>233</v>
      </c>
      <c r="B248" s="92">
        <v>88</v>
      </c>
      <c r="C248" s="92">
        <v>93</v>
      </c>
      <c r="D248" s="39" t="s">
        <v>42</v>
      </c>
      <c r="E248" s="50" t="s">
        <v>146</v>
      </c>
      <c r="F248" s="50">
        <v>0</v>
      </c>
      <c r="G248" s="89">
        <v>0</v>
      </c>
      <c r="H248" s="89">
        <v>0</v>
      </c>
      <c r="I248" s="50" t="s">
        <v>32</v>
      </c>
      <c r="J248" s="50" t="s">
        <v>70</v>
      </c>
    </row>
    <row r="249" spans="1:10" x14ac:dyDescent="0.2">
      <c r="A249" s="92">
        <v>234</v>
      </c>
      <c r="B249" s="92">
        <v>89</v>
      </c>
      <c r="C249" s="92">
        <v>94</v>
      </c>
      <c r="D249" s="39" t="s">
        <v>42</v>
      </c>
      <c r="E249" s="50" t="s">
        <v>146</v>
      </c>
      <c r="F249" s="50">
        <v>0</v>
      </c>
      <c r="G249" s="89">
        <v>0</v>
      </c>
      <c r="H249" s="89">
        <v>0</v>
      </c>
      <c r="I249" s="50" t="s">
        <v>32</v>
      </c>
      <c r="J249" s="50" t="s">
        <v>70</v>
      </c>
    </row>
    <row r="250" spans="1:10" x14ac:dyDescent="0.2">
      <c r="A250" s="92">
        <v>235</v>
      </c>
      <c r="B250" s="92">
        <v>90</v>
      </c>
      <c r="C250" s="92">
        <v>95</v>
      </c>
      <c r="D250" s="39" t="s">
        <v>42</v>
      </c>
      <c r="E250" s="50" t="s">
        <v>146</v>
      </c>
      <c r="F250" s="50">
        <v>0</v>
      </c>
      <c r="G250" s="89">
        <v>0</v>
      </c>
      <c r="H250" s="89">
        <v>0</v>
      </c>
      <c r="I250" s="50" t="s">
        <v>32</v>
      </c>
      <c r="J250" s="50" t="s">
        <v>70</v>
      </c>
    </row>
    <row r="251" spans="1:10" x14ac:dyDescent="0.2">
      <c r="A251" s="92">
        <v>236</v>
      </c>
      <c r="B251" s="92">
        <v>91</v>
      </c>
      <c r="C251" s="92">
        <v>96</v>
      </c>
      <c r="D251" s="39" t="s">
        <v>42</v>
      </c>
      <c r="E251" s="50" t="s">
        <v>146</v>
      </c>
      <c r="F251" s="50">
        <v>0</v>
      </c>
      <c r="G251" s="89">
        <v>0</v>
      </c>
      <c r="H251" s="89">
        <v>0</v>
      </c>
      <c r="I251" s="50" t="s">
        <v>32</v>
      </c>
      <c r="J251" s="50" t="s">
        <v>70</v>
      </c>
    </row>
    <row r="252" spans="1:10" x14ac:dyDescent="0.2">
      <c r="A252" s="92">
        <v>237</v>
      </c>
      <c r="B252" s="92">
        <v>92</v>
      </c>
      <c r="C252" s="92">
        <v>97</v>
      </c>
      <c r="D252" s="39" t="s">
        <v>42</v>
      </c>
      <c r="E252" s="50" t="s">
        <v>146</v>
      </c>
      <c r="F252" s="50">
        <v>0</v>
      </c>
      <c r="G252" s="89">
        <v>0</v>
      </c>
      <c r="H252" s="89">
        <v>0</v>
      </c>
      <c r="I252" s="50" t="s">
        <v>32</v>
      </c>
      <c r="J252" s="50" t="s">
        <v>70</v>
      </c>
    </row>
    <row r="253" spans="1:10" x14ac:dyDescent="0.2">
      <c r="A253" s="92">
        <v>238</v>
      </c>
      <c r="B253" s="92">
        <v>93</v>
      </c>
      <c r="C253" s="92">
        <v>98</v>
      </c>
      <c r="D253" s="39" t="s">
        <v>42</v>
      </c>
      <c r="E253" s="50" t="s">
        <v>146</v>
      </c>
      <c r="F253" s="50">
        <v>0</v>
      </c>
      <c r="G253" s="89">
        <v>0</v>
      </c>
      <c r="H253" s="89">
        <v>0</v>
      </c>
      <c r="I253" s="50" t="s">
        <v>32</v>
      </c>
      <c r="J253" s="50" t="s">
        <v>70</v>
      </c>
    </row>
    <row r="254" spans="1:10" x14ac:dyDescent="0.2">
      <c r="A254" s="92">
        <v>239</v>
      </c>
      <c r="B254" s="92">
        <v>94</v>
      </c>
      <c r="C254" s="92">
        <v>99</v>
      </c>
      <c r="D254" s="39" t="s">
        <v>42</v>
      </c>
      <c r="E254" s="50" t="s">
        <v>146</v>
      </c>
      <c r="F254" s="50">
        <v>0</v>
      </c>
      <c r="G254" s="89">
        <v>0</v>
      </c>
      <c r="H254" s="89">
        <v>0</v>
      </c>
      <c r="I254" s="50" t="s">
        <v>32</v>
      </c>
      <c r="J254" s="50" t="s">
        <v>70</v>
      </c>
    </row>
    <row r="255" spans="1:10" x14ac:dyDescent="0.2">
      <c r="A255" s="92">
        <v>240</v>
      </c>
      <c r="B255" s="92">
        <v>95</v>
      </c>
      <c r="C255" s="92">
        <v>100</v>
      </c>
      <c r="D255" s="39" t="s">
        <v>42</v>
      </c>
      <c r="E255" s="50" t="s">
        <v>146</v>
      </c>
      <c r="F255" s="50">
        <v>0</v>
      </c>
      <c r="G255" s="89">
        <v>0</v>
      </c>
      <c r="H255" s="89">
        <v>0</v>
      </c>
      <c r="I255" s="50" t="s">
        <v>32</v>
      </c>
      <c r="J255" s="50" t="s">
        <v>70</v>
      </c>
    </row>
    <row r="256" spans="1:10" x14ac:dyDescent="0.2">
      <c r="A256" s="92">
        <v>241</v>
      </c>
      <c r="B256" s="92">
        <v>101</v>
      </c>
      <c r="C256" s="92">
        <v>106</v>
      </c>
      <c r="D256" s="39" t="s">
        <v>42</v>
      </c>
      <c r="E256" s="50" t="s">
        <v>146</v>
      </c>
      <c r="F256" s="50">
        <v>0</v>
      </c>
      <c r="G256" s="89">
        <v>0</v>
      </c>
      <c r="H256" s="89">
        <v>0</v>
      </c>
      <c r="I256" s="50" t="s">
        <v>32</v>
      </c>
      <c r="J256" s="50" t="s">
        <v>70</v>
      </c>
    </row>
    <row r="257" spans="1:10" x14ac:dyDescent="0.2">
      <c r="A257" s="92">
        <v>242</v>
      </c>
      <c r="B257" s="92">
        <v>102</v>
      </c>
      <c r="C257" s="92">
        <v>107</v>
      </c>
      <c r="D257" s="39" t="s">
        <v>42</v>
      </c>
      <c r="E257" s="50" t="s">
        <v>146</v>
      </c>
      <c r="F257" s="50">
        <v>0</v>
      </c>
      <c r="G257" s="89">
        <v>0</v>
      </c>
      <c r="H257" s="89">
        <v>0</v>
      </c>
      <c r="I257" s="50" t="s">
        <v>32</v>
      </c>
      <c r="J257" s="50" t="s">
        <v>70</v>
      </c>
    </row>
    <row r="258" spans="1:10" x14ac:dyDescent="0.2">
      <c r="A258" s="92">
        <v>243</v>
      </c>
      <c r="B258" s="92">
        <v>103</v>
      </c>
      <c r="C258" s="92">
        <v>108</v>
      </c>
      <c r="D258" s="39" t="s">
        <v>42</v>
      </c>
      <c r="E258" s="50" t="s">
        <v>146</v>
      </c>
      <c r="F258" s="50">
        <v>0</v>
      </c>
      <c r="G258" s="89">
        <v>0</v>
      </c>
      <c r="H258" s="89">
        <v>0</v>
      </c>
      <c r="I258" s="50" t="s">
        <v>32</v>
      </c>
      <c r="J258" s="50" t="s">
        <v>70</v>
      </c>
    </row>
    <row r="259" spans="1:10" x14ac:dyDescent="0.2">
      <c r="A259" s="92">
        <v>244</v>
      </c>
      <c r="B259" s="92">
        <v>104</v>
      </c>
      <c r="C259" s="92">
        <v>109</v>
      </c>
      <c r="D259" s="39" t="s">
        <v>42</v>
      </c>
      <c r="E259" s="50" t="s">
        <v>146</v>
      </c>
      <c r="F259" s="50">
        <v>0</v>
      </c>
      <c r="G259" s="89">
        <v>0</v>
      </c>
      <c r="H259" s="89">
        <v>0</v>
      </c>
      <c r="I259" s="50" t="s">
        <v>32</v>
      </c>
      <c r="J259" s="50" t="s">
        <v>70</v>
      </c>
    </row>
    <row r="260" spans="1:10" x14ac:dyDescent="0.2">
      <c r="A260" s="92">
        <v>245</v>
      </c>
      <c r="B260" s="92">
        <v>105</v>
      </c>
      <c r="C260" s="92">
        <v>110</v>
      </c>
      <c r="D260" s="39" t="s">
        <v>42</v>
      </c>
      <c r="E260" s="50" t="s">
        <v>146</v>
      </c>
      <c r="F260" s="50">
        <v>0</v>
      </c>
      <c r="G260" s="89">
        <v>0</v>
      </c>
      <c r="H260" s="89">
        <v>0</v>
      </c>
      <c r="I260" s="50" t="s">
        <v>32</v>
      </c>
      <c r="J260" s="50" t="s">
        <v>70</v>
      </c>
    </row>
    <row r="261" spans="1:10" x14ac:dyDescent="0.2">
      <c r="A261" s="92">
        <v>246</v>
      </c>
      <c r="B261" s="92">
        <v>106</v>
      </c>
      <c r="C261" s="92">
        <v>111</v>
      </c>
      <c r="D261" s="39" t="s">
        <v>42</v>
      </c>
      <c r="E261" s="50" t="s">
        <v>146</v>
      </c>
      <c r="F261" s="50">
        <v>0</v>
      </c>
      <c r="G261" s="89">
        <v>0</v>
      </c>
      <c r="H261" s="89">
        <v>0</v>
      </c>
      <c r="I261" s="50" t="s">
        <v>32</v>
      </c>
      <c r="J261" s="50" t="s">
        <v>70</v>
      </c>
    </row>
    <row r="262" spans="1:10" x14ac:dyDescent="0.2">
      <c r="A262" s="92">
        <v>247</v>
      </c>
      <c r="B262" s="92">
        <v>107</v>
      </c>
      <c r="C262" s="92">
        <v>112</v>
      </c>
      <c r="D262" s="39" t="s">
        <v>42</v>
      </c>
      <c r="E262" s="50" t="s">
        <v>146</v>
      </c>
      <c r="F262" s="50">
        <v>0</v>
      </c>
      <c r="G262" s="89">
        <v>0</v>
      </c>
      <c r="H262" s="89">
        <v>0</v>
      </c>
      <c r="I262" s="50" t="s">
        <v>32</v>
      </c>
      <c r="J262" s="50" t="s">
        <v>70</v>
      </c>
    </row>
    <row r="263" spans="1:10" x14ac:dyDescent="0.2">
      <c r="A263" s="92">
        <v>248</v>
      </c>
      <c r="B263" s="92">
        <v>108</v>
      </c>
      <c r="C263" s="92">
        <v>113</v>
      </c>
      <c r="D263" s="39" t="s">
        <v>42</v>
      </c>
      <c r="E263" s="50" t="s">
        <v>146</v>
      </c>
      <c r="F263" s="50">
        <v>0</v>
      </c>
      <c r="G263" s="89">
        <v>0</v>
      </c>
      <c r="H263" s="89">
        <v>0</v>
      </c>
      <c r="I263" s="50" t="s">
        <v>32</v>
      </c>
      <c r="J263" s="50" t="s">
        <v>70</v>
      </c>
    </row>
    <row r="264" spans="1:10" x14ac:dyDescent="0.2">
      <c r="A264" s="92">
        <v>249</v>
      </c>
      <c r="B264" s="92">
        <v>109</v>
      </c>
      <c r="C264" s="92">
        <v>114</v>
      </c>
      <c r="D264" s="39" t="s">
        <v>42</v>
      </c>
      <c r="E264" s="50" t="s">
        <v>146</v>
      </c>
      <c r="F264" s="50">
        <v>0</v>
      </c>
      <c r="G264" s="89">
        <v>0</v>
      </c>
      <c r="H264" s="89">
        <v>0</v>
      </c>
      <c r="I264" s="50" t="s">
        <v>32</v>
      </c>
      <c r="J264" s="50" t="s">
        <v>70</v>
      </c>
    </row>
    <row r="265" spans="1:10" x14ac:dyDescent="0.2">
      <c r="A265" s="92">
        <v>250</v>
      </c>
      <c r="B265" s="92">
        <v>110</v>
      </c>
      <c r="C265" s="92">
        <v>115</v>
      </c>
      <c r="D265" s="39" t="s">
        <v>42</v>
      </c>
      <c r="E265" s="50" t="s">
        <v>146</v>
      </c>
      <c r="F265" s="50">
        <v>0</v>
      </c>
      <c r="G265" s="89">
        <v>0</v>
      </c>
      <c r="H265" s="89">
        <v>0</v>
      </c>
      <c r="I265" s="50" t="s">
        <v>32</v>
      </c>
      <c r="J265" s="50" t="s">
        <v>70</v>
      </c>
    </row>
    <row r="266" spans="1:10" x14ac:dyDescent="0.2">
      <c r="A266" s="92">
        <v>251</v>
      </c>
      <c r="B266" s="92">
        <v>111</v>
      </c>
      <c r="C266" s="92">
        <v>116</v>
      </c>
      <c r="D266" s="39" t="s">
        <v>42</v>
      </c>
      <c r="E266" s="50" t="s">
        <v>146</v>
      </c>
      <c r="F266" s="50">
        <v>0</v>
      </c>
      <c r="G266" s="89">
        <v>0</v>
      </c>
      <c r="H266" s="89">
        <v>0</v>
      </c>
      <c r="I266" s="50" t="s">
        <v>32</v>
      </c>
      <c r="J266" s="50" t="s">
        <v>70</v>
      </c>
    </row>
    <row r="267" spans="1:10" x14ac:dyDescent="0.2">
      <c r="A267" s="92">
        <v>252</v>
      </c>
      <c r="B267" s="92">
        <v>112</v>
      </c>
      <c r="C267" s="92">
        <v>117</v>
      </c>
      <c r="D267" s="39" t="s">
        <v>42</v>
      </c>
      <c r="E267" s="50" t="s">
        <v>146</v>
      </c>
      <c r="F267" s="50">
        <v>0</v>
      </c>
      <c r="G267" s="89">
        <v>0</v>
      </c>
      <c r="H267" s="89">
        <v>0</v>
      </c>
      <c r="I267" s="50" t="s">
        <v>32</v>
      </c>
      <c r="J267" s="50" t="s">
        <v>70</v>
      </c>
    </row>
    <row r="268" spans="1:10" x14ac:dyDescent="0.2">
      <c r="A268" s="92">
        <v>253</v>
      </c>
      <c r="B268" s="92">
        <v>113</v>
      </c>
      <c r="C268" s="92">
        <v>118</v>
      </c>
      <c r="D268" s="39" t="s">
        <v>42</v>
      </c>
      <c r="E268" s="50" t="s">
        <v>146</v>
      </c>
      <c r="F268" s="50">
        <v>0</v>
      </c>
      <c r="G268" s="89">
        <v>0</v>
      </c>
      <c r="H268" s="89">
        <v>0</v>
      </c>
      <c r="I268" s="50" t="s">
        <v>32</v>
      </c>
      <c r="J268" s="50" t="s">
        <v>70</v>
      </c>
    </row>
    <row r="269" spans="1:10" x14ac:dyDescent="0.2">
      <c r="A269" s="92">
        <v>254</v>
      </c>
      <c r="B269" s="92">
        <v>114</v>
      </c>
      <c r="C269" s="92">
        <v>119</v>
      </c>
      <c r="D269" s="39" t="s">
        <v>42</v>
      </c>
      <c r="E269" s="50" t="s">
        <v>146</v>
      </c>
      <c r="F269" s="50">
        <v>0</v>
      </c>
      <c r="G269" s="89">
        <v>0</v>
      </c>
      <c r="H269" s="89">
        <v>0</v>
      </c>
      <c r="I269" s="50" t="s">
        <v>32</v>
      </c>
      <c r="J269" s="50" t="s">
        <v>70</v>
      </c>
    </row>
    <row r="270" spans="1:10" x14ac:dyDescent="0.2">
      <c r="A270" s="92">
        <v>255</v>
      </c>
      <c r="B270" s="92">
        <v>115</v>
      </c>
      <c r="C270" s="92">
        <v>120</v>
      </c>
      <c r="D270" s="39" t="s">
        <v>42</v>
      </c>
      <c r="E270" s="50" t="s">
        <v>146</v>
      </c>
      <c r="F270" s="50">
        <v>0</v>
      </c>
      <c r="G270" s="89">
        <v>0</v>
      </c>
      <c r="H270" s="89">
        <v>0</v>
      </c>
      <c r="I270" s="50" t="s">
        <v>32</v>
      </c>
      <c r="J270" s="50" t="s">
        <v>70</v>
      </c>
    </row>
    <row r="271" spans="1:10" x14ac:dyDescent="0.2">
      <c r="A271" s="92">
        <v>256</v>
      </c>
      <c r="B271" s="92">
        <v>116</v>
      </c>
      <c r="C271" s="92">
        <v>121</v>
      </c>
      <c r="D271" s="39" t="s">
        <v>42</v>
      </c>
      <c r="E271" s="50" t="s">
        <v>146</v>
      </c>
      <c r="F271" s="50">
        <v>0</v>
      </c>
      <c r="G271" s="89">
        <v>0</v>
      </c>
      <c r="H271" s="89">
        <v>0</v>
      </c>
      <c r="I271" s="50" t="s">
        <v>32</v>
      </c>
      <c r="J271" s="50" t="s">
        <v>70</v>
      </c>
    </row>
    <row r="272" spans="1:10" x14ac:dyDescent="0.2">
      <c r="A272" s="92">
        <v>257</v>
      </c>
      <c r="B272" s="92">
        <v>117</v>
      </c>
      <c r="C272" s="92">
        <v>122</v>
      </c>
      <c r="D272" s="39" t="s">
        <v>42</v>
      </c>
      <c r="E272" s="50" t="s">
        <v>146</v>
      </c>
      <c r="F272" s="50">
        <v>0</v>
      </c>
      <c r="G272" s="89">
        <v>0</v>
      </c>
      <c r="H272" s="89">
        <v>0</v>
      </c>
      <c r="I272" s="50" t="s">
        <v>32</v>
      </c>
      <c r="J272" s="50" t="s">
        <v>70</v>
      </c>
    </row>
    <row r="273" spans="1:10" x14ac:dyDescent="0.2">
      <c r="A273" s="92">
        <v>258</v>
      </c>
      <c r="B273" s="92">
        <v>118</v>
      </c>
      <c r="C273" s="92">
        <v>123</v>
      </c>
      <c r="D273" s="39" t="s">
        <v>42</v>
      </c>
      <c r="E273" s="50" t="s">
        <v>146</v>
      </c>
      <c r="F273" s="50">
        <v>0</v>
      </c>
      <c r="G273" s="89">
        <v>0</v>
      </c>
      <c r="H273" s="89">
        <v>0</v>
      </c>
      <c r="I273" s="50" t="s">
        <v>32</v>
      </c>
      <c r="J273" s="50" t="s">
        <v>70</v>
      </c>
    </row>
    <row r="274" spans="1:10" x14ac:dyDescent="0.2">
      <c r="A274" s="92">
        <v>259</v>
      </c>
      <c r="B274" s="92">
        <v>119</v>
      </c>
      <c r="C274" s="92">
        <v>124</v>
      </c>
      <c r="D274" s="39" t="s">
        <v>42</v>
      </c>
      <c r="E274" s="50" t="s">
        <v>146</v>
      </c>
      <c r="F274" s="50">
        <v>0</v>
      </c>
      <c r="G274" s="89">
        <v>0</v>
      </c>
      <c r="H274" s="89">
        <v>0</v>
      </c>
      <c r="I274" s="50" t="s">
        <v>32</v>
      </c>
      <c r="J274" s="50" t="s">
        <v>70</v>
      </c>
    </row>
    <row r="275" spans="1:10" x14ac:dyDescent="0.2">
      <c r="A275" s="92">
        <v>260</v>
      </c>
      <c r="B275" s="92">
        <v>120</v>
      </c>
      <c r="C275" s="92">
        <v>125</v>
      </c>
      <c r="D275" s="39" t="s">
        <v>42</v>
      </c>
      <c r="E275" s="50" t="s">
        <v>146</v>
      </c>
      <c r="F275" s="50">
        <v>0</v>
      </c>
      <c r="G275" s="89">
        <v>0</v>
      </c>
      <c r="H275" s="89">
        <v>0</v>
      </c>
      <c r="I275" s="50" t="s">
        <v>32</v>
      </c>
      <c r="J275" s="50" t="s">
        <v>70</v>
      </c>
    </row>
  </sheetData>
  <phoneticPr fontId="14"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F11" sqref="F11"/>
    </sheetView>
  </sheetViews>
  <sheetFormatPr baseColWidth="10" defaultColWidth="10.83203125" defaultRowHeight="16" x14ac:dyDescent="0.2"/>
  <cols>
    <col min="1" max="1" width="15.6640625" style="92" customWidth="1"/>
    <col min="2" max="5" width="10.6640625" style="92" customWidth="1"/>
    <col min="6" max="6" width="20.6640625" style="92" customWidth="1"/>
    <col min="7" max="10" width="10.6640625" style="50" customWidth="1"/>
    <col min="11" max="16384" width="10.83203125" style="80"/>
  </cols>
  <sheetData>
    <row r="1" spans="1:10" x14ac:dyDescent="0.2">
      <c r="A1" s="93" t="s">
        <v>120</v>
      </c>
      <c r="B1" s="77"/>
      <c r="C1" s="77"/>
      <c r="D1" s="77"/>
      <c r="E1" s="77"/>
      <c r="F1" s="77"/>
      <c r="G1" s="78"/>
      <c r="H1" s="78"/>
      <c r="I1" s="78"/>
      <c r="J1" s="79"/>
    </row>
    <row r="2" spans="1:10" x14ac:dyDescent="0.2">
      <c r="A2" s="84" t="s">
        <v>210</v>
      </c>
      <c r="B2" s="81"/>
      <c r="C2" s="81"/>
      <c r="D2" s="81"/>
      <c r="E2" s="81"/>
      <c r="F2" s="81"/>
      <c r="G2" s="82"/>
      <c r="H2" s="82"/>
      <c r="I2" s="82"/>
      <c r="J2" s="83"/>
    </row>
    <row r="3" spans="1:10" x14ac:dyDescent="0.2">
      <c r="A3" s="94" t="s">
        <v>137</v>
      </c>
      <c r="B3" s="81"/>
      <c r="C3" s="81"/>
      <c r="D3" s="81"/>
      <c r="E3" s="81"/>
      <c r="F3" s="81"/>
      <c r="G3" s="82"/>
      <c r="H3" s="82"/>
      <c r="I3" s="82"/>
      <c r="J3" s="83"/>
    </row>
    <row r="4" spans="1:10" x14ac:dyDescent="0.2">
      <c r="A4" s="65" t="s">
        <v>138</v>
      </c>
      <c r="B4" s="81"/>
      <c r="C4" s="81"/>
      <c r="D4" s="81"/>
      <c r="E4" s="81"/>
      <c r="F4" s="81"/>
      <c r="G4" s="82"/>
      <c r="H4" s="82"/>
      <c r="I4" s="82"/>
      <c r="J4" s="83"/>
    </row>
    <row r="5" spans="1:10" x14ac:dyDescent="0.2">
      <c r="A5" s="65" t="s">
        <v>139</v>
      </c>
      <c r="B5" s="81"/>
      <c r="C5" s="81"/>
      <c r="D5" s="81"/>
      <c r="E5" s="81"/>
      <c r="F5" s="81"/>
      <c r="G5" s="82"/>
      <c r="H5" s="82"/>
      <c r="I5" s="82"/>
      <c r="J5" s="83"/>
    </row>
    <row r="6" spans="1:10" x14ac:dyDescent="0.2">
      <c r="A6" s="117" t="s">
        <v>140</v>
      </c>
      <c r="B6" s="81"/>
      <c r="C6" s="81"/>
      <c r="D6" s="81"/>
      <c r="E6" s="81"/>
      <c r="F6" s="81"/>
      <c r="G6" s="82"/>
      <c r="H6" s="82"/>
      <c r="I6" s="82"/>
      <c r="J6" s="83"/>
    </row>
    <row r="7" spans="1:10" x14ac:dyDescent="0.2">
      <c r="A7" s="117" t="s">
        <v>195</v>
      </c>
      <c r="B7" s="81"/>
      <c r="C7" s="81"/>
      <c r="D7" s="81"/>
      <c r="E7" s="81"/>
      <c r="F7" s="81"/>
      <c r="G7" s="82"/>
      <c r="H7" s="82"/>
      <c r="I7" s="82"/>
      <c r="J7" s="83"/>
    </row>
    <row r="8" spans="1:10" x14ac:dyDescent="0.2">
      <c r="A8" s="114" t="s">
        <v>218</v>
      </c>
      <c r="B8" s="87"/>
      <c r="C8" s="87"/>
      <c r="D8" s="87"/>
      <c r="E8" s="87"/>
      <c r="F8" s="87"/>
      <c r="G8" s="95"/>
      <c r="H8" s="95"/>
      <c r="I8" s="95"/>
      <c r="J8" s="96"/>
    </row>
    <row r="9" spans="1:10" x14ac:dyDescent="0.2">
      <c r="A9" s="90"/>
      <c r="B9" s="50"/>
      <c r="C9" s="50"/>
      <c r="D9" s="50"/>
      <c r="E9" s="50"/>
      <c r="F9" s="50"/>
      <c r="G9" s="80"/>
      <c r="H9" s="80"/>
      <c r="I9" s="80"/>
      <c r="J9" s="80"/>
    </row>
    <row r="10" spans="1:10" s="7" customFormat="1" x14ac:dyDescent="0.2">
      <c r="A10" s="74" t="s">
        <v>207</v>
      </c>
      <c r="B10" s="11" t="s">
        <v>115</v>
      </c>
      <c r="C10" s="11" t="s">
        <v>116</v>
      </c>
      <c r="D10" s="11" t="s">
        <v>117</v>
      </c>
      <c r="E10" s="11" t="s">
        <v>118</v>
      </c>
      <c r="F10" s="74" t="s">
        <v>40</v>
      </c>
      <c r="G10" s="74" t="s">
        <v>212</v>
      </c>
      <c r="H10" s="50"/>
      <c r="I10" s="50"/>
      <c r="J10" s="50"/>
    </row>
    <row r="11" spans="1:10" x14ac:dyDescent="0.2">
      <c r="A11" s="92">
        <v>1</v>
      </c>
      <c r="B11" s="92">
        <v>101</v>
      </c>
      <c r="C11" s="92">
        <v>182</v>
      </c>
      <c r="D11" s="92">
        <v>105</v>
      </c>
      <c r="E11" s="92">
        <v>181</v>
      </c>
      <c r="F11" s="92" t="s">
        <v>240</v>
      </c>
      <c r="G11" s="50" t="s">
        <v>36</v>
      </c>
    </row>
    <row r="12" spans="1:10" x14ac:dyDescent="0.2">
      <c r="A12" s="92">
        <v>2</v>
      </c>
      <c r="B12" s="92">
        <v>102</v>
      </c>
      <c r="C12" s="92">
        <v>183</v>
      </c>
      <c r="D12" s="92">
        <v>106</v>
      </c>
      <c r="E12" s="92">
        <v>182</v>
      </c>
      <c r="F12" s="92" t="s">
        <v>240</v>
      </c>
      <c r="G12" s="50" t="s">
        <v>36</v>
      </c>
    </row>
    <row r="13" spans="1:10" x14ac:dyDescent="0.2">
      <c r="A13" s="92">
        <v>3</v>
      </c>
      <c r="B13" s="92">
        <v>103</v>
      </c>
      <c r="C13" s="92">
        <v>184</v>
      </c>
      <c r="D13" s="92">
        <v>107</v>
      </c>
      <c r="E13" s="92">
        <v>183</v>
      </c>
      <c r="F13" s="92" t="s">
        <v>240</v>
      </c>
      <c r="G13" s="50" t="s">
        <v>36</v>
      </c>
    </row>
    <row r="14" spans="1:10" x14ac:dyDescent="0.2">
      <c r="A14" s="92">
        <v>4</v>
      </c>
      <c r="B14" s="92">
        <v>104</v>
      </c>
      <c r="C14" s="92">
        <v>185</v>
      </c>
      <c r="D14" s="92">
        <v>108</v>
      </c>
      <c r="E14" s="92">
        <v>184</v>
      </c>
      <c r="F14" s="92" t="s">
        <v>240</v>
      </c>
      <c r="G14" s="50" t="s">
        <v>36</v>
      </c>
    </row>
    <row r="15" spans="1:10" x14ac:dyDescent="0.2">
      <c r="A15" s="92">
        <v>5</v>
      </c>
      <c r="B15" s="92">
        <v>105</v>
      </c>
      <c r="C15" s="92">
        <v>187</v>
      </c>
      <c r="D15" s="92">
        <v>109</v>
      </c>
      <c r="E15" s="92">
        <v>186</v>
      </c>
      <c r="F15" s="92" t="s">
        <v>240</v>
      </c>
      <c r="G15" s="50" t="s">
        <v>36</v>
      </c>
    </row>
    <row r="16" spans="1:10" x14ac:dyDescent="0.2">
      <c r="A16" s="92">
        <v>6</v>
      </c>
      <c r="B16" s="92">
        <v>106</v>
      </c>
      <c r="C16" s="92">
        <v>188</v>
      </c>
      <c r="D16" s="92">
        <v>110</v>
      </c>
      <c r="E16" s="92">
        <v>187</v>
      </c>
      <c r="F16" s="92" t="s">
        <v>240</v>
      </c>
      <c r="G16" s="50" t="s">
        <v>36</v>
      </c>
    </row>
    <row r="17" spans="1:7" x14ac:dyDescent="0.2">
      <c r="A17" s="92">
        <v>7</v>
      </c>
      <c r="B17" s="92">
        <v>107</v>
      </c>
      <c r="C17" s="92">
        <v>189</v>
      </c>
      <c r="D17" s="92">
        <v>111</v>
      </c>
      <c r="E17" s="92">
        <v>188</v>
      </c>
      <c r="F17" s="92" t="s">
        <v>240</v>
      </c>
      <c r="G17" s="50" t="s">
        <v>36</v>
      </c>
    </row>
    <row r="18" spans="1:7" x14ac:dyDescent="0.2">
      <c r="A18" s="92">
        <v>8</v>
      </c>
      <c r="B18" s="92">
        <v>108</v>
      </c>
      <c r="C18" s="92">
        <v>190</v>
      </c>
      <c r="D18" s="92">
        <v>112</v>
      </c>
      <c r="E18" s="92">
        <v>189</v>
      </c>
      <c r="F18" s="92" t="s">
        <v>240</v>
      </c>
      <c r="G18" s="50" t="s">
        <v>36</v>
      </c>
    </row>
    <row r="19" spans="1:7" x14ac:dyDescent="0.2">
      <c r="A19" s="92">
        <v>9</v>
      </c>
      <c r="B19" s="92">
        <v>109</v>
      </c>
      <c r="C19" s="92">
        <v>192</v>
      </c>
      <c r="D19" s="92">
        <v>113</v>
      </c>
      <c r="E19" s="92">
        <v>191</v>
      </c>
      <c r="F19" s="92" t="s">
        <v>240</v>
      </c>
      <c r="G19" s="50" t="s">
        <v>36</v>
      </c>
    </row>
    <row r="20" spans="1:7" x14ac:dyDescent="0.2">
      <c r="A20" s="92">
        <v>10</v>
      </c>
      <c r="B20" s="92">
        <v>110</v>
      </c>
      <c r="C20" s="92">
        <v>193</v>
      </c>
      <c r="D20" s="92">
        <v>114</v>
      </c>
      <c r="E20" s="92">
        <v>192</v>
      </c>
      <c r="F20" s="92" t="s">
        <v>240</v>
      </c>
      <c r="G20" s="50" t="s">
        <v>36</v>
      </c>
    </row>
    <row r="21" spans="1:7" x14ac:dyDescent="0.2">
      <c r="A21" s="92">
        <v>11</v>
      </c>
      <c r="B21" s="92">
        <v>111</v>
      </c>
      <c r="C21" s="92">
        <v>194</v>
      </c>
      <c r="D21" s="92">
        <v>115</v>
      </c>
      <c r="E21" s="92">
        <v>193</v>
      </c>
      <c r="F21" s="92" t="s">
        <v>240</v>
      </c>
      <c r="G21" s="50" t="s">
        <v>36</v>
      </c>
    </row>
    <row r="22" spans="1:7" x14ac:dyDescent="0.2">
      <c r="A22" s="92">
        <v>12</v>
      </c>
      <c r="B22" s="92">
        <v>112</v>
      </c>
      <c r="C22" s="92">
        <v>195</v>
      </c>
      <c r="D22" s="92">
        <v>116</v>
      </c>
      <c r="E22" s="92">
        <v>194</v>
      </c>
      <c r="F22" s="92" t="s">
        <v>240</v>
      </c>
      <c r="G22" s="50" t="s">
        <v>36</v>
      </c>
    </row>
    <row r="23" spans="1:7" x14ac:dyDescent="0.2">
      <c r="A23" s="92">
        <v>13</v>
      </c>
      <c r="B23" s="92">
        <v>113</v>
      </c>
      <c r="C23" s="92">
        <v>197</v>
      </c>
      <c r="D23" s="92">
        <v>117</v>
      </c>
      <c r="E23" s="92">
        <v>196</v>
      </c>
      <c r="F23" s="92" t="s">
        <v>240</v>
      </c>
      <c r="G23" s="50" t="s">
        <v>36</v>
      </c>
    </row>
    <row r="24" spans="1:7" x14ac:dyDescent="0.2">
      <c r="A24" s="92">
        <v>14</v>
      </c>
      <c r="B24" s="92">
        <v>114</v>
      </c>
      <c r="C24" s="92">
        <v>198</v>
      </c>
      <c r="D24" s="92">
        <v>118</v>
      </c>
      <c r="E24" s="92">
        <v>197</v>
      </c>
      <c r="F24" s="92" t="s">
        <v>240</v>
      </c>
      <c r="G24" s="50" t="s">
        <v>36</v>
      </c>
    </row>
    <row r="25" spans="1:7" x14ac:dyDescent="0.2">
      <c r="A25" s="92">
        <v>15</v>
      </c>
      <c r="B25" s="92">
        <v>115</v>
      </c>
      <c r="C25" s="92">
        <v>199</v>
      </c>
      <c r="D25" s="92">
        <v>119</v>
      </c>
      <c r="E25" s="92">
        <v>198</v>
      </c>
      <c r="F25" s="92" t="s">
        <v>240</v>
      </c>
      <c r="G25" s="50" t="s">
        <v>36</v>
      </c>
    </row>
    <row r="26" spans="1:7" x14ac:dyDescent="0.2">
      <c r="A26" s="92">
        <v>16</v>
      </c>
      <c r="B26" s="92">
        <v>116</v>
      </c>
      <c r="C26" s="92">
        <v>200</v>
      </c>
      <c r="D26" s="92">
        <v>120</v>
      </c>
      <c r="E26" s="92">
        <v>199</v>
      </c>
      <c r="F26" s="92" t="s">
        <v>240</v>
      </c>
      <c r="G26" s="50" t="s">
        <v>36</v>
      </c>
    </row>
    <row r="27" spans="1:7" x14ac:dyDescent="0.2">
      <c r="A27" s="92">
        <v>17</v>
      </c>
      <c r="B27" s="92">
        <v>121</v>
      </c>
      <c r="C27" s="92">
        <v>202</v>
      </c>
      <c r="D27" s="92">
        <v>125</v>
      </c>
      <c r="E27" s="92">
        <v>201</v>
      </c>
      <c r="F27" s="92" t="s">
        <v>240</v>
      </c>
      <c r="G27" s="50" t="s">
        <v>36</v>
      </c>
    </row>
    <row r="28" spans="1:7" x14ac:dyDescent="0.2">
      <c r="A28" s="92">
        <v>18</v>
      </c>
      <c r="B28" s="92">
        <v>122</v>
      </c>
      <c r="C28" s="92">
        <v>203</v>
      </c>
      <c r="D28" s="92">
        <v>126</v>
      </c>
      <c r="E28" s="92">
        <v>202</v>
      </c>
      <c r="F28" s="92" t="s">
        <v>240</v>
      </c>
      <c r="G28" s="50" t="s">
        <v>36</v>
      </c>
    </row>
    <row r="29" spans="1:7" x14ac:dyDescent="0.2">
      <c r="A29" s="92">
        <v>19</v>
      </c>
      <c r="B29" s="92">
        <v>123</v>
      </c>
      <c r="C29" s="92">
        <v>204</v>
      </c>
      <c r="D29" s="92">
        <v>127</v>
      </c>
      <c r="E29" s="92">
        <v>203</v>
      </c>
      <c r="F29" s="92" t="s">
        <v>240</v>
      </c>
      <c r="G29" s="50" t="s">
        <v>36</v>
      </c>
    </row>
    <row r="30" spans="1:7" x14ac:dyDescent="0.2">
      <c r="A30" s="92">
        <v>20</v>
      </c>
      <c r="B30" s="92">
        <v>124</v>
      </c>
      <c r="C30" s="92">
        <v>205</v>
      </c>
      <c r="D30" s="92">
        <v>128</v>
      </c>
      <c r="E30" s="92">
        <v>204</v>
      </c>
      <c r="F30" s="92" t="s">
        <v>240</v>
      </c>
      <c r="G30" s="50" t="s">
        <v>36</v>
      </c>
    </row>
    <row r="31" spans="1:7" x14ac:dyDescent="0.2">
      <c r="A31" s="92">
        <v>21</v>
      </c>
      <c r="B31" s="92">
        <v>125</v>
      </c>
      <c r="C31" s="92">
        <v>207</v>
      </c>
      <c r="D31" s="92">
        <v>129</v>
      </c>
      <c r="E31" s="92">
        <v>206</v>
      </c>
      <c r="F31" s="92" t="s">
        <v>240</v>
      </c>
      <c r="G31" s="50" t="s">
        <v>36</v>
      </c>
    </row>
    <row r="32" spans="1:7" x14ac:dyDescent="0.2">
      <c r="A32" s="92">
        <v>22</v>
      </c>
      <c r="B32" s="92">
        <v>126</v>
      </c>
      <c r="C32" s="92">
        <v>208</v>
      </c>
      <c r="D32" s="92">
        <v>130</v>
      </c>
      <c r="E32" s="92">
        <v>207</v>
      </c>
      <c r="F32" s="92" t="s">
        <v>240</v>
      </c>
      <c r="G32" s="50" t="s">
        <v>36</v>
      </c>
    </row>
    <row r="33" spans="1:7" x14ac:dyDescent="0.2">
      <c r="A33" s="92">
        <v>23</v>
      </c>
      <c r="B33" s="92">
        <v>127</v>
      </c>
      <c r="C33" s="92">
        <v>209</v>
      </c>
      <c r="D33" s="92">
        <v>131</v>
      </c>
      <c r="E33" s="92">
        <v>208</v>
      </c>
      <c r="F33" s="92" t="s">
        <v>240</v>
      </c>
      <c r="G33" s="50" t="s">
        <v>36</v>
      </c>
    </row>
    <row r="34" spans="1:7" x14ac:dyDescent="0.2">
      <c r="A34" s="92">
        <v>24</v>
      </c>
      <c r="B34" s="92">
        <v>128</v>
      </c>
      <c r="C34" s="92">
        <v>210</v>
      </c>
      <c r="D34" s="92">
        <v>132</v>
      </c>
      <c r="E34" s="92">
        <v>209</v>
      </c>
      <c r="F34" s="92" t="s">
        <v>240</v>
      </c>
      <c r="G34" s="50" t="s">
        <v>36</v>
      </c>
    </row>
    <row r="35" spans="1:7" x14ac:dyDescent="0.2">
      <c r="A35" s="92">
        <v>25</v>
      </c>
      <c r="B35" s="92">
        <v>129</v>
      </c>
      <c r="C35" s="92">
        <v>212</v>
      </c>
      <c r="D35" s="92">
        <v>133</v>
      </c>
      <c r="E35" s="92">
        <v>211</v>
      </c>
      <c r="F35" s="92" t="s">
        <v>240</v>
      </c>
      <c r="G35" s="50" t="s">
        <v>36</v>
      </c>
    </row>
    <row r="36" spans="1:7" x14ac:dyDescent="0.2">
      <c r="A36" s="92">
        <v>26</v>
      </c>
      <c r="B36" s="92">
        <v>130</v>
      </c>
      <c r="C36" s="92">
        <v>213</v>
      </c>
      <c r="D36" s="92">
        <v>134</v>
      </c>
      <c r="E36" s="92">
        <v>212</v>
      </c>
      <c r="F36" s="92" t="s">
        <v>240</v>
      </c>
      <c r="G36" s="50" t="s">
        <v>36</v>
      </c>
    </row>
    <row r="37" spans="1:7" x14ac:dyDescent="0.2">
      <c r="A37" s="92">
        <v>27</v>
      </c>
      <c r="B37" s="92">
        <v>131</v>
      </c>
      <c r="C37" s="92">
        <v>214</v>
      </c>
      <c r="D37" s="92">
        <v>135</v>
      </c>
      <c r="E37" s="92">
        <v>213</v>
      </c>
      <c r="F37" s="92" t="s">
        <v>240</v>
      </c>
      <c r="G37" s="50" t="s">
        <v>36</v>
      </c>
    </row>
    <row r="38" spans="1:7" x14ac:dyDescent="0.2">
      <c r="A38" s="92">
        <v>28</v>
      </c>
      <c r="B38" s="92">
        <v>132</v>
      </c>
      <c r="C38" s="92">
        <v>215</v>
      </c>
      <c r="D38" s="92">
        <v>136</v>
      </c>
      <c r="E38" s="92">
        <v>214</v>
      </c>
      <c r="F38" s="92" t="s">
        <v>240</v>
      </c>
      <c r="G38" s="50" t="s">
        <v>36</v>
      </c>
    </row>
    <row r="39" spans="1:7" x14ac:dyDescent="0.2">
      <c r="A39" s="92">
        <v>29</v>
      </c>
      <c r="B39" s="92">
        <v>133</v>
      </c>
      <c r="C39" s="92">
        <v>217</v>
      </c>
      <c r="D39" s="92">
        <v>137</v>
      </c>
      <c r="E39" s="92">
        <v>216</v>
      </c>
      <c r="F39" s="92" t="s">
        <v>240</v>
      </c>
      <c r="G39" s="50" t="s">
        <v>36</v>
      </c>
    </row>
    <row r="40" spans="1:7" x14ac:dyDescent="0.2">
      <c r="A40" s="92">
        <v>30</v>
      </c>
      <c r="B40" s="92">
        <v>134</v>
      </c>
      <c r="C40" s="92">
        <v>218</v>
      </c>
      <c r="D40" s="92">
        <v>138</v>
      </c>
      <c r="E40" s="92">
        <v>217</v>
      </c>
      <c r="F40" s="92" t="s">
        <v>240</v>
      </c>
      <c r="G40" s="50" t="s">
        <v>36</v>
      </c>
    </row>
    <row r="41" spans="1:7" x14ac:dyDescent="0.2">
      <c r="A41" s="92">
        <v>31</v>
      </c>
      <c r="B41" s="92">
        <v>135</v>
      </c>
      <c r="C41" s="92">
        <v>219</v>
      </c>
      <c r="D41" s="92">
        <v>139</v>
      </c>
      <c r="E41" s="92">
        <v>218</v>
      </c>
      <c r="F41" s="92" t="s">
        <v>240</v>
      </c>
      <c r="G41" s="50" t="s">
        <v>36</v>
      </c>
    </row>
    <row r="42" spans="1:7" x14ac:dyDescent="0.2">
      <c r="A42" s="92">
        <v>32</v>
      </c>
      <c r="B42" s="92">
        <v>136</v>
      </c>
      <c r="C42" s="92">
        <v>220</v>
      </c>
      <c r="D42" s="92">
        <v>140</v>
      </c>
      <c r="E42" s="92">
        <v>219</v>
      </c>
      <c r="F42" s="92" t="s">
        <v>240</v>
      </c>
      <c r="G42" s="50" t="s">
        <v>36</v>
      </c>
    </row>
    <row r="43" spans="1:7" x14ac:dyDescent="0.2">
      <c r="A43" s="92">
        <v>33</v>
      </c>
      <c r="B43" s="92">
        <v>141</v>
      </c>
      <c r="C43" s="92">
        <v>222</v>
      </c>
      <c r="D43" s="92">
        <v>145</v>
      </c>
      <c r="E43" s="92">
        <v>221</v>
      </c>
      <c r="F43" s="92" t="s">
        <v>240</v>
      </c>
      <c r="G43" s="50" t="s">
        <v>36</v>
      </c>
    </row>
    <row r="44" spans="1:7" x14ac:dyDescent="0.2">
      <c r="A44" s="92">
        <v>34</v>
      </c>
      <c r="B44" s="92">
        <v>142</v>
      </c>
      <c r="C44" s="92">
        <v>223</v>
      </c>
      <c r="D44" s="92">
        <v>146</v>
      </c>
      <c r="E44" s="92">
        <v>222</v>
      </c>
      <c r="F44" s="92" t="s">
        <v>240</v>
      </c>
      <c r="G44" s="50" t="s">
        <v>36</v>
      </c>
    </row>
    <row r="45" spans="1:7" x14ac:dyDescent="0.2">
      <c r="A45" s="92">
        <v>35</v>
      </c>
      <c r="B45" s="92">
        <v>143</v>
      </c>
      <c r="C45" s="92">
        <v>224</v>
      </c>
      <c r="D45" s="92">
        <v>147</v>
      </c>
      <c r="E45" s="92">
        <v>223</v>
      </c>
      <c r="F45" s="92" t="s">
        <v>240</v>
      </c>
      <c r="G45" s="50" t="s">
        <v>36</v>
      </c>
    </row>
    <row r="46" spans="1:7" x14ac:dyDescent="0.2">
      <c r="A46" s="92">
        <v>36</v>
      </c>
      <c r="B46" s="92">
        <v>144</v>
      </c>
      <c r="C46" s="92">
        <v>225</v>
      </c>
      <c r="D46" s="92">
        <v>148</v>
      </c>
      <c r="E46" s="92">
        <v>224</v>
      </c>
      <c r="F46" s="92" t="s">
        <v>240</v>
      </c>
      <c r="G46" s="50" t="s">
        <v>36</v>
      </c>
    </row>
    <row r="47" spans="1:7" x14ac:dyDescent="0.2">
      <c r="A47" s="92">
        <v>37</v>
      </c>
      <c r="B47" s="92">
        <v>145</v>
      </c>
      <c r="C47" s="92">
        <v>227</v>
      </c>
      <c r="D47" s="92">
        <v>149</v>
      </c>
      <c r="E47" s="92">
        <v>226</v>
      </c>
      <c r="F47" s="92" t="s">
        <v>240</v>
      </c>
      <c r="G47" s="50" t="s">
        <v>36</v>
      </c>
    </row>
    <row r="48" spans="1:7" x14ac:dyDescent="0.2">
      <c r="A48" s="92">
        <v>38</v>
      </c>
      <c r="B48" s="92">
        <v>146</v>
      </c>
      <c r="C48" s="92">
        <v>228</v>
      </c>
      <c r="D48" s="92">
        <v>150</v>
      </c>
      <c r="E48" s="92">
        <v>227</v>
      </c>
      <c r="F48" s="92" t="s">
        <v>240</v>
      </c>
      <c r="G48" s="50" t="s">
        <v>36</v>
      </c>
    </row>
    <row r="49" spans="1:7" x14ac:dyDescent="0.2">
      <c r="A49" s="92">
        <v>39</v>
      </c>
      <c r="B49" s="92">
        <v>147</v>
      </c>
      <c r="C49" s="92">
        <v>229</v>
      </c>
      <c r="D49" s="92">
        <v>151</v>
      </c>
      <c r="E49" s="92">
        <v>228</v>
      </c>
      <c r="F49" s="92" t="s">
        <v>240</v>
      </c>
      <c r="G49" s="50" t="s">
        <v>36</v>
      </c>
    </row>
    <row r="50" spans="1:7" x14ac:dyDescent="0.2">
      <c r="A50" s="92">
        <v>40</v>
      </c>
      <c r="B50" s="92">
        <v>148</v>
      </c>
      <c r="C50" s="92">
        <v>230</v>
      </c>
      <c r="D50" s="92">
        <v>152</v>
      </c>
      <c r="E50" s="92">
        <v>229</v>
      </c>
      <c r="F50" s="92" t="s">
        <v>240</v>
      </c>
      <c r="G50" s="50" t="s">
        <v>36</v>
      </c>
    </row>
    <row r="51" spans="1:7" x14ac:dyDescent="0.2">
      <c r="A51" s="92">
        <v>41</v>
      </c>
      <c r="B51" s="92">
        <v>149</v>
      </c>
      <c r="C51" s="92">
        <v>232</v>
      </c>
      <c r="D51" s="92">
        <v>153</v>
      </c>
      <c r="E51" s="92">
        <v>231</v>
      </c>
      <c r="F51" s="92" t="s">
        <v>240</v>
      </c>
      <c r="G51" s="50" t="s">
        <v>36</v>
      </c>
    </row>
    <row r="52" spans="1:7" x14ac:dyDescent="0.2">
      <c r="A52" s="92">
        <v>42</v>
      </c>
      <c r="B52" s="92">
        <v>150</v>
      </c>
      <c r="C52" s="92">
        <v>233</v>
      </c>
      <c r="D52" s="92">
        <v>154</v>
      </c>
      <c r="E52" s="92">
        <v>232</v>
      </c>
      <c r="F52" s="92" t="s">
        <v>240</v>
      </c>
      <c r="G52" s="50" t="s">
        <v>36</v>
      </c>
    </row>
    <row r="53" spans="1:7" x14ac:dyDescent="0.2">
      <c r="A53" s="92">
        <v>43</v>
      </c>
      <c r="B53" s="92">
        <v>151</v>
      </c>
      <c r="C53" s="92">
        <v>234</v>
      </c>
      <c r="D53" s="92">
        <v>155</v>
      </c>
      <c r="E53" s="92">
        <v>233</v>
      </c>
      <c r="F53" s="92" t="s">
        <v>240</v>
      </c>
      <c r="G53" s="50" t="s">
        <v>36</v>
      </c>
    </row>
    <row r="54" spans="1:7" x14ac:dyDescent="0.2">
      <c r="A54" s="92">
        <v>44</v>
      </c>
      <c r="B54" s="92">
        <v>152</v>
      </c>
      <c r="C54" s="92">
        <v>235</v>
      </c>
      <c r="D54" s="92">
        <v>156</v>
      </c>
      <c r="E54" s="92">
        <v>234</v>
      </c>
      <c r="F54" s="92" t="s">
        <v>240</v>
      </c>
      <c r="G54" s="50" t="s">
        <v>36</v>
      </c>
    </row>
    <row r="55" spans="1:7" x14ac:dyDescent="0.2">
      <c r="A55" s="92">
        <v>45</v>
      </c>
      <c r="B55" s="92">
        <v>153</v>
      </c>
      <c r="C55" s="92">
        <v>237</v>
      </c>
      <c r="D55" s="92">
        <v>157</v>
      </c>
      <c r="E55" s="92">
        <v>236</v>
      </c>
      <c r="F55" s="92" t="s">
        <v>240</v>
      </c>
      <c r="G55" s="50" t="s">
        <v>36</v>
      </c>
    </row>
    <row r="56" spans="1:7" x14ac:dyDescent="0.2">
      <c r="A56" s="92">
        <v>46</v>
      </c>
      <c r="B56" s="92">
        <v>154</v>
      </c>
      <c r="C56" s="92">
        <v>238</v>
      </c>
      <c r="D56" s="92">
        <v>158</v>
      </c>
      <c r="E56" s="92">
        <v>237</v>
      </c>
      <c r="F56" s="92" t="s">
        <v>240</v>
      </c>
      <c r="G56" s="50" t="s">
        <v>36</v>
      </c>
    </row>
    <row r="57" spans="1:7" x14ac:dyDescent="0.2">
      <c r="A57" s="92">
        <v>47</v>
      </c>
      <c r="B57" s="92">
        <v>155</v>
      </c>
      <c r="C57" s="92">
        <v>239</v>
      </c>
      <c r="D57" s="92">
        <v>159</v>
      </c>
      <c r="E57" s="92">
        <v>238</v>
      </c>
      <c r="F57" s="92" t="s">
        <v>240</v>
      </c>
      <c r="G57" s="50" t="s">
        <v>36</v>
      </c>
    </row>
    <row r="58" spans="1:7" x14ac:dyDescent="0.2">
      <c r="A58" s="92">
        <v>48</v>
      </c>
      <c r="B58" s="92">
        <v>156</v>
      </c>
      <c r="C58" s="92">
        <v>240</v>
      </c>
      <c r="D58" s="92">
        <v>160</v>
      </c>
      <c r="E58" s="92">
        <v>239</v>
      </c>
      <c r="F58" s="92" t="s">
        <v>240</v>
      </c>
      <c r="G58" s="50" t="s">
        <v>36</v>
      </c>
    </row>
    <row r="59" spans="1:7" x14ac:dyDescent="0.2">
      <c r="A59" s="92">
        <v>49</v>
      </c>
      <c r="B59" s="92">
        <v>161</v>
      </c>
      <c r="C59" s="92">
        <v>242</v>
      </c>
      <c r="D59" s="92">
        <v>165</v>
      </c>
      <c r="E59" s="92">
        <v>241</v>
      </c>
      <c r="F59" s="92" t="s">
        <v>240</v>
      </c>
      <c r="G59" s="50" t="s">
        <v>36</v>
      </c>
    </row>
    <row r="60" spans="1:7" x14ac:dyDescent="0.2">
      <c r="A60" s="92">
        <v>50</v>
      </c>
      <c r="B60" s="92">
        <v>162</v>
      </c>
      <c r="C60" s="92">
        <v>243</v>
      </c>
      <c r="D60" s="92">
        <v>166</v>
      </c>
      <c r="E60" s="92">
        <v>242</v>
      </c>
      <c r="F60" s="92" t="s">
        <v>240</v>
      </c>
      <c r="G60" s="50" t="s">
        <v>36</v>
      </c>
    </row>
    <row r="61" spans="1:7" x14ac:dyDescent="0.2">
      <c r="A61" s="92">
        <v>51</v>
      </c>
      <c r="B61" s="92">
        <v>163</v>
      </c>
      <c r="C61" s="92">
        <v>244</v>
      </c>
      <c r="D61" s="92">
        <v>167</v>
      </c>
      <c r="E61" s="92">
        <v>243</v>
      </c>
      <c r="F61" s="92" t="s">
        <v>240</v>
      </c>
      <c r="G61" s="50" t="s">
        <v>36</v>
      </c>
    </row>
    <row r="62" spans="1:7" x14ac:dyDescent="0.2">
      <c r="A62" s="92">
        <v>52</v>
      </c>
      <c r="B62" s="92">
        <v>164</v>
      </c>
      <c r="C62" s="92">
        <v>245</v>
      </c>
      <c r="D62" s="92">
        <v>168</v>
      </c>
      <c r="E62" s="92">
        <v>244</v>
      </c>
      <c r="F62" s="92" t="s">
        <v>240</v>
      </c>
      <c r="G62" s="50" t="s">
        <v>36</v>
      </c>
    </row>
    <row r="63" spans="1:7" x14ac:dyDescent="0.2">
      <c r="A63" s="92">
        <v>53</v>
      </c>
      <c r="B63" s="92">
        <v>165</v>
      </c>
      <c r="C63" s="92">
        <v>247</v>
      </c>
      <c r="D63" s="92">
        <v>169</v>
      </c>
      <c r="E63" s="92">
        <v>246</v>
      </c>
      <c r="F63" s="92" t="s">
        <v>240</v>
      </c>
      <c r="G63" s="50" t="s">
        <v>36</v>
      </c>
    </row>
    <row r="64" spans="1:7" x14ac:dyDescent="0.2">
      <c r="A64" s="92">
        <v>54</v>
      </c>
      <c r="B64" s="92">
        <v>166</v>
      </c>
      <c r="C64" s="92">
        <v>248</v>
      </c>
      <c r="D64" s="92">
        <v>170</v>
      </c>
      <c r="E64" s="92">
        <v>247</v>
      </c>
      <c r="F64" s="92" t="s">
        <v>240</v>
      </c>
      <c r="G64" s="50" t="s">
        <v>36</v>
      </c>
    </row>
    <row r="65" spans="1:7" x14ac:dyDescent="0.2">
      <c r="A65" s="92">
        <v>55</v>
      </c>
      <c r="B65" s="92">
        <v>167</v>
      </c>
      <c r="C65" s="92">
        <v>249</v>
      </c>
      <c r="D65" s="92">
        <v>171</v>
      </c>
      <c r="E65" s="92">
        <v>248</v>
      </c>
      <c r="F65" s="92" t="s">
        <v>240</v>
      </c>
      <c r="G65" s="50" t="s">
        <v>36</v>
      </c>
    </row>
    <row r="66" spans="1:7" x14ac:dyDescent="0.2">
      <c r="A66" s="92">
        <v>56</v>
      </c>
      <c r="B66" s="92">
        <v>168</v>
      </c>
      <c r="C66" s="92">
        <v>250</v>
      </c>
      <c r="D66" s="92">
        <v>172</v>
      </c>
      <c r="E66" s="92">
        <v>249</v>
      </c>
      <c r="F66" s="92" t="s">
        <v>240</v>
      </c>
      <c r="G66" s="50" t="s">
        <v>36</v>
      </c>
    </row>
    <row r="67" spans="1:7" x14ac:dyDescent="0.2">
      <c r="A67" s="92">
        <v>57</v>
      </c>
      <c r="B67" s="92">
        <v>169</v>
      </c>
      <c r="C67" s="92">
        <v>252</v>
      </c>
      <c r="D67" s="92">
        <v>173</v>
      </c>
      <c r="E67" s="92">
        <v>251</v>
      </c>
      <c r="F67" s="92" t="s">
        <v>240</v>
      </c>
      <c r="G67" s="50" t="s">
        <v>36</v>
      </c>
    </row>
    <row r="68" spans="1:7" x14ac:dyDescent="0.2">
      <c r="A68" s="92">
        <v>58</v>
      </c>
      <c r="B68" s="92">
        <v>170</v>
      </c>
      <c r="C68" s="92">
        <v>253</v>
      </c>
      <c r="D68" s="92">
        <v>174</v>
      </c>
      <c r="E68" s="92">
        <v>252</v>
      </c>
      <c r="F68" s="92" t="s">
        <v>240</v>
      </c>
      <c r="G68" s="50" t="s">
        <v>36</v>
      </c>
    </row>
    <row r="69" spans="1:7" x14ac:dyDescent="0.2">
      <c r="A69" s="92">
        <v>59</v>
      </c>
      <c r="B69" s="92">
        <v>171</v>
      </c>
      <c r="C69" s="92">
        <v>254</v>
      </c>
      <c r="D69" s="92">
        <v>175</v>
      </c>
      <c r="E69" s="92">
        <v>253</v>
      </c>
      <c r="F69" s="92" t="s">
        <v>240</v>
      </c>
      <c r="G69" s="50" t="s">
        <v>36</v>
      </c>
    </row>
    <row r="70" spans="1:7" x14ac:dyDescent="0.2">
      <c r="A70" s="92">
        <v>60</v>
      </c>
      <c r="B70" s="92">
        <v>172</v>
      </c>
      <c r="C70" s="92">
        <v>255</v>
      </c>
      <c r="D70" s="92">
        <v>176</v>
      </c>
      <c r="E70" s="92">
        <v>254</v>
      </c>
      <c r="F70" s="92" t="s">
        <v>240</v>
      </c>
      <c r="G70" s="50" t="s">
        <v>36</v>
      </c>
    </row>
    <row r="71" spans="1:7" x14ac:dyDescent="0.2">
      <c r="A71" s="92">
        <v>61</v>
      </c>
      <c r="B71" s="92">
        <v>173</v>
      </c>
      <c r="C71" s="92">
        <v>257</v>
      </c>
      <c r="D71" s="92">
        <v>177</v>
      </c>
      <c r="E71" s="92">
        <v>256</v>
      </c>
      <c r="F71" s="92" t="s">
        <v>240</v>
      </c>
      <c r="G71" s="50" t="s">
        <v>36</v>
      </c>
    </row>
    <row r="72" spans="1:7" x14ac:dyDescent="0.2">
      <c r="A72" s="92">
        <v>62</v>
      </c>
      <c r="B72" s="92">
        <v>174</v>
      </c>
      <c r="C72" s="92">
        <v>258</v>
      </c>
      <c r="D72" s="92">
        <v>178</v>
      </c>
      <c r="E72" s="92">
        <v>257</v>
      </c>
      <c r="F72" s="92" t="s">
        <v>240</v>
      </c>
      <c r="G72" s="50" t="s">
        <v>36</v>
      </c>
    </row>
    <row r="73" spans="1:7" x14ac:dyDescent="0.2">
      <c r="A73" s="92">
        <v>63</v>
      </c>
      <c r="B73" s="92">
        <v>175</v>
      </c>
      <c r="C73" s="92">
        <v>259</v>
      </c>
      <c r="D73" s="92">
        <v>179</v>
      </c>
      <c r="E73" s="92">
        <v>258</v>
      </c>
      <c r="F73" s="92" t="s">
        <v>240</v>
      </c>
      <c r="G73" s="50" t="s">
        <v>36</v>
      </c>
    </row>
    <row r="74" spans="1:7" x14ac:dyDescent="0.2">
      <c r="A74" s="92">
        <v>64</v>
      </c>
      <c r="B74" s="92">
        <v>176</v>
      </c>
      <c r="C74" s="92">
        <v>260</v>
      </c>
      <c r="D74" s="92">
        <v>180</v>
      </c>
      <c r="E74" s="92">
        <v>259</v>
      </c>
      <c r="F74" s="92" t="s">
        <v>240</v>
      </c>
      <c r="G74" s="50" t="s">
        <v>36</v>
      </c>
    </row>
  </sheetData>
  <dataConsolidate/>
  <phoneticPr fontId="14"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E26" sqref="E26"/>
    </sheetView>
  </sheetViews>
  <sheetFormatPr baseColWidth="10" defaultColWidth="10.83203125" defaultRowHeight="16" x14ac:dyDescent="0.2"/>
  <cols>
    <col min="1" max="1" width="15.6640625" style="1" customWidth="1"/>
    <col min="2" max="7" width="10.6640625" style="1" customWidth="1"/>
    <col min="8" max="16384" width="10.83203125" style="2"/>
  </cols>
  <sheetData>
    <row r="1" spans="1:9" x14ac:dyDescent="0.2">
      <c r="A1" s="27" t="s">
        <v>120</v>
      </c>
      <c r="B1" s="33"/>
      <c r="C1" s="33"/>
      <c r="D1" s="33"/>
      <c r="E1" s="33"/>
      <c r="F1" s="33"/>
      <c r="G1" s="33"/>
      <c r="H1" s="111"/>
      <c r="I1" s="34"/>
    </row>
    <row r="2" spans="1:9" x14ac:dyDescent="0.2">
      <c r="A2" s="121" t="s">
        <v>220</v>
      </c>
      <c r="B2" s="35"/>
      <c r="C2" s="35"/>
      <c r="D2" s="35"/>
      <c r="E2" s="35"/>
      <c r="F2" s="35"/>
      <c r="G2" s="35"/>
      <c r="H2" s="110"/>
      <c r="I2" s="36"/>
    </row>
    <row r="3" spans="1:9" x14ac:dyDescent="0.2">
      <c r="A3" s="121" t="s">
        <v>221</v>
      </c>
      <c r="B3" s="35"/>
      <c r="C3" s="35"/>
      <c r="D3" s="35"/>
      <c r="E3" s="35"/>
      <c r="F3" s="35"/>
      <c r="G3" s="35"/>
      <c r="H3" s="110"/>
      <c r="I3" s="36"/>
    </row>
    <row r="4" spans="1:9" x14ac:dyDescent="0.2">
      <c r="A4" s="121" t="s">
        <v>222</v>
      </c>
      <c r="B4" s="35"/>
      <c r="C4" s="35"/>
      <c r="D4" s="35"/>
      <c r="E4" s="35"/>
      <c r="F4" s="35"/>
      <c r="G4" s="35"/>
      <c r="H4" s="110"/>
      <c r="I4" s="36"/>
    </row>
    <row r="5" spans="1:9" x14ac:dyDescent="0.2">
      <c r="A5" s="121" t="s">
        <v>223</v>
      </c>
      <c r="B5" s="35"/>
      <c r="C5" s="35"/>
      <c r="D5" s="35"/>
      <c r="E5" s="35"/>
      <c r="F5" s="35"/>
      <c r="G5" s="35"/>
      <c r="H5" s="110"/>
      <c r="I5" s="36"/>
    </row>
    <row r="6" spans="1:9" x14ac:dyDescent="0.2">
      <c r="A6" s="121" t="s">
        <v>224</v>
      </c>
      <c r="B6" s="35"/>
      <c r="C6" s="35"/>
      <c r="D6" s="35"/>
      <c r="E6" s="35"/>
      <c r="F6" s="35"/>
      <c r="G6" s="35"/>
      <c r="H6" s="110"/>
      <c r="I6" s="36"/>
    </row>
    <row r="7" spans="1:9" x14ac:dyDescent="0.2">
      <c r="A7" s="121" t="s">
        <v>225</v>
      </c>
      <c r="B7" s="35"/>
      <c r="C7" s="35"/>
      <c r="D7" s="35"/>
      <c r="E7" s="35"/>
      <c r="F7" s="35"/>
      <c r="G7" s="35"/>
      <c r="H7" s="110"/>
      <c r="I7" s="36"/>
    </row>
    <row r="8" spans="1:9" x14ac:dyDescent="0.2">
      <c r="A8" s="122" t="s">
        <v>226</v>
      </c>
      <c r="B8" s="37"/>
      <c r="C8" s="37"/>
      <c r="D8" s="37"/>
      <c r="E8" s="37"/>
      <c r="F8" s="37"/>
      <c r="G8" s="37"/>
      <c r="H8" s="112"/>
      <c r="I8" s="38"/>
    </row>
    <row r="9" spans="1:9" x14ac:dyDescent="0.2">
      <c r="A9" s="28"/>
    </row>
    <row r="10" spans="1:9" s="4" customFormat="1" x14ac:dyDescent="0.2">
      <c r="A10" s="25" t="s">
        <v>219</v>
      </c>
      <c r="B10" s="26" t="s">
        <v>43</v>
      </c>
      <c r="C10" s="26" t="s">
        <v>44</v>
      </c>
      <c r="D10" s="26" t="s">
        <v>45</v>
      </c>
      <c r="E10" s="26" t="s">
        <v>46</v>
      </c>
      <c r="F10" s="26" t="s">
        <v>47</v>
      </c>
      <c r="G10" s="26" t="s">
        <v>48</v>
      </c>
    </row>
    <row r="11" spans="1:9" x14ac:dyDescent="0.2">
      <c r="A11" s="1">
        <v>1</v>
      </c>
      <c r="B11" s="1">
        <v>1</v>
      </c>
      <c r="C11" s="1">
        <v>1</v>
      </c>
      <c r="D11" s="1">
        <v>1</v>
      </c>
      <c r="E11" s="1">
        <v>1</v>
      </c>
      <c r="F11" s="1">
        <v>1</v>
      </c>
      <c r="G11" s="1">
        <v>1</v>
      </c>
    </row>
    <row r="12" spans="1:9" x14ac:dyDescent="0.2">
      <c r="A12" s="1">
        <v>2</v>
      </c>
      <c r="B12" s="1">
        <v>1</v>
      </c>
      <c r="C12" s="1">
        <v>1</v>
      </c>
      <c r="D12" s="1">
        <v>1</v>
      </c>
      <c r="E12" s="1">
        <v>1</v>
      </c>
      <c r="F12" s="1">
        <v>1</v>
      </c>
      <c r="G12" s="1">
        <v>1</v>
      </c>
    </row>
    <row r="13" spans="1:9" x14ac:dyDescent="0.2">
      <c r="A13" s="1">
        <v>3</v>
      </c>
      <c r="B13" s="1">
        <v>1</v>
      </c>
      <c r="C13" s="1">
        <v>1</v>
      </c>
      <c r="D13" s="1">
        <v>1</v>
      </c>
      <c r="E13" s="1">
        <v>1</v>
      </c>
      <c r="F13" s="1">
        <v>1</v>
      </c>
      <c r="G13" s="1">
        <v>1</v>
      </c>
    </row>
    <row r="14" spans="1:9" x14ac:dyDescent="0.2">
      <c r="A14" s="1">
        <v>4</v>
      </c>
      <c r="B14" s="1">
        <v>1</v>
      </c>
      <c r="C14" s="1">
        <v>1</v>
      </c>
      <c r="D14" s="1">
        <v>1</v>
      </c>
      <c r="E14" s="1">
        <v>1</v>
      </c>
      <c r="F14" s="1">
        <v>1</v>
      </c>
      <c r="G14" s="1">
        <v>1</v>
      </c>
    </row>
    <row r="15" spans="1:9" x14ac:dyDescent="0.2">
      <c r="A15" s="1">
        <v>5</v>
      </c>
      <c r="B15" s="1">
        <v>1</v>
      </c>
      <c r="C15" s="1">
        <v>1</v>
      </c>
      <c r="D15" s="1">
        <v>1</v>
      </c>
      <c r="E15" s="1">
        <v>1</v>
      </c>
      <c r="F15" s="1">
        <v>1</v>
      </c>
      <c r="G15" s="1">
        <v>1</v>
      </c>
    </row>
    <row r="16" spans="1:9" x14ac:dyDescent="0.2">
      <c r="A16" s="1">
        <v>6</v>
      </c>
      <c r="B16" s="1">
        <v>1</v>
      </c>
      <c r="C16" s="1">
        <v>1</v>
      </c>
      <c r="D16" s="1">
        <v>1</v>
      </c>
      <c r="E16" s="1">
        <v>1</v>
      </c>
      <c r="F16" s="1">
        <v>1</v>
      </c>
      <c r="G16" s="1">
        <v>1</v>
      </c>
    </row>
    <row r="17" spans="1:7" x14ac:dyDescent="0.2">
      <c r="A17" s="1">
        <v>7</v>
      </c>
      <c r="B17" s="1">
        <v>1</v>
      </c>
      <c r="C17" s="1">
        <v>1</v>
      </c>
      <c r="D17" s="1">
        <v>1</v>
      </c>
      <c r="E17" s="1">
        <v>1</v>
      </c>
      <c r="F17" s="1">
        <v>1</v>
      </c>
      <c r="G17" s="1">
        <v>1</v>
      </c>
    </row>
    <row r="18" spans="1:7" x14ac:dyDescent="0.2">
      <c r="A18" s="1">
        <v>8</v>
      </c>
      <c r="B18" s="1">
        <v>1</v>
      </c>
      <c r="C18" s="1">
        <v>1</v>
      </c>
      <c r="D18" s="1">
        <v>1</v>
      </c>
      <c r="E18" s="1">
        <v>1</v>
      </c>
      <c r="F18" s="1">
        <v>1</v>
      </c>
      <c r="G18" s="1">
        <v>1</v>
      </c>
    </row>
    <row r="19" spans="1:7" x14ac:dyDescent="0.2">
      <c r="A19" s="1">
        <v>9</v>
      </c>
      <c r="B19" s="1">
        <v>1</v>
      </c>
      <c r="C19" s="1">
        <v>1</v>
      </c>
      <c r="D19" s="1">
        <v>1</v>
      </c>
      <c r="E19" s="1">
        <v>1</v>
      </c>
      <c r="F19" s="1">
        <v>1</v>
      </c>
      <c r="G19" s="1">
        <v>1</v>
      </c>
    </row>
    <row r="20" spans="1:7" x14ac:dyDescent="0.2">
      <c r="A20" s="1">
        <v>10</v>
      </c>
      <c r="B20" s="1">
        <v>1</v>
      </c>
      <c r="C20" s="1">
        <v>1</v>
      </c>
      <c r="D20" s="1">
        <v>1</v>
      </c>
      <c r="E20" s="1">
        <v>1</v>
      </c>
      <c r="F20" s="1">
        <v>1</v>
      </c>
      <c r="G20" s="1">
        <v>1</v>
      </c>
    </row>
    <row r="21" spans="1:7" x14ac:dyDescent="0.2">
      <c r="A21" s="1">
        <v>11</v>
      </c>
      <c r="B21" s="1">
        <v>1</v>
      </c>
      <c r="C21" s="1">
        <v>1</v>
      </c>
      <c r="D21" s="1">
        <v>1</v>
      </c>
      <c r="E21" s="1">
        <v>1</v>
      </c>
      <c r="F21" s="1">
        <v>1</v>
      </c>
      <c r="G21" s="1">
        <v>1</v>
      </c>
    </row>
    <row r="22" spans="1:7" x14ac:dyDescent="0.2">
      <c r="A22" s="1">
        <v>12</v>
      </c>
      <c r="B22" s="1">
        <v>1</v>
      </c>
      <c r="C22" s="1">
        <v>1</v>
      </c>
      <c r="D22" s="1">
        <v>1</v>
      </c>
      <c r="E22" s="1">
        <v>1</v>
      </c>
      <c r="F22" s="1">
        <v>1</v>
      </c>
      <c r="G22" s="1">
        <v>1</v>
      </c>
    </row>
    <row r="23" spans="1:7" x14ac:dyDescent="0.2">
      <c r="A23" s="1">
        <v>13</v>
      </c>
      <c r="B23" s="1">
        <v>1</v>
      </c>
      <c r="C23" s="1">
        <v>1</v>
      </c>
      <c r="D23" s="1">
        <v>1</v>
      </c>
      <c r="E23" s="1">
        <v>1</v>
      </c>
      <c r="F23" s="1">
        <v>1</v>
      </c>
      <c r="G23" s="1">
        <v>1</v>
      </c>
    </row>
    <row r="24" spans="1:7" x14ac:dyDescent="0.2">
      <c r="A24" s="1">
        <v>14</v>
      </c>
      <c r="B24" s="1">
        <v>1</v>
      </c>
      <c r="C24" s="1">
        <v>1</v>
      </c>
      <c r="D24" s="1">
        <v>1</v>
      </c>
      <c r="E24" s="1">
        <v>1</v>
      </c>
      <c r="F24" s="1">
        <v>1</v>
      </c>
      <c r="G24" s="1">
        <v>1</v>
      </c>
    </row>
    <row r="25" spans="1:7" x14ac:dyDescent="0.2">
      <c r="A25" s="1">
        <v>15</v>
      </c>
      <c r="B25" s="1">
        <v>1</v>
      </c>
      <c r="C25" s="1">
        <v>1</v>
      </c>
      <c r="D25" s="1">
        <v>1</v>
      </c>
      <c r="E25" s="1">
        <v>1</v>
      </c>
      <c r="F25" s="1">
        <v>1</v>
      </c>
      <c r="G25" s="1">
        <v>1</v>
      </c>
    </row>
    <row r="26" spans="1:7" x14ac:dyDescent="0.2">
      <c r="A26" s="1">
        <v>16</v>
      </c>
      <c r="B26" s="1">
        <v>1</v>
      </c>
      <c r="C26" s="1">
        <v>1</v>
      </c>
      <c r="D26" s="1">
        <v>1</v>
      </c>
      <c r="E26" s="1">
        <v>1</v>
      </c>
      <c r="F26" s="1">
        <v>1</v>
      </c>
      <c r="G26" s="1">
        <v>1</v>
      </c>
    </row>
    <row r="27" spans="1:7" x14ac:dyDescent="0.2">
      <c r="A27" s="1">
        <v>17</v>
      </c>
      <c r="B27" s="1">
        <v>1</v>
      </c>
      <c r="C27" s="1">
        <v>1</v>
      </c>
      <c r="D27" s="1">
        <v>1</v>
      </c>
      <c r="E27" s="1">
        <v>1</v>
      </c>
      <c r="F27" s="1">
        <v>1</v>
      </c>
      <c r="G27" s="1">
        <v>1</v>
      </c>
    </row>
    <row r="28" spans="1:7" x14ac:dyDescent="0.2">
      <c r="A28" s="1">
        <v>18</v>
      </c>
      <c r="B28" s="1">
        <v>1</v>
      </c>
      <c r="C28" s="1">
        <v>1</v>
      </c>
      <c r="D28" s="1">
        <v>1</v>
      </c>
      <c r="E28" s="1">
        <v>1</v>
      </c>
      <c r="F28" s="1">
        <v>1</v>
      </c>
      <c r="G28" s="1">
        <v>1</v>
      </c>
    </row>
    <row r="29" spans="1:7" x14ac:dyDescent="0.2">
      <c r="A29" s="1">
        <v>19</v>
      </c>
      <c r="B29" s="1">
        <v>1</v>
      </c>
      <c r="C29" s="1">
        <v>1</v>
      </c>
      <c r="D29" s="1">
        <v>1</v>
      </c>
      <c r="E29" s="1">
        <v>1</v>
      </c>
      <c r="F29" s="1">
        <v>1</v>
      </c>
      <c r="G29" s="1">
        <v>1</v>
      </c>
    </row>
    <row r="30" spans="1:7" x14ac:dyDescent="0.2">
      <c r="A30" s="1">
        <v>20</v>
      </c>
      <c r="B30" s="1">
        <v>1</v>
      </c>
      <c r="C30" s="1">
        <v>1</v>
      </c>
      <c r="D30" s="1">
        <v>1</v>
      </c>
      <c r="E30" s="1">
        <v>1</v>
      </c>
      <c r="F30" s="1">
        <v>1</v>
      </c>
      <c r="G30" s="1">
        <v>1</v>
      </c>
    </row>
    <row r="31" spans="1:7" x14ac:dyDescent="0.2">
      <c r="A31" s="1">
        <v>21</v>
      </c>
      <c r="B31" s="1">
        <v>1</v>
      </c>
      <c r="C31" s="1">
        <v>1</v>
      </c>
      <c r="D31" s="1">
        <v>1</v>
      </c>
      <c r="E31" s="1">
        <v>1</v>
      </c>
      <c r="F31" s="1">
        <v>1</v>
      </c>
      <c r="G31" s="1">
        <v>1</v>
      </c>
    </row>
    <row r="32" spans="1:7" x14ac:dyDescent="0.2">
      <c r="A32" s="1">
        <v>22</v>
      </c>
      <c r="B32" s="1">
        <v>1</v>
      </c>
      <c r="C32" s="1">
        <v>1</v>
      </c>
      <c r="D32" s="1">
        <v>1</v>
      </c>
      <c r="E32" s="1">
        <v>1</v>
      </c>
      <c r="F32" s="1">
        <v>1</v>
      </c>
      <c r="G32" s="1">
        <v>1</v>
      </c>
    </row>
    <row r="33" spans="1:7" x14ac:dyDescent="0.2">
      <c r="A33" s="1">
        <v>23</v>
      </c>
      <c r="B33" s="1">
        <v>1</v>
      </c>
      <c r="C33" s="1">
        <v>1</v>
      </c>
      <c r="D33" s="1">
        <v>1</v>
      </c>
      <c r="E33" s="1">
        <v>1</v>
      </c>
      <c r="F33" s="1">
        <v>1</v>
      </c>
      <c r="G33" s="1">
        <v>1</v>
      </c>
    </row>
    <row r="34" spans="1:7" x14ac:dyDescent="0.2">
      <c r="A34" s="1">
        <v>24</v>
      </c>
      <c r="B34" s="1">
        <v>1</v>
      </c>
      <c r="C34" s="1">
        <v>1</v>
      </c>
      <c r="D34" s="1">
        <v>1</v>
      </c>
      <c r="E34" s="1">
        <v>1</v>
      </c>
      <c r="F34" s="1">
        <v>1</v>
      </c>
      <c r="G34" s="1">
        <v>1</v>
      </c>
    </row>
    <row r="35" spans="1:7" x14ac:dyDescent="0.2">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3"/>
  <sheetViews>
    <sheetView zoomScale="130" zoomScaleNormal="130" workbookViewId="0">
      <selection activeCell="B13" sqref="B13"/>
    </sheetView>
  </sheetViews>
  <sheetFormatPr baseColWidth="10" defaultColWidth="9.1640625" defaultRowHeight="16" x14ac:dyDescent="0.2"/>
  <cols>
    <col min="1" max="2" width="15.6640625" style="140" customWidth="1"/>
    <col min="3" max="8" width="10.6640625" style="141" customWidth="1"/>
    <col min="9" max="16384" width="9.1640625" style="129"/>
  </cols>
  <sheetData>
    <row r="1" spans="1:8" x14ac:dyDescent="0.2">
      <c r="A1" s="131" t="s">
        <v>120</v>
      </c>
      <c r="B1" s="132"/>
      <c r="C1" s="132"/>
      <c r="D1" s="132"/>
      <c r="E1" s="132"/>
      <c r="F1" s="132"/>
      <c r="G1" s="132"/>
      <c r="H1" s="133"/>
    </row>
    <row r="2" spans="1:8" x14ac:dyDescent="0.2">
      <c r="A2" s="134" t="s">
        <v>257</v>
      </c>
      <c r="B2" s="135"/>
      <c r="C2" s="135"/>
      <c r="D2" s="135"/>
      <c r="E2" s="135"/>
      <c r="F2" s="135"/>
      <c r="G2" s="135"/>
      <c r="H2" s="136"/>
    </row>
    <row r="3" spans="1:8" x14ac:dyDescent="0.2">
      <c r="A3" s="134" t="s">
        <v>258</v>
      </c>
      <c r="B3" s="135"/>
      <c r="C3" s="135"/>
      <c r="D3" s="135"/>
      <c r="E3" s="135"/>
      <c r="F3" s="135"/>
      <c r="G3" s="135"/>
      <c r="H3" s="136"/>
    </row>
    <row r="4" spans="1:8" x14ac:dyDescent="0.2">
      <c r="A4" s="134" t="str">
        <f>"- FX: Force along global X-axis (Input as Float) ("&amp;'User Defined Units'!$B$10&amp;")"</f>
        <v>- FX: Force along global X-axis (Input as Float) (kN)</v>
      </c>
      <c r="B4" s="135"/>
      <c r="C4" s="135"/>
      <c r="D4" s="135"/>
      <c r="E4" s="135"/>
      <c r="F4" s="135"/>
      <c r="G4" s="135"/>
      <c r="H4" s="136"/>
    </row>
    <row r="5" spans="1:8" x14ac:dyDescent="0.2">
      <c r="A5" s="134" t="str">
        <f>"- FY: Force along global Y-axis (Input as Float) ("&amp;'User Defined Units'!$B$10&amp;")"</f>
        <v>- FY: Force along global Y-axis (Input as Float) (kN)</v>
      </c>
      <c r="B5" s="135"/>
      <c r="C5" s="135"/>
      <c r="D5" s="135"/>
      <c r="E5" s="135"/>
      <c r="F5" s="135"/>
      <c r="G5" s="135"/>
      <c r="H5" s="136"/>
    </row>
    <row r="6" spans="1:8" x14ac:dyDescent="0.2">
      <c r="A6" s="134" t="str">
        <f>"- FZ: Force along global Z-axis (Input as Float) ("&amp;'User Defined Units'!$B$10&amp;")"</f>
        <v>- FZ: Force along global Z-axis (Input as Float) (kN)</v>
      </c>
      <c r="B6" s="135"/>
      <c r="C6" s="135"/>
      <c r="D6" s="135"/>
      <c r="E6" s="135"/>
      <c r="F6" s="135"/>
      <c r="G6" s="135"/>
      <c r="H6" s="136"/>
    </row>
    <row r="7" spans="1:8" x14ac:dyDescent="0.2">
      <c r="A7" s="134" t="str">
        <f>"- MX: Moment about global X-axis (Input as Float) ("&amp;'User Defined Units'!$B$10&amp;"-"&amp;'User Defined Units'!$B$11&amp;")"</f>
        <v>- MX: Moment about global X-axis (Input as Float) (kN-m)</v>
      </c>
      <c r="B7" s="135"/>
      <c r="C7" s="135"/>
      <c r="D7" s="135"/>
      <c r="E7" s="135"/>
      <c r="F7" s="135"/>
      <c r="G7" s="135"/>
      <c r="H7" s="136"/>
    </row>
    <row r="8" spans="1:8" x14ac:dyDescent="0.2">
      <c r="A8" s="134" t="str">
        <f>"- MY: Moment about global Y-axis (Input as Float) ("&amp;'User Defined Units'!$B$10&amp;"-"&amp;'User Defined Units'!$B$11&amp;")"</f>
        <v>- MY: Moment about global Y-axis (Input as Float) (kN-m)</v>
      </c>
      <c r="B8" s="135"/>
      <c r="C8" s="135"/>
      <c r="D8" s="135"/>
      <c r="E8" s="135"/>
      <c r="F8" s="135"/>
      <c r="G8" s="135"/>
      <c r="H8" s="136"/>
    </row>
    <row r="9" spans="1:8" x14ac:dyDescent="0.2">
      <c r="A9" s="137" t="str">
        <f>"- MZ: Moment about global Z-axis (Input as Float) ("&amp;'User Defined Units'!$B$10&amp;"-"&amp;'User Defined Units'!$B$11&amp;")"</f>
        <v>- MZ: Moment about global Z-axis (Input as Float) (kN-m)</v>
      </c>
      <c r="B9" s="138"/>
      <c r="C9" s="138"/>
      <c r="D9" s="138"/>
      <c r="E9" s="138"/>
      <c r="F9" s="138"/>
      <c r="G9" s="138"/>
      <c r="H9" s="139"/>
    </row>
    <row r="10" spans="1:8" x14ac:dyDescent="0.2">
      <c r="A10" s="129"/>
      <c r="B10" s="129"/>
      <c r="C10" s="129"/>
      <c r="D10" s="129"/>
      <c r="E10" s="129"/>
      <c r="F10" s="129"/>
      <c r="G10" s="129"/>
      <c r="H10" s="129"/>
    </row>
    <row r="11" spans="1:8" s="125" customFormat="1" x14ac:dyDescent="0.2">
      <c r="A11" s="130" t="s">
        <v>219</v>
      </c>
      <c r="B11" s="130" t="s">
        <v>253</v>
      </c>
      <c r="C11" s="130" t="s">
        <v>247</v>
      </c>
      <c r="D11" s="130" t="s">
        <v>248</v>
      </c>
      <c r="E11" s="130" t="s">
        <v>249</v>
      </c>
      <c r="F11" s="130" t="s">
        <v>250</v>
      </c>
      <c r="G11" s="130" t="s">
        <v>251</v>
      </c>
      <c r="H11" s="130" t="s">
        <v>252</v>
      </c>
    </row>
    <row r="12" spans="1:8" x14ac:dyDescent="0.2">
      <c r="A12" s="140">
        <v>125</v>
      </c>
      <c r="B12" s="140" t="s">
        <v>366</v>
      </c>
      <c r="C12" s="141">
        <v>30</v>
      </c>
    </row>
    <row r="13" spans="1:8" x14ac:dyDescent="0.2">
      <c r="A13" s="140">
        <v>125</v>
      </c>
      <c r="B13" s="140" t="s">
        <v>367</v>
      </c>
      <c r="D13" s="141">
        <v>30</v>
      </c>
    </row>
  </sheetData>
  <dataValidations count="3">
    <dataValidation type="list" showInputMessage="1" showErrorMessage="1" errorTitle="Invalid Input" error="Choose from the list" sqref="A12:A1048576" xr:uid="{EA426CEF-76D2-46B7-BCF5-9565E78F0EB2}">
      <formula1>Point_ID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6"/>
  <sheetViews>
    <sheetView tabSelected="1" zoomScale="130" zoomScaleNormal="130" workbookViewId="0">
      <selection activeCell="I20" sqref="I20"/>
    </sheetView>
  </sheetViews>
  <sheetFormatPr baseColWidth="10" defaultColWidth="9.1640625" defaultRowHeight="16" x14ac:dyDescent="0.2"/>
  <cols>
    <col min="1" max="3" width="15.6640625" style="140" customWidth="1"/>
    <col min="4" max="11" width="10.6640625" style="141" customWidth="1"/>
    <col min="12" max="16384" width="9.1640625" style="129"/>
  </cols>
  <sheetData>
    <row r="1" spans="1:11" x14ac:dyDescent="0.2">
      <c r="A1" s="131" t="s">
        <v>120</v>
      </c>
      <c r="B1" s="132"/>
      <c r="C1" s="132"/>
      <c r="D1" s="132"/>
      <c r="E1" s="132"/>
      <c r="F1" s="132"/>
      <c r="G1" s="132"/>
      <c r="H1" s="132"/>
      <c r="I1" s="132"/>
      <c r="J1" s="132"/>
      <c r="K1" s="133"/>
    </row>
    <row r="2" spans="1:11" x14ac:dyDescent="0.2">
      <c r="A2" s="134" t="s">
        <v>259</v>
      </c>
      <c r="B2" s="135"/>
      <c r="C2" s="135"/>
      <c r="D2" s="135"/>
      <c r="E2" s="135"/>
      <c r="F2" s="135"/>
      <c r="G2" s="135"/>
      <c r="H2" s="135"/>
      <c r="I2" s="135"/>
      <c r="J2" s="135"/>
      <c r="K2" s="136"/>
    </row>
    <row r="3" spans="1:11" x14ac:dyDescent="0.2">
      <c r="A3" s="134" t="s">
        <v>260</v>
      </c>
      <c r="B3" s="135"/>
      <c r="C3" s="135"/>
      <c r="D3" s="135"/>
      <c r="E3" s="135"/>
      <c r="F3" s="135"/>
      <c r="G3" s="135"/>
      <c r="H3" s="135"/>
      <c r="I3" s="135"/>
      <c r="J3" s="135"/>
      <c r="K3" s="136"/>
    </row>
    <row r="4" spans="1:11" x14ac:dyDescent="0.2">
      <c r="A4" s="134" t="s">
        <v>277</v>
      </c>
      <c r="B4" s="135"/>
      <c r="C4" s="135"/>
      <c r="D4" s="135"/>
      <c r="E4" s="135"/>
      <c r="F4" s="135"/>
      <c r="G4" s="135"/>
      <c r="H4" s="135"/>
      <c r="I4" s="135"/>
      <c r="J4" s="135"/>
      <c r="K4" s="136"/>
    </row>
    <row r="5" spans="1:11" x14ac:dyDescent="0.2">
      <c r="A5" s="134" t="str">
        <f>"- Load 1: Value of subjected line point load 1 (Input as Float) ("&amp;'User Defined Units'!$B$10&amp;")"</f>
        <v>- Load 1: Value of subjected line point load 1 (Input as Float) (kN)</v>
      </c>
      <c r="B5" s="135"/>
      <c r="C5" s="135"/>
      <c r="D5" s="135"/>
      <c r="E5" s="135"/>
      <c r="F5" s="135"/>
      <c r="G5" s="135"/>
      <c r="H5" s="135"/>
      <c r="I5" s="135"/>
      <c r="J5" s="135"/>
      <c r="K5" s="136"/>
    </row>
    <row r="6" spans="1:11" x14ac:dyDescent="0.2">
      <c r="A6" s="134" t="str">
        <f>"- Location 1: Location of subjected line point load 1 (Input as Float) ("&amp;'User Defined Units'!$B$11&amp;")"</f>
        <v>- Location 1: Location of subjected line point load 1 (Input as Float) (m)</v>
      </c>
      <c r="B6" s="135"/>
      <c r="C6" s="135"/>
      <c r="D6" s="135"/>
      <c r="E6" s="135"/>
      <c r="F6" s="135"/>
      <c r="G6" s="135"/>
      <c r="H6" s="135"/>
      <c r="I6" s="135"/>
      <c r="J6" s="135"/>
      <c r="K6" s="136"/>
    </row>
    <row r="7" spans="1:11" x14ac:dyDescent="0.2">
      <c r="A7" s="134" t="str">
        <f>"- Load 2: Value of subjected line point load 2 (Input as Float) ("&amp;'User Defined Units'!$B$10&amp;")"</f>
        <v>- Load 2: Value of subjected line point load 2 (Input as Float) (kN)</v>
      </c>
      <c r="B7" s="135"/>
      <c r="C7" s="135"/>
      <c r="D7" s="135"/>
      <c r="E7" s="135"/>
      <c r="F7" s="135"/>
      <c r="G7" s="135"/>
      <c r="H7" s="135"/>
      <c r="I7" s="135"/>
      <c r="J7" s="135"/>
      <c r="K7" s="136"/>
    </row>
    <row r="8" spans="1:11" x14ac:dyDescent="0.2">
      <c r="A8" s="134" t="str">
        <f>"- Location 2: Location of subjected line point load 2 (Input as Float) ("&amp;'User Defined Units'!$B$11&amp;")"</f>
        <v>- Location 2: Location of subjected line point load 2 (Input as Float) (m)</v>
      </c>
      <c r="B8" s="135"/>
      <c r="C8" s="135"/>
      <c r="D8" s="135"/>
      <c r="E8" s="135"/>
      <c r="F8" s="135"/>
      <c r="G8" s="135"/>
      <c r="H8" s="135"/>
      <c r="I8" s="135"/>
      <c r="J8" s="135"/>
      <c r="K8" s="136"/>
    </row>
    <row r="9" spans="1:11" x14ac:dyDescent="0.2">
      <c r="A9" s="134" t="str">
        <f>"- Load 3: Value of subjected line point load 3 (Input as Float) ("&amp;'User Defined Units'!$B$10&amp;")"</f>
        <v>- Load 3: Value of subjected line point load 3 (Input as Float) (kN)</v>
      </c>
      <c r="B9" s="135"/>
      <c r="C9" s="135"/>
      <c r="D9" s="135"/>
      <c r="E9" s="135"/>
      <c r="F9" s="135"/>
      <c r="G9" s="135"/>
      <c r="H9" s="135"/>
      <c r="I9" s="135"/>
      <c r="J9" s="135"/>
      <c r="K9" s="136"/>
    </row>
    <row r="10" spans="1:11" x14ac:dyDescent="0.2">
      <c r="A10" s="134" t="str">
        <f>"- Location 3: Location of subjected line point load 3 (Input as Float) ("&amp;'User Defined Units'!$B$11&amp;")"</f>
        <v>- Location 3: Location of subjected line point load 3 (Input as Float) (m)</v>
      </c>
      <c r="B10" s="135"/>
      <c r="C10" s="135"/>
      <c r="D10" s="135"/>
      <c r="E10" s="135"/>
      <c r="F10" s="135"/>
      <c r="G10" s="135"/>
      <c r="H10" s="135"/>
      <c r="I10" s="135"/>
      <c r="J10" s="135"/>
      <c r="K10" s="136"/>
    </row>
    <row r="11" spans="1:11" x14ac:dyDescent="0.2">
      <c r="A11" s="134" t="str">
        <f>"- Load 4: Value of subjected line point load 4 (Input as Float) ("&amp;'User Defined Units'!$B$10&amp;")"</f>
        <v>- Load 4: Value of subjected line point load 4 (Input as Float) (kN)</v>
      </c>
      <c r="B11" s="135"/>
      <c r="C11" s="135"/>
      <c r="D11" s="135"/>
      <c r="E11" s="135"/>
      <c r="F11" s="135"/>
      <c r="G11" s="135"/>
      <c r="H11" s="135"/>
      <c r="I11" s="135"/>
      <c r="J11" s="135"/>
      <c r="K11" s="136"/>
    </row>
    <row r="12" spans="1:11" x14ac:dyDescent="0.2">
      <c r="A12" s="137" t="str">
        <f>"- Location 4: Location of subjected line point load 4 (Input as Float) ("&amp;'User Defined Units'!$B$11&amp;")"</f>
        <v>- Location 4: Location of subjected line point load 4 (Input as Float) (m)</v>
      </c>
      <c r="B12" s="138"/>
      <c r="C12" s="138"/>
      <c r="D12" s="138"/>
      <c r="E12" s="138"/>
      <c r="F12" s="138"/>
      <c r="G12" s="138"/>
      <c r="H12" s="138"/>
      <c r="I12" s="138"/>
      <c r="J12" s="138"/>
      <c r="K12" s="139"/>
    </row>
    <row r="13" spans="1:11" x14ac:dyDescent="0.2">
      <c r="A13" s="129"/>
      <c r="B13" s="129"/>
      <c r="C13" s="129"/>
      <c r="D13" s="129"/>
      <c r="E13" s="129"/>
      <c r="F13" s="129"/>
      <c r="G13" s="129"/>
      <c r="H13" s="129"/>
      <c r="I13" s="129"/>
      <c r="J13" s="129"/>
      <c r="K13" s="129"/>
    </row>
    <row r="14" spans="1:11" s="125" customFormat="1" x14ac:dyDescent="0.2">
      <c r="A14" s="130" t="s">
        <v>254</v>
      </c>
      <c r="B14" s="130" t="s">
        <v>253</v>
      </c>
      <c r="C14" s="130" t="s">
        <v>256</v>
      </c>
      <c r="D14" s="130" t="s">
        <v>266</v>
      </c>
      <c r="E14" s="130" t="s">
        <v>270</v>
      </c>
      <c r="F14" s="130" t="s">
        <v>267</v>
      </c>
      <c r="G14" s="130" t="s">
        <v>271</v>
      </c>
      <c r="H14" s="130" t="s">
        <v>268</v>
      </c>
      <c r="I14" s="130" t="s">
        <v>272</v>
      </c>
      <c r="J14" s="130" t="s">
        <v>269</v>
      </c>
      <c r="K14" s="130" t="s">
        <v>273</v>
      </c>
    </row>
    <row r="15" spans="1:11" x14ac:dyDescent="0.2">
      <c r="A15" s="140">
        <v>115</v>
      </c>
      <c r="B15" s="140" t="s">
        <v>364</v>
      </c>
      <c r="C15" s="140" t="s">
        <v>255</v>
      </c>
      <c r="D15" s="141">
        <v>30</v>
      </c>
      <c r="E15" s="141">
        <v>4</v>
      </c>
    </row>
    <row r="16" spans="1:11" x14ac:dyDescent="0.2">
      <c r="A16" s="140">
        <v>187</v>
      </c>
      <c r="B16" s="140" t="s">
        <v>364</v>
      </c>
      <c r="C16" s="140" t="s">
        <v>255</v>
      </c>
      <c r="H16" s="141">
        <v>30</v>
      </c>
      <c r="I16" s="141">
        <v>4</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Line_ID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topLeftCell="A44" zoomScale="130" zoomScaleNormal="130" workbookViewId="0">
      <selection activeCell="F68" sqref="F68"/>
    </sheetView>
  </sheetViews>
  <sheetFormatPr baseColWidth="10" defaultColWidth="9.1640625" defaultRowHeight="16" x14ac:dyDescent="0.2"/>
  <cols>
    <col min="1" max="3" width="15.6640625" style="140" customWidth="1"/>
    <col min="4" max="4" width="15.6640625" style="141" customWidth="1"/>
    <col min="5" max="12" width="10.6640625" style="141" customWidth="1"/>
    <col min="13" max="16384" width="9.1640625" style="129"/>
  </cols>
  <sheetData>
    <row r="1" spans="1:12" x14ac:dyDescent="0.2">
      <c r="A1" s="131" t="s">
        <v>120</v>
      </c>
      <c r="B1" s="132"/>
      <c r="C1" s="132"/>
      <c r="D1" s="132"/>
      <c r="E1" s="132"/>
      <c r="F1" s="132"/>
      <c r="G1" s="132"/>
      <c r="H1" s="132"/>
      <c r="I1" s="132"/>
      <c r="J1" s="132"/>
      <c r="K1" s="132"/>
      <c r="L1" s="133"/>
    </row>
    <row r="2" spans="1:12" x14ac:dyDescent="0.2">
      <c r="A2" s="134" t="s">
        <v>275</v>
      </c>
      <c r="B2" s="135"/>
      <c r="C2" s="135"/>
      <c r="D2" s="135"/>
      <c r="E2" s="135"/>
      <c r="F2" s="135"/>
      <c r="G2" s="135"/>
      <c r="H2" s="135"/>
      <c r="I2" s="135"/>
      <c r="J2" s="135"/>
      <c r="K2" s="135"/>
      <c r="L2" s="136"/>
    </row>
    <row r="3" spans="1:12" x14ac:dyDescent="0.2">
      <c r="A3" s="134" t="s">
        <v>276</v>
      </c>
      <c r="B3" s="135"/>
      <c r="C3" s="135"/>
      <c r="D3" s="135"/>
      <c r="E3" s="135"/>
      <c r="F3" s="135"/>
      <c r="G3" s="135"/>
      <c r="H3" s="135"/>
      <c r="I3" s="135"/>
      <c r="J3" s="135"/>
      <c r="K3" s="135"/>
      <c r="L3" s="136"/>
    </row>
    <row r="4" spans="1:12" x14ac:dyDescent="0.2">
      <c r="A4" s="134" t="s">
        <v>278</v>
      </c>
      <c r="B4" s="135"/>
      <c r="C4" s="135"/>
      <c r="D4" s="135"/>
      <c r="E4" s="135"/>
      <c r="F4" s="135"/>
      <c r="G4" s="135"/>
      <c r="H4" s="135"/>
      <c r="I4" s="135"/>
      <c r="J4" s="135"/>
      <c r="K4" s="135"/>
      <c r="L4" s="136"/>
    </row>
    <row r="5" spans="1:12" x14ac:dyDescent="0.2">
      <c r="A5" s="134" t="str">
        <f>"- Uniform Load: Value of subjected uniform distributed line load (Input as Float) ("&amp;'User Defined Units'!$B$10&amp;"/"&amp;'User Defined Units'!$B$11&amp;")"</f>
        <v>- Uniform Load: Value of subjected uniform distributed line load (Input as Float) (kN/m)</v>
      </c>
      <c r="B5" s="135"/>
      <c r="C5" s="135"/>
      <c r="D5" s="135"/>
      <c r="E5" s="135"/>
      <c r="F5" s="135"/>
      <c r="G5" s="135"/>
      <c r="H5" s="135"/>
      <c r="I5" s="135"/>
      <c r="J5" s="135"/>
      <c r="K5" s="135"/>
      <c r="L5" s="136"/>
    </row>
    <row r="6" spans="1:12" x14ac:dyDescent="0.2">
      <c r="A6" s="134" t="str">
        <f>"- Load 1: Value of subjected distributed line load 1 (Input as Float) ("&amp;'User Defined Units'!$B$10&amp;"/"&amp;'User Defined Units'!$B$11&amp;")"</f>
        <v>- Load 1: Value of subjected distributed line load 1 (Input as Float) (kN/m)</v>
      </c>
      <c r="B6" s="135"/>
      <c r="C6" s="135"/>
      <c r="D6" s="135"/>
      <c r="E6" s="135"/>
      <c r="F6" s="135"/>
      <c r="G6" s="135"/>
      <c r="H6" s="135"/>
      <c r="I6" s="135"/>
      <c r="J6" s="135"/>
      <c r="K6" s="135"/>
      <c r="L6" s="136"/>
    </row>
    <row r="7" spans="1:12" x14ac:dyDescent="0.2">
      <c r="A7" s="134" t="str">
        <f>"- Location 1: Location of subjected distributed line load 1 (Input as Float) ("&amp;'User Defined Units'!$B$11&amp;")"</f>
        <v>- Location 1: Location of subjected distributed line load 1 (Input as Float) (m)</v>
      </c>
      <c r="B7" s="135"/>
      <c r="C7" s="135"/>
      <c r="D7" s="135"/>
      <c r="E7" s="135"/>
      <c r="F7" s="135"/>
      <c r="G7" s="135"/>
      <c r="H7" s="135"/>
      <c r="I7" s="135"/>
      <c r="J7" s="135"/>
      <c r="K7" s="135"/>
      <c r="L7" s="136"/>
    </row>
    <row r="8" spans="1:12" x14ac:dyDescent="0.2">
      <c r="A8" s="134" t="str">
        <f>"- Load 2: Value of subjected distributed line load 2 (Input as Float) ("&amp;'User Defined Units'!$B$10&amp;"/"&amp;'User Defined Units'!$B$11&amp;")"</f>
        <v>- Load 2: Value of subjected distributed line load 2 (Input as Float) (kN/m)</v>
      </c>
      <c r="B8" s="135"/>
      <c r="C8" s="135"/>
      <c r="D8" s="135"/>
      <c r="E8" s="135"/>
      <c r="F8" s="135"/>
      <c r="G8" s="135"/>
      <c r="H8" s="135"/>
      <c r="I8" s="135"/>
      <c r="J8" s="135"/>
      <c r="K8" s="135"/>
      <c r="L8" s="136"/>
    </row>
    <row r="9" spans="1:12" x14ac:dyDescent="0.2">
      <c r="A9" s="134" t="str">
        <f>"- Location 2: Location of subjected distributed line load 2 (Input as Float) ("&amp;'User Defined Units'!$B$11&amp;")"</f>
        <v>- Location 2: Location of subjected distributed line load 2 (Input as Float) (m)</v>
      </c>
      <c r="B9" s="135"/>
      <c r="C9" s="135"/>
      <c r="D9" s="135"/>
      <c r="E9" s="135"/>
      <c r="F9" s="135"/>
      <c r="G9" s="135"/>
      <c r="H9" s="135"/>
      <c r="I9" s="135"/>
      <c r="J9" s="135"/>
      <c r="K9" s="135"/>
      <c r="L9" s="136"/>
    </row>
    <row r="10" spans="1:12" x14ac:dyDescent="0.2">
      <c r="A10" s="134" t="str">
        <f>"- Load 3: Value of subjected distributed line load 3 (Input as Float) ("&amp;'User Defined Units'!$B$10&amp;"/"&amp;'User Defined Units'!$B$11&amp;")"</f>
        <v>- Load 3: Value of subjected distributed line load 3 (Input as Float) (kN/m)</v>
      </c>
      <c r="B10" s="135"/>
      <c r="C10" s="135"/>
      <c r="D10" s="135"/>
      <c r="E10" s="135"/>
      <c r="F10" s="135"/>
      <c r="G10" s="135"/>
      <c r="H10" s="135"/>
      <c r="I10" s="135"/>
      <c r="J10" s="135"/>
      <c r="K10" s="135"/>
      <c r="L10" s="136"/>
    </row>
    <row r="11" spans="1:12" x14ac:dyDescent="0.2">
      <c r="A11" s="134" t="str">
        <f>"- Location 3: Location of subjected distributed line load 3 (Input as Float) ("&amp;'User Defined Units'!$B$11&amp;")"</f>
        <v>- Location 3: Location of subjected distributed line load 3 (Input as Float) (m)</v>
      </c>
      <c r="B11" s="135"/>
      <c r="C11" s="135"/>
      <c r="D11" s="135"/>
      <c r="E11" s="135"/>
      <c r="F11" s="135"/>
      <c r="G11" s="135"/>
      <c r="H11" s="135"/>
      <c r="I11" s="135"/>
      <c r="J11" s="135"/>
      <c r="K11" s="135"/>
      <c r="L11" s="136"/>
    </row>
    <row r="12" spans="1:12" x14ac:dyDescent="0.2">
      <c r="A12" s="134" t="str">
        <f>"- Load 4: Value of subjected distributed line load 4 (Input as Float) ("&amp;'User Defined Units'!$B$10&amp;"/"&amp;'User Defined Units'!$B$11&amp;")"</f>
        <v>- Load 4: Value of subjected distributed line load 4 (Input as Float) (kN/m)</v>
      </c>
      <c r="B12" s="135"/>
      <c r="C12" s="135"/>
      <c r="D12" s="135"/>
      <c r="E12" s="135"/>
      <c r="F12" s="135"/>
      <c r="G12" s="135"/>
      <c r="H12" s="135"/>
      <c r="I12" s="135"/>
      <c r="J12" s="135"/>
      <c r="K12" s="135"/>
      <c r="L12" s="136"/>
    </row>
    <row r="13" spans="1:12" x14ac:dyDescent="0.2">
      <c r="A13" s="137" t="str">
        <f>"- Location 4: Location of subjected distributed line load 4 (Input as Float) ("&amp;'User Defined Units'!$B$11&amp;")"</f>
        <v>- Location 4: Location of subjected distributed line load 4 (Input as Float) (m)</v>
      </c>
      <c r="B13" s="138"/>
      <c r="C13" s="138"/>
      <c r="D13" s="138"/>
      <c r="E13" s="138"/>
      <c r="F13" s="138"/>
      <c r="G13" s="138"/>
      <c r="H13" s="138"/>
      <c r="I13" s="138"/>
      <c r="J13" s="138"/>
      <c r="K13" s="138"/>
      <c r="L13" s="139"/>
    </row>
    <row r="14" spans="1:12" x14ac:dyDescent="0.2">
      <c r="A14" s="129"/>
      <c r="B14" s="129"/>
      <c r="C14" s="129"/>
      <c r="D14" s="129"/>
      <c r="E14" s="129"/>
      <c r="F14" s="129"/>
      <c r="G14" s="129"/>
      <c r="H14" s="129"/>
      <c r="I14" s="129"/>
      <c r="J14" s="129"/>
      <c r="K14" s="129"/>
      <c r="L14" s="129"/>
    </row>
    <row r="15" spans="1:12" s="125" customFormat="1" x14ac:dyDescent="0.2">
      <c r="A15" s="130" t="s">
        <v>254</v>
      </c>
      <c r="B15" s="130" t="s">
        <v>253</v>
      </c>
      <c r="C15" s="130" t="s">
        <v>256</v>
      </c>
      <c r="D15" s="130" t="s">
        <v>274</v>
      </c>
      <c r="E15" s="130" t="s">
        <v>266</v>
      </c>
      <c r="F15" s="130" t="s">
        <v>270</v>
      </c>
      <c r="G15" s="130" t="s">
        <v>267</v>
      </c>
      <c r="H15" s="130" t="s">
        <v>271</v>
      </c>
      <c r="I15" s="130" t="s">
        <v>268</v>
      </c>
      <c r="J15" s="130" t="s">
        <v>272</v>
      </c>
      <c r="K15" s="130" t="s">
        <v>269</v>
      </c>
      <c r="L15" s="130" t="s">
        <v>273</v>
      </c>
    </row>
    <row r="16" spans="1:12" x14ac:dyDescent="0.2">
      <c r="A16" s="140">
        <v>101</v>
      </c>
      <c r="B16" s="140" t="s">
        <v>364</v>
      </c>
      <c r="C16" s="140" t="s">
        <v>255</v>
      </c>
      <c r="D16" s="141">
        <v>7.04</v>
      </c>
      <c r="E16" s="141">
        <v>0</v>
      </c>
      <c r="F16" s="141">
        <v>0</v>
      </c>
      <c r="G16" s="141">
        <v>-12</v>
      </c>
      <c r="H16" s="141">
        <v>3</v>
      </c>
      <c r="I16" s="141">
        <v>-12</v>
      </c>
      <c r="J16" s="141">
        <v>5</v>
      </c>
      <c r="K16" s="141">
        <v>0</v>
      </c>
      <c r="L16" s="141">
        <v>8</v>
      </c>
    </row>
    <row r="17" spans="1:4" x14ac:dyDescent="0.2">
      <c r="A17" s="140">
        <v>102</v>
      </c>
      <c r="B17" s="140" t="s">
        <v>364</v>
      </c>
      <c r="C17" s="140" t="s">
        <v>255</v>
      </c>
      <c r="D17" s="141">
        <v>7.04</v>
      </c>
    </row>
    <row r="18" spans="1:4" x14ac:dyDescent="0.2">
      <c r="A18" s="140">
        <v>103</v>
      </c>
      <c r="B18" s="140" t="s">
        <v>364</v>
      </c>
      <c r="C18" s="140" t="s">
        <v>255</v>
      </c>
      <c r="D18" s="141">
        <v>7.04</v>
      </c>
    </row>
    <row r="19" spans="1:4" x14ac:dyDescent="0.2">
      <c r="A19" s="140">
        <v>104</v>
      </c>
      <c r="B19" s="140" t="s">
        <v>364</v>
      </c>
      <c r="C19" s="140" t="s">
        <v>255</v>
      </c>
      <c r="D19" s="141">
        <v>7.04</v>
      </c>
    </row>
    <row r="20" spans="1:4" x14ac:dyDescent="0.2">
      <c r="A20" s="140">
        <v>117</v>
      </c>
      <c r="B20" s="140" t="s">
        <v>364</v>
      </c>
      <c r="C20" s="140" t="s">
        <v>255</v>
      </c>
      <c r="D20" s="141">
        <v>7.04</v>
      </c>
    </row>
    <row r="21" spans="1:4" x14ac:dyDescent="0.2">
      <c r="A21" s="140">
        <v>118</v>
      </c>
      <c r="B21" s="140" t="s">
        <v>364</v>
      </c>
      <c r="C21" s="140" t="s">
        <v>255</v>
      </c>
      <c r="D21" s="141">
        <v>7.04</v>
      </c>
    </row>
    <row r="22" spans="1:4" x14ac:dyDescent="0.2">
      <c r="A22" s="140">
        <v>119</v>
      </c>
      <c r="B22" s="140" t="s">
        <v>364</v>
      </c>
      <c r="C22" s="140" t="s">
        <v>255</v>
      </c>
      <c r="D22" s="141">
        <v>7.04</v>
      </c>
    </row>
    <row r="23" spans="1:4" x14ac:dyDescent="0.2">
      <c r="A23" s="140">
        <v>120</v>
      </c>
      <c r="B23" s="140" t="s">
        <v>364</v>
      </c>
      <c r="C23" s="140" t="s">
        <v>255</v>
      </c>
      <c r="D23" s="141">
        <v>7.04</v>
      </c>
    </row>
    <row r="24" spans="1:4" x14ac:dyDescent="0.2">
      <c r="A24" s="140">
        <v>181</v>
      </c>
      <c r="B24" s="140" t="s">
        <v>364</v>
      </c>
      <c r="C24" s="140" t="s">
        <v>255</v>
      </c>
      <c r="D24" s="141">
        <v>7.04</v>
      </c>
    </row>
    <row r="25" spans="1:4" x14ac:dyDescent="0.2">
      <c r="A25" s="140">
        <v>185</v>
      </c>
      <c r="B25" s="140" t="s">
        <v>364</v>
      </c>
      <c r="C25" s="140" t="s">
        <v>255</v>
      </c>
      <c r="D25" s="141">
        <v>7.04</v>
      </c>
    </row>
    <row r="26" spans="1:4" x14ac:dyDescent="0.2">
      <c r="A26" s="140">
        <v>186</v>
      </c>
      <c r="B26" s="140" t="s">
        <v>364</v>
      </c>
      <c r="C26" s="140" t="s">
        <v>255</v>
      </c>
      <c r="D26" s="141">
        <v>7.04</v>
      </c>
    </row>
    <row r="27" spans="1:4" x14ac:dyDescent="0.2">
      <c r="A27" s="140">
        <v>190</v>
      </c>
      <c r="B27" s="140" t="s">
        <v>364</v>
      </c>
      <c r="C27" s="140" t="s">
        <v>255</v>
      </c>
      <c r="D27" s="141">
        <v>7.04</v>
      </c>
    </row>
    <row r="28" spans="1:4" x14ac:dyDescent="0.2">
      <c r="A28" s="140">
        <v>191</v>
      </c>
      <c r="B28" s="140" t="s">
        <v>364</v>
      </c>
      <c r="C28" s="140" t="s">
        <v>255</v>
      </c>
      <c r="D28" s="141">
        <v>7.04</v>
      </c>
    </row>
    <row r="29" spans="1:4" x14ac:dyDescent="0.2">
      <c r="A29" s="140">
        <v>195</v>
      </c>
      <c r="B29" s="140" t="s">
        <v>364</v>
      </c>
      <c r="C29" s="140" t="s">
        <v>255</v>
      </c>
      <c r="D29" s="141">
        <v>7.04</v>
      </c>
    </row>
    <row r="30" spans="1:4" x14ac:dyDescent="0.2">
      <c r="A30" s="140">
        <v>196</v>
      </c>
      <c r="B30" s="140" t="s">
        <v>364</v>
      </c>
      <c r="C30" s="140" t="s">
        <v>255</v>
      </c>
      <c r="D30" s="141">
        <v>7.04</v>
      </c>
    </row>
    <row r="31" spans="1:4" x14ac:dyDescent="0.2">
      <c r="A31" s="140">
        <v>200</v>
      </c>
      <c r="B31" s="140" t="s">
        <v>364</v>
      </c>
      <c r="C31" s="140" t="s">
        <v>255</v>
      </c>
      <c r="D31" s="141">
        <v>7.04</v>
      </c>
    </row>
    <row r="32" spans="1:4" x14ac:dyDescent="0.2">
      <c r="A32" s="140">
        <v>121</v>
      </c>
      <c r="B32" s="140" t="s">
        <v>364</v>
      </c>
      <c r="C32" s="140" t="s">
        <v>255</v>
      </c>
      <c r="D32" s="141">
        <v>7.04</v>
      </c>
    </row>
    <row r="33" spans="1:4" x14ac:dyDescent="0.2">
      <c r="A33" s="140">
        <v>122</v>
      </c>
      <c r="B33" s="140" t="s">
        <v>364</v>
      </c>
      <c r="C33" s="140" t="s">
        <v>255</v>
      </c>
      <c r="D33" s="141">
        <v>7.04</v>
      </c>
    </row>
    <row r="34" spans="1:4" x14ac:dyDescent="0.2">
      <c r="A34" s="140">
        <v>123</v>
      </c>
      <c r="B34" s="140" t="s">
        <v>364</v>
      </c>
      <c r="C34" s="140" t="s">
        <v>255</v>
      </c>
      <c r="D34" s="141">
        <v>7.04</v>
      </c>
    </row>
    <row r="35" spans="1:4" x14ac:dyDescent="0.2">
      <c r="A35" s="140">
        <v>124</v>
      </c>
      <c r="B35" s="140" t="s">
        <v>364</v>
      </c>
      <c r="C35" s="140" t="s">
        <v>255</v>
      </c>
      <c r="D35" s="141">
        <v>7.04</v>
      </c>
    </row>
    <row r="36" spans="1:4" x14ac:dyDescent="0.2">
      <c r="A36" s="140">
        <v>137</v>
      </c>
      <c r="B36" s="140" t="s">
        <v>364</v>
      </c>
      <c r="C36" s="140" t="s">
        <v>255</v>
      </c>
      <c r="D36" s="141">
        <v>7.04</v>
      </c>
    </row>
    <row r="37" spans="1:4" x14ac:dyDescent="0.2">
      <c r="A37" s="140">
        <v>138</v>
      </c>
      <c r="B37" s="140" t="s">
        <v>364</v>
      </c>
      <c r="C37" s="140" t="s">
        <v>255</v>
      </c>
      <c r="D37" s="141">
        <v>7.04</v>
      </c>
    </row>
    <row r="38" spans="1:4" x14ac:dyDescent="0.2">
      <c r="A38" s="140">
        <v>139</v>
      </c>
      <c r="B38" s="140" t="s">
        <v>364</v>
      </c>
      <c r="C38" s="140" t="s">
        <v>255</v>
      </c>
      <c r="D38" s="141">
        <v>7.04</v>
      </c>
    </row>
    <row r="39" spans="1:4" x14ac:dyDescent="0.2">
      <c r="A39" s="140">
        <v>140</v>
      </c>
      <c r="B39" s="140" t="s">
        <v>364</v>
      </c>
      <c r="C39" s="140" t="s">
        <v>255</v>
      </c>
      <c r="D39" s="141">
        <v>7.04</v>
      </c>
    </row>
    <row r="40" spans="1:4" x14ac:dyDescent="0.2">
      <c r="A40" s="140">
        <v>201</v>
      </c>
      <c r="B40" s="140" t="s">
        <v>364</v>
      </c>
      <c r="C40" s="140" t="s">
        <v>255</v>
      </c>
      <c r="D40" s="141">
        <v>7.04</v>
      </c>
    </row>
    <row r="41" spans="1:4" x14ac:dyDescent="0.2">
      <c r="A41" s="140">
        <v>205</v>
      </c>
      <c r="B41" s="140" t="s">
        <v>364</v>
      </c>
      <c r="C41" s="140" t="s">
        <v>255</v>
      </c>
      <c r="D41" s="141">
        <v>7.04</v>
      </c>
    </row>
    <row r="42" spans="1:4" x14ac:dyDescent="0.2">
      <c r="A42" s="140">
        <v>206</v>
      </c>
      <c r="B42" s="140" t="s">
        <v>364</v>
      </c>
      <c r="C42" s="140" t="s">
        <v>255</v>
      </c>
      <c r="D42" s="141">
        <v>7.04</v>
      </c>
    </row>
    <row r="43" spans="1:4" x14ac:dyDescent="0.2">
      <c r="A43" s="140">
        <v>210</v>
      </c>
      <c r="B43" s="140" t="s">
        <v>364</v>
      </c>
      <c r="C43" s="140" t="s">
        <v>255</v>
      </c>
      <c r="D43" s="141">
        <v>7.04</v>
      </c>
    </row>
    <row r="44" spans="1:4" x14ac:dyDescent="0.2">
      <c r="A44" s="140">
        <v>211</v>
      </c>
      <c r="B44" s="140" t="s">
        <v>364</v>
      </c>
      <c r="C44" s="140" t="s">
        <v>255</v>
      </c>
      <c r="D44" s="141">
        <v>7.04</v>
      </c>
    </row>
    <row r="45" spans="1:4" x14ac:dyDescent="0.2">
      <c r="A45" s="140">
        <v>215</v>
      </c>
      <c r="B45" s="140" t="s">
        <v>364</v>
      </c>
      <c r="C45" s="140" t="s">
        <v>255</v>
      </c>
      <c r="D45" s="141">
        <v>7.04</v>
      </c>
    </row>
    <row r="46" spans="1:4" x14ac:dyDescent="0.2">
      <c r="A46" s="140">
        <v>216</v>
      </c>
      <c r="B46" s="140" t="s">
        <v>364</v>
      </c>
      <c r="C46" s="140" t="s">
        <v>255</v>
      </c>
      <c r="D46" s="141">
        <v>7.04</v>
      </c>
    </row>
    <row r="47" spans="1:4" x14ac:dyDescent="0.2">
      <c r="A47" s="140">
        <v>220</v>
      </c>
      <c r="B47" s="140" t="s">
        <v>364</v>
      </c>
      <c r="C47" s="140" t="s">
        <v>255</v>
      </c>
      <c r="D47" s="141">
        <v>7.04</v>
      </c>
    </row>
    <row r="48" spans="1:4" x14ac:dyDescent="0.2">
      <c r="A48" s="140">
        <v>141</v>
      </c>
      <c r="B48" s="140" t="s">
        <v>364</v>
      </c>
      <c r="C48" s="140" t="s">
        <v>255</v>
      </c>
      <c r="D48" s="141">
        <v>7.04</v>
      </c>
    </row>
    <row r="49" spans="1:4" x14ac:dyDescent="0.2">
      <c r="A49" s="140">
        <v>142</v>
      </c>
      <c r="B49" s="140" t="s">
        <v>364</v>
      </c>
      <c r="C49" s="140" t="s">
        <v>255</v>
      </c>
      <c r="D49" s="141">
        <v>7.04</v>
      </c>
    </row>
    <row r="50" spans="1:4" x14ac:dyDescent="0.2">
      <c r="A50" s="140">
        <v>143</v>
      </c>
      <c r="B50" s="140" t="s">
        <v>364</v>
      </c>
      <c r="C50" s="140" t="s">
        <v>255</v>
      </c>
      <c r="D50" s="141">
        <v>7.04</v>
      </c>
    </row>
    <row r="51" spans="1:4" x14ac:dyDescent="0.2">
      <c r="A51" s="140">
        <v>144</v>
      </c>
      <c r="B51" s="140" t="s">
        <v>364</v>
      </c>
      <c r="C51" s="140" t="s">
        <v>255</v>
      </c>
      <c r="D51" s="141">
        <v>7.04</v>
      </c>
    </row>
    <row r="52" spans="1:4" x14ac:dyDescent="0.2">
      <c r="A52" s="140">
        <v>157</v>
      </c>
      <c r="B52" s="140" t="s">
        <v>364</v>
      </c>
      <c r="C52" s="140" t="s">
        <v>255</v>
      </c>
      <c r="D52" s="141">
        <v>7.04</v>
      </c>
    </row>
    <row r="53" spans="1:4" x14ac:dyDescent="0.2">
      <c r="A53" s="140">
        <v>158</v>
      </c>
      <c r="B53" s="140" t="s">
        <v>364</v>
      </c>
      <c r="C53" s="140" t="s">
        <v>255</v>
      </c>
      <c r="D53" s="141">
        <v>7.04</v>
      </c>
    </row>
    <row r="54" spans="1:4" x14ac:dyDescent="0.2">
      <c r="A54" s="140">
        <v>159</v>
      </c>
      <c r="B54" s="140" t="s">
        <v>364</v>
      </c>
      <c r="C54" s="140" t="s">
        <v>255</v>
      </c>
      <c r="D54" s="141">
        <v>7.04</v>
      </c>
    </row>
    <row r="55" spans="1:4" x14ac:dyDescent="0.2">
      <c r="A55" s="140">
        <v>160</v>
      </c>
      <c r="B55" s="140" t="s">
        <v>364</v>
      </c>
      <c r="C55" s="140" t="s">
        <v>255</v>
      </c>
      <c r="D55" s="141">
        <v>7.04</v>
      </c>
    </row>
    <row r="56" spans="1:4" x14ac:dyDescent="0.2">
      <c r="A56" s="140">
        <v>221</v>
      </c>
      <c r="B56" s="140" t="s">
        <v>364</v>
      </c>
      <c r="C56" s="140" t="s">
        <v>255</v>
      </c>
      <c r="D56" s="141">
        <v>7.04</v>
      </c>
    </row>
    <row r="57" spans="1:4" x14ac:dyDescent="0.2">
      <c r="A57" s="140">
        <v>225</v>
      </c>
      <c r="B57" s="140" t="s">
        <v>364</v>
      </c>
      <c r="C57" s="140" t="s">
        <v>255</v>
      </c>
      <c r="D57" s="141">
        <v>7.04</v>
      </c>
    </row>
    <row r="58" spans="1:4" x14ac:dyDescent="0.2">
      <c r="A58" s="140">
        <v>226</v>
      </c>
      <c r="B58" s="140" t="s">
        <v>364</v>
      </c>
      <c r="C58" s="140" t="s">
        <v>255</v>
      </c>
      <c r="D58" s="141">
        <v>7.04</v>
      </c>
    </row>
    <row r="59" spans="1:4" x14ac:dyDescent="0.2">
      <c r="A59" s="140">
        <v>230</v>
      </c>
      <c r="B59" s="140" t="s">
        <v>364</v>
      </c>
      <c r="C59" s="140" t="s">
        <v>255</v>
      </c>
      <c r="D59" s="141">
        <v>7.04</v>
      </c>
    </row>
    <row r="60" spans="1:4" x14ac:dyDescent="0.2">
      <c r="A60" s="140">
        <v>231</v>
      </c>
      <c r="B60" s="140" t="s">
        <v>364</v>
      </c>
      <c r="C60" s="140" t="s">
        <v>255</v>
      </c>
      <c r="D60" s="141">
        <v>7.04</v>
      </c>
    </row>
    <row r="61" spans="1:4" x14ac:dyDescent="0.2">
      <c r="A61" s="140">
        <v>235</v>
      </c>
      <c r="B61" s="140" t="s">
        <v>364</v>
      </c>
      <c r="C61" s="140" t="s">
        <v>255</v>
      </c>
      <c r="D61" s="141">
        <v>7.04</v>
      </c>
    </row>
    <row r="62" spans="1:4" x14ac:dyDescent="0.2">
      <c r="A62" s="140">
        <v>236</v>
      </c>
      <c r="B62" s="140" t="s">
        <v>364</v>
      </c>
      <c r="C62" s="140" t="s">
        <v>255</v>
      </c>
      <c r="D62" s="141">
        <v>7.04</v>
      </c>
    </row>
    <row r="63" spans="1:4" x14ac:dyDescent="0.2">
      <c r="A63" s="140">
        <v>240</v>
      </c>
      <c r="B63" s="140" t="s">
        <v>364</v>
      </c>
      <c r="C63" s="140" t="s">
        <v>255</v>
      </c>
      <c r="D63" s="141">
        <v>7.04</v>
      </c>
    </row>
    <row r="64" spans="1:4" x14ac:dyDescent="0.2">
      <c r="A64" s="140">
        <v>161</v>
      </c>
      <c r="B64" s="140" t="s">
        <v>364</v>
      </c>
      <c r="C64" s="140" t="s">
        <v>255</v>
      </c>
      <c r="D64" s="141">
        <v>2.41</v>
      </c>
    </row>
    <row r="65" spans="1:4" x14ac:dyDescent="0.2">
      <c r="A65" s="140">
        <v>162</v>
      </c>
      <c r="B65" s="140" t="s">
        <v>364</v>
      </c>
      <c r="C65" s="140" t="s">
        <v>255</v>
      </c>
      <c r="D65" s="141">
        <v>2.41</v>
      </c>
    </row>
    <row r="66" spans="1:4" x14ac:dyDescent="0.2">
      <c r="A66" s="140">
        <v>163</v>
      </c>
      <c r="B66" s="140" t="s">
        <v>364</v>
      </c>
      <c r="C66" s="140" t="s">
        <v>255</v>
      </c>
      <c r="D66" s="141">
        <v>2.41</v>
      </c>
    </row>
    <row r="67" spans="1:4" x14ac:dyDescent="0.2">
      <c r="A67" s="140">
        <v>164</v>
      </c>
      <c r="B67" s="140" t="s">
        <v>364</v>
      </c>
      <c r="C67" s="140" t="s">
        <v>255</v>
      </c>
      <c r="D67" s="141">
        <v>2.41</v>
      </c>
    </row>
    <row r="68" spans="1:4" x14ac:dyDescent="0.2">
      <c r="A68" s="140">
        <v>177</v>
      </c>
      <c r="B68" s="140" t="s">
        <v>364</v>
      </c>
      <c r="C68" s="140" t="s">
        <v>255</v>
      </c>
      <c r="D68" s="141">
        <v>2.41</v>
      </c>
    </row>
    <row r="69" spans="1:4" x14ac:dyDescent="0.2">
      <c r="A69" s="140">
        <v>178</v>
      </c>
      <c r="B69" s="140" t="s">
        <v>364</v>
      </c>
      <c r="C69" s="140" t="s">
        <v>255</v>
      </c>
      <c r="D69" s="141">
        <v>2.41</v>
      </c>
    </row>
    <row r="70" spans="1:4" x14ac:dyDescent="0.2">
      <c r="A70" s="140">
        <v>179</v>
      </c>
      <c r="B70" s="140" t="s">
        <v>364</v>
      </c>
      <c r="C70" s="140" t="s">
        <v>255</v>
      </c>
      <c r="D70" s="141">
        <v>2.41</v>
      </c>
    </row>
    <row r="71" spans="1:4" x14ac:dyDescent="0.2">
      <c r="A71" s="140">
        <v>180</v>
      </c>
      <c r="B71" s="140" t="s">
        <v>364</v>
      </c>
      <c r="C71" s="140" t="s">
        <v>255</v>
      </c>
      <c r="D71" s="141">
        <v>2.41</v>
      </c>
    </row>
    <row r="72" spans="1:4" x14ac:dyDescent="0.2">
      <c r="A72" s="140">
        <v>241</v>
      </c>
      <c r="B72" s="140" t="s">
        <v>364</v>
      </c>
      <c r="C72" s="140" t="s">
        <v>255</v>
      </c>
      <c r="D72" s="141">
        <v>2.41</v>
      </c>
    </row>
    <row r="73" spans="1:4" x14ac:dyDescent="0.2">
      <c r="A73" s="140">
        <v>245</v>
      </c>
      <c r="B73" s="140" t="s">
        <v>364</v>
      </c>
      <c r="C73" s="140" t="s">
        <v>255</v>
      </c>
      <c r="D73" s="141">
        <v>2.41</v>
      </c>
    </row>
    <row r="74" spans="1:4" x14ac:dyDescent="0.2">
      <c r="A74" s="140">
        <v>246</v>
      </c>
      <c r="B74" s="140" t="s">
        <v>364</v>
      </c>
      <c r="C74" s="140" t="s">
        <v>255</v>
      </c>
      <c r="D74" s="141">
        <v>2.41</v>
      </c>
    </row>
    <row r="75" spans="1:4" x14ac:dyDescent="0.2">
      <c r="A75" s="140">
        <v>250</v>
      </c>
      <c r="B75" s="140" t="s">
        <v>364</v>
      </c>
      <c r="C75" s="140" t="s">
        <v>255</v>
      </c>
      <c r="D75" s="141">
        <v>2.41</v>
      </c>
    </row>
    <row r="76" spans="1:4" x14ac:dyDescent="0.2">
      <c r="A76" s="140">
        <v>251</v>
      </c>
      <c r="B76" s="140" t="s">
        <v>364</v>
      </c>
      <c r="C76" s="140" t="s">
        <v>255</v>
      </c>
      <c r="D76" s="141">
        <v>2.41</v>
      </c>
    </row>
    <row r="77" spans="1:4" x14ac:dyDescent="0.2">
      <c r="A77" s="140">
        <v>255</v>
      </c>
      <c r="B77" s="140" t="s">
        <v>364</v>
      </c>
      <c r="C77" s="140" t="s">
        <v>255</v>
      </c>
      <c r="D77" s="141">
        <v>2.41</v>
      </c>
    </row>
    <row r="78" spans="1:4" x14ac:dyDescent="0.2">
      <c r="A78" s="140">
        <v>256</v>
      </c>
      <c r="B78" s="140" t="s">
        <v>364</v>
      </c>
      <c r="C78" s="140" t="s">
        <v>255</v>
      </c>
      <c r="D78" s="141">
        <v>2.41</v>
      </c>
    </row>
    <row r="79" spans="1:4" x14ac:dyDescent="0.2">
      <c r="A79" s="140">
        <v>260</v>
      </c>
      <c r="B79" s="140" t="s">
        <v>364</v>
      </c>
      <c r="C79" s="140" t="s">
        <v>255</v>
      </c>
      <c r="D79" s="141">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Line_ID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E135"/>
  <sheetViews>
    <sheetView zoomScale="130" zoomScaleNormal="130" workbookViewId="0">
      <selection activeCell="B119" sqref="B119"/>
    </sheetView>
  </sheetViews>
  <sheetFormatPr baseColWidth="10" defaultColWidth="9.1640625" defaultRowHeight="16" x14ac:dyDescent="0.2"/>
  <cols>
    <col min="1" max="3" width="15.6640625" style="140" customWidth="1"/>
    <col min="4" max="4" width="15.6640625" style="141" customWidth="1"/>
    <col min="5" max="16384" width="9.1640625" style="129"/>
  </cols>
  <sheetData>
    <row r="1" spans="1:5" x14ac:dyDescent="0.2">
      <c r="A1" s="131" t="s">
        <v>120</v>
      </c>
      <c r="B1" s="132"/>
      <c r="C1" s="132"/>
      <c r="D1" s="132"/>
      <c r="E1" s="133"/>
    </row>
    <row r="2" spans="1:5" x14ac:dyDescent="0.2">
      <c r="A2" s="134" t="s">
        <v>262</v>
      </c>
      <c r="B2" s="135"/>
      <c r="C2" s="135"/>
      <c r="D2" s="135"/>
      <c r="E2" s="136"/>
    </row>
    <row r="3" spans="1:5" x14ac:dyDescent="0.2">
      <c r="A3" s="134" t="s">
        <v>264</v>
      </c>
      <c r="B3" s="135"/>
      <c r="C3" s="135"/>
      <c r="D3" s="135"/>
      <c r="E3" s="136"/>
    </row>
    <row r="4" spans="1:5" x14ac:dyDescent="0.2">
      <c r="A4" s="134" t="s">
        <v>265</v>
      </c>
      <c r="B4" s="135"/>
      <c r="C4" s="135"/>
      <c r="D4" s="135"/>
      <c r="E4" s="136"/>
    </row>
    <row r="5" spans="1:5" x14ac:dyDescent="0.2">
      <c r="A5" s="137" t="str">
        <f>"- Load: Value of subjected surface load (Input as Float) ("&amp;'User Defined Units'!$B$10&amp;"/"&amp;'User Defined Units'!$B$11&amp;"2)"</f>
        <v>- Load: Value of subjected surface load (Input as Float) (kN/m2)</v>
      </c>
      <c r="B5" s="138"/>
      <c r="C5" s="138"/>
      <c r="D5" s="138"/>
      <c r="E5" s="139"/>
    </row>
    <row r="6" spans="1:5" x14ac:dyDescent="0.2">
      <c r="A6" s="129"/>
      <c r="B6" s="129"/>
      <c r="C6" s="129"/>
      <c r="D6" s="129"/>
    </row>
    <row r="7" spans="1:5" s="125" customFormat="1" x14ac:dyDescent="0.2">
      <c r="A7" s="130" t="s">
        <v>261</v>
      </c>
      <c r="B7" s="130" t="s">
        <v>253</v>
      </c>
      <c r="C7" s="130" t="s">
        <v>256</v>
      </c>
      <c r="D7" s="130" t="s">
        <v>263</v>
      </c>
    </row>
    <row r="8" spans="1:5" x14ac:dyDescent="0.2">
      <c r="A8" s="140">
        <v>1</v>
      </c>
      <c r="B8" s="140" t="s">
        <v>364</v>
      </c>
      <c r="C8" s="140" t="s">
        <v>255</v>
      </c>
      <c r="D8" s="141">
        <v>1.1100000000000001</v>
      </c>
    </row>
    <row r="9" spans="1:5" x14ac:dyDescent="0.2">
      <c r="A9" s="140">
        <v>2</v>
      </c>
      <c r="B9" s="140" t="s">
        <v>364</v>
      </c>
      <c r="C9" s="140" t="s">
        <v>255</v>
      </c>
      <c r="D9" s="141">
        <v>1.1100000000000001</v>
      </c>
    </row>
    <row r="10" spans="1:5" x14ac:dyDescent="0.2">
      <c r="A10" s="140">
        <v>3</v>
      </c>
      <c r="B10" s="140" t="s">
        <v>364</v>
      </c>
      <c r="C10" s="140" t="s">
        <v>255</v>
      </c>
      <c r="D10" s="141">
        <v>1.1100000000000001</v>
      </c>
    </row>
    <row r="11" spans="1:5" x14ac:dyDescent="0.2">
      <c r="A11" s="140">
        <v>4</v>
      </c>
      <c r="B11" s="140" t="s">
        <v>364</v>
      </c>
      <c r="C11" s="140" t="s">
        <v>255</v>
      </c>
      <c r="D11" s="141">
        <v>1.1100000000000001</v>
      </c>
    </row>
    <row r="12" spans="1:5" x14ac:dyDescent="0.2">
      <c r="A12" s="140">
        <v>5</v>
      </c>
      <c r="B12" s="140" t="s">
        <v>364</v>
      </c>
      <c r="C12" s="140" t="s">
        <v>255</v>
      </c>
      <c r="D12" s="141">
        <v>1.1100000000000001</v>
      </c>
    </row>
    <row r="13" spans="1:5" x14ac:dyDescent="0.2">
      <c r="A13" s="140">
        <v>6</v>
      </c>
      <c r="B13" s="140" t="s">
        <v>364</v>
      </c>
      <c r="C13" s="140" t="s">
        <v>255</v>
      </c>
      <c r="D13" s="141">
        <v>1.1100000000000001</v>
      </c>
    </row>
    <row r="14" spans="1:5" x14ac:dyDescent="0.2">
      <c r="A14" s="140">
        <v>7</v>
      </c>
      <c r="B14" s="140" t="s">
        <v>364</v>
      </c>
      <c r="C14" s="140" t="s">
        <v>255</v>
      </c>
      <c r="D14" s="141">
        <v>1.1100000000000001</v>
      </c>
    </row>
    <row r="15" spans="1:5" x14ac:dyDescent="0.2">
      <c r="A15" s="140">
        <v>8</v>
      </c>
      <c r="B15" s="140" t="s">
        <v>364</v>
      </c>
      <c r="C15" s="140" t="s">
        <v>255</v>
      </c>
      <c r="D15" s="141">
        <v>1.1100000000000001</v>
      </c>
    </row>
    <row r="16" spans="1:5" x14ac:dyDescent="0.2">
      <c r="A16" s="140">
        <v>9</v>
      </c>
      <c r="B16" s="140" t="s">
        <v>364</v>
      </c>
      <c r="C16" s="140" t="s">
        <v>255</v>
      </c>
      <c r="D16" s="141">
        <v>1.1100000000000001</v>
      </c>
    </row>
    <row r="17" spans="1:4" x14ac:dyDescent="0.2">
      <c r="A17" s="140">
        <v>10</v>
      </c>
      <c r="B17" s="140" t="s">
        <v>364</v>
      </c>
      <c r="C17" s="140" t="s">
        <v>255</v>
      </c>
      <c r="D17" s="141">
        <v>1.1100000000000001</v>
      </c>
    </row>
    <row r="18" spans="1:4" x14ac:dyDescent="0.2">
      <c r="A18" s="140">
        <v>11</v>
      </c>
      <c r="B18" s="140" t="s">
        <v>364</v>
      </c>
      <c r="C18" s="140" t="s">
        <v>255</v>
      </c>
      <c r="D18" s="141">
        <v>1.1100000000000001</v>
      </c>
    </row>
    <row r="19" spans="1:4" x14ac:dyDescent="0.2">
      <c r="A19" s="140">
        <v>12</v>
      </c>
      <c r="B19" s="140" t="s">
        <v>364</v>
      </c>
      <c r="C19" s="140" t="s">
        <v>255</v>
      </c>
      <c r="D19" s="141">
        <v>1.1100000000000001</v>
      </c>
    </row>
    <row r="20" spans="1:4" x14ac:dyDescent="0.2">
      <c r="A20" s="140">
        <v>13</v>
      </c>
      <c r="B20" s="140" t="s">
        <v>364</v>
      </c>
      <c r="C20" s="140" t="s">
        <v>255</v>
      </c>
      <c r="D20" s="141">
        <v>1.1100000000000001</v>
      </c>
    </row>
    <row r="21" spans="1:4" x14ac:dyDescent="0.2">
      <c r="A21" s="140">
        <v>14</v>
      </c>
      <c r="B21" s="140" t="s">
        <v>364</v>
      </c>
      <c r="C21" s="140" t="s">
        <v>255</v>
      </c>
      <c r="D21" s="141">
        <v>1.1100000000000001</v>
      </c>
    </row>
    <row r="22" spans="1:4" x14ac:dyDescent="0.2">
      <c r="A22" s="140">
        <v>15</v>
      </c>
      <c r="B22" s="140" t="s">
        <v>364</v>
      </c>
      <c r="C22" s="140" t="s">
        <v>255</v>
      </c>
      <c r="D22" s="141">
        <v>1.1100000000000001</v>
      </c>
    </row>
    <row r="23" spans="1:4" x14ac:dyDescent="0.2">
      <c r="A23" s="140">
        <v>16</v>
      </c>
      <c r="B23" s="140" t="s">
        <v>364</v>
      </c>
      <c r="C23" s="140" t="s">
        <v>255</v>
      </c>
      <c r="D23" s="141">
        <v>1.1100000000000001</v>
      </c>
    </row>
    <row r="24" spans="1:4" x14ac:dyDescent="0.2">
      <c r="A24" s="140">
        <v>17</v>
      </c>
      <c r="B24" s="140" t="s">
        <v>364</v>
      </c>
      <c r="C24" s="140" t="s">
        <v>255</v>
      </c>
      <c r="D24" s="141">
        <v>1.1100000000000001</v>
      </c>
    </row>
    <row r="25" spans="1:4" x14ac:dyDescent="0.2">
      <c r="A25" s="140">
        <v>18</v>
      </c>
      <c r="B25" s="140" t="s">
        <v>364</v>
      </c>
      <c r="C25" s="140" t="s">
        <v>255</v>
      </c>
      <c r="D25" s="141">
        <v>1.1100000000000001</v>
      </c>
    </row>
    <row r="26" spans="1:4" x14ac:dyDescent="0.2">
      <c r="A26" s="140">
        <v>19</v>
      </c>
      <c r="B26" s="140" t="s">
        <v>364</v>
      </c>
      <c r="C26" s="140" t="s">
        <v>255</v>
      </c>
      <c r="D26" s="141">
        <v>1.1100000000000001</v>
      </c>
    </row>
    <row r="27" spans="1:4" x14ac:dyDescent="0.2">
      <c r="A27" s="140">
        <v>20</v>
      </c>
      <c r="B27" s="140" t="s">
        <v>364</v>
      </c>
      <c r="C27" s="140" t="s">
        <v>255</v>
      </c>
      <c r="D27" s="141">
        <v>1.1100000000000001</v>
      </c>
    </row>
    <row r="28" spans="1:4" x14ac:dyDescent="0.2">
      <c r="A28" s="140">
        <v>21</v>
      </c>
      <c r="B28" s="140" t="s">
        <v>364</v>
      </c>
      <c r="C28" s="140" t="s">
        <v>255</v>
      </c>
      <c r="D28" s="141">
        <v>1.1100000000000001</v>
      </c>
    </row>
    <row r="29" spans="1:4" x14ac:dyDescent="0.2">
      <c r="A29" s="140">
        <v>22</v>
      </c>
      <c r="B29" s="140" t="s">
        <v>364</v>
      </c>
      <c r="C29" s="140" t="s">
        <v>255</v>
      </c>
      <c r="D29" s="141">
        <v>1.1100000000000001</v>
      </c>
    </row>
    <row r="30" spans="1:4" x14ac:dyDescent="0.2">
      <c r="A30" s="140">
        <v>23</v>
      </c>
      <c r="B30" s="140" t="s">
        <v>364</v>
      </c>
      <c r="C30" s="140" t="s">
        <v>255</v>
      </c>
      <c r="D30" s="141">
        <v>1.1100000000000001</v>
      </c>
    </row>
    <row r="31" spans="1:4" x14ac:dyDescent="0.2">
      <c r="A31" s="140">
        <v>24</v>
      </c>
      <c r="B31" s="140" t="s">
        <v>364</v>
      </c>
      <c r="C31" s="140" t="s">
        <v>255</v>
      </c>
      <c r="D31" s="141">
        <v>1.1100000000000001</v>
      </c>
    </row>
    <row r="32" spans="1:4" x14ac:dyDescent="0.2">
      <c r="A32" s="140">
        <v>25</v>
      </c>
      <c r="B32" s="140" t="s">
        <v>364</v>
      </c>
      <c r="C32" s="140" t="s">
        <v>255</v>
      </c>
      <c r="D32" s="141">
        <v>1.1100000000000001</v>
      </c>
    </row>
    <row r="33" spans="1:4" x14ac:dyDescent="0.2">
      <c r="A33" s="140">
        <v>26</v>
      </c>
      <c r="B33" s="140" t="s">
        <v>364</v>
      </c>
      <c r="C33" s="140" t="s">
        <v>255</v>
      </c>
      <c r="D33" s="141">
        <v>1.1100000000000001</v>
      </c>
    </row>
    <row r="34" spans="1:4" x14ac:dyDescent="0.2">
      <c r="A34" s="140">
        <v>27</v>
      </c>
      <c r="B34" s="140" t="s">
        <v>364</v>
      </c>
      <c r="C34" s="140" t="s">
        <v>255</v>
      </c>
      <c r="D34" s="141">
        <v>1.1100000000000001</v>
      </c>
    </row>
    <row r="35" spans="1:4" x14ac:dyDescent="0.2">
      <c r="A35" s="140">
        <v>28</v>
      </c>
      <c r="B35" s="140" t="s">
        <v>364</v>
      </c>
      <c r="C35" s="140" t="s">
        <v>255</v>
      </c>
      <c r="D35" s="141">
        <v>1.1100000000000001</v>
      </c>
    </row>
    <row r="36" spans="1:4" x14ac:dyDescent="0.2">
      <c r="A36" s="140">
        <v>29</v>
      </c>
      <c r="B36" s="140" t="s">
        <v>364</v>
      </c>
      <c r="C36" s="140" t="s">
        <v>255</v>
      </c>
      <c r="D36" s="141">
        <v>1.1100000000000001</v>
      </c>
    </row>
    <row r="37" spans="1:4" x14ac:dyDescent="0.2">
      <c r="A37" s="140">
        <v>30</v>
      </c>
      <c r="B37" s="140" t="s">
        <v>364</v>
      </c>
      <c r="C37" s="140" t="s">
        <v>255</v>
      </c>
      <c r="D37" s="141">
        <v>1.1100000000000001</v>
      </c>
    </row>
    <row r="38" spans="1:4" x14ac:dyDescent="0.2">
      <c r="A38" s="140">
        <v>31</v>
      </c>
      <c r="B38" s="140" t="s">
        <v>364</v>
      </c>
      <c r="C38" s="140" t="s">
        <v>255</v>
      </c>
      <c r="D38" s="141">
        <v>1.1100000000000001</v>
      </c>
    </row>
    <row r="39" spans="1:4" x14ac:dyDescent="0.2">
      <c r="A39" s="140">
        <v>32</v>
      </c>
      <c r="B39" s="140" t="s">
        <v>364</v>
      </c>
      <c r="C39" s="140" t="s">
        <v>255</v>
      </c>
      <c r="D39" s="141">
        <v>1.1100000000000001</v>
      </c>
    </row>
    <row r="40" spans="1:4" x14ac:dyDescent="0.2">
      <c r="A40" s="140">
        <v>33</v>
      </c>
      <c r="B40" s="140" t="s">
        <v>364</v>
      </c>
      <c r="C40" s="140" t="s">
        <v>255</v>
      </c>
      <c r="D40" s="141">
        <v>1.1100000000000001</v>
      </c>
    </row>
    <row r="41" spans="1:4" x14ac:dyDescent="0.2">
      <c r="A41" s="140">
        <v>34</v>
      </c>
      <c r="B41" s="140" t="s">
        <v>364</v>
      </c>
      <c r="C41" s="140" t="s">
        <v>255</v>
      </c>
      <c r="D41" s="141">
        <v>1.1100000000000001</v>
      </c>
    </row>
    <row r="42" spans="1:4" x14ac:dyDescent="0.2">
      <c r="A42" s="140">
        <v>35</v>
      </c>
      <c r="B42" s="140" t="s">
        <v>364</v>
      </c>
      <c r="C42" s="140" t="s">
        <v>255</v>
      </c>
      <c r="D42" s="141">
        <v>1.1100000000000001</v>
      </c>
    </row>
    <row r="43" spans="1:4" x14ac:dyDescent="0.2">
      <c r="A43" s="140">
        <v>36</v>
      </c>
      <c r="B43" s="140" t="s">
        <v>364</v>
      </c>
      <c r="C43" s="140" t="s">
        <v>255</v>
      </c>
      <c r="D43" s="141">
        <v>1.1100000000000001</v>
      </c>
    </row>
    <row r="44" spans="1:4" x14ac:dyDescent="0.2">
      <c r="A44" s="140">
        <v>37</v>
      </c>
      <c r="B44" s="140" t="s">
        <v>364</v>
      </c>
      <c r="C44" s="140" t="s">
        <v>255</v>
      </c>
      <c r="D44" s="141">
        <v>1.1100000000000001</v>
      </c>
    </row>
    <row r="45" spans="1:4" x14ac:dyDescent="0.2">
      <c r="A45" s="140">
        <v>38</v>
      </c>
      <c r="B45" s="140" t="s">
        <v>364</v>
      </c>
      <c r="C45" s="140" t="s">
        <v>255</v>
      </c>
      <c r="D45" s="141">
        <v>1.1100000000000001</v>
      </c>
    </row>
    <row r="46" spans="1:4" x14ac:dyDescent="0.2">
      <c r="A46" s="140">
        <v>39</v>
      </c>
      <c r="B46" s="140" t="s">
        <v>364</v>
      </c>
      <c r="C46" s="140" t="s">
        <v>255</v>
      </c>
      <c r="D46" s="141">
        <v>1.1100000000000001</v>
      </c>
    </row>
    <row r="47" spans="1:4" x14ac:dyDescent="0.2">
      <c r="A47" s="140">
        <v>40</v>
      </c>
      <c r="B47" s="140" t="s">
        <v>364</v>
      </c>
      <c r="C47" s="140" t="s">
        <v>255</v>
      </c>
      <c r="D47" s="141">
        <v>1.1100000000000001</v>
      </c>
    </row>
    <row r="48" spans="1:4" x14ac:dyDescent="0.2">
      <c r="A48" s="140">
        <v>41</v>
      </c>
      <c r="B48" s="140" t="s">
        <v>364</v>
      </c>
      <c r="C48" s="140" t="s">
        <v>255</v>
      </c>
      <c r="D48" s="141">
        <v>1.1100000000000001</v>
      </c>
    </row>
    <row r="49" spans="1:4" x14ac:dyDescent="0.2">
      <c r="A49" s="140">
        <v>42</v>
      </c>
      <c r="B49" s="140" t="s">
        <v>364</v>
      </c>
      <c r="C49" s="140" t="s">
        <v>255</v>
      </c>
      <c r="D49" s="141">
        <v>1.1100000000000001</v>
      </c>
    </row>
    <row r="50" spans="1:4" x14ac:dyDescent="0.2">
      <c r="A50" s="140">
        <v>43</v>
      </c>
      <c r="B50" s="140" t="s">
        <v>364</v>
      </c>
      <c r="C50" s="140" t="s">
        <v>255</v>
      </c>
      <c r="D50" s="141">
        <v>1.1100000000000001</v>
      </c>
    </row>
    <row r="51" spans="1:4" x14ac:dyDescent="0.2">
      <c r="A51" s="140">
        <v>44</v>
      </c>
      <c r="B51" s="140" t="s">
        <v>364</v>
      </c>
      <c r="C51" s="140" t="s">
        <v>255</v>
      </c>
      <c r="D51" s="141">
        <v>1.1100000000000001</v>
      </c>
    </row>
    <row r="52" spans="1:4" x14ac:dyDescent="0.2">
      <c r="A52" s="140">
        <v>45</v>
      </c>
      <c r="B52" s="140" t="s">
        <v>364</v>
      </c>
      <c r="C52" s="140" t="s">
        <v>255</v>
      </c>
      <c r="D52" s="141">
        <v>1.1100000000000001</v>
      </c>
    </row>
    <row r="53" spans="1:4" x14ac:dyDescent="0.2">
      <c r="A53" s="140">
        <v>46</v>
      </c>
      <c r="B53" s="140" t="s">
        <v>364</v>
      </c>
      <c r="C53" s="140" t="s">
        <v>255</v>
      </c>
      <c r="D53" s="141">
        <v>1.1100000000000001</v>
      </c>
    </row>
    <row r="54" spans="1:4" x14ac:dyDescent="0.2">
      <c r="A54" s="140">
        <v>47</v>
      </c>
      <c r="B54" s="140" t="s">
        <v>364</v>
      </c>
      <c r="C54" s="140" t="s">
        <v>255</v>
      </c>
      <c r="D54" s="141">
        <v>1.1100000000000001</v>
      </c>
    </row>
    <row r="55" spans="1:4" x14ac:dyDescent="0.2">
      <c r="A55" s="140">
        <v>48</v>
      </c>
      <c r="B55" s="140" t="s">
        <v>364</v>
      </c>
      <c r="C55" s="140" t="s">
        <v>255</v>
      </c>
      <c r="D55" s="141">
        <v>1.1100000000000001</v>
      </c>
    </row>
    <row r="56" spans="1:4" x14ac:dyDescent="0.2">
      <c r="A56" s="140">
        <v>49</v>
      </c>
      <c r="B56" s="140" t="s">
        <v>364</v>
      </c>
      <c r="C56" s="140" t="s">
        <v>255</v>
      </c>
      <c r="D56" s="141">
        <v>0.41</v>
      </c>
    </row>
    <row r="57" spans="1:4" x14ac:dyDescent="0.2">
      <c r="A57" s="140">
        <v>50</v>
      </c>
      <c r="B57" s="140" t="s">
        <v>364</v>
      </c>
      <c r="C57" s="140" t="s">
        <v>255</v>
      </c>
      <c r="D57" s="141">
        <v>0.41</v>
      </c>
    </row>
    <row r="58" spans="1:4" x14ac:dyDescent="0.2">
      <c r="A58" s="140">
        <v>51</v>
      </c>
      <c r="B58" s="140" t="s">
        <v>364</v>
      </c>
      <c r="C58" s="140" t="s">
        <v>255</v>
      </c>
      <c r="D58" s="141">
        <v>0.41</v>
      </c>
    </row>
    <row r="59" spans="1:4" x14ac:dyDescent="0.2">
      <c r="A59" s="140">
        <v>52</v>
      </c>
      <c r="B59" s="140" t="s">
        <v>364</v>
      </c>
      <c r="C59" s="140" t="s">
        <v>255</v>
      </c>
      <c r="D59" s="141">
        <v>0.41</v>
      </c>
    </row>
    <row r="60" spans="1:4" x14ac:dyDescent="0.2">
      <c r="A60" s="140">
        <v>53</v>
      </c>
      <c r="B60" s="140" t="s">
        <v>364</v>
      </c>
      <c r="C60" s="140" t="s">
        <v>255</v>
      </c>
      <c r="D60" s="141">
        <v>0.41</v>
      </c>
    </row>
    <row r="61" spans="1:4" x14ac:dyDescent="0.2">
      <c r="A61" s="140">
        <v>54</v>
      </c>
      <c r="B61" s="140" t="s">
        <v>364</v>
      </c>
      <c r="C61" s="140" t="s">
        <v>255</v>
      </c>
      <c r="D61" s="141">
        <v>0.41</v>
      </c>
    </row>
    <row r="62" spans="1:4" x14ac:dyDescent="0.2">
      <c r="A62" s="140">
        <v>55</v>
      </c>
      <c r="B62" s="140" t="s">
        <v>364</v>
      </c>
      <c r="C62" s="140" t="s">
        <v>255</v>
      </c>
      <c r="D62" s="141">
        <v>0.41</v>
      </c>
    </row>
    <row r="63" spans="1:4" x14ac:dyDescent="0.2">
      <c r="A63" s="140">
        <v>56</v>
      </c>
      <c r="B63" s="140" t="s">
        <v>364</v>
      </c>
      <c r="C63" s="140" t="s">
        <v>255</v>
      </c>
      <c r="D63" s="141">
        <v>0.41</v>
      </c>
    </row>
    <row r="64" spans="1:4" x14ac:dyDescent="0.2">
      <c r="A64" s="140">
        <v>57</v>
      </c>
      <c r="B64" s="140" t="s">
        <v>364</v>
      </c>
      <c r="C64" s="140" t="s">
        <v>255</v>
      </c>
      <c r="D64" s="141">
        <v>0.41</v>
      </c>
    </row>
    <row r="65" spans="1:4" x14ac:dyDescent="0.2">
      <c r="A65" s="140">
        <v>58</v>
      </c>
      <c r="B65" s="140" t="s">
        <v>364</v>
      </c>
      <c r="C65" s="140" t="s">
        <v>255</v>
      </c>
      <c r="D65" s="141">
        <v>0.41</v>
      </c>
    </row>
    <row r="66" spans="1:4" x14ac:dyDescent="0.2">
      <c r="A66" s="140">
        <v>59</v>
      </c>
      <c r="B66" s="140" t="s">
        <v>364</v>
      </c>
      <c r="C66" s="140" t="s">
        <v>255</v>
      </c>
      <c r="D66" s="141">
        <v>0.41</v>
      </c>
    </row>
    <row r="67" spans="1:4" x14ac:dyDescent="0.2">
      <c r="A67" s="140">
        <v>60</v>
      </c>
      <c r="B67" s="140" t="s">
        <v>364</v>
      </c>
      <c r="C67" s="140" t="s">
        <v>255</v>
      </c>
      <c r="D67" s="141">
        <v>0.41</v>
      </c>
    </row>
    <row r="68" spans="1:4" x14ac:dyDescent="0.2">
      <c r="A68" s="140">
        <v>61</v>
      </c>
      <c r="B68" s="140" t="s">
        <v>364</v>
      </c>
      <c r="C68" s="140" t="s">
        <v>255</v>
      </c>
      <c r="D68" s="141">
        <v>0.41</v>
      </c>
    </row>
    <row r="69" spans="1:4" x14ac:dyDescent="0.2">
      <c r="A69" s="140">
        <v>62</v>
      </c>
      <c r="B69" s="140" t="s">
        <v>364</v>
      </c>
      <c r="C69" s="140" t="s">
        <v>255</v>
      </c>
      <c r="D69" s="141">
        <v>0.41</v>
      </c>
    </row>
    <row r="70" spans="1:4" x14ac:dyDescent="0.2">
      <c r="A70" s="140">
        <v>63</v>
      </c>
      <c r="B70" s="140" t="s">
        <v>364</v>
      </c>
      <c r="C70" s="140" t="s">
        <v>255</v>
      </c>
      <c r="D70" s="141">
        <v>0.41</v>
      </c>
    </row>
    <row r="71" spans="1:4" x14ac:dyDescent="0.2">
      <c r="A71" s="140">
        <v>64</v>
      </c>
      <c r="B71" s="140" t="s">
        <v>364</v>
      </c>
      <c r="C71" s="140" t="s">
        <v>255</v>
      </c>
      <c r="D71" s="141">
        <v>0.41</v>
      </c>
    </row>
    <row r="72" spans="1:4" x14ac:dyDescent="0.2">
      <c r="A72" s="140">
        <v>1</v>
      </c>
      <c r="B72" s="140" t="s">
        <v>365</v>
      </c>
      <c r="C72" s="140" t="s">
        <v>255</v>
      </c>
      <c r="D72" s="141">
        <v>2.69</v>
      </c>
    </row>
    <row r="73" spans="1:4" x14ac:dyDescent="0.2">
      <c r="A73" s="140">
        <v>2</v>
      </c>
      <c r="B73" s="140" t="s">
        <v>365</v>
      </c>
      <c r="C73" s="140" t="s">
        <v>255</v>
      </c>
      <c r="D73" s="141">
        <v>2.69</v>
      </c>
    </row>
    <row r="74" spans="1:4" x14ac:dyDescent="0.2">
      <c r="A74" s="140">
        <v>3</v>
      </c>
      <c r="B74" s="140" t="s">
        <v>365</v>
      </c>
      <c r="C74" s="140" t="s">
        <v>255</v>
      </c>
      <c r="D74" s="141">
        <v>2.69</v>
      </c>
    </row>
    <row r="75" spans="1:4" x14ac:dyDescent="0.2">
      <c r="A75" s="140">
        <v>4</v>
      </c>
      <c r="B75" s="140" t="s">
        <v>365</v>
      </c>
      <c r="C75" s="140" t="s">
        <v>255</v>
      </c>
      <c r="D75" s="141">
        <v>2.69</v>
      </c>
    </row>
    <row r="76" spans="1:4" x14ac:dyDescent="0.2">
      <c r="A76" s="140">
        <v>5</v>
      </c>
      <c r="B76" s="140" t="s">
        <v>365</v>
      </c>
      <c r="C76" s="140" t="s">
        <v>255</v>
      </c>
      <c r="D76" s="141">
        <v>2.69</v>
      </c>
    </row>
    <row r="77" spans="1:4" x14ac:dyDescent="0.2">
      <c r="A77" s="140">
        <v>6</v>
      </c>
      <c r="B77" s="140" t="s">
        <v>365</v>
      </c>
      <c r="C77" s="140" t="s">
        <v>255</v>
      </c>
      <c r="D77" s="141">
        <v>2.69</v>
      </c>
    </row>
    <row r="78" spans="1:4" x14ac:dyDescent="0.2">
      <c r="A78" s="140">
        <v>7</v>
      </c>
      <c r="B78" s="140" t="s">
        <v>365</v>
      </c>
      <c r="C78" s="140" t="s">
        <v>255</v>
      </c>
      <c r="D78" s="141">
        <v>2.69</v>
      </c>
    </row>
    <row r="79" spans="1:4" x14ac:dyDescent="0.2">
      <c r="A79" s="140">
        <v>8</v>
      </c>
      <c r="B79" s="140" t="s">
        <v>365</v>
      </c>
      <c r="C79" s="140" t="s">
        <v>255</v>
      </c>
      <c r="D79" s="141">
        <v>2.69</v>
      </c>
    </row>
    <row r="80" spans="1:4" x14ac:dyDescent="0.2">
      <c r="A80" s="140">
        <v>9</v>
      </c>
      <c r="B80" s="140" t="s">
        <v>365</v>
      </c>
      <c r="C80" s="140" t="s">
        <v>255</v>
      </c>
      <c r="D80" s="141">
        <v>2.69</v>
      </c>
    </row>
    <row r="81" spans="1:4" x14ac:dyDescent="0.2">
      <c r="A81" s="140">
        <v>10</v>
      </c>
      <c r="B81" s="140" t="s">
        <v>365</v>
      </c>
      <c r="C81" s="140" t="s">
        <v>255</v>
      </c>
      <c r="D81" s="141">
        <v>2.69</v>
      </c>
    </row>
    <row r="82" spans="1:4" x14ac:dyDescent="0.2">
      <c r="A82" s="140">
        <v>11</v>
      </c>
      <c r="B82" s="140" t="s">
        <v>365</v>
      </c>
      <c r="C82" s="140" t="s">
        <v>255</v>
      </c>
      <c r="D82" s="141">
        <v>2.69</v>
      </c>
    </row>
    <row r="83" spans="1:4" x14ac:dyDescent="0.2">
      <c r="A83" s="140">
        <v>12</v>
      </c>
      <c r="B83" s="140" t="s">
        <v>365</v>
      </c>
      <c r="C83" s="140" t="s">
        <v>255</v>
      </c>
      <c r="D83" s="141">
        <v>2.69</v>
      </c>
    </row>
    <row r="84" spans="1:4" x14ac:dyDescent="0.2">
      <c r="A84" s="140">
        <v>13</v>
      </c>
      <c r="B84" s="140" t="s">
        <v>365</v>
      </c>
      <c r="C84" s="140" t="s">
        <v>255</v>
      </c>
      <c r="D84" s="141">
        <v>2.69</v>
      </c>
    </row>
    <row r="85" spans="1:4" x14ac:dyDescent="0.2">
      <c r="A85" s="140">
        <v>14</v>
      </c>
      <c r="B85" s="140" t="s">
        <v>365</v>
      </c>
      <c r="C85" s="140" t="s">
        <v>255</v>
      </c>
      <c r="D85" s="141">
        <v>2.69</v>
      </c>
    </row>
    <row r="86" spans="1:4" x14ac:dyDescent="0.2">
      <c r="A86" s="140">
        <v>15</v>
      </c>
      <c r="B86" s="140" t="s">
        <v>365</v>
      </c>
      <c r="C86" s="140" t="s">
        <v>255</v>
      </c>
      <c r="D86" s="141">
        <v>2.69</v>
      </c>
    </row>
    <row r="87" spans="1:4" x14ac:dyDescent="0.2">
      <c r="A87" s="140">
        <v>16</v>
      </c>
      <c r="B87" s="140" t="s">
        <v>365</v>
      </c>
      <c r="C87" s="140" t="s">
        <v>255</v>
      </c>
      <c r="D87" s="141">
        <v>2.69</v>
      </c>
    </row>
    <row r="88" spans="1:4" x14ac:dyDescent="0.2">
      <c r="A88" s="140">
        <v>17</v>
      </c>
      <c r="B88" s="140" t="s">
        <v>365</v>
      </c>
      <c r="C88" s="140" t="s">
        <v>255</v>
      </c>
      <c r="D88" s="141">
        <v>2.69</v>
      </c>
    </row>
    <row r="89" spans="1:4" x14ac:dyDescent="0.2">
      <c r="A89" s="140">
        <v>18</v>
      </c>
      <c r="B89" s="140" t="s">
        <v>365</v>
      </c>
      <c r="C89" s="140" t="s">
        <v>255</v>
      </c>
      <c r="D89" s="141">
        <v>2.69</v>
      </c>
    </row>
    <row r="90" spans="1:4" x14ac:dyDescent="0.2">
      <c r="A90" s="140">
        <v>19</v>
      </c>
      <c r="B90" s="140" t="s">
        <v>365</v>
      </c>
      <c r="C90" s="140" t="s">
        <v>255</v>
      </c>
      <c r="D90" s="141">
        <v>2.69</v>
      </c>
    </row>
    <row r="91" spans="1:4" x14ac:dyDescent="0.2">
      <c r="A91" s="140">
        <v>20</v>
      </c>
      <c r="B91" s="140" t="s">
        <v>365</v>
      </c>
      <c r="C91" s="140" t="s">
        <v>255</v>
      </c>
      <c r="D91" s="141">
        <v>2.69</v>
      </c>
    </row>
    <row r="92" spans="1:4" x14ac:dyDescent="0.2">
      <c r="A92" s="140">
        <v>21</v>
      </c>
      <c r="B92" s="140" t="s">
        <v>365</v>
      </c>
      <c r="C92" s="140" t="s">
        <v>255</v>
      </c>
      <c r="D92" s="141">
        <v>2.69</v>
      </c>
    </row>
    <row r="93" spans="1:4" x14ac:dyDescent="0.2">
      <c r="A93" s="140">
        <v>22</v>
      </c>
      <c r="B93" s="140" t="s">
        <v>365</v>
      </c>
      <c r="C93" s="140" t="s">
        <v>255</v>
      </c>
      <c r="D93" s="141">
        <v>2.69</v>
      </c>
    </row>
    <row r="94" spans="1:4" x14ac:dyDescent="0.2">
      <c r="A94" s="140">
        <v>23</v>
      </c>
      <c r="B94" s="140" t="s">
        <v>365</v>
      </c>
      <c r="C94" s="140" t="s">
        <v>255</v>
      </c>
      <c r="D94" s="141">
        <v>2.69</v>
      </c>
    </row>
    <row r="95" spans="1:4" x14ac:dyDescent="0.2">
      <c r="A95" s="140">
        <v>24</v>
      </c>
      <c r="B95" s="140" t="s">
        <v>365</v>
      </c>
      <c r="C95" s="140" t="s">
        <v>255</v>
      </c>
      <c r="D95" s="141">
        <v>2.69</v>
      </c>
    </row>
    <row r="96" spans="1:4" x14ac:dyDescent="0.2">
      <c r="A96" s="140">
        <v>25</v>
      </c>
      <c r="B96" s="140" t="s">
        <v>365</v>
      </c>
      <c r="C96" s="140" t="s">
        <v>255</v>
      </c>
      <c r="D96" s="141">
        <v>2.69</v>
      </c>
    </row>
    <row r="97" spans="1:4" x14ac:dyDescent="0.2">
      <c r="A97" s="140">
        <v>26</v>
      </c>
      <c r="B97" s="140" t="s">
        <v>365</v>
      </c>
      <c r="C97" s="140" t="s">
        <v>255</v>
      </c>
      <c r="D97" s="141">
        <v>2.69</v>
      </c>
    </row>
    <row r="98" spans="1:4" x14ac:dyDescent="0.2">
      <c r="A98" s="140">
        <v>27</v>
      </c>
      <c r="B98" s="140" t="s">
        <v>365</v>
      </c>
      <c r="C98" s="140" t="s">
        <v>255</v>
      </c>
      <c r="D98" s="141">
        <v>2.69</v>
      </c>
    </row>
    <row r="99" spans="1:4" x14ac:dyDescent="0.2">
      <c r="A99" s="140">
        <v>28</v>
      </c>
      <c r="B99" s="140" t="s">
        <v>365</v>
      </c>
      <c r="C99" s="140" t="s">
        <v>255</v>
      </c>
      <c r="D99" s="141">
        <v>2.69</v>
      </c>
    </row>
    <row r="100" spans="1:4" x14ac:dyDescent="0.2">
      <c r="A100" s="140">
        <v>29</v>
      </c>
      <c r="B100" s="140" t="s">
        <v>365</v>
      </c>
      <c r="C100" s="140" t="s">
        <v>255</v>
      </c>
      <c r="D100" s="141">
        <v>2.69</v>
      </c>
    </row>
    <row r="101" spans="1:4" x14ac:dyDescent="0.2">
      <c r="A101" s="140">
        <v>30</v>
      </c>
      <c r="B101" s="140" t="s">
        <v>365</v>
      </c>
      <c r="C101" s="140" t="s">
        <v>255</v>
      </c>
      <c r="D101" s="141">
        <v>2.69</v>
      </c>
    </row>
    <row r="102" spans="1:4" x14ac:dyDescent="0.2">
      <c r="A102" s="140">
        <v>31</v>
      </c>
      <c r="B102" s="140" t="s">
        <v>365</v>
      </c>
      <c r="C102" s="140" t="s">
        <v>255</v>
      </c>
      <c r="D102" s="141">
        <v>2.69</v>
      </c>
    </row>
    <row r="103" spans="1:4" x14ac:dyDescent="0.2">
      <c r="A103" s="140">
        <v>32</v>
      </c>
      <c r="B103" s="140" t="s">
        <v>365</v>
      </c>
      <c r="C103" s="140" t="s">
        <v>255</v>
      </c>
      <c r="D103" s="141">
        <v>2.69</v>
      </c>
    </row>
    <row r="104" spans="1:4" x14ac:dyDescent="0.2">
      <c r="A104" s="140">
        <v>33</v>
      </c>
      <c r="B104" s="140" t="s">
        <v>365</v>
      </c>
      <c r="C104" s="140" t="s">
        <v>255</v>
      </c>
      <c r="D104" s="141">
        <v>2.69</v>
      </c>
    </row>
    <row r="105" spans="1:4" x14ac:dyDescent="0.2">
      <c r="A105" s="140">
        <v>34</v>
      </c>
      <c r="B105" s="140" t="s">
        <v>365</v>
      </c>
      <c r="C105" s="140" t="s">
        <v>255</v>
      </c>
      <c r="D105" s="141">
        <v>2.69</v>
      </c>
    </row>
    <row r="106" spans="1:4" x14ac:dyDescent="0.2">
      <c r="A106" s="140">
        <v>35</v>
      </c>
      <c r="B106" s="140" t="s">
        <v>365</v>
      </c>
      <c r="C106" s="140" t="s">
        <v>255</v>
      </c>
      <c r="D106" s="141">
        <v>2.69</v>
      </c>
    </row>
    <row r="107" spans="1:4" x14ac:dyDescent="0.2">
      <c r="A107" s="140">
        <v>36</v>
      </c>
      <c r="B107" s="140" t="s">
        <v>365</v>
      </c>
      <c r="C107" s="140" t="s">
        <v>255</v>
      </c>
      <c r="D107" s="141">
        <v>2.69</v>
      </c>
    </row>
    <row r="108" spans="1:4" x14ac:dyDescent="0.2">
      <c r="A108" s="140">
        <v>37</v>
      </c>
      <c r="B108" s="140" t="s">
        <v>365</v>
      </c>
      <c r="C108" s="140" t="s">
        <v>255</v>
      </c>
      <c r="D108" s="141">
        <v>2.69</v>
      </c>
    </row>
    <row r="109" spans="1:4" x14ac:dyDescent="0.2">
      <c r="A109" s="140">
        <v>38</v>
      </c>
      <c r="B109" s="140" t="s">
        <v>365</v>
      </c>
      <c r="C109" s="140" t="s">
        <v>255</v>
      </c>
      <c r="D109" s="141">
        <v>2.69</v>
      </c>
    </row>
    <row r="110" spans="1:4" x14ac:dyDescent="0.2">
      <c r="A110" s="140">
        <v>39</v>
      </c>
      <c r="B110" s="140" t="s">
        <v>365</v>
      </c>
      <c r="C110" s="140" t="s">
        <v>255</v>
      </c>
      <c r="D110" s="141">
        <v>2.69</v>
      </c>
    </row>
    <row r="111" spans="1:4" x14ac:dyDescent="0.2">
      <c r="A111" s="140">
        <v>40</v>
      </c>
      <c r="B111" s="140" t="s">
        <v>365</v>
      </c>
      <c r="C111" s="140" t="s">
        <v>255</v>
      </c>
      <c r="D111" s="141">
        <v>2.69</v>
      </c>
    </row>
    <row r="112" spans="1:4" x14ac:dyDescent="0.2">
      <c r="A112" s="140">
        <v>41</v>
      </c>
      <c r="B112" s="140" t="s">
        <v>365</v>
      </c>
      <c r="C112" s="140" t="s">
        <v>255</v>
      </c>
      <c r="D112" s="141">
        <v>2.69</v>
      </c>
    </row>
    <row r="113" spans="1:4" x14ac:dyDescent="0.2">
      <c r="A113" s="140">
        <v>42</v>
      </c>
      <c r="B113" s="140" t="s">
        <v>365</v>
      </c>
      <c r="C113" s="140" t="s">
        <v>255</v>
      </c>
      <c r="D113" s="141">
        <v>2.69</v>
      </c>
    </row>
    <row r="114" spans="1:4" x14ac:dyDescent="0.2">
      <c r="A114" s="140">
        <v>43</v>
      </c>
      <c r="B114" s="140" t="s">
        <v>365</v>
      </c>
      <c r="C114" s="140" t="s">
        <v>255</v>
      </c>
      <c r="D114" s="141">
        <v>2.69</v>
      </c>
    </row>
    <row r="115" spans="1:4" x14ac:dyDescent="0.2">
      <c r="A115" s="140">
        <v>44</v>
      </c>
      <c r="B115" s="140" t="s">
        <v>365</v>
      </c>
      <c r="C115" s="140" t="s">
        <v>255</v>
      </c>
      <c r="D115" s="141">
        <v>2.69</v>
      </c>
    </row>
    <row r="116" spans="1:4" x14ac:dyDescent="0.2">
      <c r="A116" s="140">
        <v>45</v>
      </c>
      <c r="B116" s="140" t="s">
        <v>365</v>
      </c>
      <c r="C116" s="140" t="s">
        <v>255</v>
      </c>
      <c r="D116" s="141">
        <v>2.69</v>
      </c>
    </row>
    <row r="117" spans="1:4" x14ac:dyDescent="0.2">
      <c r="A117" s="140">
        <v>46</v>
      </c>
      <c r="B117" s="140" t="s">
        <v>365</v>
      </c>
      <c r="C117" s="140" t="s">
        <v>255</v>
      </c>
      <c r="D117" s="141">
        <v>2.69</v>
      </c>
    </row>
    <row r="118" spans="1:4" x14ac:dyDescent="0.2">
      <c r="A118" s="140">
        <v>47</v>
      </c>
      <c r="B118" s="140" t="s">
        <v>365</v>
      </c>
      <c r="C118" s="140" t="s">
        <v>255</v>
      </c>
      <c r="D118" s="141">
        <v>2.69</v>
      </c>
    </row>
    <row r="119" spans="1:4" x14ac:dyDescent="0.2">
      <c r="A119" s="140">
        <v>48</v>
      </c>
      <c r="B119" s="140" t="s">
        <v>365</v>
      </c>
      <c r="C119" s="140" t="s">
        <v>255</v>
      </c>
      <c r="D119" s="141">
        <v>2.69</v>
      </c>
    </row>
    <row r="120" spans="1:4" x14ac:dyDescent="0.2">
      <c r="A120" s="140">
        <v>49</v>
      </c>
      <c r="B120" s="140" t="s">
        <v>54</v>
      </c>
      <c r="C120" s="140" t="s">
        <v>255</v>
      </c>
      <c r="D120" s="141">
        <v>0.57999999999999996</v>
      </c>
    </row>
    <row r="121" spans="1:4" x14ac:dyDescent="0.2">
      <c r="A121" s="140">
        <v>50</v>
      </c>
      <c r="B121" s="140" t="s">
        <v>54</v>
      </c>
      <c r="C121" s="140" t="s">
        <v>255</v>
      </c>
      <c r="D121" s="141">
        <v>0.57999999999999996</v>
      </c>
    </row>
    <row r="122" spans="1:4" x14ac:dyDescent="0.2">
      <c r="A122" s="140">
        <v>51</v>
      </c>
      <c r="B122" s="140" t="s">
        <v>54</v>
      </c>
      <c r="C122" s="140" t="s">
        <v>255</v>
      </c>
      <c r="D122" s="141">
        <v>0.57999999999999996</v>
      </c>
    </row>
    <row r="123" spans="1:4" x14ac:dyDescent="0.2">
      <c r="A123" s="140">
        <v>52</v>
      </c>
      <c r="B123" s="140" t="s">
        <v>54</v>
      </c>
      <c r="C123" s="140" t="s">
        <v>255</v>
      </c>
      <c r="D123" s="141">
        <v>0.57999999999999996</v>
      </c>
    </row>
    <row r="124" spans="1:4" x14ac:dyDescent="0.2">
      <c r="A124" s="140">
        <v>53</v>
      </c>
      <c r="B124" s="140" t="s">
        <v>54</v>
      </c>
      <c r="C124" s="140" t="s">
        <v>255</v>
      </c>
      <c r="D124" s="141">
        <v>0.57999999999999996</v>
      </c>
    </row>
    <row r="125" spans="1:4" x14ac:dyDescent="0.2">
      <c r="A125" s="140">
        <v>54</v>
      </c>
      <c r="B125" s="140" t="s">
        <v>54</v>
      </c>
      <c r="C125" s="140" t="s">
        <v>255</v>
      </c>
      <c r="D125" s="141">
        <v>0.57999999999999996</v>
      </c>
    </row>
    <row r="126" spans="1:4" x14ac:dyDescent="0.2">
      <c r="A126" s="140">
        <v>55</v>
      </c>
      <c r="B126" s="140" t="s">
        <v>54</v>
      </c>
      <c r="C126" s="140" t="s">
        <v>255</v>
      </c>
      <c r="D126" s="141">
        <v>0.57999999999999996</v>
      </c>
    </row>
    <row r="127" spans="1:4" x14ac:dyDescent="0.2">
      <c r="A127" s="140">
        <v>56</v>
      </c>
      <c r="B127" s="140" t="s">
        <v>54</v>
      </c>
      <c r="C127" s="140" t="s">
        <v>255</v>
      </c>
      <c r="D127" s="141">
        <v>0.57999999999999996</v>
      </c>
    </row>
    <row r="128" spans="1:4" x14ac:dyDescent="0.2">
      <c r="A128" s="140">
        <v>57</v>
      </c>
      <c r="B128" s="140" t="s">
        <v>54</v>
      </c>
      <c r="C128" s="140" t="s">
        <v>255</v>
      </c>
      <c r="D128" s="141">
        <v>0.57999999999999996</v>
      </c>
    </row>
    <row r="129" spans="1:4" x14ac:dyDescent="0.2">
      <c r="A129" s="140">
        <v>58</v>
      </c>
      <c r="B129" s="140" t="s">
        <v>54</v>
      </c>
      <c r="C129" s="140" t="s">
        <v>255</v>
      </c>
      <c r="D129" s="141">
        <v>0.57999999999999996</v>
      </c>
    </row>
    <row r="130" spans="1:4" x14ac:dyDescent="0.2">
      <c r="A130" s="140">
        <v>59</v>
      </c>
      <c r="B130" s="140" t="s">
        <v>54</v>
      </c>
      <c r="C130" s="140" t="s">
        <v>255</v>
      </c>
      <c r="D130" s="141">
        <v>0.57999999999999996</v>
      </c>
    </row>
    <row r="131" spans="1:4" x14ac:dyDescent="0.2">
      <c r="A131" s="140">
        <v>60</v>
      </c>
      <c r="B131" s="140" t="s">
        <v>54</v>
      </c>
      <c r="C131" s="140" t="s">
        <v>255</v>
      </c>
      <c r="D131" s="141">
        <v>0.57999999999999996</v>
      </c>
    </row>
    <row r="132" spans="1:4" x14ac:dyDescent="0.2">
      <c r="A132" s="140">
        <v>61</v>
      </c>
      <c r="B132" s="140" t="s">
        <v>54</v>
      </c>
      <c r="C132" s="140" t="s">
        <v>255</v>
      </c>
      <c r="D132" s="141">
        <v>0.57999999999999996</v>
      </c>
    </row>
    <row r="133" spans="1:4" x14ac:dyDescent="0.2">
      <c r="A133" s="140">
        <v>62</v>
      </c>
      <c r="B133" s="140" t="s">
        <v>54</v>
      </c>
      <c r="C133" s="140" t="s">
        <v>255</v>
      </c>
      <c r="D133" s="141">
        <v>0.57999999999999996</v>
      </c>
    </row>
    <row r="134" spans="1:4" x14ac:dyDescent="0.2">
      <c r="A134" s="140">
        <v>63</v>
      </c>
      <c r="B134" s="140" t="s">
        <v>54</v>
      </c>
      <c r="C134" s="140" t="s">
        <v>255</v>
      </c>
      <c r="D134" s="141">
        <v>0.57999999999999996</v>
      </c>
    </row>
    <row r="135" spans="1:4" x14ac:dyDescent="0.2">
      <c r="A135" s="140">
        <v>64</v>
      </c>
      <c r="B135" s="140" t="s">
        <v>54</v>
      </c>
      <c r="C135" s="140" t="s">
        <v>255</v>
      </c>
      <c r="D135" s="141">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Surface_ID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6" sqref="D6"/>
    </sheetView>
  </sheetViews>
  <sheetFormatPr baseColWidth="10" defaultColWidth="10.83203125" defaultRowHeight="16" x14ac:dyDescent="0.2"/>
  <cols>
    <col min="1" max="2" width="20.83203125" style="1" customWidth="1"/>
    <col min="3" max="3" width="15.83203125" style="1" customWidth="1"/>
    <col min="4" max="4" width="10.83203125" style="3"/>
    <col min="5" max="5" width="50.83203125" style="6" customWidth="1"/>
    <col min="6" max="16384" width="10.83203125" style="2"/>
  </cols>
  <sheetData>
    <row r="1" spans="1:5" s="5" customFormat="1" x14ac:dyDescent="0.2">
      <c r="A1" s="5" t="s">
        <v>49</v>
      </c>
      <c r="B1" s="5" t="s">
        <v>25</v>
      </c>
      <c r="C1" s="5" t="s">
        <v>50</v>
      </c>
      <c r="D1" s="5" t="s">
        <v>51</v>
      </c>
      <c r="E1" s="5" t="s">
        <v>52</v>
      </c>
    </row>
    <row r="2" spans="1:5" x14ac:dyDescent="0.2">
      <c r="A2" s="1" t="s">
        <v>53</v>
      </c>
      <c r="B2" s="1" t="s">
        <v>27</v>
      </c>
      <c r="C2" s="1" t="s">
        <v>59</v>
      </c>
      <c r="D2" s="3">
        <v>0.41</v>
      </c>
      <c r="E2" s="6" t="s">
        <v>61</v>
      </c>
    </row>
    <row r="3" spans="1:5" x14ac:dyDescent="0.2">
      <c r="A3" s="1" t="s">
        <v>54</v>
      </c>
      <c r="B3" s="1" t="s">
        <v>29</v>
      </c>
      <c r="C3" s="1" t="s">
        <v>59</v>
      </c>
      <c r="D3" s="3">
        <v>0.57999999999999996</v>
      </c>
      <c r="E3" s="6" t="s">
        <v>61</v>
      </c>
    </row>
    <row r="4" spans="1:5" x14ac:dyDescent="0.2">
      <c r="A4" s="1" t="s">
        <v>55</v>
      </c>
      <c r="B4" s="1" t="s">
        <v>27</v>
      </c>
      <c r="C4" s="1" t="s">
        <v>59</v>
      </c>
      <c r="D4" s="3">
        <v>1.1100000000000001</v>
      </c>
      <c r="E4" s="6" t="s">
        <v>62</v>
      </c>
    </row>
    <row r="5" spans="1:5" x14ac:dyDescent="0.2">
      <c r="A5" s="1" t="s">
        <v>56</v>
      </c>
      <c r="B5" s="1" t="s">
        <v>28</v>
      </c>
      <c r="C5" s="1" t="s">
        <v>59</v>
      </c>
      <c r="D5" s="3">
        <v>2.69</v>
      </c>
      <c r="E5" s="6" t="s">
        <v>62</v>
      </c>
    </row>
    <row r="6" spans="1:5" x14ac:dyDescent="0.2">
      <c r="A6" s="1" t="s">
        <v>57</v>
      </c>
      <c r="B6" s="1" t="s">
        <v>27</v>
      </c>
      <c r="C6" s="1" t="s">
        <v>60</v>
      </c>
      <c r="D6" s="3">
        <v>2.41</v>
      </c>
      <c r="E6" s="6" t="s">
        <v>63</v>
      </c>
    </row>
    <row r="7" spans="1:5" x14ac:dyDescent="0.2">
      <c r="A7" s="1" t="s">
        <v>58</v>
      </c>
      <c r="B7" s="1" t="s">
        <v>27</v>
      </c>
      <c r="C7" s="1" t="s">
        <v>60</v>
      </c>
      <c r="D7" s="3">
        <v>7.04</v>
      </c>
      <c r="E7" s="6" t="s">
        <v>64</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18</vt:i4>
      </vt:variant>
      <vt:variant>
        <vt:lpstr>Named Ranges</vt:lpstr>
      </vt:variant>
      <vt:variant>
        <vt:i4>30</vt:i4>
      </vt:variant>
    </vt:vector>
  </HeadingPairs>
  <TitlesOfParts>
    <vt:vector size="48"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Point Objects</vt:lpstr>
      <vt:lpstr>Line Objects</vt:lpstr>
      <vt:lpstr>Surface Objects</vt:lpstr>
      <vt:lpstr>Restraints</vt:lpstr>
      <vt:lpstr>Point Loads</vt:lpstr>
      <vt:lpstr>Concentrated Line Loads</vt:lpstr>
      <vt:lpstr>Distributed Line Loads</vt:lpstr>
      <vt:lpstr>Surface Loads</vt:lpstr>
      <vt:lpstr>Loads</vt:lpstr>
      <vt:lpstr>Base_Sec</vt:lpstr>
      <vt:lpstr>Elastic_Mat_Name</vt:lpstr>
      <vt:lpstr>Ele_Type</vt:lpstr>
      <vt:lpstr>Int_Type_Con</vt:lpstr>
      <vt:lpstr>Int_Type_Dist</vt:lpstr>
      <vt:lpstr>LC_Type</vt:lpstr>
      <vt:lpstr>Line_ID</vt:lpstr>
      <vt:lpstr>Mat_Concrete</vt:lpstr>
      <vt:lpstr>Mat_Model_Concrete</vt:lpstr>
      <vt:lpstr>Mat_Model_Hysteretic</vt:lpstr>
      <vt:lpstr>Mat_Model_Steel</vt:lpstr>
      <vt:lpstr>Mat_Name</vt:lpstr>
      <vt:lpstr>Mat_Steel</vt:lpstr>
      <vt:lpstr>Mat_Type</vt:lpstr>
      <vt:lpstr>NL_Mat_Name</vt:lpstr>
      <vt:lpstr>Point_ID</vt:lpstr>
      <vt:lpstr>Sec_Model</vt:lpstr>
      <vt:lpstr>Sec_Name</vt:lpstr>
      <vt:lpstr>Sec_name_wo_agg</vt:lpstr>
      <vt:lpstr>Sec_Shape</vt:lpstr>
      <vt:lpstr>SecDB</vt:lpstr>
      <vt:lpstr>Slab_Sec</vt:lpstr>
      <vt:lpstr>Spring_Mat_Name</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2026-08-15T11:05:17Z</dcterms:modified>
</cp:coreProperties>
</file>