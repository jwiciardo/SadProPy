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650CACB7-09B6-604D-95AE-1DC312EC413F}" xr6:coauthVersionLast="47" xr6:coauthVersionMax="47" xr10:uidLastSave="{00000000-0000-0000-0000-000000000000}"/>
  <bookViews>
    <workbookView xWindow="0" yWindow="500" windowWidth="33600" windowHeight="18860" firstSheet="5" activeTab="15"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<sst xmlns="http://schemas.openxmlformats.org/spreadsheetml/2006/main" count="1992" uniqueCount="352">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</sst>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47</v>
      </c>
      <c r="B1" s="6" t="s">
        <v>5</v>
      </c>
    </row>
    <row r="2" spans="1:2" x14ac:dyDescent="0.2">
      <c r="A2" s="7" t="s">
        <v>48</v>
      </c>
      <c r="B2" s="7" t="s">
        <v>50</v>
      </c>
    </row>
    <row r="3" spans="1:2" ht="50" customHeight="1" x14ac:dyDescent="0.2">
      <c r="A3" s="7" t="s">
        <v>49</v>
      </c>
      <c r="B3" s="8" t="s">
        <v>51</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baseColWidth="10" defaultColWidth="9.1640625" defaultRowHeight="16" x14ac:dyDescent="0.2"/>
  <cols>
    <col min="1" max="1" width="30.6640625" style="101" customWidth="1"/>
    <col min="2" max="5" width="20.6640625" style="49" customWidth="1"/>
    <col min="6" max="11" width="20.6640625" style="80" customWidth="1"/>
    <col min="12" max="16" width="20.6640625" style="49" customWidth="1"/>
    <col min="17" max="18" width="20.6640625" style="80" customWidth="1"/>
    <col min="19" max="19" width="15.6640625" style="49" customWidth="1"/>
    <col min="20" max="25" width="10.6640625" style="49" customWidth="1"/>
    <col min="26" max="16384" width="9.1640625" style="49"/>
  </cols>
  <sheetData>
    <row r="1" spans="1:25" s="101" customFormat="1" ht="51" x14ac:dyDescent="0.2">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4" x14ac:dyDescent="0.2">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4" x14ac:dyDescent="0.2">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ht="17" x14ac:dyDescent="0.2">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101</v>
      </c>
    </row>
    <row r="2" spans="1:2" x14ac:dyDescent="0.2">
      <c r="A2" s="50">
        <v>1</v>
      </c>
      <c r="B2" s="52" t="s">
        <v>103</v>
      </c>
    </row>
    <row r="3" spans="1:2" x14ac:dyDescent="0.2">
      <c r="A3" s="50">
        <v>2</v>
      </c>
      <c r="B3" s="52" t="s">
        <v>104</v>
      </c>
    </row>
    <row r="4" spans="1:2" x14ac:dyDescent="0.2">
      <c r="A4" s="50">
        <v>3</v>
      </c>
      <c r="B4" s="52" t="s">
        <v>105</v>
      </c>
    </row>
    <row r="5" spans="1:2" x14ac:dyDescent="0.2">
      <c r="A5" s="50">
        <v>4</v>
      </c>
      <c r="B5" s="53" t="s">
        <v>135</v>
      </c>
    </row>
    <row r="6" spans="1:2" x14ac:dyDescent="0.2">
      <c r="A6" s="50">
        <v>5</v>
      </c>
      <c r="B6" s="54" t="s">
        <v>136</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102</v>
      </c>
      <c r="B1" s="13"/>
    </row>
    <row r="2" spans="1:2" x14ac:dyDescent="0.2">
      <c r="A2" s="44" t="s">
        <v>187</v>
      </c>
      <c r="B2" s="14"/>
    </row>
    <row r="3" spans="1:2" x14ac:dyDescent="0.2">
      <c r="A3" s="23" t="s">
        <v>117</v>
      </c>
      <c r="B3" s="14"/>
    </row>
    <row r="4" spans="1:2" x14ac:dyDescent="0.2">
      <c r="A4" s="107" t="s">
        <v>188</v>
      </c>
      <c r="B4" s="16"/>
    </row>
    <row r="6" spans="1:2" s="6" customFormat="1" x14ac:dyDescent="0.2">
      <c r="A6" s="10" t="s">
        <v>56</v>
      </c>
      <c r="B6" s="10" t="s">
        <v>5</v>
      </c>
    </row>
    <row r="7" spans="1:2" x14ac:dyDescent="0.2">
      <c r="A7" s="11" t="s">
        <v>48</v>
      </c>
      <c r="B7" s="17" t="s">
        <v>50</v>
      </c>
    </row>
    <row r="8" spans="1:2" ht="50" customHeight="1" x14ac:dyDescent="0.2">
      <c r="A8" s="19" t="s">
        <v>49</v>
      </c>
      <c r="B8" s="18" t="s">
        <v>51</v>
      </c>
    </row>
    <row r="9" spans="1:2" x14ac:dyDescent="0.2">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102</v>
      </c>
      <c r="B1" s="28"/>
      <c r="C1" s="29"/>
      <c r="D1" s="29"/>
      <c r="E1" s="13"/>
    </row>
    <row r="2" spans="1:5" x14ac:dyDescent="0.2">
      <c r="A2" s="23" t="s">
        <v>109</v>
      </c>
      <c r="B2" s="45"/>
      <c r="C2" s="46"/>
      <c r="D2" s="46"/>
      <c r="E2" s="14"/>
    </row>
    <row r="3" spans="1:5" x14ac:dyDescent="0.2">
      <c r="A3" s="23" t="s">
        <v>110</v>
      </c>
      <c r="B3" s="45"/>
      <c r="C3" s="46"/>
      <c r="D3" s="46"/>
      <c r="E3" s="14"/>
    </row>
    <row r="4" spans="1:5" x14ac:dyDescent="0.2">
      <c r="A4" s="23" t="s">
        <v>111</v>
      </c>
      <c r="B4" s="45"/>
      <c r="C4" s="46"/>
      <c r="D4" s="46"/>
      <c r="E4" s="14"/>
    </row>
    <row r="5" spans="1:5" x14ac:dyDescent="0.2">
      <c r="A5" s="23" t="s">
        <v>112</v>
      </c>
      <c r="B5" s="45"/>
      <c r="C5" s="46"/>
      <c r="D5" s="46"/>
      <c r="E5" s="14"/>
    </row>
    <row r="6" spans="1:5" x14ac:dyDescent="0.2">
      <c r="A6" s="23" t="s">
        <v>113</v>
      </c>
      <c r="B6" s="45"/>
      <c r="C6" s="46"/>
      <c r="D6" s="46"/>
      <c r="E6" s="14"/>
    </row>
    <row r="7" spans="1:5" x14ac:dyDescent="0.2">
      <c r="A7" s="15" t="s">
        <v>114</v>
      </c>
      <c r="B7" s="30"/>
      <c r="C7" s="31"/>
      <c r="D7" s="31"/>
      <c r="E7" s="16"/>
    </row>
    <row r="9" spans="1:5" s="6" customFormat="1" x14ac:dyDescent="0.2">
      <c r="A9" s="10" t="s">
        <v>56</v>
      </c>
      <c r="B9" s="10" t="s">
        <v>5</v>
      </c>
    </row>
    <row r="10" spans="1:5" x14ac:dyDescent="0.2">
      <c r="A10" s="19" t="s">
        <v>57</v>
      </c>
      <c r="B10" s="21" t="s">
        <v>70</v>
      </c>
    </row>
    <row r="11" spans="1:5" x14ac:dyDescent="0.2">
      <c r="A11" s="20" t="s">
        <v>58</v>
      </c>
      <c r="B11" s="22" t="s">
        <v>76</v>
      </c>
    </row>
    <row r="12" spans="1:5" x14ac:dyDescent="0.2">
      <c r="A12" s="19" t="s">
        <v>59</v>
      </c>
      <c r="B12" s="21" t="s">
        <v>81</v>
      </c>
    </row>
    <row r="13" spans="1:5" x14ac:dyDescent="0.2">
      <c r="A13" s="19" t="s">
        <v>60</v>
      </c>
      <c r="B13" s="21" t="s">
        <v>88</v>
      </c>
    </row>
    <row r="14" spans="1:5" x14ac:dyDescent="0.2">
      <c r="A14" s="19" t="s">
        <v>61</v>
      </c>
      <c r="B14" s="21" t="s">
        <v>94</v>
      </c>
    </row>
    <row r="15" spans="1:5" x14ac:dyDescent="0.2">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102</v>
      </c>
      <c r="B1" s="29"/>
      <c r="C1" s="29"/>
      <c r="D1" s="29"/>
      <c r="E1" s="13"/>
    </row>
    <row r="2" spans="1:5" x14ac:dyDescent="0.2">
      <c r="A2" s="23" t="s">
        <v>115</v>
      </c>
      <c r="B2" s="46"/>
      <c r="C2" s="46"/>
      <c r="D2" s="46"/>
      <c r="E2" s="14"/>
    </row>
    <row r="3" spans="1:5" x14ac:dyDescent="0.2">
      <c r="A3" s="23" t="s">
        <v>116</v>
      </c>
      <c r="B3" s="46"/>
      <c r="C3" s="46"/>
      <c r="D3" s="46"/>
      <c r="E3" s="14"/>
    </row>
    <row r="4" spans="1:5" x14ac:dyDescent="0.2">
      <c r="A4" s="15" t="s">
        <v>118</v>
      </c>
      <c r="B4" s="31"/>
      <c r="C4" s="31"/>
      <c r="D4" s="31"/>
      <c r="E4" s="16"/>
    </row>
    <row r="6" spans="1:5" s="6" customFormat="1" x14ac:dyDescent="0.2">
      <c r="A6" s="10" t="s">
        <v>56</v>
      </c>
      <c r="B6" s="10" t="s">
        <v>5</v>
      </c>
    </row>
    <row r="7" spans="1:5" x14ac:dyDescent="0.2">
      <c r="A7" s="56" t="s">
        <v>6</v>
      </c>
      <c r="B7" s="57" t="s">
        <v>186</v>
      </c>
    </row>
    <row r="8" spans="1:5" x14ac:dyDescent="0.2">
      <c r="A8" s="56" t="s">
        <v>7</v>
      </c>
      <c r="B8" s="57" t="s">
        <v>52</v>
      </c>
    </row>
    <row r="9" spans="1:5" x14ac:dyDescent="0.2">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1" customWidth="1"/>
    <col min="4" max="34" width="15.6640625" style="174" customWidth="1"/>
    <col min="35" max="35" width="10.6640625" style="152" customWidth="1"/>
    <col min="36" max="16384" width="8.83203125" style="79"/>
  </cols>
  <sheetData>
    <row r="1" spans="1:41" x14ac:dyDescent="0.2">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6" customHeight="1" x14ac:dyDescent="0.2">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6" customHeight="1" x14ac:dyDescent="0.2">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6" customHeight="1" x14ac:dyDescent="0.2">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6" customHeight="1" x14ac:dyDescent="0.2">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6" customHeight="1" x14ac:dyDescent="0.2">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6" customHeight="1" x14ac:dyDescent="0.2">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baseColWidth="10" defaultColWidth="10.83203125" defaultRowHeight="16" x14ac:dyDescent="0.2"/>
  <cols>
    <col min="1" max="11" width="20.6640625" style="198" customWidth="1"/>
    <col min="12" max="17" width="10.6640625" style="199" customWidth="1"/>
    <col min="18" max="19" width="15.6640625" style="199" customWidth="1"/>
    <col min="20" max="24" width="15.6640625" style="200" customWidth="1"/>
    <col min="25" max="27" width="15.6640625" style="201" customWidth="1"/>
    <col min="28" max="16384" width="10.83203125" style="186"/>
  </cols>
  <sheetData>
    <row r="1" spans="1:27" x14ac:dyDescent="0.2">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6" customHeight="1" x14ac:dyDescent="0.2">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6" customHeight="1" x14ac:dyDescent="0.2">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6" customHeight="1" x14ac:dyDescent="0.2">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6" customHeight="1" x14ac:dyDescent="0.2">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6" customHeight="1" x14ac:dyDescent="0.2">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6" customHeight="1" x14ac:dyDescent="0.2">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6" customHeight="1" x14ac:dyDescent="0.2">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6" customHeight="1" x14ac:dyDescent="0.2">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6" customHeight="1" x14ac:dyDescent="0.2">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6" customHeight="1" x14ac:dyDescent="0.2">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6" customHeight="1" x14ac:dyDescent="0.2">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
      <c r="C24" s="198" t="str">
        <f t="shared" ref="C24:C86" si="0">IF(A24=0,"","Elastic")</f>
        <v/>
      </c>
    </row>
    <row r="25" spans="1:27" x14ac:dyDescent="0.2">
      <c r="C25" s="198" t="str">
        <f t="shared" si="0"/>
        <v/>
      </c>
    </row>
    <row r="26" spans="1:27" x14ac:dyDescent="0.2">
      <c r="C26" s="198" t="str">
        <f t="shared" si="0"/>
        <v/>
      </c>
    </row>
    <row r="27" spans="1:27" x14ac:dyDescent="0.2">
      <c r="C27" s="198" t="str">
        <f t="shared" si="0"/>
        <v/>
      </c>
    </row>
    <row r="28" spans="1:27" x14ac:dyDescent="0.2">
      <c r="C28" s="198" t="str">
        <f t="shared" si="0"/>
        <v/>
      </c>
    </row>
    <row r="29" spans="1:27" x14ac:dyDescent="0.2">
      <c r="C29" s="198" t="str">
        <f t="shared" si="0"/>
        <v/>
      </c>
    </row>
    <row r="30" spans="1:27" x14ac:dyDescent="0.2">
      <c r="C30" s="198" t="str">
        <f t="shared" si="0"/>
        <v/>
      </c>
    </row>
    <row r="31" spans="1:27" x14ac:dyDescent="0.2">
      <c r="C31" s="198" t="str">
        <f t="shared" si="0"/>
        <v/>
      </c>
    </row>
    <row r="32" spans="1:27" x14ac:dyDescent="0.2">
      <c r="C32" s="198" t="str">
        <f t="shared" si="0"/>
        <v/>
      </c>
    </row>
    <row r="33" spans="3:3" x14ac:dyDescent="0.2">
      <c r="C33" s="198" t="str">
        <f t="shared" si="0"/>
        <v/>
      </c>
    </row>
    <row r="34" spans="3:3" x14ac:dyDescent="0.2">
      <c r="C34" s="198" t="str">
        <f t="shared" si="0"/>
        <v/>
      </c>
    </row>
    <row r="35" spans="3:3" x14ac:dyDescent="0.2">
      <c r="C35" s="198" t="str">
        <f t="shared" si="0"/>
        <v/>
      </c>
    </row>
    <row r="36" spans="3:3" x14ac:dyDescent="0.2">
      <c r="C36" s="198" t="str">
        <f t="shared" si="0"/>
        <v/>
      </c>
    </row>
    <row r="37" spans="3:3" x14ac:dyDescent="0.2">
      <c r="C37" s="198" t="str">
        <f t="shared" si="0"/>
        <v/>
      </c>
    </row>
    <row r="38" spans="3:3" x14ac:dyDescent="0.2">
      <c r="C38" s="198" t="str">
        <f t="shared" si="0"/>
        <v/>
      </c>
    </row>
    <row r="39" spans="3:3" x14ac:dyDescent="0.2">
      <c r="C39" s="198" t="str">
        <f t="shared" si="0"/>
        <v/>
      </c>
    </row>
    <row r="40" spans="3:3" x14ac:dyDescent="0.2">
      <c r="C40" s="198" t="str">
        <f t="shared" si="0"/>
        <v/>
      </c>
    </row>
    <row r="41" spans="3:3" x14ac:dyDescent="0.2">
      <c r="C41" s="198" t="str">
        <f t="shared" si="0"/>
        <v/>
      </c>
    </row>
    <row r="42" spans="3:3" x14ac:dyDescent="0.2">
      <c r="C42" s="198" t="str">
        <f t="shared" si="0"/>
        <v/>
      </c>
    </row>
    <row r="43" spans="3:3" x14ac:dyDescent="0.2">
      <c r="C43" s="198" t="str">
        <f t="shared" si="0"/>
        <v/>
      </c>
    </row>
    <row r="44" spans="3:3" x14ac:dyDescent="0.2">
      <c r="C44" s="198" t="str">
        <f t="shared" si="0"/>
        <v/>
      </c>
    </row>
    <row r="45" spans="3:3" x14ac:dyDescent="0.2">
      <c r="C45" s="198" t="str">
        <f t="shared" si="0"/>
        <v/>
      </c>
    </row>
    <row r="46" spans="3:3" x14ac:dyDescent="0.2">
      <c r="C46" s="198" t="str">
        <f t="shared" si="0"/>
        <v/>
      </c>
    </row>
    <row r="47" spans="3:3" x14ac:dyDescent="0.2">
      <c r="C47" s="198" t="str">
        <f t="shared" si="0"/>
        <v/>
      </c>
    </row>
    <row r="48" spans="3:3" x14ac:dyDescent="0.2">
      <c r="C48" s="198" t="str">
        <f t="shared" si="0"/>
        <v/>
      </c>
    </row>
    <row r="49" spans="3:3" x14ac:dyDescent="0.2">
      <c r="C49" s="198" t="str">
        <f t="shared" si="0"/>
        <v/>
      </c>
    </row>
    <row r="50" spans="3:3" x14ac:dyDescent="0.2">
      <c r="C50" s="198" t="str">
        <f t="shared" si="0"/>
        <v/>
      </c>
    </row>
    <row r="51" spans="3:3" x14ac:dyDescent="0.2">
      <c r="C51" s="198" t="str">
        <f t="shared" si="0"/>
        <v/>
      </c>
    </row>
    <row r="52" spans="3:3" x14ac:dyDescent="0.2">
      <c r="C52" s="198" t="str">
        <f t="shared" si="0"/>
        <v/>
      </c>
    </row>
    <row r="53" spans="3:3" x14ac:dyDescent="0.2">
      <c r="C53" s="198" t="str">
        <f t="shared" si="0"/>
        <v/>
      </c>
    </row>
    <row r="54" spans="3:3" x14ac:dyDescent="0.2">
      <c r="C54" s="198" t="str">
        <f t="shared" si="0"/>
        <v/>
      </c>
    </row>
    <row r="55" spans="3:3" x14ac:dyDescent="0.2">
      <c r="C55" s="198" t="str">
        <f t="shared" si="0"/>
        <v/>
      </c>
    </row>
    <row r="56" spans="3:3" x14ac:dyDescent="0.2">
      <c r="C56" s="198" t="str">
        <f t="shared" si="0"/>
        <v/>
      </c>
    </row>
    <row r="57" spans="3:3" x14ac:dyDescent="0.2">
      <c r="C57" s="198" t="str">
        <f t="shared" si="0"/>
        <v/>
      </c>
    </row>
    <row r="58" spans="3:3" x14ac:dyDescent="0.2">
      <c r="C58" s="198" t="str">
        <f t="shared" si="0"/>
        <v/>
      </c>
    </row>
    <row r="59" spans="3:3" x14ac:dyDescent="0.2">
      <c r="C59" s="198" t="str">
        <f t="shared" si="0"/>
        <v/>
      </c>
    </row>
    <row r="60" spans="3:3" x14ac:dyDescent="0.2">
      <c r="C60" s="198" t="str">
        <f t="shared" si="0"/>
        <v/>
      </c>
    </row>
    <row r="61" spans="3:3" x14ac:dyDescent="0.2">
      <c r="C61" s="198" t="str">
        <f t="shared" si="0"/>
        <v/>
      </c>
    </row>
    <row r="62" spans="3:3" x14ac:dyDescent="0.2">
      <c r="C62" s="198" t="str">
        <f t="shared" si="0"/>
        <v/>
      </c>
    </row>
    <row r="63" spans="3:3" x14ac:dyDescent="0.2">
      <c r="C63" s="198" t="str">
        <f t="shared" si="0"/>
        <v/>
      </c>
    </row>
    <row r="64" spans="3:3" x14ac:dyDescent="0.2">
      <c r="C64" s="198" t="str">
        <f t="shared" si="0"/>
        <v/>
      </c>
    </row>
    <row r="65" spans="3:3" x14ac:dyDescent="0.2">
      <c r="C65" s="198" t="str">
        <f t="shared" si="0"/>
        <v/>
      </c>
    </row>
    <row r="66" spans="3:3" x14ac:dyDescent="0.2">
      <c r="C66" s="198" t="str">
        <f t="shared" si="0"/>
        <v/>
      </c>
    </row>
    <row r="67" spans="3:3" x14ac:dyDescent="0.2">
      <c r="C67" s="198" t="str">
        <f t="shared" si="0"/>
        <v/>
      </c>
    </row>
    <row r="68" spans="3:3" x14ac:dyDescent="0.2">
      <c r="C68" s="198" t="str">
        <f t="shared" si="0"/>
        <v/>
      </c>
    </row>
    <row r="69" spans="3:3" x14ac:dyDescent="0.2">
      <c r="C69" s="198" t="str">
        <f t="shared" si="0"/>
        <v/>
      </c>
    </row>
    <row r="70" spans="3:3" x14ac:dyDescent="0.2">
      <c r="C70" s="198" t="str">
        <f t="shared" si="0"/>
        <v/>
      </c>
    </row>
    <row r="71" spans="3:3" x14ac:dyDescent="0.2">
      <c r="C71" s="198" t="str">
        <f t="shared" si="0"/>
        <v/>
      </c>
    </row>
    <row r="72" spans="3:3" x14ac:dyDescent="0.2">
      <c r="C72" s="198" t="str">
        <f t="shared" si="0"/>
        <v/>
      </c>
    </row>
    <row r="73" spans="3:3" x14ac:dyDescent="0.2">
      <c r="C73" s="198" t="str">
        <f t="shared" si="0"/>
        <v/>
      </c>
    </row>
    <row r="74" spans="3:3" x14ac:dyDescent="0.2">
      <c r="C74" s="198" t="str">
        <f t="shared" si="0"/>
        <v/>
      </c>
    </row>
    <row r="75" spans="3:3" x14ac:dyDescent="0.2">
      <c r="C75" s="198" t="str">
        <f t="shared" si="0"/>
        <v/>
      </c>
    </row>
    <row r="76" spans="3:3" x14ac:dyDescent="0.2">
      <c r="C76" s="198" t="str">
        <f t="shared" si="0"/>
        <v/>
      </c>
    </row>
    <row r="77" spans="3:3" x14ac:dyDescent="0.2">
      <c r="C77" s="198" t="str">
        <f t="shared" si="0"/>
        <v/>
      </c>
    </row>
    <row r="78" spans="3:3" x14ac:dyDescent="0.2">
      <c r="C78" s="198" t="str">
        <f t="shared" si="0"/>
        <v/>
      </c>
    </row>
    <row r="79" spans="3:3" x14ac:dyDescent="0.2">
      <c r="C79" s="198" t="str">
        <f t="shared" si="0"/>
        <v/>
      </c>
    </row>
    <row r="80" spans="3:3" x14ac:dyDescent="0.2">
      <c r="C80" s="198" t="str">
        <f t="shared" si="0"/>
        <v/>
      </c>
    </row>
    <row r="81" spans="3:3" x14ac:dyDescent="0.2">
      <c r="C81" s="198" t="str">
        <f t="shared" si="0"/>
        <v/>
      </c>
    </row>
    <row r="82" spans="3:3" x14ac:dyDescent="0.2">
      <c r="C82" s="198" t="str">
        <f t="shared" si="0"/>
        <v/>
      </c>
    </row>
    <row r="83" spans="3:3" x14ac:dyDescent="0.2">
      <c r="C83" s="198" t="str">
        <f t="shared" si="0"/>
        <v/>
      </c>
    </row>
    <row r="84" spans="3:3" x14ac:dyDescent="0.2">
      <c r="C84" s="198" t="str">
        <f t="shared" si="0"/>
        <v/>
      </c>
    </row>
    <row r="85" spans="3:3" x14ac:dyDescent="0.2">
      <c r="C85" s="198" t="str">
        <f t="shared" si="0"/>
        <v/>
      </c>
    </row>
    <row r="86" spans="3:3" x14ac:dyDescent="0.2">
      <c r="C86" s="198" t="str">
        <f t="shared" si="0"/>
        <v/>
      </c>
    </row>
    <row r="87" spans="3:3" x14ac:dyDescent="0.2">
      <c r="C87" s="198" t="str">
        <f t="shared" ref="C87:C150" si="1">IF(A87=0,"","Elastic")</f>
        <v/>
      </c>
    </row>
    <row r="88" spans="3:3" x14ac:dyDescent="0.2">
      <c r="C88" s="198" t="str">
        <f t="shared" si="1"/>
        <v/>
      </c>
    </row>
    <row r="89" spans="3:3" x14ac:dyDescent="0.2">
      <c r="C89" s="198" t="str">
        <f t="shared" si="1"/>
        <v/>
      </c>
    </row>
    <row r="90" spans="3:3" x14ac:dyDescent="0.2">
      <c r="C90" s="198" t="str">
        <f t="shared" si="1"/>
        <v/>
      </c>
    </row>
    <row r="91" spans="3:3" x14ac:dyDescent="0.2">
      <c r="C91" s="198" t="str">
        <f t="shared" si="1"/>
        <v/>
      </c>
    </row>
    <row r="92" spans="3:3" x14ac:dyDescent="0.2">
      <c r="C92" s="198" t="str">
        <f t="shared" si="1"/>
        <v/>
      </c>
    </row>
    <row r="93" spans="3:3" x14ac:dyDescent="0.2">
      <c r="C93" s="198" t="str">
        <f t="shared" si="1"/>
        <v/>
      </c>
    </row>
    <row r="94" spans="3:3" x14ac:dyDescent="0.2">
      <c r="C94" s="198" t="str">
        <f t="shared" si="1"/>
        <v/>
      </c>
    </row>
    <row r="95" spans="3:3" x14ac:dyDescent="0.2">
      <c r="C95" s="198" t="str">
        <f t="shared" si="1"/>
        <v/>
      </c>
    </row>
    <row r="96" spans="3:3" x14ac:dyDescent="0.2">
      <c r="C96" s="198" t="str">
        <f t="shared" si="1"/>
        <v/>
      </c>
    </row>
    <row r="97" spans="3:3" x14ac:dyDescent="0.2">
      <c r="C97" s="198" t="str">
        <f t="shared" si="1"/>
        <v/>
      </c>
    </row>
    <row r="98" spans="3:3" x14ac:dyDescent="0.2">
      <c r="C98" s="198" t="str">
        <f t="shared" si="1"/>
        <v/>
      </c>
    </row>
    <row r="99" spans="3:3" x14ac:dyDescent="0.2">
      <c r="C99" s="198" t="str">
        <f t="shared" si="1"/>
        <v/>
      </c>
    </row>
    <row r="100" spans="3:3" x14ac:dyDescent="0.2">
      <c r="C100" s="198" t="str">
        <f t="shared" si="1"/>
        <v/>
      </c>
    </row>
    <row r="101" spans="3:3" x14ac:dyDescent="0.2">
      <c r="C101" s="198" t="str">
        <f t="shared" si="1"/>
        <v/>
      </c>
    </row>
    <row r="102" spans="3:3" x14ac:dyDescent="0.2">
      <c r="C102" s="198" t="str">
        <f t="shared" si="1"/>
        <v/>
      </c>
    </row>
    <row r="103" spans="3:3" x14ac:dyDescent="0.2">
      <c r="C103" s="198" t="str">
        <f t="shared" si="1"/>
        <v/>
      </c>
    </row>
    <row r="104" spans="3:3" x14ac:dyDescent="0.2">
      <c r="C104" s="198" t="str">
        <f t="shared" si="1"/>
        <v/>
      </c>
    </row>
    <row r="105" spans="3:3" x14ac:dyDescent="0.2">
      <c r="C105" s="198" t="str">
        <f t="shared" si="1"/>
        <v/>
      </c>
    </row>
    <row r="106" spans="3:3" x14ac:dyDescent="0.2">
      <c r="C106" s="198" t="str">
        <f t="shared" si="1"/>
        <v/>
      </c>
    </row>
    <row r="107" spans="3:3" x14ac:dyDescent="0.2">
      <c r="C107" s="198" t="str">
        <f t="shared" si="1"/>
        <v/>
      </c>
    </row>
    <row r="108" spans="3:3" x14ac:dyDescent="0.2">
      <c r="C108" s="198" t="str">
        <f t="shared" si="1"/>
        <v/>
      </c>
    </row>
    <row r="109" spans="3:3" x14ac:dyDescent="0.2">
      <c r="C109" s="198" t="str">
        <f t="shared" si="1"/>
        <v/>
      </c>
    </row>
    <row r="110" spans="3:3" x14ac:dyDescent="0.2">
      <c r="C110" s="198" t="str">
        <f t="shared" si="1"/>
        <v/>
      </c>
    </row>
    <row r="111" spans="3:3" x14ac:dyDescent="0.2">
      <c r="C111" s="198" t="str">
        <f t="shared" si="1"/>
        <v/>
      </c>
    </row>
    <row r="112" spans="3:3" x14ac:dyDescent="0.2">
      <c r="C112" s="198" t="str">
        <f t="shared" si="1"/>
        <v/>
      </c>
    </row>
    <row r="113" spans="3:3" x14ac:dyDescent="0.2">
      <c r="C113" s="198" t="str">
        <f t="shared" si="1"/>
        <v/>
      </c>
    </row>
    <row r="114" spans="3:3" x14ac:dyDescent="0.2">
      <c r="C114" s="198" t="str">
        <f t="shared" si="1"/>
        <v/>
      </c>
    </row>
    <row r="115" spans="3:3" x14ac:dyDescent="0.2">
      <c r="C115" s="198" t="str">
        <f t="shared" si="1"/>
        <v/>
      </c>
    </row>
    <row r="116" spans="3:3" x14ac:dyDescent="0.2">
      <c r="C116" s="198" t="str">
        <f t="shared" si="1"/>
        <v/>
      </c>
    </row>
    <row r="117" spans="3:3" x14ac:dyDescent="0.2">
      <c r="C117" s="198" t="str">
        <f t="shared" si="1"/>
        <v/>
      </c>
    </row>
    <row r="118" spans="3:3" x14ac:dyDescent="0.2">
      <c r="C118" s="198" t="str">
        <f t="shared" si="1"/>
        <v/>
      </c>
    </row>
    <row r="119" spans="3:3" x14ac:dyDescent="0.2">
      <c r="C119" s="198" t="str">
        <f t="shared" si="1"/>
        <v/>
      </c>
    </row>
    <row r="120" spans="3:3" x14ac:dyDescent="0.2">
      <c r="C120" s="198" t="str">
        <f t="shared" si="1"/>
        <v/>
      </c>
    </row>
    <row r="121" spans="3:3" x14ac:dyDescent="0.2">
      <c r="C121" s="198" t="str">
        <f t="shared" si="1"/>
        <v/>
      </c>
    </row>
    <row r="122" spans="3:3" x14ac:dyDescent="0.2">
      <c r="C122" s="198" t="str">
        <f t="shared" si="1"/>
        <v/>
      </c>
    </row>
    <row r="123" spans="3:3" x14ac:dyDescent="0.2">
      <c r="C123" s="198" t="str">
        <f t="shared" si="1"/>
        <v/>
      </c>
    </row>
    <row r="124" spans="3:3" x14ac:dyDescent="0.2">
      <c r="C124" s="198" t="str">
        <f t="shared" si="1"/>
        <v/>
      </c>
    </row>
    <row r="125" spans="3:3" x14ac:dyDescent="0.2">
      <c r="C125" s="198" t="str">
        <f t="shared" si="1"/>
        <v/>
      </c>
    </row>
    <row r="126" spans="3:3" x14ac:dyDescent="0.2">
      <c r="C126" s="198" t="str">
        <f t="shared" si="1"/>
        <v/>
      </c>
    </row>
    <row r="127" spans="3:3" x14ac:dyDescent="0.2">
      <c r="C127" s="198" t="str">
        <f t="shared" si="1"/>
        <v/>
      </c>
    </row>
    <row r="128" spans="3:3" x14ac:dyDescent="0.2">
      <c r="C128" s="198" t="str">
        <f t="shared" si="1"/>
        <v/>
      </c>
    </row>
    <row r="129" spans="3:3" x14ac:dyDescent="0.2">
      <c r="C129" s="198" t="str">
        <f t="shared" si="1"/>
        <v/>
      </c>
    </row>
    <row r="130" spans="3:3" x14ac:dyDescent="0.2">
      <c r="C130" s="198" t="str">
        <f t="shared" si="1"/>
        <v/>
      </c>
    </row>
    <row r="131" spans="3:3" x14ac:dyDescent="0.2">
      <c r="C131" s="198" t="str">
        <f t="shared" si="1"/>
        <v/>
      </c>
    </row>
    <row r="132" spans="3:3" x14ac:dyDescent="0.2">
      <c r="C132" s="198" t="str">
        <f t="shared" si="1"/>
        <v/>
      </c>
    </row>
    <row r="133" spans="3:3" x14ac:dyDescent="0.2">
      <c r="C133" s="198" t="str">
        <f t="shared" si="1"/>
        <v/>
      </c>
    </row>
    <row r="134" spans="3:3" x14ac:dyDescent="0.2">
      <c r="C134" s="198" t="str">
        <f t="shared" si="1"/>
        <v/>
      </c>
    </row>
    <row r="135" spans="3:3" x14ac:dyDescent="0.2">
      <c r="C135" s="198" t="str">
        <f t="shared" si="1"/>
        <v/>
      </c>
    </row>
    <row r="136" spans="3:3" x14ac:dyDescent="0.2">
      <c r="C136" s="198" t="str">
        <f t="shared" si="1"/>
        <v/>
      </c>
    </row>
    <row r="137" spans="3:3" x14ac:dyDescent="0.2">
      <c r="C137" s="198" t="str">
        <f t="shared" si="1"/>
        <v/>
      </c>
    </row>
    <row r="138" spans="3:3" x14ac:dyDescent="0.2">
      <c r="C138" s="198" t="str">
        <f t="shared" si="1"/>
        <v/>
      </c>
    </row>
    <row r="139" spans="3:3" x14ac:dyDescent="0.2">
      <c r="C139" s="198" t="str">
        <f t="shared" si="1"/>
        <v/>
      </c>
    </row>
    <row r="140" spans="3:3" x14ac:dyDescent="0.2">
      <c r="C140" s="198" t="str">
        <f t="shared" si="1"/>
        <v/>
      </c>
    </row>
    <row r="141" spans="3:3" x14ac:dyDescent="0.2">
      <c r="C141" s="198" t="str">
        <f t="shared" si="1"/>
        <v/>
      </c>
    </row>
    <row r="142" spans="3:3" x14ac:dyDescent="0.2">
      <c r="C142" s="198" t="str">
        <f t="shared" si="1"/>
        <v/>
      </c>
    </row>
    <row r="143" spans="3:3" x14ac:dyDescent="0.2">
      <c r="C143" s="198" t="str">
        <f t="shared" si="1"/>
        <v/>
      </c>
    </row>
    <row r="144" spans="3:3" x14ac:dyDescent="0.2">
      <c r="C144" s="198" t="str">
        <f t="shared" si="1"/>
        <v/>
      </c>
    </row>
    <row r="145" spans="3:3" x14ac:dyDescent="0.2">
      <c r="C145" s="198" t="str">
        <f t="shared" si="1"/>
        <v/>
      </c>
    </row>
    <row r="146" spans="3:3" x14ac:dyDescent="0.2">
      <c r="C146" s="198" t="str">
        <f t="shared" si="1"/>
        <v/>
      </c>
    </row>
    <row r="147" spans="3:3" x14ac:dyDescent="0.2">
      <c r="C147" s="198" t="str">
        <f t="shared" si="1"/>
        <v/>
      </c>
    </row>
    <row r="148" spans="3:3" x14ac:dyDescent="0.2">
      <c r="C148" s="198" t="str">
        <f t="shared" si="1"/>
        <v/>
      </c>
    </row>
    <row r="149" spans="3:3" x14ac:dyDescent="0.2">
      <c r="C149" s="198" t="str">
        <f t="shared" si="1"/>
        <v/>
      </c>
    </row>
    <row r="150" spans="3:3" x14ac:dyDescent="0.2">
      <c r="C150" s="198" t="str">
        <f t="shared" si="1"/>
        <v/>
      </c>
    </row>
    <row r="151" spans="3:3" x14ac:dyDescent="0.2">
      <c r="C151" s="198" t="str">
        <f t="shared" ref="C151:C214" si="2">IF(A151=0,"","Elastic")</f>
        <v/>
      </c>
    </row>
    <row r="152" spans="3:3" x14ac:dyDescent="0.2">
      <c r="C152" s="198" t="str">
        <f t="shared" si="2"/>
        <v/>
      </c>
    </row>
    <row r="153" spans="3:3" x14ac:dyDescent="0.2">
      <c r="C153" s="198" t="str">
        <f t="shared" si="2"/>
        <v/>
      </c>
    </row>
    <row r="154" spans="3:3" x14ac:dyDescent="0.2">
      <c r="C154" s="198" t="str">
        <f t="shared" si="2"/>
        <v/>
      </c>
    </row>
    <row r="155" spans="3:3" x14ac:dyDescent="0.2">
      <c r="C155" s="198" t="str">
        <f t="shared" si="2"/>
        <v/>
      </c>
    </row>
    <row r="156" spans="3:3" x14ac:dyDescent="0.2">
      <c r="C156" s="198" t="str">
        <f t="shared" si="2"/>
        <v/>
      </c>
    </row>
    <row r="157" spans="3:3" x14ac:dyDescent="0.2">
      <c r="C157" s="198" t="str">
        <f t="shared" si="2"/>
        <v/>
      </c>
    </row>
    <row r="158" spans="3:3" x14ac:dyDescent="0.2">
      <c r="C158" s="198" t="str">
        <f t="shared" si="2"/>
        <v/>
      </c>
    </row>
    <row r="159" spans="3:3" x14ac:dyDescent="0.2">
      <c r="C159" s="198" t="str">
        <f t="shared" si="2"/>
        <v/>
      </c>
    </row>
    <row r="160" spans="3:3" x14ac:dyDescent="0.2">
      <c r="C160" s="198" t="str">
        <f t="shared" si="2"/>
        <v/>
      </c>
    </row>
    <row r="161" spans="3:3" x14ac:dyDescent="0.2">
      <c r="C161" s="198" t="str">
        <f t="shared" si="2"/>
        <v/>
      </c>
    </row>
    <row r="162" spans="3:3" x14ac:dyDescent="0.2">
      <c r="C162" s="198" t="str">
        <f t="shared" si="2"/>
        <v/>
      </c>
    </row>
    <row r="163" spans="3:3" x14ac:dyDescent="0.2">
      <c r="C163" s="198" t="str">
        <f t="shared" si="2"/>
        <v/>
      </c>
    </row>
    <row r="164" spans="3:3" x14ac:dyDescent="0.2">
      <c r="C164" s="198" t="str">
        <f t="shared" si="2"/>
        <v/>
      </c>
    </row>
    <row r="165" spans="3:3" x14ac:dyDescent="0.2">
      <c r="C165" s="198" t="str">
        <f t="shared" si="2"/>
        <v/>
      </c>
    </row>
    <row r="166" spans="3:3" x14ac:dyDescent="0.2">
      <c r="C166" s="198" t="str">
        <f t="shared" si="2"/>
        <v/>
      </c>
    </row>
    <row r="167" spans="3:3" x14ac:dyDescent="0.2">
      <c r="C167" s="198" t="str">
        <f t="shared" si="2"/>
        <v/>
      </c>
    </row>
    <row r="168" spans="3:3" x14ac:dyDescent="0.2">
      <c r="C168" s="198" t="str">
        <f t="shared" si="2"/>
        <v/>
      </c>
    </row>
    <row r="169" spans="3:3" x14ac:dyDescent="0.2">
      <c r="C169" s="198" t="str">
        <f t="shared" si="2"/>
        <v/>
      </c>
    </row>
    <row r="170" spans="3:3" x14ac:dyDescent="0.2">
      <c r="C170" s="198" t="str">
        <f t="shared" si="2"/>
        <v/>
      </c>
    </row>
    <row r="171" spans="3:3" x14ac:dyDescent="0.2">
      <c r="C171" s="198" t="str">
        <f t="shared" si="2"/>
        <v/>
      </c>
    </row>
    <row r="172" spans="3:3" x14ac:dyDescent="0.2">
      <c r="C172" s="198" t="str">
        <f t="shared" si="2"/>
        <v/>
      </c>
    </row>
    <row r="173" spans="3:3" x14ac:dyDescent="0.2">
      <c r="C173" s="198" t="str">
        <f t="shared" si="2"/>
        <v/>
      </c>
    </row>
    <row r="174" spans="3:3" x14ac:dyDescent="0.2">
      <c r="C174" s="198" t="str">
        <f t="shared" si="2"/>
        <v/>
      </c>
    </row>
    <row r="175" spans="3:3" x14ac:dyDescent="0.2">
      <c r="C175" s="198" t="str">
        <f t="shared" si="2"/>
        <v/>
      </c>
    </row>
    <row r="176" spans="3:3" x14ac:dyDescent="0.2">
      <c r="C176" s="198" t="str">
        <f t="shared" si="2"/>
        <v/>
      </c>
    </row>
    <row r="177" spans="3:3" x14ac:dyDescent="0.2">
      <c r="C177" s="198" t="str">
        <f t="shared" si="2"/>
        <v/>
      </c>
    </row>
    <row r="178" spans="3:3" x14ac:dyDescent="0.2">
      <c r="C178" s="198" t="str">
        <f t="shared" si="2"/>
        <v/>
      </c>
    </row>
    <row r="179" spans="3:3" x14ac:dyDescent="0.2">
      <c r="C179" s="198" t="str">
        <f t="shared" si="2"/>
        <v/>
      </c>
    </row>
    <row r="180" spans="3:3" x14ac:dyDescent="0.2">
      <c r="C180" s="198" t="str">
        <f t="shared" si="2"/>
        <v/>
      </c>
    </row>
    <row r="181" spans="3:3" x14ac:dyDescent="0.2">
      <c r="C181" s="198" t="str">
        <f t="shared" si="2"/>
        <v/>
      </c>
    </row>
    <row r="182" spans="3:3" x14ac:dyDescent="0.2">
      <c r="C182" s="198" t="str">
        <f t="shared" si="2"/>
        <v/>
      </c>
    </row>
    <row r="183" spans="3:3" x14ac:dyDescent="0.2">
      <c r="C183" s="198" t="str">
        <f t="shared" si="2"/>
        <v/>
      </c>
    </row>
    <row r="184" spans="3:3" x14ac:dyDescent="0.2">
      <c r="C184" s="198" t="str">
        <f t="shared" si="2"/>
        <v/>
      </c>
    </row>
    <row r="185" spans="3:3" x14ac:dyDescent="0.2">
      <c r="C185" s="198" t="str">
        <f t="shared" si="2"/>
        <v/>
      </c>
    </row>
    <row r="186" spans="3:3" x14ac:dyDescent="0.2">
      <c r="C186" s="198" t="str">
        <f t="shared" si="2"/>
        <v/>
      </c>
    </row>
    <row r="187" spans="3:3" x14ac:dyDescent="0.2">
      <c r="C187" s="198" t="str">
        <f t="shared" si="2"/>
        <v/>
      </c>
    </row>
    <row r="188" spans="3:3" x14ac:dyDescent="0.2">
      <c r="C188" s="198" t="str">
        <f t="shared" si="2"/>
        <v/>
      </c>
    </row>
    <row r="189" spans="3:3" x14ac:dyDescent="0.2">
      <c r="C189" s="198" t="str">
        <f t="shared" si="2"/>
        <v/>
      </c>
    </row>
    <row r="190" spans="3:3" x14ac:dyDescent="0.2">
      <c r="C190" s="198" t="str">
        <f t="shared" si="2"/>
        <v/>
      </c>
    </row>
    <row r="191" spans="3:3" x14ac:dyDescent="0.2">
      <c r="C191" s="198" t="str">
        <f t="shared" si="2"/>
        <v/>
      </c>
    </row>
    <row r="192" spans="3:3" x14ac:dyDescent="0.2">
      <c r="C192" s="198" t="str">
        <f t="shared" si="2"/>
        <v/>
      </c>
    </row>
    <row r="193" spans="3:3" x14ac:dyDescent="0.2">
      <c r="C193" s="198" t="str">
        <f t="shared" si="2"/>
        <v/>
      </c>
    </row>
    <row r="194" spans="3:3" x14ac:dyDescent="0.2">
      <c r="C194" s="198" t="str">
        <f t="shared" si="2"/>
        <v/>
      </c>
    </row>
    <row r="195" spans="3:3" x14ac:dyDescent="0.2">
      <c r="C195" s="198" t="str">
        <f t="shared" si="2"/>
        <v/>
      </c>
    </row>
    <row r="196" spans="3:3" x14ac:dyDescent="0.2">
      <c r="C196" s="198" t="str">
        <f t="shared" si="2"/>
        <v/>
      </c>
    </row>
    <row r="197" spans="3:3" x14ac:dyDescent="0.2">
      <c r="C197" s="198" t="str">
        <f t="shared" si="2"/>
        <v/>
      </c>
    </row>
    <row r="198" spans="3:3" x14ac:dyDescent="0.2">
      <c r="C198" s="198" t="str">
        <f t="shared" si="2"/>
        <v/>
      </c>
    </row>
    <row r="199" spans="3:3" x14ac:dyDescent="0.2">
      <c r="C199" s="198" t="str">
        <f t="shared" si="2"/>
        <v/>
      </c>
    </row>
    <row r="200" spans="3:3" x14ac:dyDescent="0.2">
      <c r="C200" s="198" t="str">
        <f t="shared" si="2"/>
        <v/>
      </c>
    </row>
    <row r="201" spans="3:3" x14ac:dyDescent="0.2">
      <c r="C201" s="198" t="str">
        <f t="shared" si="2"/>
        <v/>
      </c>
    </row>
    <row r="202" spans="3:3" x14ac:dyDescent="0.2">
      <c r="C202" s="198" t="str">
        <f t="shared" si="2"/>
        <v/>
      </c>
    </row>
    <row r="203" spans="3:3" x14ac:dyDescent="0.2">
      <c r="C203" s="198" t="str">
        <f t="shared" si="2"/>
        <v/>
      </c>
    </row>
    <row r="204" spans="3:3" x14ac:dyDescent="0.2">
      <c r="C204" s="198" t="str">
        <f t="shared" si="2"/>
        <v/>
      </c>
    </row>
    <row r="205" spans="3:3" x14ac:dyDescent="0.2">
      <c r="C205" s="198" t="str">
        <f t="shared" si="2"/>
        <v/>
      </c>
    </row>
    <row r="206" spans="3:3" x14ac:dyDescent="0.2">
      <c r="C206" s="198" t="str">
        <f t="shared" si="2"/>
        <v/>
      </c>
    </row>
    <row r="207" spans="3:3" x14ac:dyDescent="0.2">
      <c r="C207" s="198" t="str">
        <f t="shared" si="2"/>
        <v/>
      </c>
    </row>
    <row r="208" spans="3:3" x14ac:dyDescent="0.2">
      <c r="C208" s="198" t="str">
        <f t="shared" si="2"/>
        <v/>
      </c>
    </row>
    <row r="209" spans="3:3" x14ac:dyDescent="0.2">
      <c r="C209" s="198" t="str">
        <f t="shared" si="2"/>
        <v/>
      </c>
    </row>
    <row r="210" spans="3:3" x14ac:dyDescent="0.2">
      <c r="C210" s="198" t="str">
        <f t="shared" si="2"/>
        <v/>
      </c>
    </row>
    <row r="211" spans="3:3" x14ac:dyDescent="0.2">
      <c r="C211" s="198" t="str">
        <f t="shared" si="2"/>
        <v/>
      </c>
    </row>
    <row r="212" spans="3:3" x14ac:dyDescent="0.2">
      <c r="C212" s="198" t="str">
        <f t="shared" si="2"/>
        <v/>
      </c>
    </row>
    <row r="213" spans="3:3" x14ac:dyDescent="0.2">
      <c r="C213" s="198" t="str">
        <f t="shared" si="2"/>
        <v/>
      </c>
    </row>
    <row r="214" spans="3:3" x14ac:dyDescent="0.2">
      <c r="C214" s="198" t="str">
        <f t="shared" si="2"/>
        <v/>
      </c>
    </row>
    <row r="215" spans="3:3" x14ac:dyDescent="0.2">
      <c r="C215" s="198" t="str">
        <f t="shared" ref="C215:C278" si="3">IF(A215=0,"","Elastic")</f>
        <v/>
      </c>
    </row>
    <row r="216" spans="3:3" x14ac:dyDescent="0.2">
      <c r="C216" s="198" t="str">
        <f t="shared" si="3"/>
        <v/>
      </c>
    </row>
    <row r="217" spans="3:3" x14ac:dyDescent="0.2">
      <c r="C217" s="198" t="str">
        <f t="shared" si="3"/>
        <v/>
      </c>
    </row>
    <row r="218" spans="3:3" x14ac:dyDescent="0.2">
      <c r="C218" s="198" t="str">
        <f t="shared" si="3"/>
        <v/>
      </c>
    </row>
    <row r="219" spans="3:3" x14ac:dyDescent="0.2">
      <c r="C219" s="198" t="str">
        <f t="shared" si="3"/>
        <v/>
      </c>
    </row>
    <row r="220" spans="3:3" x14ac:dyDescent="0.2">
      <c r="C220" s="198" t="str">
        <f t="shared" si="3"/>
        <v/>
      </c>
    </row>
    <row r="221" spans="3:3" x14ac:dyDescent="0.2">
      <c r="C221" s="198" t="str">
        <f t="shared" si="3"/>
        <v/>
      </c>
    </row>
    <row r="222" spans="3:3" x14ac:dyDescent="0.2">
      <c r="C222" s="198" t="str">
        <f t="shared" si="3"/>
        <v/>
      </c>
    </row>
    <row r="223" spans="3:3" x14ac:dyDescent="0.2">
      <c r="C223" s="198" t="str">
        <f t="shared" si="3"/>
        <v/>
      </c>
    </row>
    <row r="224" spans="3:3" x14ac:dyDescent="0.2">
      <c r="C224" s="198" t="str">
        <f t="shared" si="3"/>
        <v/>
      </c>
    </row>
    <row r="225" spans="3:3" x14ac:dyDescent="0.2">
      <c r="C225" s="198" t="str">
        <f t="shared" si="3"/>
        <v/>
      </c>
    </row>
    <row r="226" spans="3:3" x14ac:dyDescent="0.2">
      <c r="C226" s="198" t="str">
        <f t="shared" si="3"/>
        <v/>
      </c>
    </row>
    <row r="227" spans="3:3" x14ac:dyDescent="0.2">
      <c r="C227" s="198" t="str">
        <f t="shared" si="3"/>
        <v/>
      </c>
    </row>
    <row r="228" spans="3:3" x14ac:dyDescent="0.2">
      <c r="C228" s="198" t="str">
        <f t="shared" si="3"/>
        <v/>
      </c>
    </row>
    <row r="229" spans="3:3" x14ac:dyDescent="0.2">
      <c r="C229" s="198" t="str">
        <f t="shared" si="3"/>
        <v/>
      </c>
    </row>
    <row r="230" spans="3:3" x14ac:dyDescent="0.2">
      <c r="C230" s="198" t="str">
        <f t="shared" si="3"/>
        <v/>
      </c>
    </row>
    <row r="231" spans="3:3" x14ac:dyDescent="0.2">
      <c r="C231" s="198" t="str">
        <f t="shared" si="3"/>
        <v/>
      </c>
    </row>
    <row r="232" spans="3:3" x14ac:dyDescent="0.2">
      <c r="C232" s="198" t="str">
        <f t="shared" si="3"/>
        <v/>
      </c>
    </row>
    <row r="233" spans="3:3" x14ac:dyDescent="0.2">
      <c r="C233" s="198" t="str">
        <f t="shared" si="3"/>
        <v/>
      </c>
    </row>
    <row r="234" spans="3:3" x14ac:dyDescent="0.2">
      <c r="C234" s="198" t="str">
        <f t="shared" si="3"/>
        <v/>
      </c>
    </row>
    <row r="235" spans="3:3" x14ac:dyDescent="0.2">
      <c r="C235" s="198" t="str">
        <f t="shared" si="3"/>
        <v/>
      </c>
    </row>
    <row r="236" spans="3:3" x14ac:dyDescent="0.2">
      <c r="C236" s="198" t="str">
        <f t="shared" si="3"/>
        <v/>
      </c>
    </row>
    <row r="237" spans="3:3" x14ac:dyDescent="0.2">
      <c r="C237" s="198" t="str">
        <f t="shared" si="3"/>
        <v/>
      </c>
    </row>
    <row r="238" spans="3:3" x14ac:dyDescent="0.2">
      <c r="C238" s="198" t="str">
        <f t="shared" si="3"/>
        <v/>
      </c>
    </row>
    <row r="239" spans="3:3" x14ac:dyDescent="0.2">
      <c r="C239" s="198" t="str">
        <f t="shared" si="3"/>
        <v/>
      </c>
    </row>
    <row r="240" spans="3:3" x14ac:dyDescent="0.2">
      <c r="C240" s="198" t="str">
        <f t="shared" si="3"/>
        <v/>
      </c>
    </row>
    <row r="241" spans="3:3" x14ac:dyDescent="0.2">
      <c r="C241" s="198" t="str">
        <f t="shared" si="3"/>
        <v/>
      </c>
    </row>
    <row r="242" spans="3:3" x14ac:dyDescent="0.2">
      <c r="C242" s="198" t="str">
        <f t="shared" si="3"/>
        <v/>
      </c>
    </row>
    <row r="243" spans="3:3" x14ac:dyDescent="0.2">
      <c r="C243" s="198" t="str">
        <f t="shared" si="3"/>
        <v/>
      </c>
    </row>
    <row r="244" spans="3:3" x14ac:dyDescent="0.2">
      <c r="C244" s="198" t="str">
        <f t="shared" si="3"/>
        <v/>
      </c>
    </row>
    <row r="245" spans="3:3" x14ac:dyDescent="0.2">
      <c r="C245" s="198" t="str">
        <f t="shared" si="3"/>
        <v/>
      </c>
    </row>
    <row r="246" spans="3:3" x14ac:dyDescent="0.2">
      <c r="C246" s="198" t="str">
        <f t="shared" si="3"/>
        <v/>
      </c>
    </row>
    <row r="247" spans="3:3" x14ac:dyDescent="0.2">
      <c r="C247" s="198" t="str">
        <f t="shared" si="3"/>
        <v/>
      </c>
    </row>
    <row r="248" spans="3:3" x14ac:dyDescent="0.2">
      <c r="C248" s="198" t="str">
        <f t="shared" si="3"/>
        <v/>
      </c>
    </row>
    <row r="249" spans="3:3" x14ac:dyDescent="0.2">
      <c r="C249" s="198" t="str">
        <f t="shared" si="3"/>
        <v/>
      </c>
    </row>
    <row r="250" spans="3:3" x14ac:dyDescent="0.2">
      <c r="C250" s="198" t="str">
        <f t="shared" si="3"/>
        <v/>
      </c>
    </row>
    <row r="251" spans="3:3" x14ac:dyDescent="0.2">
      <c r="C251" s="198" t="str">
        <f t="shared" si="3"/>
        <v/>
      </c>
    </row>
    <row r="252" spans="3:3" x14ac:dyDescent="0.2">
      <c r="C252" s="198" t="str">
        <f t="shared" si="3"/>
        <v/>
      </c>
    </row>
    <row r="253" spans="3:3" x14ac:dyDescent="0.2">
      <c r="C253" s="198" t="str">
        <f t="shared" si="3"/>
        <v/>
      </c>
    </row>
    <row r="254" spans="3:3" x14ac:dyDescent="0.2">
      <c r="C254" s="198" t="str">
        <f t="shared" si="3"/>
        <v/>
      </c>
    </row>
    <row r="255" spans="3:3" x14ac:dyDescent="0.2">
      <c r="C255" s="198" t="str">
        <f t="shared" si="3"/>
        <v/>
      </c>
    </row>
    <row r="256" spans="3:3" x14ac:dyDescent="0.2">
      <c r="C256" s="198" t="str">
        <f t="shared" si="3"/>
        <v/>
      </c>
    </row>
    <row r="257" spans="3:3" x14ac:dyDescent="0.2">
      <c r="C257" s="198" t="str">
        <f t="shared" si="3"/>
        <v/>
      </c>
    </row>
    <row r="258" spans="3:3" x14ac:dyDescent="0.2">
      <c r="C258" s="198" t="str">
        <f t="shared" si="3"/>
        <v/>
      </c>
    </row>
    <row r="259" spans="3:3" x14ac:dyDescent="0.2">
      <c r="C259" s="198" t="str">
        <f t="shared" si="3"/>
        <v/>
      </c>
    </row>
    <row r="260" spans="3:3" x14ac:dyDescent="0.2">
      <c r="C260" s="198" t="str">
        <f t="shared" si="3"/>
        <v/>
      </c>
    </row>
    <row r="261" spans="3:3" x14ac:dyDescent="0.2">
      <c r="C261" s="198" t="str">
        <f t="shared" si="3"/>
        <v/>
      </c>
    </row>
    <row r="262" spans="3:3" x14ac:dyDescent="0.2">
      <c r="C262" s="198" t="str">
        <f t="shared" si="3"/>
        <v/>
      </c>
    </row>
    <row r="263" spans="3:3" x14ac:dyDescent="0.2">
      <c r="C263" s="198" t="str">
        <f t="shared" si="3"/>
        <v/>
      </c>
    </row>
    <row r="264" spans="3:3" x14ac:dyDescent="0.2">
      <c r="C264" s="198" t="str">
        <f t="shared" si="3"/>
        <v/>
      </c>
    </row>
    <row r="265" spans="3:3" x14ac:dyDescent="0.2">
      <c r="C265" s="198" t="str">
        <f t="shared" si="3"/>
        <v/>
      </c>
    </row>
    <row r="266" spans="3:3" x14ac:dyDescent="0.2">
      <c r="C266" s="198" t="str">
        <f t="shared" si="3"/>
        <v/>
      </c>
    </row>
    <row r="267" spans="3:3" x14ac:dyDescent="0.2">
      <c r="C267" s="198" t="str">
        <f t="shared" si="3"/>
        <v/>
      </c>
    </row>
    <row r="268" spans="3:3" x14ac:dyDescent="0.2">
      <c r="C268" s="198" t="str">
        <f t="shared" si="3"/>
        <v/>
      </c>
    </row>
    <row r="269" spans="3:3" x14ac:dyDescent="0.2">
      <c r="C269" s="198" t="str">
        <f t="shared" si="3"/>
        <v/>
      </c>
    </row>
    <row r="270" spans="3:3" x14ac:dyDescent="0.2">
      <c r="C270" s="198" t="str">
        <f t="shared" si="3"/>
        <v/>
      </c>
    </row>
    <row r="271" spans="3:3" x14ac:dyDescent="0.2">
      <c r="C271" s="198" t="str">
        <f t="shared" si="3"/>
        <v/>
      </c>
    </row>
    <row r="272" spans="3:3" x14ac:dyDescent="0.2">
      <c r="C272" s="198" t="str">
        <f t="shared" si="3"/>
        <v/>
      </c>
    </row>
    <row r="273" spans="3:3" x14ac:dyDescent="0.2">
      <c r="C273" s="198" t="str">
        <f t="shared" si="3"/>
        <v/>
      </c>
    </row>
    <row r="274" spans="3:3" x14ac:dyDescent="0.2">
      <c r="C274" s="198" t="str">
        <f t="shared" si="3"/>
        <v/>
      </c>
    </row>
    <row r="275" spans="3:3" x14ac:dyDescent="0.2">
      <c r="C275" s="198" t="str">
        <f t="shared" si="3"/>
        <v/>
      </c>
    </row>
    <row r="276" spans="3:3" x14ac:dyDescent="0.2">
      <c r="C276" s="198" t="str">
        <f t="shared" si="3"/>
        <v/>
      </c>
    </row>
    <row r="277" spans="3:3" x14ac:dyDescent="0.2">
      <c r="C277" s="198" t="str">
        <f t="shared" si="3"/>
        <v/>
      </c>
    </row>
    <row r="278" spans="3:3" x14ac:dyDescent="0.2">
      <c r="C278" s="198" t="str">
        <f t="shared" si="3"/>
        <v/>
      </c>
    </row>
    <row r="279" spans="3:3" x14ac:dyDescent="0.2">
      <c r="C279" s="198" t="str">
        <f t="shared" ref="C279:C342" si="4">IF(A279=0,"","Elastic")</f>
        <v/>
      </c>
    </row>
    <row r="280" spans="3:3" x14ac:dyDescent="0.2">
      <c r="C280" s="198" t="str">
        <f t="shared" si="4"/>
        <v/>
      </c>
    </row>
    <row r="281" spans="3:3" x14ac:dyDescent="0.2">
      <c r="C281" s="198" t="str">
        <f t="shared" si="4"/>
        <v/>
      </c>
    </row>
    <row r="282" spans="3:3" x14ac:dyDescent="0.2">
      <c r="C282" s="198" t="str">
        <f t="shared" si="4"/>
        <v/>
      </c>
    </row>
    <row r="283" spans="3:3" x14ac:dyDescent="0.2">
      <c r="C283" s="198" t="str">
        <f t="shared" si="4"/>
        <v/>
      </c>
    </row>
    <row r="284" spans="3:3" x14ac:dyDescent="0.2">
      <c r="C284" s="198" t="str">
        <f t="shared" si="4"/>
        <v/>
      </c>
    </row>
    <row r="285" spans="3:3" x14ac:dyDescent="0.2">
      <c r="C285" s="198" t="str">
        <f t="shared" si="4"/>
        <v/>
      </c>
    </row>
    <row r="286" spans="3:3" x14ac:dyDescent="0.2">
      <c r="C286" s="198" t="str">
        <f t="shared" si="4"/>
        <v/>
      </c>
    </row>
    <row r="287" spans="3:3" x14ac:dyDescent="0.2">
      <c r="C287" s="198" t="str">
        <f t="shared" si="4"/>
        <v/>
      </c>
    </row>
    <row r="288" spans="3:3" x14ac:dyDescent="0.2">
      <c r="C288" s="198" t="str">
        <f t="shared" si="4"/>
        <v/>
      </c>
    </row>
    <row r="289" spans="3:3" x14ac:dyDescent="0.2">
      <c r="C289" s="198" t="str">
        <f t="shared" si="4"/>
        <v/>
      </c>
    </row>
    <row r="290" spans="3:3" x14ac:dyDescent="0.2">
      <c r="C290" s="198" t="str">
        <f t="shared" si="4"/>
        <v/>
      </c>
    </row>
    <row r="291" spans="3:3" x14ac:dyDescent="0.2">
      <c r="C291" s="198" t="str">
        <f t="shared" si="4"/>
        <v/>
      </c>
    </row>
    <row r="292" spans="3:3" x14ac:dyDescent="0.2">
      <c r="C292" s="198" t="str">
        <f t="shared" si="4"/>
        <v/>
      </c>
    </row>
    <row r="293" spans="3:3" x14ac:dyDescent="0.2">
      <c r="C293" s="198" t="str">
        <f t="shared" si="4"/>
        <v/>
      </c>
    </row>
    <row r="294" spans="3:3" x14ac:dyDescent="0.2">
      <c r="C294" s="198" t="str">
        <f t="shared" si="4"/>
        <v/>
      </c>
    </row>
    <row r="295" spans="3:3" x14ac:dyDescent="0.2">
      <c r="C295" s="198" t="str">
        <f t="shared" si="4"/>
        <v/>
      </c>
    </row>
    <row r="296" spans="3:3" x14ac:dyDescent="0.2">
      <c r="C296" s="198" t="str">
        <f t="shared" si="4"/>
        <v/>
      </c>
    </row>
    <row r="297" spans="3:3" x14ac:dyDescent="0.2">
      <c r="C297" s="198" t="str">
        <f t="shared" si="4"/>
        <v/>
      </c>
    </row>
    <row r="298" spans="3:3" x14ac:dyDescent="0.2">
      <c r="C298" s="198" t="str">
        <f t="shared" si="4"/>
        <v/>
      </c>
    </row>
    <row r="299" spans="3:3" x14ac:dyDescent="0.2">
      <c r="C299" s="198" t="str">
        <f t="shared" si="4"/>
        <v/>
      </c>
    </row>
    <row r="300" spans="3:3" x14ac:dyDescent="0.2">
      <c r="C300" s="198" t="str">
        <f t="shared" si="4"/>
        <v/>
      </c>
    </row>
    <row r="301" spans="3:3" x14ac:dyDescent="0.2">
      <c r="C301" s="198" t="str">
        <f t="shared" si="4"/>
        <v/>
      </c>
    </row>
    <row r="302" spans="3:3" x14ac:dyDescent="0.2">
      <c r="C302" s="198" t="str">
        <f t="shared" si="4"/>
        <v/>
      </c>
    </row>
    <row r="303" spans="3:3" x14ac:dyDescent="0.2">
      <c r="C303" s="198" t="str">
        <f t="shared" si="4"/>
        <v/>
      </c>
    </row>
    <row r="304" spans="3:3" x14ac:dyDescent="0.2">
      <c r="C304" s="198" t="str">
        <f t="shared" si="4"/>
        <v/>
      </c>
    </row>
    <row r="305" spans="3:3" x14ac:dyDescent="0.2">
      <c r="C305" s="198" t="str">
        <f t="shared" si="4"/>
        <v/>
      </c>
    </row>
    <row r="306" spans="3:3" x14ac:dyDescent="0.2">
      <c r="C306" s="198" t="str">
        <f t="shared" si="4"/>
        <v/>
      </c>
    </row>
    <row r="307" spans="3:3" x14ac:dyDescent="0.2">
      <c r="C307" s="198" t="str">
        <f t="shared" si="4"/>
        <v/>
      </c>
    </row>
    <row r="308" spans="3:3" x14ac:dyDescent="0.2">
      <c r="C308" s="198" t="str">
        <f t="shared" si="4"/>
        <v/>
      </c>
    </row>
    <row r="309" spans="3:3" x14ac:dyDescent="0.2">
      <c r="C309" s="198" t="str">
        <f t="shared" si="4"/>
        <v/>
      </c>
    </row>
    <row r="310" spans="3:3" x14ac:dyDescent="0.2">
      <c r="C310" s="198" t="str">
        <f t="shared" si="4"/>
        <v/>
      </c>
    </row>
    <row r="311" spans="3:3" x14ac:dyDescent="0.2">
      <c r="C311" s="198" t="str">
        <f t="shared" si="4"/>
        <v/>
      </c>
    </row>
    <row r="312" spans="3:3" x14ac:dyDescent="0.2">
      <c r="C312" s="198" t="str">
        <f t="shared" si="4"/>
        <v/>
      </c>
    </row>
    <row r="313" spans="3:3" x14ac:dyDescent="0.2">
      <c r="C313" s="198" t="str">
        <f t="shared" si="4"/>
        <v/>
      </c>
    </row>
    <row r="314" spans="3:3" x14ac:dyDescent="0.2">
      <c r="C314" s="198" t="str">
        <f t="shared" si="4"/>
        <v/>
      </c>
    </row>
    <row r="315" spans="3:3" x14ac:dyDescent="0.2">
      <c r="C315" s="198" t="str">
        <f t="shared" si="4"/>
        <v/>
      </c>
    </row>
    <row r="316" spans="3:3" x14ac:dyDescent="0.2">
      <c r="C316" s="198" t="str">
        <f t="shared" si="4"/>
        <v/>
      </c>
    </row>
    <row r="317" spans="3:3" x14ac:dyDescent="0.2">
      <c r="C317" s="198" t="str">
        <f t="shared" si="4"/>
        <v/>
      </c>
    </row>
    <row r="318" spans="3:3" x14ac:dyDescent="0.2">
      <c r="C318" s="198" t="str">
        <f t="shared" si="4"/>
        <v/>
      </c>
    </row>
    <row r="319" spans="3:3" x14ac:dyDescent="0.2">
      <c r="C319" s="198" t="str">
        <f t="shared" si="4"/>
        <v/>
      </c>
    </row>
    <row r="320" spans="3:3" x14ac:dyDescent="0.2">
      <c r="C320" s="198" t="str">
        <f t="shared" si="4"/>
        <v/>
      </c>
    </row>
    <row r="321" spans="3:3" x14ac:dyDescent="0.2">
      <c r="C321" s="198" t="str">
        <f t="shared" si="4"/>
        <v/>
      </c>
    </row>
    <row r="322" spans="3:3" x14ac:dyDescent="0.2">
      <c r="C322" s="198" t="str">
        <f t="shared" si="4"/>
        <v/>
      </c>
    </row>
    <row r="323" spans="3:3" x14ac:dyDescent="0.2">
      <c r="C323" s="198" t="str">
        <f t="shared" si="4"/>
        <v/>
      </c>
    </row>
    <row r="324" spans="3:3" x14ac:dyDescent="0.2">
      <c r="C324" s="198" t="str">
        <f t="shared" si="4"/>
        <v/>
      </c>
    </row>
    <row r="325" spans="3:3" x14ac:dyDescent="0.2">
      <c r="C325" s="198" t="str">
        <f t="shared" si="4"/>
        <v/>
      </c>
    </row>
    <row r="326" spans="3:3" x14ac:dyDescent="0.2">
      <c r="C326" s="198" t="str">
        <f t="shared" si="4"/>
        <v/>
      </c>
    </row>
    <row r="327" spans="3:3" x14ac:dyDescent="0.2">
      <c r="C327" s="198" t="str">
        <f t="shared" si="4"/>
        <v/>
      </c>
    </row>
    <row r="328" spans="3:3" x14ac:dyDescent="0.2">
      <c r="C328" s="198" t="str">
        <f t="shared" si="4"/>
        <v/>
      </c>
    </row>
    <row r="329" spans="3:3" x14ac:dyDescent="0.2">
      <c r="C329" s="198" t="str">
        <f t="shared" si="4"/>
        <v/>
      </c>
    </row>
    <row r="330" spans="3:3" x14ac:dyDescent="0.2">
      <c r="C330" s="198" t="str">
        <f t="shared" si="4"/>
        <v/>
      </c>
    </row>
    <row r="331" spans="3:3" x14ac:dyDescent="0.2">
      <c r="C331" s="198" t="str">
        <f t="shared" si="4"/>
        <v/>
      </c>
    </row>
    <row r="332" spans="3:3" x14ac:dyDescent="0.2">
      <c r="C332" s="198" t="str">
        <f t="shared" si="4"/>
        <v/>
      </c>
    </row>
    <row r="333" spans="3:3" x14ac:dyDescent="0.2">
      <c r="C333" s="198" t="str">
        <f t="shared" si="4"/>
        <v/>
      </c>
    </row>
    <row r="334" spans="3:3" x14ac:dyDescent="0.2">
      <c r="C334" s="198" t="str">
        <f t="shared" si="4"/>
        <v/>
      </c>
    </row>
    <row r="335" spans="3:3" x14ac:dyDescent="0.2">
      <c r="C335" s="198" t="str">
        <f t="shared" si="4"/>
        <v/>
      </c>
    </row>
    <row r="336" spans="3:3" x14ac:dyDescent="0.2">
      <c r="C336" s="198" t="str">
        <f t="shared" si="4"/>
        <v/>
      </c>
    </row>
    <row r="337" spans="3:3" x14ac:dyDescent="0.2">
      <c r="C337" s="198" t="str">
        <f t="shared" si="4"/>
        <v/>
      </c>
    </row>
    <row r="338" spans="3:3" x14ac:dyDescent="0.2">
      <c r="C338" s="198" t="str">
        <f t="shared" si="4"/>
        <v/>
      </c>
    </row>
    <row r="339" spans="3:3" x14ac:dyDescent="0.2">
      <c r="C339" s="198" t="str">
        <f t="shared" si="4"/>
        <v/>
      </c>
    </row>
    <row r="340" spans="3:3" x14ac:dyDescent="0.2">
      <c r="C340" s="198" t="str">
        <f t="shared" si="4"/>
        <v/>
      </c>
    </row>
    <row r="341" spans="3:3" x14ac:dyDescent="0.2">
      <c r="C341" s="198" t="str">
        <f t="shared" si="4"/>
        <v/>
      </c>
    </row>
    <row r="342" spans="3:3" x14ac:dyDescent="0.2">
      <c r="C342" s="198" t="str">
        <f t="shared" si="4"/>
        <v/>
      </c>
    </row>
    <row r="343" spans="3:3" x14ac:dyDescent="0.2">
      <c r="C343" s="198" t="str">
        <f t="shared" ref="C343:C406" si="5">IF(A343=0,"","Elastic")</f>
        <v/>
      </c>
    </row>
    <row r="344" spans="3:3" x14ac:dyDescent="0.2">
      <c r="C344" s="198" t="str">
        <f t="shared" si="5"/>
        <v/>
      </c>
    </row>
    <row r="345" spans="3:3" x14ac:dyDescent="0.2">
      <c r="C345" s="198" t="str">
        <f t="shared" si="5"/>
        <v/>
      </c>
    </row>
    <row r="346" spans="3:3" x14ac:dyDescent="0.2">
      <c r="C346" s="198" t="str">
        <f t="shared" si="5"/>
        <v/>
      </c>
    </row>
    <row r="347" spans="3:3" x14ac:dyDescent="0.2">
      <c r="C347" s="198" t="str">
        <f t="shared" si="5"/>
        <v/>
      </c>
    </row>
    <row r="348" spans="3:3" x14ac:dyDescent="0.2">
      <c r="C348" s="198" t="str">
        <f t="shared" si="5"/>
        <v/>
      </c>
    </row>
    <row r="349" spans="3:3" x14ac:dyDescent="0.2">
      <c r="C349" s="198" t="str">
        <f t="shared" si="5"/>
        <v/>
      </c>
    </row>
    <row r="350" spans="3:3" x14ac:dyDescent="0.2">
      <c r="C350" s="198" t="str">
        <f t="shared" si="5"/>
        <v/>
      </c>
    </row>
    <row r="351" spans="3:3" x14ac:dyDescent="0.2">
      <c r="C351" s="198" t="str">
        <f t="shared" si="5"/>
        <v/>
      </c>
    </row>
    <row r="352" spans="3:3" x14ac:dyDescent="0.2">
      <c r="C352" s="198" t="str">
        <f t="shared" si="5"/>
        <v/>
      </c>
    </row>
    <row r="353" spans="3:3" x14ac:dyDescent="0.2">
      <c r="C353" s="198" t="str">
        <f t="shared" si="5"/>
        <v/>
      </c>
    </row>
    <row r="354" spans="3:3" x14ac:dyDescent="0.2">
      <c r="C354" s="198" t="str">
        <f t="shared" si="5"/>
        <v/>
      </c>
    </row>
    <row r="355" spans="3:3" x14ac:dyDescent="0.2">
      <c r="C355" s="198" t="str">
        <f t="shared" si="5"/>
        <v/>
      </c>
    </row>
    <row r="356" spans="3:3" x14ac:dyDescent="0.2">
      <c r="C356" s="198" t="str">
        <f t="shared" si="5"/>
        <v/>
      </c>
    </row>
    <row r="357" spans="3:3" x14ac:dyDescent="0.2">
      <c r="C357" s="198" t="str">
        <f t="shared" si="5"/>
        <v/>
      </c>
    </row>
    <row r="358" spans="3:3" x14ac:dyDescent="0.2">
      <c r="C358" s="198" t="str">
        <f t="shared" si="5"/>
        <v/>
      </c>
    </row>
    <row r="359" spans="3:3" x14ac:dyDescent="0.2">
      <c r="C359" s="198" t="str">
        <f t="shared" si="5"/>
        <v/>
      </c>
    </row>
    <row r="360" spans="3:3" x14ac:dyDescent="0.2">
      <c r="C360" s="198" t="str">
        <f t="shared" si="5"/>
        <v/>
      </c>
    </row>
    <row r="361" spans="3:3" x14ac:dyDescent="0.2">
      <c r="C361" s="198" t="str">
        <f t="shared" si="5"/>
        <v/>
      </c>
    </row>
    <row r="362" spans="3:3" x14ac:dyDescent="0.2">
      <c r="C362" s="198" t="str">
        <f t="shared" si="5"/>
        <v/>
      </c>
    </row>
    <row r="363" spans="3:3" x14ac:dyDescent="0.2">
      <c r="C363" s="198" t="str">
        <f t="shared" si="5"/>
        <v/>
      </c>
    </row>
    <row r="364" spans="3:3" x14ac:dyDescent="0.2">
      <c r="C364" s="198" t="str">
        <f t="shared" si="5"/>
        <v/>
      </c>
    </row>
    <row r="365" spans="3:3" x14ac:dyDescent="0.2">
      <c r="C365" s="198" t="str">
        <f t="shared" si="5"/>
        <v/>
      </c>
    </row>
    <row r="366" spans="3:3" x14ac:dyDescent="0.2">
      <c r="C366" s="198" t="str">
        <f t="shared" si="5"/>
        <v/>
      </c>
    </row>
    <row r="367" spans="3:3" x14ac:dyDescent="0.2">
      <c r="C367" s="198" t="str">
        <f t="shared" si="5"/>
        <v/>
      </c>
    </row>
    <row r="368" spans="3:3" x14ac:dyDescent="0.2">
      <c r="C368" s="198" t="str">
        <f t="shared" si="5"/>
        <v/>
      </c>
    </row>
    <row r="369" spans="3:3" x14ac:dyDescent="0.2">
      <c r="C369" s="198" t="str">
        <f t="shared" si="5"/>
        <v/>
      </c>
    </row>
    <row r="370" spans="3:3" x14ac:dyDescent="0.2">
      <c r="C370" s="198" t="str">
        <f t="shared" si="5"/>
        <v/>
      </c>
    </row>
    <row r="371" spans="3:3" x14ac:dyDescent="0.2">
      <c r="C371" s="198" t="str">
        <f t="shared" si="5"/>
        <v/>
      </c>
    </row>
    <row r="372" spans="3:3" x14ac:dyDescent="0.2">
      <c r="C372" s="198" t="str">
        <f t="shared" si="5"/>
        <v/>
      </c>
    </row>
    <row r="373" spans="3:3" x14ac:dyDescent="0.2">
      <c r="C373" s="198" t="str">
        <f t="shared" si="5"/>
        <v/>
      </c>
    </row>
    <row r="374" spans="3:3" x14ac:dyDescent="0.2">
      <c r="C374" s="198" t="str">
        <f t="shared" si="5"/>
        <v/>
      </c>
    </row>
    <row r="375" spans="3:3" x14ac:dyDescent="0.2">
      <c r="C375" s="198" t="str">
        <f t="shared" si="5"/>
        <v/>
      </c>
    </row>
    <row r="376" spans="3:3" x14ac:dyDescent="0.2">
      <c r="C376" s="198" t="str">
        <f t="shared" si="5"/>
        <v/>
      </c>
    </row>
    <row r="377" spans="3:3" x14ac:dyDescent="0.2">
      <c r="C377" s="198" t="str">
        <f t="shared" si="5"/>
        <v/>
      </c>
    </row>
    <row r="378" spans="3:3" x14ac:dyDescent="0.2">
      <c r="C378" s="198" t="str">
        <f t="shared" si="5"/>
        <v/>
      </c>
    </row>
    <row r="379" spans="3:3" x14ac:dyDescent="0.2">
      <c r="C379" s="198" t="str">
        <f t="shared" si="5"/>
        <v/>
      </c>
    </row>
    <row r="380" spans="3:3" x14ac:dyDescent="0.2">
      <c r="C380" s="198" t="str">
        <f t="shared" si="5"/>
        <v/>
      </c>
    </row>
    <row r="381" spans="3:3" x14ac:dyDescent="0.2">
      <c r="C381" s="198" t="str">
        <f t="shared" si="5"/>
        <v/>
      </c>
    </row>
    <row r="382" spans="3:3" x14ac:dyDescent="0.2">
      <c r="C382" s="198" t="str">
        <f t="shared" si="5"/>
        <v/>
      </c>
    </row>
    <row r="383" spans="3:3" x14ac:dyDescent="0.2">
      <c r="C383" s="198" t="str">
        <f t="shared" si="5"/>
        <v/>
      </c>
    </row>
    <row r="384" spans="3:3" x14ac:dyDescent="0.2">
      <c r="C384" s="198" t="str">
        <f t="shared" si="5"/>
        <v/>
      </c>
    </row>
    <row r="385" spans="3:3" x14ac:dyDescent="0.2">
      <c r="C385" s="198" t="str">
        <f t="shared" si="5"/>
        <v/>
      </c>
    </row>
    <row r="386" spans="3:3" x14ac:dyDescent="0.2">
      <c r="C386" s="198" t="str">
        <f t="shared" si="5"/>
        <v/>
      </c>
    </row>
    <row r="387" spans="3:3" x14ac:dyDescent="0.2">
      <c r="C387" s="198" t="str">
        <f t="shared" si="5"/>
        <v/>
      </c>
    </row>
    <row r="388" spans="3:3" x14ac:dyDescent="0.2">
      <c r="C388" s="198" t="str">
        <f t="shared" si="5"/>
        <v/>
      </c>
    </row>
    <row r="389" spans="3:3" x14ac:dyDescent="0.2">
      <c r="C389" s="198" t="str">
        <f t="shared" si="5"/>
        <v/>
      </c>
    </row>
    <row r="390" spans="3:3" x14ac:dyDescent="0.2">
      <c r="C390" s="198" t="str">
        <f t="shared" si="5"/>
        <v/>
      </c>
    </row>
    <row r="391" spans="3:3" x14ac:dyDescent="0.2">
      <c r="C391" s="198" t="str">
        <f t="shared" si="5"/>
        <v/>
      </c>
    </row>
    <row r="392" spans="3:3" x14ac:dyDescent="0.2">
      <c r="C392" s="198" t="str">
        <f t="shared" si="5"/>
        <v/>
      </c>
    </row>
    <row r="393" spans="3:3" x14ac:dyDescent="0.2">
      <c r="C393" s="198" t="str">
        <f t="shared" si="5"/>
        <v/>
      </c>
    </row>
    <row r="394" spans="3:3" x14ac:dyDescent="0.2">
      <c r="C394" s="198" t="str">
        <f t="shared" si="5"/>
        <v/>
      </c>
    </row>
    <row r="395" spans="3:3" x14ac:dyDescent="0.2">
      <c r="C395" s="198" t="str">
        <f t="shared" si="5"/>
        <v/>
      </c>
    </row>
    <row r="396" spans="3:3" x14ac:dyDescent="0.2">
      <c r="C396" s="198" t="str">
        <f t="shared" si="5"/>
        <v/>
      </c>
    </row>
    <row r="397" spans="3:3" x14ac:dyDescent="0.2">
      <c r="C397" s="198" t="str">
        <f t="shared" si="5"/>
        <v/>
      </c>
    </row>
    <row r="398" spans="3:3" x14ac:dyDescent="0.2">
      <c r="C398" s="198" t="str">
        <f t="shared" si="5"/>
        <v/>
      </c>
    </row>
    <row r="399" spans="3:3" x14ac:dyDescent="0.2">
      <c r="C399" s="198" t="str">
        <f t="shared" si="5"/>
        <v/>
      </c>
    </row>
    <row r="400" spans="3:3" x14ac:dyDescent="0.2">
      <c r="C400" s="198" t="str">
        <f t="shared" si="5"/>
        <v/>
      </c>
    </row>
    <row r="401" spans="3:3" x14ac:dyDescent="0.2">
      <c r="C401" s="198" t="str">
        <f t="shared" si="5"/>
        <v/>
      </c>
    </row>
    <row r="402" spans="3:3" x14ac:dyDescent="0.2">
      <c r="C402" s="198" t="str">
        <f t="shared" si="5"/>
        <v/>
      </c>
    </row>
    <row r="403" spans="3:3" x14ac:dyDescent="0.2">
      <c r="C403" s="198" t="str">
        <f t="shared" si="5"/>
        <v/>
      </c>
    </row>
    <row r="404" spans="3:3" x14ac:dyDescent="0.2">
      <c r="C404" s="198" t="str">
        <f t="shared" si="5"/>
        <v/>
      </c>
    </row>
    <row r="405" spans="3:3" x14ac:dyDescent="0.2">
      <c r="C405" s="198" t="str">
        <f t="shared" si="5"/>
        <v/>
      </c>
    </row>
    <row r="406" spans="3:3" x14ac:dyDescent="0.2">
      <c r="C406" s="198" t="str">
        <f t="shared" si="5"/>
        <v/>
      </c>
    </row>
    <row r="407" spans="3:3" x14ac:dyDescent="0.2">
      <c r="C407" s="198" t="str">
        <f t="shared" ref="C407:C470" si="6">IF(A407=0,"","Elastic")</f>
        <v/>
      </c>
    </row>
    <row r="408" spans="3:3" x14ac:dyDescent="0.2">
      <c r="C408" s="198" t="str">
        <f t="shared" si="6"/>
        <v/>
      </c>
    </row>
    <row r="409" spans="3:3" x14ac:dyDescent="0.2">
      <c r="C409" s="198" t="str">
        <f t="shared" si="6"/>
        <v/>
      </c>
    </row>
    <row r="410" spans="3:3" x14ac:dyDescent="0.2">
      <c r="C410" s="198" t="str">
        <f t="shared" si="6"/>
        <v/>
      </c>
    </row>
    <row r="411" spans="3:3" x14ac:dyDescent="0.2">
      <c r="C411" s="198" t="str">
        <f t="shared" si="6"/>
        <v/>
      </c>
    </row>
    <row r="412" spans="3:3" x14ac:dyDescent="0.2">
      <c r="C412" s="198" t="str">
        <f t="shared" si="6"/>
        <v/>
      </c>
    </row>
    <row r="413" spans="3:3" x14ac:dyDescent="0.2">
      <c r="C413" s="198" t="str">
        <f t="shared" si="6"/>
        <v/>
      </c>
    </row>
    <row r="414" spans="3:3" x14ac:dyDescent="0.2">
      <c r="C414" s="198" t="str">
        <f t="shared" si="6"/>
        <v/>
      </c>
    </row>
    <row r="415" spans="3:3" x14ac:dyDescent="0.2">
      <c r="C415" s="198" t="str">
        <f t="shared" si="6"/>
        <v/>
      </c>
    </row>
    <row r="416" spans="3:3" x14ac:dyDescent="0.2">
      <c r="C416" s="198" t="str">
        <f t="shared" si="6"/>
        <v/>
      </c>
    </row>
    <row r="417" spans="3:3" x14ac:dyDescent="0.2">
      <c r="C417" s="198" t="str">
        <f t="shared" si="6"/>
        <v/>
      </c>
    </row>
    <row r="418" spans="3:3" x14ac:dyDescent="0.2">
      <c r="C418" s="198" t="str">
        <f t="shared" si="6"/>
        <v/>
      </c>
    </row>
    <row r="419" spans="3:3" x14ac:dyDescent="0.2">
      <c r="C419" s="198" t="str">
        <f t="shared" si="6"/>
        <v/>
      </c>
    </row>
    <row r="420" spans="3:3" x14ac:dyDescent="0.2">
      <c r="C420" s="198" t="str">
        <f t="shared" si="6"/>
        <v/>
      </c>
    </row>
    <row r="421" spans="3:3" x14ac:dyDescent="0.2">
      <c r="C421" s="198" t="str">
        <f t="shared" si="6"/>
        <v/>
      </c>
    </row>
    <row r="422" spans="3:3" x14ac:dyDescent="0.2">
      <c r="C422" s="198" t="str">
        <f t="shared" si="6"/>
        <v/>
      </c>
    </row>
    <row r="423" spans="3:3" x14ac:dyDescent="0.2">
      <c r="C423" s="198" t="str">
        <f t="shared" si="6"/>
        <v/>
      </c>
    </row>
    <row r="424" spans="3:3" x14ac:dyDescent="0.2">
      <c r="C424" s="198" t="str">
        <f t="shared" si="6"/>
        <v/>
      </c>
    </row>
    <row r="425" spans="3:3" x14ac:dyDescent="0.2">
      <c r="C425" s="198" t="str">
        <f t="shared" si="6"/>
        <v/>
      </c>
    </row>
    <row r="426" spans="3:3" x14ac:dyDescent="0.2">
      <c r="C426" s="198" t="str">
        <f t="shared" si="6"/>
        <v/>
      </c>
    </row>
    <row r="427" spans="3:3" x14ac:dyDescent="0.2">
      <c r="C427" s="198" t="str">
        <f t="shared" si="6"/>
        <v/>
      </c>
    </row>
    <row r="428" spans="3:3" x14ac:dyDescent="0.2">
      <c r="C428" s="198" t="str">
        <f t="shared" si="6"/>
        <v/>
      </c>
    </row>
    <row r="429" spans="3:3" x14ac:dyDescent="0.2">
      <c r="C429" s="198" t="str">
        <f t="shared" si="6"/>
        <v/>
      </c>
    </row>
    <row r="430" spans="3:3" x14ac:dyDescent="0.2">
      <c r="C430" s="198" t="str">
        <f t="shared" si="6"/>
        <v/>
      </c>
    </row>
    <row r="431" spans="3:3" x14ac:dyDescent="0.2">
      <c r="C431" s="198" t="str">
        <f t="shared" si="6"/>
        <v/>
      </c>
    </row>
    <row r="432" spans="3:3" x14ac:dyDescent="0.2">
      <c r="C432" s="198" t="str">
        <f t="shared" si="6"/>
        <v/>
      </c>
    </row>
    <row r="433" spans="3:3" x14ac:dyDescent="0.2">
      <c r="C433" s="198" t="str">
        <f t="shared" si="6"/>
        <v/>
      </c>
    </row>
    <row r="434" spans="3:3" x14ac:dyDescent="0.2">
      <c r="C434" s="198" t="str">
        <f t="shared" si="6"/>
        <v/>
      </c>
    </row>
    <row r="435" spans="3:3" x14ac:dyDescent="0.2">
      <c r="C435" s="198" t="str">
        <f t="shared" si="6"/>
        <v/>
      </c>
    </row>
    <row r="436" spans="3:3" x14ac:dyDescent="0.2">
      <c r="C436" s="198" t="str">
        <f t="shared" si="6"/>
        <v/>
      </c>
    </row>
    <row r="437" spans="3:3" x14ac:dyDescent="0.2">
      <c r="C437" s="198" t="str">
        <f t="shared" si="6"/>
        <v/>
      </c>
    </row>
    <row r="438" spans="3:3" x14ac:dyDescent="0.2">
      <c r="C438" s="198" t="str">
        <f t="shared" si="6"/>
        <v/>
      </c>
    </row>
    <row r="439" spans="3:3" x14ac:dyDescent="0.2">
      <c r="C439" s="198" t="str">
        <f t="shared" si="6"/>
        <v/>
      </c>
    </row>
    <row r="440" spans="3:3" x14ac:dyDescent="0.2">
      <c r="C440" s="198" t="str">
        <f t="shared" si="6"/>
        <v/>
      </c>
    </row>
    <row r="441" spans="3:3" x14ac:dyDescent="0.2">
      <c r="C441" s="198" t="str">
        <f t="shared" si="6"/>
        <v/>
      </c>
    </row>
    <row r="442" spans="3:3" x14ac:dyDescent="0.2">
      <c r="C442" s="198" t="str">
        <f t="shared" si="6"/>
        <v/>
      </c>
    </row>
    <row r="443" spans="3:3" x14ac:dyDescent="0.2">
      <c r="C443" s="198" t="str">
        <f t="shared" si="6"/>
        <v/>
      </c>
    </row>
    <row r="444" spans="3:3" x14ac:dyDescent="0.2">
      <c r="C444" s="198" t="str">
        <f t="shared" si="6"/>
        <v/>
      </c>
    </row>
    <row r="445" spans="3:3" x14ac:dyDescent="0.2">
      <c r="C445" s="198" t="str">
        <f t="shared" si="6"/>
        <v/>
      </c>
    </row>
    <row r="446" spans="3:3" x14ac:dyDescent="0.2">
      <c r="C446" s="198" t="str">
        <f t="shared" si="6"/>
        <v/>
      </c>
    </row>
    <row r="447" spans="3:3" x14ac:dyDescent="0.2">
      <c r="C447" s="198" t="str">
        <f t="shared" si="6"/>
        <v/>
      </c>
    </row>
    <row r="448" spans="3:3" x14ac:dyDescent="0.2">
      <c r="C448" s="198" t="str">
        <f t="shared" si="6"/>
        <v/>
      </c>
    </row>
    <row r="449" spans="3:3" x14ac:dyDescent="0.2">
      <c r="C449" s="198" t="str">
        <f t="shared" si="6"/>
        <v/>
      </c>
    </row>
    <row r="450" spans="3:3" x14ac:dyDescent="0.2">
      <c r="C450" s="198" t="str">
        <f t="shared" si="6"/>
        <v/>
      </c>
    </row>
    <row r="451" spans="3:3" x14ac:dyDescent="0.2">
      <c r="C451" s="198" t="str">
        <f t="shared" si="6"/>
        <v/>
      </c>
    </row>
    <row r="452" spans="3:3" x14ac:dyDescent="0.2">
      <c r="C452" s="198" t="str">
        <f t="shared" si="6"/>
        <v/>
      </c>
    </row>
    <row r="453" spans="3:3" x14ac:dyDescent="0.2">
      <c r="C453" s="198" t="str">
        <f t="shared" si="6"/>
        <v/>
      </c>
    </row>
    <row r="454" spans="3:3" x14ac:dyDescent="0.2">
      <c r="C454" s="198" t="str">
        <f t="shared" si="6"/>
        <v/>
      </c>
    </row>
    <row r="455" spans="3:3" x14ac:dyDescent="0.2">
      <c r="C455" s="198" t="str">
        <f t="shared" si="6"/>
        <v/>
      </c>
    </row>
    <row r="456" spans="3:3" x14ac:dyDescent="0.2">
      <c r="C456" s="198" t="str">
        <f t="shared" si="6"/>
        <v/>
      </c>
    </row>
    <row r="457" spans="3:3" x14ac:dyDescent="0.2">
      <c r="C457" s="198" t="str">
        <f t="shared" si="6"/>
        <v/>
      </c>
    </row>
    <row r="458" spans="3:3" x14ac:dyDescent="0.2">
      <c r="C458" s="198" t="str">
        <f t="shared" si="6"/>
        <v/>
      </c>
    </row>
    <row r="459" spans="3:3" x14ac:dyDescent="0.2">
      <c r="C459" s="198" t="str">
        <f t="shared" si="6"/>
        <v/>
      </c>
    </row>
    <row r="460" spans="3:3" x14ac:dyDescent="0.2">
      <c r="C460" s="198" t="str">
        <f t="shared" si="6"/>
        <v/>
      </c>
    </row>
    <row r="461" spans="3:3" x14ac:dyDescent="0.2">
      <c r="C461" s="198" t="str">
        <f t="shared" si="6"/>
        <v/>
      </c>
    </row>
    <row r="462" spans="3:3" x14ac:dyDescent="0.2">
      <c r="C462" s="198" t="str">
        <f t="shared" si="6"/>
        <v/>
      </c>
    </row>
    <row r="463" spans="3:3" x14ac:dyDescent="0.2">
      <c r="C463" s="198" t="str">
        <f t="shared" si="6"/>
        <v/>
      </c>
    </row>
    <row r="464" spans="3:3" x14ac:dyDescent="0.2">
      <c r="C464" s="198" t="str">
        <f t="shared" si="6"/>
        <v/>
      </c>
    </row>
    <row r="465" spans="3:3" x14ac:dyDescent="0.2">
      <c r="C465" s="198" t="str">
        <f t="shared" si="6"/>
        <v/>
      </c>
    </row>
    <row r="466" spans="3:3" x14ac:dyDescent="0.2">
      <c r="C466" s="198" t="str">
        <f t="shared" si="6"/>
        <v/>
      </c>
    </row>
    <row r="467" spans="3:3" x14ac:dyDescent="0.2">
      <c r="C467" s="198" t="str">
        <f t="shared" si="6"/>
        <v/>
      </c>
    </row>
    <row r="468" spans="3:3" x14ac:dyDescent="0.2">
      <c r="C468" s="198" t="str">
        <f t="shared" si="6"/>
        <v/>
      </c>
    </row>
    <row r="469" spans="3:3" x14ac:dyDescent="0.2">
      <c r="C469" s="198" t="str">
        <f t="shared" si="6"/>
        <v/>
      </c>
    </row>
    <row r="470" spans="3:3" x14ac:dyDescent="0.2">
      <c r="C470" s="198" t="str">
        <f t="shared" si="6"/>
        <v/>
      </c>
    </row>
    <row r="471" spans="3:3" x14ac:dyDescent="0.2">
      <c r="C471" s="198" t="str">
        <f t="shared" ref="C471:C534" si="7">IF(A471=0,"","Elastic")</f>
        <v/>
      </c>
    </row>
    <row r="472" spans="3:3" x14ac:dyDescent="0.2">
      <c r="C472" s="198" t="str">
        <f t="shared" si="7"/>
        <v/>
      </c>
    </row>
    <row r="473" spans="3:3" x14ac:dyDescent="0.2">
      <c r="C473" s="198" t="str">
        <f t="shared" si="7"/>
        <v/>
      </c>
    </row>
    <row r="474" spans="3:3" x14ac:dyDescent="0.2">
      <c r="C474" s="198" t="str">
        <f t="shared" si="7"/>
        <v/>
      </c>
    </row>
    <row r="475" spans="3:3" x14ac:dyDescent="0.2">
      <c r="C475" s="198" t="str">
        <f t="shared" si="7"/>
        <v/>
      </c>
    </row>
    <row r="476" spans="3:3" x14ac:dyDescent="0.2">
      <c r="C476" s="198" t="str">
        <f t="shared" si="7"/>
        <v/>
      </c>
    </row>
    <row r="477" spans="3:3" x14ac:dyDescent="0.2">
      <c r="C477" s="198" t="str">
        <f t="shared" si="7"/>
        <v/>
      </c>
    </row>
    <row r="478" spans="3:3" x14ac:dyDescent="0.2">
      <c r="C478" s="198" t="str">
        <f t="shared" si="7"/>
        <v/>
      </c>
    </row>
    <row r="479" spans="3:3" x14ac:dyDescent="0.2">
      <c r="C479" s="198" t="str">
        <f t="shared" si="7"/>
        <v/>
      </c>
    </row>
    <row r="480" spans="3:3" x14ac:dyDescent="0.2">
      <c r="C480" s="198" t="str">
        <f t="shared" si="7"/>
        <v/>
      </c>
    </row>
    <row r="481" spans="3:3" x14ac:dyDescent="0.2">
      <c r="C481" s="198" t="str">
        <f t="shared" si="7"/>
        <v/>
      </c>
    </row>
    <row r="482" spans="3:3" x14ac:dyDescent="0.2">
      <c r="C482" s="198" t="str">
        <f t="shared" si="7"/>
        <v/>
      </c>
    </row>
    <row r="483" spans="3:3" x14ac:dyDescent="0.2">
      <c r="C483" s="198" t="str">
        <f t="shared" si="7"/>
        <v/>
      </c>
    </row>
    <row r="484" spans="3:3" x14ac:dyDescent="0.2">
      <c r="C484" s="198" t="str">
        <f t="shared" si="7"/>
        <v/>
      </c>
    </row>
    <row r="485" spans="3:3" x14ac:dyDescent="0.2">
      <c r="C485" s="198" t="str">
        <f t="shared" si="7"/>
        <v/>
      </c>
    </row>
    <row r="486" spans="3:3" x14ac:dyDescent="0.2">
      <c r="C486" s="198" t="str">
        <f t="shared" si="7"/>
        <v/>
      </c>
    </row>
    <row r="487" spans="3:3" x14ac:dyDescent="0.2">
      <c r="C487" s="198" t="str">
        <f t="shared" si="7"/>
        <v/>
      </c>
    </row>
    <row r="488" spans="3:3" x14ac:dyDescent="0.2">
      <c r="C488" s="198" t="str">
        <f t="shared" si="7"/>
        <v/>
      </c>
    </row>
    <row r="489" spans="3:3" x14ac:dyDescent="0.2">
      <c r="C489" s="198" t="str">
        <f t="shared" si="7"/>
        <v/>
      </c>
    </row>
    <row r="490" spans="3:3" x14ac:dyDescent="0.2">
      <c r="C490" s="198" t="str">
        <f t="shared" si="7"/>
        <v/>
      </c>
    </row>
    <row r="491" spans="3:3" x14ac:dyDescent="0.2">
      <c r="C491" s="198" t="str">
        <f t="shared" si="7"/>
        <v/>
      </c>
    </row>
    <row r="492" spans="3:3" x14ac:dyDescent="0.2">
      <c r="C492" s="198" t="str">
        <f t="shared" si="7"/>
        <v/>
      </c>
    </row>
    <row r="493" spans="3:3" x14ac:dyDescent="0.2">
      <c r="C493" s="198" t="str">
        <f t="shared" si="7"/>
        <v/>
      </c>
    </row>
    <row r="494" spans="3:3" x14ac:dyDescent="0.2">
      <c r="C494" s="198" t="str">
        <f t="shared" si="7"/>
        <v/>
      </c>
    </row>
    <row r="495" spans="3:3" x14ac:dyDescent="0.2">
      <c r="C495" s="198" t="str">
        <f t="shared" si="7"/>
        <v/>
      </c>
    </row>
    <row r="496" spans="3:3" x14ac:dyDescent="0.2">
      <c r="C496" s="198" t="str">
        <f t="shared" si="7"/>
        <v/>
      </c>
    </row>
    <row r="497" spans="3:3" x14ac:dyDescent="0.2">
      <c r="C497" s="198" t="str">
        <f t="shared" si="7"/>
        <v/>
      </c>
    </row>
    <row r="498" spans="3:3" x14ac:dyDescent="0.2">
      <c r="C498" s="198" t="str">
        <f t="shared" si="7"/>
        <v/>
      </c>
    </row>
    <row r="499" spans="3:3" x14ac:dyDescent="0.2">
      <c r="C499" s="198" t="str">
        <f t="shared" si="7"/>
        <v/>
      </c>
    </row>
    <row r="500" spans="3:3" x14ac:dyDescent="0.2">
      <c r="C500" s="198" t="str">
        <f t="shared" si="7"/>
        <v/>
      </c>
    </row>
    <row r="501" spans="3:3" x14ac:dyDescent="0.2">
      <c r="C501" s="198" t="str">
        <f t="shared" si="7"/>
        <v/>
      </c>
    </row>
    <row r="502" spans="3:3" x14ac:dyDescent="0.2">
      <c r="C502" s="198" t="str">
        <f t="shared" si="7"/>
        <v/>
      </c>
    </row>
    <row r="503" spans="3:3" x14ac:dyDescent="0.2">
      <c r="C503" s="198" t="str">
        <f t="shared" si="7"/>
        <v/>
      </c>
    </row>
    <row r="504" spans="3:3" x14ac:dyDescent="0.2">
      <c r="C504" s="198" t="str">
        <f t="shared" si="7"/>
        <v/>
      </c>
    </row>
    <row r="505" spans="3:3" x14ac:dyDescent="0.2">
      <c r="C505" s="198" t="str">
        <f t="shared" si="7"/>
        <v/>
      </c>
    </row>
    <row r="506" spans="3:3" x14ac:dyDescent="0.2">
      <c r="C506" s="198" t="str">
        <f t="shared" si="7"/>
        <v/>
      </c>
    </row>
    <row r="507" spans="3:3" x14ac:dyDescent="0.2">
      <c r="C507" s="198" t="str">
        <f t="shared" si="7"/>
        <v/>
      </c>
    </row>
    <row r="508" spans="3:3" x14ac:dyDescent="0.2">
      <c r="C508" s="198" t="str">
        <f t="shared" si="7"/>
        <v/>
      </c>
    </row>
    <row r="509" spans="3:3" x14ac:dyDescent="0.2">
      <c r="C509" s="198" t="str">
        <f t="shared" si="7"/>
        <v/>
      </c>
    </row>
    <row r="510" spans="3:3" x14ac:dyDescent="0.2">
      <c r="C510" s="198" t="str">
        <f t="shared" si="7"/>
        <v/>
      </c>
    </row>
    <row r="511" spans="3:3" x14ac:dyDescent="0.2">
      <c r="C511" s="198" t="str">
        <f t="shared" si="7"/>
        <v/>
      </c>
    </row>
    <row r="512" spans="3:3" x14ac:dyDescent="0.2">
      <c r="C512" s="198" t="str">
        <f t="shared" si="7"/>
        <v/>
      </c>
    </row>
    <row r="513" spans="3:3" x14ac:dyDescent="0.2">
      <c r="C513" s="198" t="str">
        <f t="shared" si="7"/>
        <v/>
      </c>
    </row>
    <row r="514" spans="3:3" x14ac:dyDescent="0.2">
      <c r="C514" s="198" t="str">
        <f t="shared" si="7"/>
        <v/>
      </c>
    </row>
    <row r="515" spans="3:3" x14ac:dyDescent="0.2">
      <c r="C515" s="198" t="str">
        <f t="shared" si="7"/>
        <v/>
      </c>
    </row>
    <row r="516" spans="3:3" x14ac:dyDescent="0.2">
      <c r="C516" s="198" t="str">
        <f t="shared" si="7"/>
        <v/>
      </c>
    </row>
    <row r="517" spans="3:3" x14ac:dyDescent="0.2">
      <c r="C517" s="198" t="str">
        <f t="shared" si="7"/>
        <v/>
      </c>
    </row>
    <row r="518" spans="3:3" x14ac:dyDescent="0.2">
      <c r="C518" s="198" t="str">
        <f t="shared" si="7"/>
        <v/>
      </c>
    </row>
    <row r="519" spans="3:3" x14ac:dyDescent="0.2">
      <c r="C519" s="198" t="str">
        <f t="shared" si="7"/>
        <v/>
      </c>
    </row>
    <row r="520" spans="3:3" x14ac:dyDescent="0.2">
      <c r="C520" s="198" t="str">
        <f t="shared" si="7"/>
        <v/>
      </c>
    </row>
    <row r="521" spans="3:3" x14ac:dyDescent="0.2">
      <c r="C521" s="198" t="str">
        <f t="shared" si="7"/>
        <v/>
      </c>
    </row>
    <row r="522" spans="3:3" x14ac:dyDescent="0.2">
      <c r="C522" s="198" t="str">
        <f t="shared" si="7"/>
        <v/>
      </c>
    </row>
    <row r="523" spans="3:3" x14ac:dyDescent="0.2">
      <c r="C523" s="198" t="str">
        <f t="shared" si="7"/>
        <v/>
      </c>
    </row>
    <row r="524" spans="3:3" x14ac:dyDescent="0.2">
      <c r="C524" s="198" t="str">
        <f t="shared" si="7"/>
        <v/>
      </c>
    </row>
    <row r="525" spans="3:3" x14ac:dyDescent="0.2">
      <c r="C525" s="198" t="str">
        <f t="shared" si="7"/>
        <v/>
      </c>
    </row>
    <row r="526" spans="3:3" x14ac:dyDescent="0.2">
      <c r="C526" s="198" t="str">
        <f t="shared" si="7"/>
        <v/>
      </c>
    </row>
    <row r="527" spans="3:3" x14ac:dyDescent="0.2">
      <c r="C527" s="198" t="str">
        <f t="shared" si="7"/>
        <v/>
      </c>
    </row>
    <row r="528" spans="3:3" x14ac:dyDescent="0.2">
      <c r="C528" s="198" t="str">
        <f t="shared" si="7"/>
        <v/>
      </c>
    </row>
    <row r="529" spans="3:3" x14ac:dyDescent="0.2">
      <c r="C529" s="198" t="str">
        <f t="shared" si="7"/>
        <v/>
      </c>
    </row>
    <row r="530" spans="3:3" x14ac:dyDescent="0.2">
      <c r="C530" s="198" t="str">
        <f t="shared" si="7"/>
        <v/>
      </c>
    </row>
    <row r="531" spans="3:3" x14ac:dyDescent="0.2">
      <c r="C531" s="198" t="str">
        <f t="shared" si="7"/>
        <v/>
      </c>
    </row>
    <row r="532" spans="3:3" x14ac:dyDescent="0.2">
      <c r="C532" s="198" t="str">
        <f t="shared" si="7"/>
        <v/>
      </c>
    </row>
    <row r="533" spans="3:3" x14ac:dyDescent="0.2">
      <c r="C533" s="198" t="str">
        <f t="shared" si="7"/>
        <v/>
      </c>
    </row>
    <row r="534" spans="3:3" x14ac:dyDescent="0.2">
      <c r="C534" s="198" t="str">
        <f t="shared" si="7"/>
        <v/>
      </c>
    </row>
    <row r="535" spans="3:3" x14ac:dyDescent="0.2">
      <c r="C535" s="198" t="str">
        <f t="shared" ref="C535:C598" si="8">IF(A535=0,"","Elastic")</f>
        <v/>
      </c>
    </row>
    <row r="536" spans="3:3" x14ac:dyDescent="0.2">
      <c r="C536" s="198" t="str">
        <f t="shared" si="8"/>
        <v/>
      </c>
    </row>
    <row r="537" spans="3:3" x14ac:dyDescent="0.2">
      <c r="C537" s="198" t="str">
        <f t="shared" si="8"/>
        <v/>
      </c>
    </row>
    <row r="538" spans="3:3" x14ac:dyDescent="0.2">
      <c r="C538" s="198" t="str">
        <f t="shared" si="8"/>
        <v/>
      </c>
    </row>
    <row r="539" spans="3:3" x14ac:dyDescent="0.2">
      <c r="C539" s="198" t="str">
        <f t="shared" si="8"/>
        <v/>
      </c>
    </row>
    <row r="540" spans="3:3" x14ac:dyDescent="0.2">
      <c r="C540" s="198" t="str">
        <f t="shared" si="8"/>
        <v/>
      </c>
    </row>
    <row r="541" spans="3:3" x14ac:dyDescent="0.2">
      <c r="C541" s="198" t="str">
        <f t="shared" si="8"/>
        <v/>
      </c>
    </row>
    <row r="542" spans="3:3" x14ac:dyDescent="0.2">
      <c r="C542" s="198" t="str">
        <f t="shared" si="8"/>
        <v/>
      </c>
    </row>
    <row r="543" spans="3:3" x14ac:dyDescent="0.2">
      <c r="C543" s="198" t="str">
        <f t="shared" si="8"/>
        <v/>
      </c>
    </row>
    <row r="544" spans="3:3" x14ac:dyDescent="0.2">
      <c r="C544" s="198" t="str">
        <f t="shared" si="8"/>
        <v/>
      </c>
    </row>
    <row r="545" spans="3:3" x14ac:dyDescent="0.2">
      <c r="C545" s="198" t="str">
        <f t="shared" si="8"/>
        <v/>
      </c>
    </row>
    <row r="546" spans="3:3" x14ac:dyDescent="0.2">
      <c r="C546" s="198" t="str">
        <f t="shared" si="8"/>
        <v/>
      </c>
    </row>
    <row r="547" spans="3:3" x14ac:dyDescent="0.2">
      <c r="C547" s="198" t="str">
        <f t="shared" si="8"/>
        <v/>
      </c>
    </row>
    <row r="548" spans="3:3" x14ac:dyDescent="0.2">
      <c r="C548" s="198" t="str">
        <f t="shared" si="8"/>
        <v/>
      </c>
    </row>
    <row r="549" spans="3:3" x14ac:dyDescent="0.2">
      <c r="C549" s="198" t="str">
        <f t="shared" si="8"/>
        <v/>
      </c>
    </row>
    <row r="550" spans="3:3" x14ac:dyDescent="0.2">
      <c r="C550" s="198" t="str">
        <f t="shared" si="8"/>
        <v/>
      </c>
    </row>
    <row r="551" spans="3:3" x14ac:dyDescent="0.2">
      <c r="C551" s="198" t="str">
        <f t="shared" si="8"/>
        <v/>
      </c>
    </row>
    <row r="552" spans="3:3" x14ac:dyDescent="0.2">
      <c r="C552" s="198" t="str">
        <f t="shared" si="8"/>
        <v/>
      </c>
    </row>
    <row r="553" spans="3:3" x14ac:dyDescent="0.2">
      <c r="C553" s="198" t="str">
        <f t="shared" si="8"/>
        <v/>
      </c>
    </row>
    <row r="554" spans="3:3" x14ac:dyDescent="0.2">
      <c r="C554" s="198" t="str">
        <f t="shared" si="8"/>
        <v/>
      </c>
    </row>
    <row r="555" spans="3:3" x14ac:dyDescent="0.2">
      <c r="C555" s="198" t="str">
        <f t="shared" si="8"/>
        <v/>
      </c>
    </row>
    <row r="556" spans="3:3" x14ac:dyDescent="0.2">
      <c r="C556" s="198" t="str">
        <f t="shared" si="8"/>
        <v/>
      </c>
    </row>
    <row r="557" spans="3:3" x14ac:dyDescent="0.2">
      <c r="C557" s="198" t="str">
        <f t="shared" si="8"/>
        <v/>
      </c>
    </row>
    <row r="558" spans="3:3" x14ac:dyDescent="0.2">
      <c r="C558" s="198" t="str">
        <f t="shared" si="8"/>
        <v/>
      </c>
    </row>
    <row r="559" spans="3:3" x14ac:dyDescent="0.2">
      <c r="C559" s="198" t="str">
        <f t="shared" si="8"/>
        <v/>
      </c>
    </row>
    <row r="560" spans="3:3" x14ac:dyDescent="0.2">
      <c r="C560" s="198" t="str">
        <f t="shared" si="8"/>
        <v/>
      </c>
    </row>
    <row r="561" spans="3:3" x14ac:dyDescent="0.2">
      <c r="C561" s="198" t="str">
        <f t="shared" si="8"/>
        <v/>
      </c>
    </row>
    <row r="562" spans="3:3" x14ac:dyDescent="0.2">
      <c r="C562" s="198" t="str">
        <f t="shared" si="8"/>
        <v/>
      </c>
    </row>
    <row r="563" spans="3:3" x14ac:dyDescent="0.2">
      <c r="C563" s="198" t="str">
        <f t="shared" si="8"/>
        <v/>
      </c>
    </row>
    <row r="564" spans="3:3" x14ac:dyDescent="0.2">
      <c r="C564" s="198" t="str">
        <f t="shared" si="8"/>
        <v/>
      </c>
    </row>
    <row r="565" spans="3:3" x14ac:dyDescent="0.2">
      <c r="C565" s="198" t="str">
        <f t="shared" si="8"/>
        <v/>
      </c>
    </row>
    <row r="566" spans="3:3" x14ac:dyDescent="0.2">
      <c r="C566" s="198" t="str">
        <f t="shared" si="8"/>
        <v/>
      </c>
    </row>
    <row r="567" spans="3:3" x14ac:dyDescent="0.2">
      <c r="C567" s="198" t="str">
        <f t="shared" si="8"/>
        <v/>
      </c>
    </row>
    <row r="568" spans="3:3" x14ac:dyDescent="0.2">
      <c r="C568" s="198" t="str">
        <f t="shared" si="8"/>
        <v/>
      </c>
    </row>
    <row r="569" spans="3:3" x14ac:dyDescent="0.2">
      <c r="C569" s="198" t="str">
        <f t="shared" si="8"/>
        <v/>
      </c>
    </row>
    <row r="570" spans="3:3" x14ac:dyDescent="0.2">
      <c r="C570" s="198" t="str">
        <f t="shared" si="8"/>
        <v/>
      </c>
    </row>
    <row r="571" spans="3:3" x14ac:dyDescent="0.2">
      <c r="C571" s="198" t="str">
        <f t="shared" si="8"/>
        <v/>
      </c>
    </row>
    <row r="572" spans="3:3" x14ac:dyDescent="0.2">
      <c r="C572" s="198" t="str">
        <f t="shared" si="8"/>
        <v/>
      </c>
    </row>
    <row r="573" spans="3:3" x14ac:dyDescent="0.2">
      <c r="C573" s="198" t="str">
        <f t="shared" si="8"/>
        <v/>
      </c>
    </row>
    <row r="574" spans="3:3" x14ac:dyDescent="0.2">
      <c r="C574" s="198" t="str">
        <f t="shared" si="8"/>
        <v/>
      </c>
    </row>
    <row r="575" spans="3:3" x14ac:dyDescent="0.2">
      <c r="C575" s="198" t="str">
        <f t="shared" si="8"/>
        <v/>
      </c>
    </row>
    <row r="576" spans="3:3" x14ac:dyDescent="0.2">
      <c r="C576" s="198" t="str">
        <f t="shared" si="8"/>
        <v/>
      </c>
    </row>
    <row r="577" spans="3:3" x14ac:dyDescent="0.2">
      <c r="C577" s="198" t="str">
        <f t="shared" si="8"/>
        <v/>
      </c>
    </row>
    <row r="578" spans="3:3" x14ac:dyDescent="0.2">
      <c r="C578" s="198" t="str">
        <f t="shared" si="8"/>
        <v/>
      </c>
    </row>
    <row r="579" spans="3:3" x14ac:dyDescent="0.2">
      <c r="C579" s="198" t="str">
        <f t="shared" si="8"/>
        <v/>
      </c>
    </row>
    <row r="580" spans="3:3" x14ac:dyDescent="0.2">
      <c r="C580" s="198" t="str">
        <f t="shared" si="8"/>
        <v/>
      </c>
    </row>
    <row r="581" spans="3:3" x14ac:dyDescent="0.2">
      <c r="C581" s="198" t="str">
        <f t="shared" si="8"/>
        <v/>
      </c>
    </row>
    <row r="582" spans="3:3" x14ac:dyDescent="0.2">
      <c r="C582" s="198" t="str">
        <f t="shared" si="8"/>
        <v/>
      </c>
    </row>
    <row r="583" spans="3:3" x14ac:dyDescent="0.2">
      <c r="C583" s="198" t="str">
        <f t="shared" si="8"/>
        <v/>
      </c>
    </row>
    <row r="584" spans="3:3" x14ac:dyDescent="0.2">
      <c r="C584" s="198" t="str">
        <f t="shared" si="8"/>
        <v/>
      </c>
    </row>
    <row r="585" spans="3:3" x14ac:dyDescent="0.2">
      <c r="C585" s="198" t="str">
        <f t="shared" si="8"/>
        <v/>
      </c>
    </row>
    <row r="586" spans="3:3" x14ac:dyDescent="0.2">
      <c r="C586" s="198" t="str">
        <f t="shared" si="8"/>
        <v/>
      </c>
    </row>
    <row r="587" spans="3:3" x14ac:dyDescent="0.2">
      <c r="C587" s="198" t="str">
        <f t="shared" si="8"/>
        <v/>
      </c>
    </row>
    <row r="588" spans="3:3" x14ac:dyDescent="0.2">
      <c r="C588" s="198" t="str">
        <f t="shared" si="8"/>
        <v/>
      </c>
    </row>
    <row r="589" spans="3:3" x14ac:dyDescent="0.2">
      <c r="C589" s="198" t="str">
        <f t="shared" si="8"/>
        <v/>
      </c>
    </row>
    <row r="590" spans="3:3" x14ac:dyDescent="0.2">
      <c r="C590" s="198" t="str">
        <f t="shared" si="8"/>
        <v/>
      </c>
    </row>
    <row r="591" spans="3:3" x14ac:dyDescent="0.2">
      <c r="C591" s="198" t="str">
        <f t="shared" si="8"/>
        <v/>
      </c>
    </row>
    <row r="592" spans="3:3" x14ac:dyDescent="0.2">
      <c r="C592" s="198" t="str">
        <f t="shared" si="8"/>
        <v/>
      </c>
    </row>
    <row r="593" spans="3:3" x14ac:dyDescent="0.2">
      <c r="C593" s="198" t="str">
        <f t="shared" si="8"/>
        <v/>
      </c>
    </row>
    <row r="594" spans="3:3" x14ac:dyDescent="0.2">
      <c r="C594" s="198" t="str">
        <f t="shared" si="8"/>
        <v/>
      </c>
    </row>
    <row r="595" spans="3:3" x14ac:dyDescent="0.2">
      <c r="C595" s="198" t="str">
        <f t="shared" si="8"/>
        <v/>
      </c>
    </row>
    <row r="596" spans="3:3" x14ac:dyDescent="0.2">
      <c r="C596" s="198" t="str">
        <f t="shared" si="8"/>
        <v/>
      </c>
    </row>
    <row r="597" spans="3:3" x14ac:dyDescent="0.2">
      <c r="C597" s="198" t="str">
        <f t="shared" si="8"/>
        <v/>
      </c>
    </row>
    <row r="598" spans="3:3" x14ac:dyDescent="0.2">
      <c r="C598" s="198" t="str">
        <f t="shared" si="8"/>
        <v/>
      </c>
    </row>
    <row r="599" spans="3:3" x14ac:dyDescent="0.2">
      <c r="C599" s="198" t="str">
        <f t="shared" ref="C599:C662" si="9">IF(A599=0,"","Elastic")</f>
        <v/>
      </c>
    </row>
    <row r="600" spans="3:3" x14ac:dyDescent="0.2">
      <c r="C600" s="198" t="str">
        <f t="shared" si="9"/>
        <v/>
      </c>
    </row>
    <row r="601" spans="3:3" x14ac:dyDescent="0.2">
      <c r="C601" s="198" t="str">
        <f t="shared" si="9"/>
        <v/>
      </c>
    </row>
    <row r="602" spans="3:3" x14ac:dyDescent="0.2">
      <c r="C602" s="198" t="str">
        <f t="shared" si="9"/>
        <v/>
      </c>
    </row>
    <row r="603" spans="3:3" x14ac:dyDescent="0.2">
      <c r="C603" s="198" t="str">
        <f t="shared" si="9"/>
        <v/>
      </c>
    </row>
    <row r="604" spans="3:3" x14ac:dyDescent="0.2">
      <c r="C604" s="198" t="str">
        <f t="shared" si="9"/>
        <v/>
      </c>
    </row>
    <row r="605" spans="3:3" x14ac:dyDescent="0.2">
      <c r="C605" s="198" t="str">
        <f t="shared" si="9"/>
        <v/>
      </c>
    </row>
    <row r="606" spans="3:3" x14ac:dyDescent="0.2">
      <c r="C606" s="198" t="str">
        <f t="shared" si="9"/>
        <v/>
      </c>
    </row>
    <row r="607" spans="3:3" x14ac:dyDescent="0.2">
      <c r="C607" s="198" t="str">
        <f t="shared" si="9"/>
        <v/>
      </c>
    </row>
    <row r="608" spans="3:3" x14ac:dyDescent="0.2">
      <c r="C608" s="198" t="str">
        <f t="shared" si="9"/>
        <v/>
      </c>
    </row>
    <row r="609" spans="3:3" x14ac:dyDescent="0.2">
      <c r="C609" s="198" t="str">
        <f t="shared" si="9"/>
        <v/>
      </c>
    </row>
    <row r="610" spans="3:3" x14ac:dyDescent="0.2">
      <c r="C610" s="198" t="str">
        <f t="shared" si="9"/>
        <v/>
      </c>
    </row>
    <row r="611" spans="3:3" x14ac:dyDescent="0.2">
      <c r="C611" s="198" t="str">
        <f t="shared" si="9"/>
        <v/>
      </c>
    </row>
    <row r="612" spans="3:3" x14ac:dyDescent="0.2">
      <c r="C612" s="198" t="str">
        <f t="shared" si="9"/>
        <v/>
      </c>
    </row>
    <row r="613" spans="3:3" x14ac:dyDescent="0.2">
      <c r="C613" s="198" t="str">
        <f t="shared" si="9"/>
        <v/>
      </c>
    </row>
    <row r="614" spans="3:3" x14ac:dyDescent="0.2">
      <c r="C614" s="198" t="str">
        <f t="shared" si="9"/>
        <v/>
      </c>
    </row>
    <row r="615" spans="3:3" x14ac:dyDescent="0.2">
      <c r="C615" s="198" t="str">
        <f t="shared" si="9"/>
        <v/>
      </c>
    </row>
    <row r="616" spans="3:3" x14ac:dyDescent="0.2">
      <c r="C616" s="198" t="str">
        <f t="shared" si="9"/>
        <v/>
      </c>
    </row>
    <row r="617" spans="3:3" x14ac:dyDescent="0.2">
      <c r="C617" s="198" t="str">
        <f t="shared" si="9"/>
        <v/>
      </c>
    </row>
    <row r="618" spans="3:3" x14ac:dyDescent="0.2">
      <c r="C618" s="198" t="str">
        <f t="shared" si="9"/>
        <v/>
      </c>
    </row>
    <row r="619" spans="3:3" x14ac:dyDescent="0.2">
      <c r="C619" s="198" t="str">
        <f t="shared" si="9"/>
        <v/>
      </c>
    </row>
    <row r="620" spans="3:3" x14ac:dyDescent="0.2">
      <c r="C620" s="198" t="str">
        <f t="shared" si="9"/>
        <v/>
      </c>
    </row>
    <row r="621" spans="3:3" x14ac:dyDescent="0.2">
      <c r="C621" s="198" t="str">
        <f t="shared" si="9"/>
        <v/>
      </c>
    </row>
    <row r="622" spans="3:3" x14ac:dyDescent="0.2">
      <c r="C622" s="198" t="str">
        <f t="shared" si="9"/>
        <v/>
      </c>
    </row>
    <row r="623" spans="3:3" x14ac:dyDescent="0.2">
      <c r="C623" s="198" t="str">
        <f t="shared" si="9"/>
        <v/>
      </c>
    </row>
    <row r="624" spans="3:3" x14ac:dyDescent="0.2">
      <c r="C624" s="198" t="str">
        <f t="shared" si="9"/>
        <v/>
      </c>
    </row>
    <row r="625" spans="3:3" x14ac:dyDescent="0.2">
      <c r="C625" s="198" t="str">
        <f t="shared" si="9"/>
        <v/>
      </c>
    </row>
    <row r="626" spans="3:3" x14ac:dyDescent="0.2">
      <c r="C626" s="198" t="str">
        <f t="shared" si="9"/>
        <v/>
      </c>
    </row>
    <row r="627" spans="3:3" x14ac:dyDescent="0.2">
      <c r="C627" s="198" t="str">
        <f t="shared" si="9"/>
        <v/>
      </c>
    </row>
    <row r="628" spans="3:3" x14ac:dyDescent="0.2">
      <c r="C628" s="198" t="str">
        <f t="shared" si="9"/>
        <v/>
      </c>
    </row>
    <row r="629" spans="3:3" x14ac:dyDescent="0.2">
      <c r="C629" s="198" t="str">
        <f t="shared" si="9"/>
        <v/>
      </c>
    </row>
    <row r="630" spans="3:3" x14ac:dyDescent="0.2">
      <c r="C630" s="198" t="str">
        <f t="shared" si="9"/>
        <v/>
      </c>
    </row>
    <row r="631" spans="3:3" x14ac:dyDescent="0.2">
      <c r="C631" s="198" t="str">
        <f t="shared" si="9"/>
        <v/>
      </c>
    </row>
    <row r="632" spans="3:3" x14ac:dyDescent="0.2">
      <c r="C632" s="198" t="str">
        <f t="shared" si="9"/>
        <v/>
      </c>
    </row>
    <row r="633" spans="3:3" x14ac:dyDescent="0.2">
      <c r="C633" s="198" t="str">
        <f t="shared" si="9"/>
        <v/>
      </c>
    </row>
    <row r="634" spans="3:3" x14ac:dyDescent="0.2">
      <c r="C634" s="198" t="str">
        <f t="shared" si="9"/>
        <v/>
      </c>
    </row>
    <row r="635" spans="3:3" x14ac:dyDescent="0.2">
      <c r="C635" s="198" t="str">
        <f t="shared" si="9"/>
        <v/>
      </c>
    </row>
    <row r="636" spans="3:3" x14ac:dyDescent="0.2">
      <c r="C636" s="198" t="str">
        <f t="shared" si="9"/>
        <v/>
      </c>
    </row>
    <row r="637" spans="3:3" x14ac:dyDescent="0.2">
      <c r="C637" s="198" t="str">
        <f t="shared" si="9"/>
        <v/>
      </c>
    </row>
    <row r="638" spans="3:3" x14ac:dyDescent="0.2">
      <c r="C638" s="198" t="str">
        <f t="shared" si="9"/>
        <v/>
      </c>
    </row>
    <row r="639" spans="3:3" x14ac:dyDescent="0.2">
      <c r="C639" s="198" t="str">
        <f t="shared" si="9"/>
        <v/>
      </c>
    </row>
    <row r="640" spans="3:3" x14ac:dyDescent="0.2">
      <c r="C640" s="198" t="str">
        <f t="shared" si="9"/>
        <v/>
      </c>
    </row>
    <row r="641" spans="3:3" x14ac:dyDescent="0.2">
      <c r="C641" s="198" t="str">
        <f t="shared" si="9"/>
        <v/>
      </c>
    </row>
    <row r="642" spans="3:3" x14ac:dyDescent="0.2">
      <c r="C642" s="198" t="str">
        <f t="shared" si="9"/>
        <v/>
      </c>
    </row>
    <row r="643" spans="3:3" x14ac:dyDescent="0.2">
      <c r="C643" s="198" t="str">
        <f t="shared" si="9"/>
        <v/>
      </c>
    </row>
    <row r="644" spans="3:3" x14ac:dyDescent="0.2">
      <c r="C644" s="198" t="str">
        <f t="shared" si="9"/>
        <v/>
      </c>
    </row>
    <row r="645" spans="3:3" x14ac:dyDescent="0.2">
      <c r="C645" s="198" t="str">
        <f t="shared" si="9"/>
        <v/>
      </c>
    </row>
    <row r="646" spans="3:3" x14ac:dyDescent="0.2">
      <c r="C646" s="198" t="str">
        <f t="shared" si="9"/>
        <v/>
      </c>
    </row>
    <row r="647" spans="3:3" x14ac:dyDescent="0.2">
      <c r="C647" s="198" t="str">
        <f t="shared" si="9"/>
        <v/>
      </c>
    </row>
    <row r="648" spans="3:3" x14ac:dyDescent="0.2">
      <c r="C648" s="198" t="str">
        <f t="shared" si="9"/>
        <v/>
      </c>
    </row>
    <row r="649" spans="3:3" x14ac:dyDescent="0.2">
      <c r="C649" s="198" t="str">
        <f t="shared" si="9"/>
        <v/>
      </c>
    </row>
    <row r="650" spans="3:3" x14ac:dyDescent="0.2">
      <c r="C650" s="198" t="str">
        <f t="shared" si="9"/>
        <v/>
      </c>
    </row>
    <row r="651" spans="3:3" x14ac:dyDescent="0.2">
      <c r="C651" s="198" t="str">
        <f t="shared" si="9"/>
        <v/>
      </c>
    </row>
    <row r="652" spans="3:3" x14ac:dyDescent="0.2">
      <c r="C652" s="198" t="str">
        <f t="shared" si="9"/>
        <v/>
      </c>
    </row>
    <row r="653" spans="3:3" x14ac:dyDescent="0.2">
      <c r="C653" s="198" t="str">
        <f t="shared" si="9"/>
        <v/>
      </c>
    </row>
    <row r="654" spans="3:3" x14ac:dyDescent="0.2">
      <c r="C654" s="198" t="str">
        <f t="shared" si="9"/>
        <v/>
      </c>
    </row>
    <row r="655" spans="3:3" x14ac:dyDescent="0.2">
      <c r="C655" s="198" t="str">
        <f t="shared" si="9"/>
        <v/>
      </c>
    </row>
    <row r="656" spans="3:3" x14ac:dyDescent="0.2">
      <c r="C656" s="198" t="str">
        <f t="shared" si="9"/>
        <v/>
      </c>
    </row>
    <row r="657" spans="3:3" x14ac:dyDescent="0.2">
      <c r="C657" s="198" t="str">
        <f t="shared" si="9"/>
        <v/>
      </c>
    </row>
    <row r="658" spans="3:3" x14ac:dyDescent="0.2">
      <c r="C658" s="198" t="str">
        <f t="shared" si="9"/>
        <v/>
      </c>
    </row>
    <row r="659" spans="3:3" x14ac:dyDescent="0.2">
      <c r="C659" s="198" t="str">
        <f t="shared" si="9"/>
        <v/>
      </c>
    </row>
    <row r="660" spans="3:3" x14ac:dyDescent="0.2">
      <c r="C660" s="198" t="str">
        <f t="shared" si="9"/>
        <v/>
      </c>
    </row>
    <row r="661" spans="3:3" x14ac:dyDescent="0.2">
      <c r="C661" s="198" t="str">
        <f t="shared" si="9"/>
        <v/>
      </c>
    </row>
    <row r="662" spans="3:3" x14ac:dyDescent="0.2">
      <c r="C662" s="198" t="str">
        <f t="shared" si="9"/>
        <v/>
      </c>
    </row>
    <row r="663" spans="3:3" x14ac:dyDescent="0.2">
      <c r="C663" s="198" t="str">
        <f t="shared" ref="C663:C726" si="10">IF(A663=0,"","Elastic")</f>
        <v/>
      </c>
    </row>
    <row r="664" spans="3:3" x14ac:dyDescent="0.2">
      <c r="C664" s="198" t="str">
        <f t="shared" si="10"/>
        <v/>
      </c>
    </row>
    <row r="665" spans="3:3" x14ac:dyDescent="0.2">
      <c r="C665" s="198" t="str">
        <f t="shared" si="10"/>
        <v/>
      </c>
    </row>
    <row r="666" spans="3:3" x14ac:dyDescent="0.2">
      <c r="C666" s="198" t="str">
        <f t="shared" si="10"/>
        <v/>
      </c>
    </row>
    <row r="667" spans="3:3" x14ac:dyDescent="0.2">
      <c r="C667" s="198" t="str">
        <f t="shared" si="10"/>
        <v/>
      </c>
    </row>
    <row r="668" spans="3:3" x14ac:dyDescent="0.2">
      <c r="C668" s="198" t="str">
        <f t="shared" si="10"/>
        <v/>
      </c>
    </row>
    <row r="669" spans="3:3" x14ac:dyDescent="0.2">
      <c r="C669" s="198" t="str">
        <f t="shared" si="10"/>
        <v/>
      </c>
    </row>
    <row r="670" spans="3:3" x14ac:dyDescent="0.2">
      <c r="C670" s="198" t="str">
        <f t="shared" si="10"/>
        <v/>
      </c>
    </row>
    <row r="671" spans="3:3" x14ac:dyDescent="0.2">
      <c r="C671" s="198" t="str">
        <f t="shared" si="10"/>
        <v/>
      </c>
    </row>
    <row r="672" spans="3:3" x14ac:dyDescent="0.2">
      <c r="C672" s="198" t="str">
        <f t="shared" si="10"/>
        <v/>
      </c>
    </row>
    <row r="673" spans="3:3" x14ac:dyDescent="0.2">
      <c r="C673" s="198" t="str">
        <f t="shared" si="10"/>
        <v/>
      </c>
    </row>
    <row r="674" spans="3:3" x14ac:dyDescent="0.2">
      <c r="C674" s="198" t="str">
        <f t="shared" si="10"/>
        <v/>
      </c>
    </row>
    <row r="675" spans="3:3" x14ac:dyDescent="0.2">
      <c r="C675" s="198" t="str">
        <f t="shared" si="10"/>
        <v/>
      </c>
    </row>
    <row r="676" spans="3:3" x14ac:dyDescent="0.2">
      <c r="C676" s="198" t="str">
        <f t="shared" si="10"/>
        <v/>
      </c>
    </row>
    <row r="677" spans="3:3" x14ac:dyDescent="0.2">
      <c r="C677" s="198" t="str">
        <f t="shared" si="10"/>
        <v/>
      </c>
    </row>
    <row r="678" spans="3:3" x14ac:dyDescent="0.2">
      <c r="C678" s="198" t="str">
        <f t="shared" si="10"/>
        <v/>
      </c>
    </row>
    <row r="679" spans="3:3" x14ac:dyDescent="0.2">
      <c r="C679" s="198" t="str">
        <f t="shared" si="10"/>
        <v/>
      </c>
    </row>
    <row r="680" spans="3:3" x14ac:dyDescent="0.2">
      <c r="C680" s="198" t="str">
        <f t="shared" si="10"/>
        <v/>
      </c>
    </row>
    <row r="681" spans="3:3" x14ac:dyDescent="0.2">
      <c r="C681" s="198" t="str">
        <f t="shared" si="10"/>
        <v/>
      </c>
    </row>
    <row r="682" spans="3:3" x14ac:dyDescent="0.2">
      <c r="C682" s="198" t="str">
        <f t="shared" si="10"/>
        <v/>
      </c>
    </row>
    <row r="683" spans="3:3" x14ac:dyDescent="0.2">
      <c r="C683" s="198" t="str">
        <f t="shared" si="10"/>
        <v/>
      </c>
    </row>
    <row r="684" spans="3:3" x14ac:dyDescent="0.2">
      <c r="C684" s="198" t="str">
        <f t="shared" si="10"/>
        <v/>
      </c>
    </row>
    <row r="685" spans="3:3" x14ac:dyDescent="0.2">
      <c r="C685" s="198" t="str">
        <f t="shared" si="10"/>
        <v/>
      </c>
    </row>
    <row r="686" spans="3:3" x14ac:dyDescent="0.2">
      <c r="C686" s="198" t="str">
        <f t="shared" si="10"/>
        <v/>
      </c>
    </row>
    <row r="687" spans="3:3" x14ac:dyDescent="0.2">
      <c r="C687" s="198" t="str">
        <f t="shared" si="10"/>
        <v/>
      </c>
    </row>
    <row r="688" spans="3:3" x14ac:dyDescent="0.2">
      <c r="C688" s="198" t="str">
        <f t="shared" si="10"/>
        <v/>
      </c>
    </row>
    <row r="689" spans="3:3" x14ac:dyDescent="0.2">
      <c r="C689" s="198" t="str">
        <f t="shared" si="10"/>
        <v/>
      </c>
    </row>
    <row r="690" spans="3:3" x14ac:dyDescent="0.2">
      <c r="C690" s="198" t="str">
        <f t="shared" si="10"/>
        <v/>
      </c>
    </row>
    <row r="691" spans="3:3" x14ac:dyDescent="0.2">
      <c r="C691" s="198" t="str">
        <f t="shared" si="10"/>
        <v/>
      </c>
    </row>
    <row r="692" spans="3:3" x14ac:dyDescent="0.2">
      <c r="C692" s="198" t="str">
        <f t="shared" si="10"/>
        <v/>
      </c>
    </row>
    <row r="693" spans="3:3" x14ac:dyDescent="0.2">
      <c r="C693" s="198" t="str">
        <f t="shared" si="10"/>
        <v/>
      </c>
    </row>
    <row r="694" spans="3:3" x14ac:dyDescent="0.2">
      <c r="C694" s="198" t="str">
        <f t="shared" si="10"/>
        <v/>
      </c>
    </row>
    <row r="695" spans="3:3" x14ac:dyDescent="0.2">
      <c r="C695" s="198" t="str">
        <f t="shared" si="10"/>
        <v/>
      </c>
    </row>
    <row r="696" spans="3:3" x14ac:dyDescent="0.2">
      <c r="C696" s="198" t="str">
        <f t="shared" si="10"/>
        <v/>
      </c>
    </row>
    <row r="697" spans="3:3" x14ac:dyDescent="0.2">
      <c r="C697" s="198" t="str">
        <f t="shared" si="10"/>
        <v/>
      </c>
    </row>
    <row r="698" spans="3:3" x14ac:dyDescent="0.2">
      <c r="C698" s="198" t="str">
        <f t="shared" si="10"/>
        <v/>
      </c>
    </row>
    <row r="699" spans="3:3" x14ac:dyDescent="0.2">
      <c r="C699" s="198" t="str">
        <f t="shared" si="10"/>
        <v/>
      </c>
    </row>
    <row r="700" spans="3:3" x14ac:dyDescent="0.2">
      <c r="C700" s="198" t="str">
        <f t="shared" si="10"/>
        <v/>
      </c>
    </row>
    <row r="701" spans="3:3" x14ac:dyDescent="0.2">
      <c r="C701" s="198" t="str">
        <f t="shared" si="10"/>
        <v/>
      </c>
    </row>
    <row r="702" spans="3:3" x14ac:dyDescent="0.2">
      <c r="C702" s="198" t="str">
        <f t="shared" si="10"/>
        <v/>
      </c>
    </row>
    <row r="703" spans="3:3" x14ac:dyDescent="0.2">
      <c r="C703" s="198" t="str">
        <f t="shared" si="10"/>
        <v/>
      </c>
    </row>
    <row r="704" spans="3:3" x14ac:dyDescent="0.2">
      <c r="C704" s="198" t="str">
        <f t="shared" si="10"/>
        <v/>
      </c>
    </row>
    <row r="705" spans="3:3" x14ac:dyDescent="0.2">
      <c r="C705" s="198" t="str">
        <f t="shared" si="10"/>
        <v/>
      </c>
    </row>
    <row r="706" spans="3:3" x14ac:dyDescent="0.2">
      <c r="C706" s="198" t="str">
        <f t="shared" si="10"/>
        <v/>
      </c>
    </row>
    <row r="707" spans="3:3" x14ac:dyDescent="0.2">
      <c r="C707" s="198" t="str">
        <f t="shared" si="10"/>
        <v/>
      </c>
    </row>
    <row r="708" spans="3:3" x14ac:dyDescent="0.2">
      <c r="C708" s="198" t="str">
        <f t="shared" si="10"/>
        <v/>
      </c>
    </row>
    <row r="709" spans="3:3" x14ac:dyDescent="0.2">
      <c r="C709" s="198" t="str">
        <f t="shared" si="10"/>
        <v/>
      </c>
    </row>
    <row r="710" spans="3:3" x14ac:dyDescent="0.2">
      <c r="C710" s="198" t="str">
        <f t="shared" si="10"/>
        <v/>
      </c>
    </row>
    <row r="711" spans="3:3" x14ac:dyDescent="0.2">
      <c r="C711" s="198" t="str">
        <f t="shared" si="10"/>
        <v/>
      </c>
    </row>
    <row r="712" spans="3:3" x14ac:dyDescent="0.2">
      <c r="C712" s="198" t="str">
        <f t="shared" si="10"/>
        <v/>
      </c>
    </row>
    <row r="713" spans="3:3" x14ac:dyDescent="0.2">
      <c r="C713" s="198" t="str">
        <f t="shared" si="10"/>
        <v/>
      </c>
    </row>
    <row r="714" spans="3:3" x14ac:dyDescent="0.2">
      <c r="C714" s="198" t="str">
        <f t="shared" si="10"/>
        <v/>
      </c>
    </row>
    <row r="715" spans="3:3" x14ac:dyDescent="0.2">
      <c r="C715" s="198" t="str">
        <f t="shared" si="10"/>
        <v/>
      </c>
    </row>
    <row r="716" spans="3:3" x14ac:dyDescent="0.2">
      <c r="C716" s="198" t="str">
        <f t="shared" si="10"/>
        <v/>
      </c>
    </row>
    <row r="717" spans="3:3" x14ac:dyDescent="0.2">
      <c r="C717" s="198" t="str">
        <f t="shared" si="10"/>
        <v/>
      </c>
    </row>
    <row r="718" spans="3:3" x14ac:dyDescent="0.2">
      <c r="C718" s="198" t="str">
        <f t="shared" si="10"/>
        <v/>
      </c>
    </row>
    <row r="719" spans="3:3" x14ac:dyDescent="0.2">
      <c r="C719" s="198" t="str">
        <f t="shared" si="10"/>
        <v/>
      </c>
    </row>
    <row r="720" spans="3:3" x14ac:dyDescent="0.2">
      <c r="C720" s="198" t="str">
        <f t="shared" si="10"/>
        <v/>
      </c>
    </row>
    <row r="721" spans="3:3" x14ac:dyDescent="0.2">
      <c r="C721" s="198" t="str">
        <f t="shared" si="10"/>
        <v/>
      </c>
    </row>
    <row r="722" spans="3:3" x14ac:dyDescent="0.2">
      <c r="C722" s="198" t="str">
        <f t="shared" si="10"/>
        <v/>
      </c>
    </row>
    <row r="723" spans="3:3" x14ac:dyDescent="0.2">
      <c r="C723" s="198" t="str">
        <f t="shared" si="10"/>
        <v/>
      </c>
    </row>
    <row r="724" spans="3:3" x14ac:dyDescent="0.2">
      <c r="C724" s="198" t="str">
        <f t="shared" si="10"/>
        <v/>
      </c>
    </row>
    <row r="725" spans="3:3" x14ac:dyDescent="0.2">
      <c r="C725" s="198" t="str">
        <f t="shared" si="10"/>
        <v/>
      </c>
    </row>
    <row r="726" spans="3:3" x14ac:dyDescent="0.2">
      <c r="C726" s="198" t="str">
        <f t="shared" si="10"/>
        <v/>
      </c>
    </row>
    <row r="727" spans="3:3" x14ac:dyDescent="0.2">
      <c r="C727" s="198" t="str">
        <f t="shared" ref="C727:C790" si="11">IF(A727=0,"","Elastic")</f>
        <v/>
      </c>
    </row>
    <row r="728" spans="3:3" x14ac:dyDescent="0.2">
      <c r="C728" s="198" t="str">
        <f t="shared" si="11"/>
        <v/>
      </c>
    </row>
    <row r="729" spans="3:3" x14ac:dyDescent="0.2">
      <c r="C729" s="198" t="str">
        <f t="shared" si="11"/>
        <v/>
      </c>
    </row>
    <row r="730" spans="3:3" x14ac:dyDescent="0.2">
      <c r="C730" s="198" t="str">
        <f t="shared" si="11"/>
        <v/>
      </c>
    </row>
    <row r="731" spans="3:3" x14ac:dyDescent="0.2">
      <c r="C731" s="198" t="str">
        <f t="shared" si="11"/>
        <v/>
      </c>
    </row>
    <row r="732" spans="3:3" x14ac:dyDescent="0.2">
      <c r="C732" s="198" t="str">
        <f t="shared" si="11"/>
        <v/>
      </c>
    </row>
    <row r="733" spans="3:3" x14ac:dyDescent="0.2">
      <c r="C733" s="198" t="str">
        <f t="shared" si="11"/>
        <v/>
      </c>
    </row>
    <row r="734" spans="3:3" x14ac:dyDescent="0.2">
      <c r="C734" s="198" t="str">
        <f t="shared" si="11"/>
        <v/>
      </c>
    </row>
    <row r="735" spans="3:3" x14ac:dyDescent="0.2">
      <c r="C735" s="198" t="str">
        <f t="shared" si="11"/>
        <v/>
      </c>
    </row>
    <row r="736" spans="3:3" x14ac:dyDescent="0.2">
      <c r="C736" s="198" t="str">
        <f t="shared" si="11"/>
        <v/>
      </c>
    </row>
    <row r="737" spans="3:3" x14ac:dyDescent="0.2">
      <c r="C737" s="198" t="str">
        <f t="shared" si="11"/>
        <v/>
      </c>
    </row>
    <row r="738" spans="3:3" x14ac:dyDescent="0.2">
      <c r="C738" s="198" t="str">
        <f t="shared" si="11"/>
        <v/>
      </c>
    </row>
    <row r="739" spans="3:3" x14ac:dyDescent="0.2">
      <c r="C739" s="198" t="str">
        <f t="shared" si="11"/>
        <v/>
      </c>
    </row>
    <row r="740" spans="3:3" x14ac:dyDescent="0.2">
      <c r="C740" s="198" t="str">
        <f t="shared" si="11"/>
        <v/>
      </c>
    </row>
    <row r="741" spans="3:3" x14ac:dyDescent="0.2">
      <c r="C741" s="198" t="str">
        <f t="shared" si="11"/>
        <v/>
      </c>
    </row>
    <row r="742" spans="3:3" x14ac:dyDescent="0.2">
      <c r="C742" s="198" t="str">
        <f t="shared" si="11"/>
        <v/>
      </c>
    </row>
    <row r="743" spans="3:3" x14ac:dyDescent="0.2">
      <c r="C743" s="198" t="str">
        <f t="shared" si="11"/>
        <v/>
      </c>
    </row>
    <row r="744" spans="3:3" x14ac:dyDescent="0.2">
      <c r="C744" s="198" t="str">
        <f t="shared" si="11"/>
        <v/>
      </c>
    </row>
    <row r="745" spans="3:3" x14ac:dyDescent="0.2">
      <c r="C745" s="198" t="str">
        <f t="shared" si="11"/>
        <v/>
      </c>
    </row>
    <row r="746" spans="3:3" x14ac:dyDescent="0.2">
      <c r="C746" s="198" t="str">
        <f t="shared" si="11"/>
        <v/>
      </c>
    </row>
    <row r="747" spans="3:3" x14ac:dyDescent="0.2">
      <c r="C747" s="198" t="str">
        <f t="shared" si="11"/>
        <v/>
      </c>
    </row>
    <row r="748" spans="3:3" x14ac:dyDescent="0.2">
      <c r="C748" s="198" t="str">
        <f t="shared" si="11"/>
        <v/>
      </c>
    </row>
    <row r="749" spans="3:3" x14ac:dyDescent="0.2">
      <c r="C749" s="198" t="str">
        <f t="shared" si="11"/>
        <v/>
      </c>
    </row>
    <row r="750" spans="3:3" x14ac:dyDescent="0.2">
      <c r="C750" s="198" t="str">
        <f t="shared" si="11"/>
        <v/>
      </c>
    </row>
    <row r="751" spans="3:3" x14ac:dyDescent="0.2">
      <c r="C751" s="198" t="str">
        <f t="shared" si="11"/>
        <v/>
      </c>
    </row>
    <row r="752" spans="3:3" x14ac:dyDescent="0.2">
      <c r="C752" s="198" t="str">
        <f t="shared" si="11"/>
        <v/>
      </c>
    </row>
    <row r="753" spans="3:3" x14ac:dyDescent="0.2">
      <c r="C753" s="198" t="str">
        <f t="shared" si="11"/>
        <v/>
      </c>
    </row>
    <row r="754" spans="3:3" x14ac:dyDescent="0.2">
      <c r="C754" s="198" t="str">
        <f t="shared" si="11"/>
        <v/>
      </c>
    </row>
    <row r="755" spans="3:3" x14ac:dyDescent="0.2">
      <c r="C755" s="198" t="str">
        <f t="shared" si="11"/>
        <v/>
      </c>
    </row>
    <row r="756" spans="3:3" x14ac:dyDescent="0.2">
      <c r="C756" s="198" t="str">
        <f t="shared" si="11"/>
        <v/>
      </c>
    </row>
    <row r="757" spans="3:3" x14ac:dyDescent="0.2">
      <c r="C757" s="198" t="str">
        <f t="shared" si="11"/>
        <v/>
      </c>
    </row>
    <row r="758" spans="3:3" x14ac:dyDescent="0.2">
      <c r="C758" s="198" t="str">
        <f t="shared" si="11"/>
        <v/>
      </c>
    </row>
    <row r="759" spans="3:3" x14ac:dyDescent="0.2">
      <c r="C759" s="198" t="str">
        <f t="shared" si="11"/>
        <v/>
      </c>
    </row>
    <row r="760" spans="3:3" x14ac:dyDescent="0.2">
      <c r="C760" s="198" t="str">
        <f t="shared" si="11"/>
        <v/>
      </c>
    </row>
    <row r="761" spans="3:3" x14ac:dyDescent="0.2">
      <c r="C761" s="198" t="str">
        <f t="shared" si="11"/>
        <v/>
      </c>
    </row>
    <row r="762" spans="3:3" x14ac:dyDescent="0.2">
      <c r="C762" s="198" t="str">
        <f t="shared" si="11"/>
        <v/>
      </c>
    </row>
    <row r="763" spans="3:3" x14ac:dyDescent="0.2">
      <c r="C763" s="198" t="str">
        <f t="shared" si="11"/>
        <v/>
      </c>
    </row>
    <row r="764" spans="3:3" x14ac:dyDescent="0.2">
      <c r="C764" s="198" t="str">
        <f t="shared" si="11"/>
        <v/>
      </c>
    </row>
    <row r="765" spans="3:3" x14ac:dyDescent="0.2">
      <c r="C765" s="198" t="str">
        <f t="shared" si="11"/>
        <v/>
      </c>
    </row>
    <row r="766" spans="3:3" x14ac:dyDescent="0.2">
      <c r="C766" s="198" t="str">
        <f t="shared" si="11"/>
        <v/>
      </c>
    </row>
    <row r="767" spans="3:3" x14ac:dyDescent="0.2">
      <c r="C767" s="198" t="str">
        <f t="shared" si="11"/>
        <v/>
      </c>
    </row>
    <row r="768" spans="3:3" x14ac:dyDescent="0.2">
      <c r="C768" s="198" t="str">
        <f t="shared" si="11"/>
        <v/>
      </c>
    </row>
    <row r="769" spans="3:3" x14ac:dyDescent="0.2">
      <c r="C769" s="198" t="str">
        <f t="shared" si="11"/>
        <v/>
      </c>
    </row>
    <row r="770" spans="3:3" x14ac:dyDescent="0.2">
      <c r="C770" s="198" t="str">
        <f t="shared" si="11"/>
        <v/>
      </c>
    </row>
    <row r="771" spans="3:3" x14ac:dyDescent="0.2">
      <c r="C771" s="198" t="str">
        <f t="shared" si="11"/>
        <v/>
      </c>
    </row>
    <row r="772" spans="3:3" x14ac:dyDescent="0.2">
      <c r="C772" s="198" t="str">
        <f t="shared" si="11"/>
        <v/>
      </c>
    </row>
    <row r="773" spans="3:3" x14ac:dyDescent="0.2">
      <c r="C773" s="198" t="str">
        <f t="shared" si="11"/>
        <v/>
      </c>
    </row>
    <row r="774" spans="3:3" x14ac:dyDescent="0.2">
      <c r="C774" s="198" t="str">
        <f t="shared" si="11"/>
        <v/>
      </c>
    </row>
    <row r="775" spans="3:3" x14ac:dyDescent="0.2">
      <c r="C775" s="198" t="str">
        <f t="shared" si="11"/>
        <v/>
      </c>
    </row>
    <row r="776" spans="3:3" x14ac:dyDescent="0.2">
      <c r="C776" s="198" t="str">
        <f t="shared" si="11"/>
        <v/>
      </c>
    </row>
    <row r="777" spans="3:3" x14ac:dyDescent="0.2">
      <c r="C777" s="198" t="str">
        <f t="shared" si="11"/>
        <v/>
      </c>
    </row>
    <row r="778" spans="3:3" x14ac:dyDescent="0.2">
      <c r="C778" s="198" t="str">
        <f t="shared" si="11"/>
        <v/>
      </c>
    </row>
    <row r="779" spans="3:3" x14ac:dyDescent="0.2">
      <c r="C779" s="198" t="str">
        <f t="shared" si="11"/>
        <v/>
      </c>
    </row>
    <row r="780" spans="3:3" x14ac:dyDescent="0.2">
      <c r="C780" s="198" t="str">
        <f t="shared" si="11"/>
        <v/>
      </c>
    </row>
    <row r="781" spans="3:3" x14ac:dyDescent="0.2">
      <c r="C781" s="198" t="str">
        <f t="shared" si="11"/>
        <v/>
      </c>
    </row>
    <row r="782" spans="3:3" x14ac:dyDescent="0.2">
      <c r="C782" s="198" t="str">
        <f t="shared" si="11"/>
        <v/>
      </c>
    </row>
    <row r="783" spans="3:3" x14ac:dyDescent="0.2">
      <c r="C783" s="198" t="str">
        <f t="shared" si="11"/>
        <v/>
      </c>
    </row>
    <row r="784" spans="3:3" x14ac:dyDescent="0.2">
      <c r="C784" s="198" t="str">
        <f t="shared" si="11"/>
        <v/>
      </c>
    </row>
    <row r="785" spans="3:3" x14ac:dyDescent="0.2">
      <c r="C785" s="198" t="str">
        <f t="shared" si="11"/>
        <v/>
      </c>
    </row>
    <row r="786" spans="3:3" x14ac:dyDescent="0.2">
      <c r="C786" s="198" t="str">
        <f t="shared" si="11"/>
        <v/>
      </c>
    </row>
    <row r="787" spans="3:3" x14ac:dyDescent="0.2">
      <c r="C787" s="198" t="str">
        <f t="shared" si="11"/>
        <v/>
      </c>
    </row>
    <row r="788" spans="3:3" x14ac:dyDescent="0.2">
      <c r="C788" s="198" t="str">
        <f t="shared" si="11"/>
        <v/>
      </c>
    </row>
    <row r="789" spans="3:3" x14ac:dyDescent="0.2">
      <c r="C789" s="198" t="str">
        <f t="shared" si="11"/>
        <v/>
      </c>
    </row>
    <row r="790" spans="3:3" x14ac:dyDescent="0.2">
      <c r="C790" s="198" t="str">
        <f t="shared" si="11"/>
        <v/>
      </c>
    </row>
    <row r="791" spans="3:3" x14ac:dyDescent="0.2">
      <c r="C791" s="198" t="str">
        <f t="shared" ref="C791:C854" si="12">IF(A791=0,"","Elastic")</f>
        <v/>
      </c>
    </row>
    <row r="792" spans="3:3" x14ac:dyDescent="0.2">
      <c r="C792" s="198" t="str">
        <f t="shared" si="12"/>
        <v/>
      </c>
    </row>
    <row r="793" spans="3:3" x14ac:dyDescent="0.2">
      <c r="C793" s="198" t="str">
        <f t="shared" si="12"/>
        <v/>
      </c>
    </row>
    <row r="794" spans="3:3" x14ac:dyDescent="0.2">
      <c r="C794" s="198" t="str">
        <f t="shared" si="12"/>
        <v/>
      </c>
    </row>
    <row r="795" spans="3:3" x14ac:dyDescent="0.2">
      <c r="C795" s="198" t="str">
        <f t="shared" si="12"/>
        <v/>
      </c>
    </row>
    <row r="796" spans="3:3" x14ac:dyDescent="0.2">
      <c r="C796" s="198" t="str">
        <f t="shared" si="12"/>
        <v/>
      </c>
    </row>
    <row r="797" spans="3:3" x14ac:dyDescent="0.2">
      <c r="C797" s="198" t="str">
        <f t="shared" si="12"/>
        <v/>
      </c>
    </row>
    <row r="798" spans="3:3" x14ac:dyDescent="0.2">
      <c r="C798" s="198" t="str">
        <f t="shared" si="12"/>
        <v/>
      </c>
    </row>
    <row r="799" spans="3:3" x14ac:dyDescent="0.2">
      <c r="C799" s="198" t="str">
        <f t="shared" si="12"/>
        <v/>
      </c>
    </row>
    <row r="800" spans="3:3" x14ac:dyDescent="0.2">
      <c r="C800" s="198" t="str">
        <f t="shared" si="12"/>
        <v/>
      </c>
    </row>
    <row r="801" spans="3:3" x14ac:dyDescent="0.2">
      <c r="C801" s="198" t="str">
        <f t="shared" si="12"/>
        <v/>
      </c>
    </row>
    <row r="802" spans="3:3" x14ac:dyDescent="0.2">
      <c r="C802" s="198" t="str">
        <f t="shared" si="12"/>
        <v/>
      </c>
    </row>
    <row r="803" spans="3:3" x14ac:dyDescent="0.2">
      <c r="C803" s="198" t="str">
        <f t="shared" si="12"/>
        <v/>
      </c>
    </row>
    <row r="804" spans="3:3" x14ac:dyDescent="0.2">
      <c r="C804" s="198" t="str">
        <f t="shared" si="12"/>
        <v/>
      </c>
    </row>
    <row r="805" spans="3:3" x14ac:dyDescent="0.2">
      <c r="C805" s="198" t="str">
        <f t="shared" si="12"/>
        <v/>
      </c>
    </row>
    <row r="806" spans="3:3" x14ac:dyDescent="0.2">
      <c r="C806" s="198" t="str">
        <f t="shared" si="12"/>
        <v/>
      </c>
    </row>
    <row r="807" spans="3:3" x14ac:dyDescent="0.2">
      <c r="C807" s="198" t="str">
        <f t="shared" si="12"/>
        <v/>
      </c>
    </row>
    <row r="808" spans="3:3" x14ac:dyDescent="0.2">
      <c r="C808" s="198" t="str">
        <f t="shared" si="12"/>
        <v/>
      </c>
    </row>
    <row r="809" spans="3:3" x14ac:dyDescent="0.2">
      <c r="C809" s="198" t="str">
        <f t="shared" si="12"/>
        <v/>
      </c>
    </row>
    <row r="810" spans="3:3" x14ac:dyDescent="0.2">
      <c r="C810" s="198" t="str">
        <f t="shared" si="12"/>
        <v/>
      </c>
    </row>
    <row r="811" spans="3:3" x14ac:dyDescent="0.2">
      <c r="C811" s="198" t="str">
        <f t="shared" si="12"/>
        <v/>
      </c>
    </row>
    <row r="812" spans="3:3" x14ac:dyDescent="0.2">
      <c r="C812" s="198" t="str">
        <f t="shared" si="12"/>
        <v/>
      </c>
    </row>
    <row r="813" spans="3:3" x14ac:dyDescent="0.2">
      <c r="C813" s="198" t="str">
        <f t="shared" si="12"/>
        <v/>
      </c>
    </row>
    <row r="814" spans="3:3" x14ac:dyDescent="0.2">
      <c r="C814" s="198" t="str">
        <f t="shared" si="12"/>
        <v/>
      </c>
    </row>
    <row r="815" spans="3:3" x14ac:dyDescent="0.2">
      <c r="C815" s="198" t="str">
        <f t="shared" si="12"/>
        <v/>
      </c>
    </row>
    <row r="816" spans="3:3" x14ac:dyDescent="0.2">
      <c r="C816" s="198" t="str">
        <f t="shared" si="12"/>
        <v/>
      </c>
    </row>
    <row r="817" spans="3:3" x14ac:dyDescent="0.2">
      <c r="C817" s="198" t="str">
        <f t="shared" si="12"/>
        <v/>
      </c>
    </row>
    <row r="818" spans="3:3" x14ac:dyDescent="0.2">
      <c r="C818" s="198" t="str">
        <f t="shared" si="12"/>
        <v/>
      </c>
    </row>
    <row r="819" spans="3:3" x14ac:dyDescent="0.2">
      <c r="C819" s="198" t="str">
        <f t="shared" si="12"/>
        <v/>
      </c>
    </row>
    <row r="820" spans="3:3" x14ac:dyDescent="0.2">
      <c r="C820" s="198" t="str">
        <f t="shared" si="12"/>
        <v/>
      </c>
    </row>
    <row r="821" spans="3:3" x14ac:dyDescent="0.2">
      <c r="C821" s="198" t="str">
        <f t="shared" si="12"/>
        <v/>
      </c>
    </row>
    <row r="822" spans="3:3" x14ac:dyDescent="0.2">
      <c r="C822" s="198" t="str">
        <f t="shared" si="12"/>
        <v/>
      </c>
    </row>
    <row r="823" spans="3:3" x14ac:dyDescent="0.2">
      <c r="C823" s="198" t="str">
        <f t="shared" si="12"/>
        <v/>
      </c>
    </row>
    <row r="824" spans="3:3" x14ac:dyDescent="0.2">
      <c r="C824" s="198" t="str">
        <f t="shared" si="12"/>
        <v/>
      </c>
    </row>
    <row r="825" spans="3:3" x14ac:dyDescent="0.2">
      <c r="C825" s="198" t="str">
        <f t="shared" si="12"/>
        <v/>
      </c>
    </row>
    <row r="826" spans="3:3" x14ac:dyDescent="0.2">
      <c r="C826" s="198" t="str">
        <f t="shared" si="12"/>
        <v/>
      </c>
    </row>
    <row r="827" spans="3:3" x14ac:dyDescent="0.2">
      <c r="C827" s="198" t="str">
        <f t="shared" si="12"/>
        <v/>
      </c>
    </row>
    <row r="828" spans="3:3" x14ac:dyDescent="0.2">
      <c r="C828" s="198" t="str">
        <f t="shared" si="12"/>
        <v/>
      </c>
    </row>
    <row r="829" spans="3:3" x14ac:dyDescent="0.2">
      <c r="C829" s="198" t="str">
        <f t="shared" si="12"/>
        <v/>
      </c>
    </row>
    <row r="830" spans="3:3" x14ac:dyDescent="0.2">
      <c r="C830" s="198" t="str">
        <f t="shared" si="12"/>
        <v/>
      </c>
    </row>
    <row r="831" spans="3:3" x14ac:dyDescent="0.2">
      <c r="C831" s="198" t="str">
        <f t="shared" si="12"/>
        <v/>
      </c>
    </row>
    <row r="832" spans="3:3" x14ac:dyDescent="0.2">
      <c r="C832" s="198" t="str">
        <f t="shared" si="12"/>
        <v/>
      </c>
    </row>
    <row r="833" spans="3:3" x14ac:dyDescent="0.2">
      <c r="C833" s="198" t="str">
        <f t="shared" si="12"/>
        <v/>
      </c>
    </row>
    <row r="834" spans="3:3" x14ac:dyDescent="0.2">
      <c r="C834" s="198" t="str">
        <f t="shared" si="12"/>
        <v/>
      </c>
    </row>
    <row r="835" spans="3:3" x14ac:dyDescent="0.2">
      <c r="C835" s="198" t="str">
        <f t="shared" si="12"/>
        <v/>
      </c>
    </row>
    <row r="836" spans="3:3" x14ac:dyDescent="0.2">
      <c r="C836" s="198" t="str">
        <f t="shared" si="12"/>
        <v/>
      </c>
    </row>
    <row r="837" spans="3:3" x14ac:dyDescent="0.2">
      <c r="C837" s="198" t="str">
        <f t="shared" si="12"/>
        <v/>
      </c>
    </row>
    <row r="838" spans="3:3" x14ac:dyDescent="0.2">
      <c r="C838" s="198" t="str">
        <f t="shared" si="12"/>
        <v/>
      </c>
    </row>
    <row r="839" spans="3:3" x14ac:dyDescent="0.2">
      <c r="C839" s="198" t="str">
        <f t="shared" si="12"/>
        <v/>
      </c>
    </row>
    <row r="840" spans="3:3" x14ac:dyDescent="0.2">
      <c r="C840" s="198" t="str">
        <f t="shared" si="12"/>
        <v/>
      </c>
    </row>
    <row r="841" spans="3:3" x14ac:dyDescent="0.2">
      <c r="C841" s="198" t="str">
        <f t="shared" si="12"/>
        <v/>
      </c>
    </row>
    <row r="842" spans="3:3" x14ac:dyDescent="0.2">
      <c r="C842" s="198" t="str">
        <f t="shared" si="12"/>
        <v/>
      </c>
    </row>
    <row r="843" spans="3:3" x14ac:dyDescent="0.2">
      <c r="C843" s="198" t="str">
        <f t="shared" si="12"/>
        <v/>
      </c>
    </row>
    <row r="844" spans="3:3" x14ac:dyDescent="0.2">
      <c r="C844" s="198" t="str">
        <f t="shared" si="12"/>
        <v/>
      </c>
    </row>
    <row r="845" spans="3:3" x14ac:dyDescent="0.2">
      <c r="C845" s="198" t="str">
        <f t="shared" si="12"/>
        <v/>
      </c>
    </row>
    <row r="846" spans="3:3" x14ac:dyDescent="0.2">
      <c r="C846" s="198" t="str">
        <f t="shared" si="12"/>
        <v/>
      </c>
    </row>
    <row r="847" spans="3:3" x14ac:dyDescent="0.2">
      <c r="C847" s="198" t="str">
        <f t="shared" si="12"/>
        <v/>
      </c>
    </row>
    <row r="848" spans="3:3" x14ac:dyDescent="0.2">
      <c r="C848" s="198" t="str">
        <f t="shared" si="12"/>
        <v/>
      </c>
    </row>
    <row r="849" spans="3:3" x14ac:dyDescent="0.2">
      <c r="C849" s="198" t="str">
        <f t="shared" si="12"/>
        <v/>
      </c>
    </row>
    <row r="850" spans="3:3" x14ac:dyDescent="0.2">
      <c r="C850" s="198" t="str">
        <f t="shared" si="12"/>
        <v/>
      </c>
    </row>
    <row r="851" spans="3:3" x14ac:dyDescent="0.2">
      <c r="C851" s="198" t="str">
        <f t="shared" si="12"/>
        <v/>
      </c>
    </row>
    <row r="852" spans="3:3" x14ac:dyDescent="0.2">
      <c r="C852" s="198" t="str">
        <f t="shared" si="12"/>
        <v/>
      </c>
    </row>
    <row r="853" spans="3:3" x14ac:dyDescent="0.2">
      <c r="C853" s="198" t="str">
        <f t="shared" si="12"/>
        <v/>
      </c>
    </row>
    <row r="854" spans="3:3" x14ac:dyDescent="0.2">
      <c r="C854" s="198" t="str">
        <f t="shared" si="12"/>
        <v/>
      </c>
    </row>
    <row r="855" spans="3:3" x14ac:dyDescent="0.2">
      <c r="C855" s="198" t="str">
        <f t="shared" ref="C855:C918" si="13">IF(A855=0,"","Elastic")</f>
        <v/>
      </c>
    </row>
    <row r="856" spans="3:3" x14ac:dyDescent="0.2">
      <c r="C856" s="198" t="str">
        <f t="shared" si="13"/>
        <v/>
      </c>
    </row>
    <row r="857" spans="3:3" x14ac:dyDescent="0.2">
      <c r="C857" s="198" t="str">
        <f t="shared" si="13"/>
        <v/>
      </c>
    </row>
    <row r="858" spans="3:3" x14ac:dyDescent="0.2">
      <c r="C858" s="198" t="str">
        <f t="shared" si="13"/>
        <v/>
      </c>
    </row>
    <row r="859" spans="3:3" x14ac:dyDescent="0.2">
      <c r="C859" s="198" t="str">
        <f t="shared" si="13"/>
        <v/>
      </c>
    </row>
    <row r="860" spans="3:3" x14ac:dyDescent="0.2">
      <c r="C860" s="198" t="str">
        <f t="shared" si="13"/>
        <v/>
      </c>
    </row>
    <row r="861" spans="3:3" x14ac:dyDescent="0.2">
      <c r="C861" s="198" t="str">
        <f t="shared" si="13"/>
        <v/>
      </c>
    </row>
    <row r="862" spans="3:3" x14ac:dyDescent="0.2">
      <c r="C862" s="198" t="str">
        <f t="shared" si="13"/>
        <v/>
      </c>
    </row>
    <row r="863" spans="3:3" x14ac:dyDescent="0.2">
      <c r="C863" s="198" t="str">
        <f t="shared" si="13"/>
        <v/>
      </c>
    </row>
    <row r="864" spans="3:3" x14ac:dyDescent="0.2">
      <c r="C864" s="198" t="str">
        <f t="shared" si="13"/>
        <v/>
      </c>
    </row>
    <row r="865" spans="3:3" x14ac:dyDescent="0.2">
      <c r="C865" s="198" t="str">
        <f t="shared" si="13"/>
        <v/>
      </c>
    </row>
    <row r="866" spans="3:3" x14ac:dyDescent="0.2">
      <c r="C866" s="198" t="str">
        <f t="shared" si="13"/>
        <v/>
      </c>
    </row>
    <row r="867" spans="3:3" x14ac:dyDescent="0.2">
      <c r="C867" s="198" t="str">
        <f t="shared" si="13"/>
        <v/>
      </c>
    </row>
    <row r="868" spans="3:3" x14ac:dyDescent="0.2">
      <c r="C868" s="198" t="str">
        <f t="shared" si="13"/>
        <v/>
      </c>
    </row>
    <row r="869" spans="3:3" x14ac:dyDescent="0.2">
      <c r="C869" s="198" t="str">
        <f t="shared" si="13"/>
        <v/>
      </c>
    </row>
    <row r="870" spans="3:3" x14ac:dyDescent="0.2">
      <c r="C870" s="198" t="str">
        <f t="shared" si="13"/>
        <v/>
      </c>
    </row>
    <row r="871" spans="3:3" x14ac:dyDescent="0.2">
      <c r="C871" s="198" t="str">
        <f t="shared" si="13"/>
        <v/>
      </c>
    </row>
    <row r="872" spans="3:3" x14ac:dyDescent="0.2">
      <c r="C872" s="198" t="str">
        <f t="shared" si="13"/>
        <v/>
      </c>
    </row>
    <row r="873" spans="3:3" x14ac:dyDescent="0.2">
      <c r="C873" s="198" t="str">
        <f t="shared" si="13"/>
        <v/>
      </c>
    </row>
    <row r="874" spans="3:3" x14ac:dyDescent="0.2">
      <c r="C874" s="198" t="str">
        <f t="shared" si="13"/>
        <v/>
      </c>
    </row>
    <row r="875" spans="3:3" x14ac:dyDescent="0.2">
      <c r="C875" s="198" t="str">
        <f t="shared" si="13"/>
        <v/>
      </c>
    </row>
    <row r="876" spans="3:3" x14ac:dyDescent="0.2">
      <c r="C876" s="198" t="str">
        <f t="shared" si="13"/>
        <v/>
      </c>
    </row>
    <row r="877" spans="3:3" x14ac:dyDescent="0.2">
      <c r="C877" s="198" t="str">
        <f t="shared" si="13"/>
        <v/>
      </c>
    </row>
    <row r="878" spans="3:3" x14ac:dyDescent="0.2">
      <c r="C878" s="198" t="str">
        <f t="shared" si="13"/>
        <v/>
      </c>
    </row>
    <row r="879" spans="3:3" x14ac:dyDescent="0.2">
      <c r="C879" s="198" t="str">
        <f t="shared" si="13"/>
        <v/>
      </c>
    </row>
    <row r="880" spans="3:3" x14ac:dyDescent="0.2">
      <c r="C880" s="198" t="str">
        <f t="shared" si="13"/>
        <v/>
      </c>
    </row>
    <row r="881" spans="3:3" x14ac:dyDescent="0.2">
      <c r="C881" s="198" t="str">
        <f t="shared" si="13"/>
        <v/>
      </c>
    </row>
    <row r="882" spans="3:3" x14ac:dyDescent="0.2">
      <c r="C882" s="198" t="str">
        <f t="shared" si="13"/>
        <v/>
      </c>
    </row>
    <row r="883" spans="3:3" x14ac:dyDescent="0.2">
      <c r="C883" s="198" t="str">
        <f t="shared" si="13"/>
        <v/>
      </c>
    </row>
    <row r="884" spans="3:3" x14ac:dyDescent="0.2">
      <c r="C884" s="198" t="str">
        <f t="shared" si="13"/>
        <v/>
      </c>
    </row>
    <row r="885" spans="3:3" x14ac:dyDescent="0.2">
      <c r="C885" s="198" t="str">
        <f t="shared" si="13"/>
        <v/>
      </c>
    </row>
    <row r="886" spans="3:3" x14ac:dyDescent="0.2">
      <c r="C886" s="198" t="str">
        <f t="shared" si="13"/>
        <v/>
      </c>
    </row>
    <row r="887" spans="3:3" x14ac:dyDescent="0.2">
      <c r="C887" s="198" t="str">
        <f t="shared" si="13"/>
        <v/>
      </c>
    </row>
    <row r="888" spans="3:3" x14ac:dyDescent="0.2">
      <c r="C888" s="198" t="str">
        <f t="shared" si="13"/>
        <v/>
      </c>
    </row>
    <row r="889" spans="3:3" x14ac:dyDescent="0.2">
      <c r="C889" s="198" t="str">
        <f t="shared" si="13"/>
        <v/>
      </c>
    </row>
    <row r="890" spans="3:3" x14ac:dyDescent="0.2">
      <c r="C890" s="198" t="str">
        <f t="shared" si="13"/>
        <v/>
      </c>
    </row>
    <row r="891" spans="3:3" x14ac:dyDescent="0.2">
      <c r="C891" s="198" t="str">
        <f t="shared" si="13"/>
        <v/>
      </c>
    </row>
    <row r="892" spans="3:3" x14ac:dyDescent="0.2">
      <c r="C892" s="198" t="str">
        <f t="shared" si="13"/>
        <v/>
      </c>
    </row>
    <row r="893" spans="3:3" x14ac:dyDescent="0.2">
      <c r="C893" s="198" t="str">
        <f t="shared" si="13"/>
        <v/>
      </c>
    </row>
    <row r="894" spans="3:3" x14ac:dyDescent="0.2">
      <c r="C894" s="198" t="str">
        <f t="shared" si="13"/>
        <v/>
      </c>
    </row>
    <row r="895" spans="3:3" x14ac:dyDescent="0.2">
      <c r="C895" s="198" t="str">
        <f t="shared" si="13"/>
        <v/>
      </c>
    </row>
    <row r="896" spans="3:3" x14ac:dyDescent="0.2">
      <c r="C896" s="198" t="str">
        <f t="shared" si="13"/>
        <v/>
      </c>
    </row>
    <row r="897" spans="3:3" x14ac:dyDescent="0.2">
      <c r="C897" s="198" t="str">
        <f t="shared" si="13"/>
        <v/>
      </c>
    </row>
    <row r="898" spans="3:3" x14ac:dyDescent="0.2">
      <c r="C898" s="198" t="str">
        <f t="shared" si="13"/>
        <v/>
      </c>
    </row>
    <row r="899" spans="3:3" x14ac:dyDescent="0.2">
      <c r="C899" s="198" t="str">
        <f t="shared" si="13"/>
        <v/>
      </c>
    </row>
    <row r="900" spans="3:3" x14ac:dyDescent="0.2">
      <c r="C900" s="198" t="str">
        <f t="shared" si="13"/>
        <v/>
      </c>
    </row>
    <row r="901" spans="3:3" x14ac:dyDescent="0.2">
      <c r="C901" s="198" t="str">
        <f t="shared" si="13"/>
        <v/>
      </c>
    </row>
    <row r="902" spans="3:3" x14ac:dyDescent="0.2">
      <c r="C902" s="198" t="str">
        <f t="shared" si="13"/>
        <v/>
      </c>
    </row>
    <row r="903" spans="3:3" x14ac:dyDescent="0.2">
      <c r="C903" s="198" t="str">
        <f t="shared" si="13"/>
        <v/>
      </c>
    </row>
    <row r="904" spans="3:3" x14ac:dyDescent="0.2">
      <c r="C904" s="198" t="str">
        <f t="shared" si="13"/>
        <v/>
      </c>
    </row>
    <row r="905" spans="3:3" x14ac:dyDescent="0.2">
      <c r="C905" s="198" t="str">
        <f t="shared" si="13"/>
        <v/>
      </c>
    </row>
    <row r="906" spans="3:3" x14ac:dyDescent="0.2">
      <c r="C906" s="198" t="str">
        <f t="shared" si="13"/>
        <v/>
      </c>
    </row>
    <row r="907" spans="3:3" x14ac:dyDescent="0.2">
      <c r="C907" s="198" t="str">
        <f t="shared" si="13"/>
        <v/>
      </c>
    </row>
    <row r="908" spans="3:3" x14ac:dyDescent="0.2">
      <c r="C908" s="198" t="str">
        <f t="shared" si="13"/>
        <v/>
      </c>
    </row>
    <row r="909" spans="3:3" x14ac:dyDescent="0.2">
      <c r="C909" s="198" t="str">
        <f t="shared" si="13"/>
        <v/>
      </c>
    </row>
    <row r="910" spans="3:3" x14ac:dyDescent="0.2">
      <c r="C910" s="198" t="str">
        <f t="shared" si="13"/>
        <v/>
      </c>
    </row>
    <row r="911" spans="3:3" x14ac:dyDescent="0.2">
      <c r="C911" s="198" t="str">
        <f t="shared" si="13"/>
        <v/>
      </c>
    </row>
    <row r="912" spans="3:3" x14ac:dyDescent="0.2">
      <c r="C912" s="198" t="str">
        <f t="shared" si="13"/>
        <v/>
      </c>
    </row>
    <row r="913" spans="3:3" x14ac:dyDescent="0.2">
      <c r="C913" s="198" t="str">
        <f t="shared" si="13"/>
        <v/>
      </c>
    </row>
    <row r="914" spans="3:3" x14ac:dyDescent="0.2">
      <c r="C914" s="198" t="str">
        <f t="shared" si="13"/>
        <v/>
      </c>
    </row>
    <row r="915" spans="3:3" x14ac:dyDescent="0.2">
      <c r="C915" s="198" t="str">
        <f t="shared" si="13"/>
        <v/>
      </c>
    </row>
    <row r="916" spans="3:3" x14ac:dyDescent="0.2">
      <c r="C916" s="198" t="str">
        <f t="shared" si="13"/>
        <v/>
      </c>
    </row>
    <row r="917" spans="3:3" x14ac:dyDescent="0.2">
      <c r="C917" s="198" t="str">
        <f t="shared" si="13"/>
        <v/>
      </c>
    </row>
    <row r="918" spans="3:3" x14ac:dyDescent="0.2">
      <c r="C918" s="198" t="str">
        <f t="shared" si="13"/>
        <v/>
      </c>
    </row>
    <row r="919" spans="3:3" x14ac:dyDescent="0.2">
      <c r="C919" s="198" t="str">
        <f t="shared" ref="C919:C982" si="14">IF(A919=0,"","Elastic")</f>
        <v/>
      </c>
    </row>
    <row r="920" spans="3:3" x14ac:dyDescent="0.2">
      <c r="C920" s="198" t="str">
        <f t="shared" si="14"/>
        <v/>
      </c>
    </row>
    <row r="921" spans="3:3" x14ac:dyDescent="0.2">
      <c r="C921" s="198" t="str">
        <f t="shared" si="14"/>
        <v/>
      </c>
    </row>
    <row r="922" spans="3:3" x14ac:dyDescent="0.2">
      <c r="C922" s="198" t="str">
        <f t="shared" si="14"/>
        <v/>
      </c>
    </row>
    <row r="923" spans="3:3" x14ac:dyDescent="0.2">
      <c r="C923" s="198" t="str">
        <f t="shared" si="14"/>
        <v/>
      </c>
    </row>
    <row r="924" spans="3:3" x14ac:dyDescent="0.2">
      <c r="C924" s="198" t="str">
        <f t="shared" si="14"/>
        <v/>
      </c>
    </row>
    <row r="925" spans="3:3" x14ac:dyDescent="0.2">
      <c r="C925" s="198" t="str">
        <f t="shared" si="14"/>
        <v/>
      </c>
    </row>
    <row r="926" spans="3:3" x14ac:dyDescent="0.2">
      <c r="C926" s="198" t="str">
        <f t="shared" si="14"/>
        <v/>
      </c>
    </row>
    <row r="927" spans="3:3" x14ac:dyDescent="0.2">
      <c r="C927" s="198" t="str">
        <f t="shared" si="14"/>
        <v/>
      </c>
    </row>
    <row r="928" spans="3:3" x14ac:dyDescent="0.2">
      <c r="C928" s="198" t="str">
        <f t="shared" si="14"/>
        <v/>
      </c>
    </row>
    <row r="929" spans="3:3" x14ac:dyDescent="0.2">
      <c r="C929" s="198" t="str">
        <f t="shared" si="14"/>
        <v/>
      </c>
    </row>
    <row r="930" spans="3:3" x14ac:dyDescent="0.2">
      <c r="C930" s="198" t="str">
        <f t="shared" si="14"/>
        <v/>
      </c>
    </row>
    <row r="931" spans="3:3" x14ac:dyDescent="0.2">
      <c r="C931" s="198" t="str">
        <f t="shared" si="14"/>
        <v/>
      </c>
    </row>
    <row r="932" spans="3:3" x14ac:dyDescent="0.2">
      <c r="C932" s="198" t="str">
        <f t="shared" si="14"/>
        <v/>
      </c>
    </row>
    <row r="933" spans="3:3" x14ac:dyDescent="0.2">
      <c r="C933" s="198" t="str">
        <f t="shared" si="14"/>
        <v/>
      </c>
    </row>
    <row r="934" spans="3:3" x14ac:dyDescent="0.2">
      <c r="C934" s="198" t="str">
        <f t="shared" si="14"/>
        <v/>
      </c>
    </row>
    <row r="935" spans="3:3" x14ac:dyDescent="0.2">
      <c r="C935" s="198" t="str">
        <f t="shared" si="14"/>
        <v/>
      </c>
    </row>
    <row r="936" spans="3:3" x14ac:dyDescent="0.2">
      <c r="C936" s="198" t="str">
        <f t="shared" si="14"/>
        <v/>
      </c>
    </row>
    <row r="937" spans="3:3" x14ac:dyDescent="0.2">
      <c r="C937" s="198" t="str">
        <f t="shared" si="14"/>
        <v/>
      </c>
    </row>
    <row r="938" spans="3:3" x14ac:dyDescent="0.2">
      <c r="C938" s="198" t="str">
        <f t="shared" si="14"/>
        <v/>
      </c>
    </row>
    <row r="939" spans="3:3" x14ac:dyDescent="0.2">
      <c r="C939" s="198" t="str">
        <f t="shared" si="14"/>
        <v/>
      </c>
    </row>
    <row r="940" spans="3:3" x14ac:dyDescent="0.2">
      <c r="C940" s="198" t="str">
        <f t="shared" si="14"/>
        <v/>
      </c>
    </row>
    <row r="941" spans="3:3" x14ac:dyDescent="0.2">
      <c r="C941" s="198" t="str">
        <f t="shared" si="14"/>
        <v/>
      </c>
    </row>
    <row r="942" spans="3:3" x14ac:dyDescent="0.2">
      <c r="C942" s="198" t="str">
        <f t="shared" si="14"/>
        <v/>
      </c>
    </row>
    <row r="943" spans="3:3" x14ac:dyDescent="0.2">
      <c r="C943" s="198" t="str">
        <f t="shared" si="14"/>
        <v/>
      </c>
    </row>
    <row r="944" spans="3:3" x14ac:dyDescent="0.2">
      <c r="C944" s="198" t="str">
        <f t="shared" si="14"/>
        <v/>
      </c>
    </row>
    <row r="945" spans="3:3" x14ac:dyDescent="0.2">
      <c r="C945" s="198" t="str">
        <f t="shared" si="14"/>
        <v/>
      </c>
    </row>
    <row r="946" spans="3:3" x14ac:dyDescent="0.2">
      <c r="C946" s="198" t="str">
        <f t="shared" si="14"/>
        <v/>
      </c>
    </row>
    <row r="947" spans="3:3" x14ac:dyDescent="0.2">
      <c r="C947" s="198" t="str">
        <f t="shared" si="14"/>
        <v/>
      </c>
    </row>
    <row r="948" spans="3:3" x14ac:dyDescent="0.2">
      <c r="C948" s="198" t="str">
        <f t="shared" si="14"/>
        <v/>
      </c>
    </row>
    <row r="949" spans="3:3" x14ac:dyDescent="0.2">
      <c r="C949" s="198" t="str">
        <f t="shared" si="14"/>
        <v/>
      </c>
    </row>
    <row r="950" spans="3:3" x14ac:dyDescent="0.2">
      <c r="C950" s="198" t="str">
        <f t="shared" si="14"/>
        <v/>
      </c>
    </row>
    <row r="951" spans="3:3" x14ac:dyDescent="0.2">
      <c r="C951" s="198" t="str">
        <f t="shared" si="14"/>
        <v/>
      </c>
    </row>
    <row r="952" spans="3:3" x14ac:dyDescent="0.2">
      <c r="C952" s="198" t="str">
        <f t="shared" si="14"/>
        <v/>
      </c>
    </row>
    <row r="953" spans="3:3" x14ac:dyDescent="0.2">
      <c r="C953" s="198" t="str">
        <f t="shared" si="14"/>
        <v/>
      </c>
    </row>
    <row r="954" spans="3:3" x14ac:dyDescent="0.2">
      <c r="C954" s="198" t="str">
        <f t="shared" si="14"/>
        <v/>
      </c>
    </row>
    <row r="955" spans="3:3" x14ac:dyDescent="0.2">
      <c r="C955" s="198" t="str">
        <f t="shared" si="14"/>
        <v/>
      </c>
    </row>
    <row r="956" spans="3:3" x14ac:dyDescent="0.2">
      <c r="C956" s="198" t="str">
        <f t="shared" si="14"/>
        <v/>
      </c>
    </row>
    <row r="957" spans="3:3" x14ac:dyDescent="0.2">
      <c r="C957" s="198" t="str">
        <f t="shared" si="14"/>
        <v/>
      </c>
    </row>
    <row r="958" spans="3:3" x14ac:dyDescent="0.2">
      <c r="C958" s="198" t="str">
        <f t="shared" si="14"/>
        <v/>
      </c>
    </row>
    <row r="959" spans="3:3" x14ac:dyDescent="0.2">
      <c r="C959" s="198" t="str">
        <f t="shared" si="14"/>
        <v/>
      </c>
    </row>
    <row r="960" spans="3:3" x14ac:dyDescent="0.2">
      <c r="C960" s="198" t="str">
        <f t="shared" si="14"/>
        <v/>
      </c>
    </row>
    <row r="961" spans="3:3" x14ac:dyDescent="0.2">
      <c r="C961" s="198" t="str">
        <f t="shared" si="14"/>
        <v/>
      </c>
    </row>
    <row r="962" spans="3:3" x14ac:dyDescent="0.2">
      <c r="C962" s="198" t="str">
        <f t="shared" si="14"/>
        <v/>
      </c>
    </row>
    <row r="963" spans="3:3" x14ac:dyDescent="0.2">
      <c r="C963" s="198" t="str">
        <f t="shared" si="14"/>
        <v/>
      </c>
    </row>
    <row r="964" spans="3:3" x14ac:dyDescent="0.2">
      <c r="C964" s="198" t="str">
        <f t="shared" si="14"/>
        <v/>
      </c>
    </row>
    <row r="965" spans="3:3" x14ac:dyDescent="0.2">
      <c r="C965" s="198" t="str">
        <f t="shared" si="14"/>
        <v/>
      </c>
    </row>
    <row r="966" spans="3:3" x14ac:dyDescent="0.2">
      <c r="C966" s="198" t="str">
        <f t="shared" si="14"/>
        <v/>
      </c>
    </row>
    <row r="967" spans="3:3" x14ac:dyDescent="0.2">
      <c r="C967" s="198" t="str">
        <f t="shared" si="14"/>
        <v/>
      </c>
    </row>
    <row r="968" spans="3:3" x14ac:dyDescent="0.2">
      <c r="C968" s="198" t="str">
        <f t="shared" si="14"/>
        <v/>
      </c>
    </row>
    <row r="969" spans="3:3" x14ac:dyDescent="0.2">
      <c r="C969" s="198" t="str">
        <f t="shared" si="14"/>
        <v/>
      </c>
    </row>
    <row r="970" spans="3:3" x14ac:dyDescent="0.2">
      <c r="C970" s="198" t="str">
        <f t="shared" si="14"/>
        <v/>
      </c>
    </row>
    <row r="971" spans="3:3" x14ac:dyDescent="0.2">
      <c r="C971" s="198" t="str">
        <f t="shared" si="14"/>
        <v/>
      </c>
    </row>
    <row r="972" spans="3:3" x14ac:dyDescent="0.2">
      <c r="C972" s="198" t="str">
        <f t="shared" si="14"/>
        <v/>
      </c>
    </row>
    <row r="973" spans="3:3" x14ac:dyDescent="0.2">
      <c r="C973" s="198" t="str">
        <f t="shared" si="14"/>
        <v/>
      </c>
    </row>
    <row r="974" spans="3:3" x14ac:dyDescent="0.2">
      <c r="C974" s="198" t="str">
        <f t="shared" si="14"/>
        <v/>
      </c>
    </row>
    <row r="975" spans="3:3" x14ac:dyDescent="0.2">
      <c r="C975" s="198" t="str">
        <f t="shared" si="14"/>
        <v/>
      </c>
    </row>
    <row r="976" spans="3:3" x14ac:dyDescent="0.2">
      <c r="C976" s="198" t="str">
        <f t="shared" si="14"/>
        <v/>
      </c>
    </row>
    <row r="977" spans="3:3" x14ac:dyDescent="0.2">
      <c r="C977" s="198" t="str">
        <f t="shared" si="14"/>
        <v/>
      </c>
    </row>
    <row r="978" spans="3:3" x14ac:dyDescent="0.2">
      <c r="C978" s="198" t="str">
        <f t="shared" si="14"/>
        <v/>
      </c>
    </row>
    <row r="979" spans="3:3" x14ac:dyDescent="0.2">
      <c r="C979" s="198" t="str">
        <f t="shared" si="14"/>
        <v/>
      </c>
    </row>
    <row r="980" spans="3:3" x14ac:dyDescent="0.2">
      <c r="C980" s="198" t="str">
        <f t="shared" si="14"/>
        <v/>
      </c>
    </row>
    <row r="981" spans="3:3" x14ac:dyDescent="0.2">
      <c r="C981" s="198" t="str">
        <f t="shared" si="14"/>
        <v/>
      </c>
    </row>
    <row r="982" spans="3:3" x14ac:dyDescent="0.2">
      <c r="C982" s="198" t="str">
        <f t="shared" si="14"/>
        <v/>
      </c>
    </row>
    <row r="983" spans="3:3" x14ac:dyDescent="0.2">
      <c r="C983" s="198" t="str">
        <f t="shared" ref="C983:C1019" si="15">IF(A983=0,"","Elastic")</f>
        <v/>
      </c>
    </row>
    <row r="984" spans="3:3" x14ac:dyDescent="0.2">
      <c r="C984" s="198" t="str">
        <f t="shared" si="15"/>
        <v/>
      </c>
    </row>
    <row r="985" spans="3:3" x14ac:dyDescent="0.2">
      <c r="C985" s="198" t="str">
        <f t="shared" si="15"/>
        <v/>
      </c>
    </row>
    <row r="986" spans="3:3" x14ac:dyDescent="0.2">
      <c r="C986" s="198" t="str">
        <f t="shared" si="15"/>
        <v/>
      </c>
    </row>
    <row r="987" spans="3:3" x14ac:dyDescent="0.2">
      <c r="C987" s="198" t="str">
        <f t="shared" si="15"/>
        <v/>
      </c>
    </row>
    <row r="988" spans="3:3" x14ac:dyDescent="0.2">
      <c r="C988" s="198" t="str">
        <f t="shared" si="15"/>
        <v/>
      </c>
    </row>
    <row r="989" spans="3:3" x14ac:dyDescent="0.2">
      <c r="C989" s="198" t="str">
        <f t="shared" si="15"/>
        <v/>
      </c>
    </row>
    <row r="990" spans="3:3" x14ac:dyDescent="0.2">
      <c r="C990" s="198" t="str">
        <f t="shared" si="15"/>
        <v/>
      </c>
    </row>
    <row r="991" spans="3:3" x14ac:dyDescent="0.2">
      <c r="C991" s="198" t="str">
        <f t="shared" si="15"/>
        <v/>
      </c>
    </row>
    <row r="992" spans="3:3" x14ac:dyDescent="0.2">
      <c r="C992" s="198" t="str">
        <f t="shared" si="15"/>
        <v/>
      </c>
    </row>
    <row r="993" spans="3:3" x14ac:dyDescent="0.2">
      <c r="C993" s="198" t="str">
        <f t="shared" si="15"/>
        <v/>
      </c>
    </row>
    <row r="994" spans="3:3" x14ac:dyDescent="0.2">
      <c r="C994" s="198" t="str">
        <f t="shared" si="15"/>
        <v/>
      </c>
    </row>
    <row r="995" spans="3:3" x14ac:dyDescent="0.2">
      <c r="C995" s="198" t="str">
        <f t="shared" si="15"/>
        <v/>
      </c>
    </row>
    <row r="996" spans="3:3" x14ac:dyDescent="0.2">
      <c r="C996" s="198" t="str">
        <f t="shared" si="15"/>
        <v/>
      </c>
    </row>
    <row r="997" spans="3:3" x14ac:dyDescent="0.2">
      <c r="C997" s="198" t="str">
        <f t="shared" si="15"/>
        <v/>
      </c>
    </row>
    <row r="998" spans="3:3" x14ac:dyDescent="0.2">
      <c r="C998" s="198" t="str">
        <f t="shared" si="15"/>
        <v/>
      </c>
    </row>
    <row r="999" spans="3:3" x14ac:dyDescent="0.2">
      <c r="C999" s="198" t="str">
        <f t="shared" si="15"/>
        <v/>
      </c>
    </row>
    <row r="1000" spans="3:3" x14ac:dyDescent="0.2">
      <c r="C1000" s="198" t="str">
        <f t="shared" si="15"/>
        <v/>
      </c>
    </row>
    <row r="1001" spans="3:3" x14ac:dyDescent="0.2">
      <c r="C1001" s="198" t="str">
        <f t="shared" si="15"/>
        <v/>
      </c>
    </row>
    <row r="1002" spans="3:3" x14ac:dyDescent="0.2">
      <c r="C1002" s="198" t="str">
        <f t="shared" si="15"/>
        <v/>
      </c>
    </row>
    <row r="1003" spans="3:3" x14ac:dyDescent="0.2">
      <c r="C1003" s="198" t="str">
        <f t="shared" si="15"/>
        <v/>
      </c>
    </row>
    <row r="1004" spans="3:3" x14ac:dyDescent="0.2">
      <c r="C1004" s="198" t="str">
        <f t="shared" si="15"/>
        <v/>
      </c>
    </row>
    <row r="1005" spans="3:3" x14ac:dyDescent="0.2">
      <c r="C1005" s="198" t="str">
        <f t="shared" si="15"/>
        <v/>
      </c>
    </row>
    <row r="1006" spans="3:3" x14ac:dyDescent="0.2">
      <c r="C1006" s="198" t="str">
        <f t="shared" si="15"/>
        <v/>
      </c>
    </row>
    <row r="1007" spans="3:3" x14ac:dyDescent="0.2">
      <c r="C1007" s="198" t="str">
        <f t="shared" si="15"/>
        <v/>
      </c>
    </row>
    <row r="1008" spans="3:3" x14ac:dyDescent="0.2">
      <c r="C1008" s="198" t="str">
        <f t="shared" si="15"/>
        <v/>
      </c>
    </row>
    <row r="1009" spans="3:3" x14ac:dyDescent="0.2">
      <c r="C1009" s="198" t="str">
        <f t="shared" si="15"/>
        <v/>
      </c>
    </row>
    <row r="1010" spans="3:3" x14ac:dyDescent="0.2">
      <c r="C1010" s="198" t="str">
        <f t="shared" si="15"/>
        <v/>
      </c>
    </row>
    <row r="1011" spans="3:3" x14ac:dyDescent="0.2">
      <c r="C1011" s="198" t="str">
        <f t="shared" si="15"/>
        <v/>
      </c>
    </row>
    <row r="1012" spans="3:3" x14ac:dyDescent="0.2">
      <c r="C1012" s="198" t="str">
        <f t="shared" si="15"/>
        <v/>
      </c>
    </row>
    <row r="1013" spans="3:3" x14ac:dyDescent="0.2">
      <c r="C1013" s="198" t="str">
        <f t="shared" si="15"/>
        <v/>
      </c>
    </row>
    <row r="1014" spans="3:3" x14ac:dyDescent="0.2">
      <c r="C1014" s="198" t="str">
        <f t="shared" si="15"/>
        <v/>
      </c>
    </row>
    <row r="1015" spans="3:3" x14ac:dyDescent="0.2">
      <c r="C1015" s="198" t="str">
        <f t="shared" si="15"/>
        <v/>
      </c>
    </row>
    <row r="1016" spans="3:3" x14ac:dyDescent="0.2">
      <c r="C1016" s="198" t="str">
        <f t="shared" si="15"/>
        <v/>
      </c>
    </row>
    <row r="1017" spans="3:3" x14ac:dyDescent="0.2">
      <c r="C1017" s="198" t="str">
        <f t="shared" si="15"/>
        <v/>
      </c>
    </row>
    <row r="1018" spans="3:3" x14ac:dyDescent="0.2">
      <c r="C1018" s="198" t="str">
        <f t="shared" si="15"/>
        <v/>
      </c>
    </row>
    <row r="1019" spans="3:3" x14ac:dyDescent="0.2">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102</v>
      </c>
      <c r="B1" s="32"/>
      <c r="C1" s="39"/>
      <c r="D1" s="110"/>
      <c r="E1" s="33"/>
    </row>
    <row r="2" spans="1:5" x14ac:dyDescent="0.2">
      <c r="A2" s="40" t="s">
        <v>193</v>
      </c>
      <c r="B2" s="34"/>
      <c r="C2" s="47"/>
      <c r="D2" s="109"/>
      <c r="E2" s="35"/>
    </row>
    <row r="3" spans="1:5" x14ac:dyDescent="0.2">
      <c r="A3" s="120" t="s">
        <v>224</v>
      </c>
      <c r="B3" s="34"/>
      <c r="C3" s="47"/>
      <c r="D3" s="109"/>
      <c r="E3" s="35"/>
    </row>
    <row r="4" spans="1:5" x14ac:dyDescent="0.2">
      <c r="A4" s="43" t="str">
        <f>"- t: Slab thickness (Input as float) ("&amp;'User Defined Units'!$B$11&amp;")"</f>
        <v>- t: Slab thickness (Input as float) (m)</v>
      </c>
      <c r="B4" s="36"/>
      <c r="C4" s="41"/>
      <c r="D4" s="111"/>
      <c r="E4" s="37"/>
    </row>
    <row r="5" spans="1:5" x14ac:dyDescent="0.2">
      <c r="A5" s="27"/>
      <c r="B5" s="1"/>
      <c r="C5" s="3"/>
    </row>
    <row r="6" spans="1:5" s="5" customFormat="1" x14ac:dyDescent="0.2">
      <c r="A6" s="25" t="s">
        <v>24</v>
      </c>
      <c r="B6" s="24" t="s">
        <v>223</v>
      </c>
      <c r="C6" s="25" t="s">
        <v>32</v>
      </c>
    </row>
    <row r="7" spans="1:5" x14ac:dyDescent="0.2">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8" customWidth="1"/>
    <col min="2" max="4" width="10.6640625" style="75" customWidth="1"/>
    <col min="5" max="5" width="10.6640625" style="74" customWidth="1"/>
    <col min="6" max="6" width="10.83203125" style="74" customWidth="1"/>
    <col min="7" max="16384" width="10.83203125" style="63"/>
  </cols>
  <sheetData>
    <row r="1" spans="1:9" x14ac:dyDescent="0.2">
      <c r="A1" s="59" t="s">
        <v>102</v>
      </c>
      <c r="B1" s="60"/>
      <c r="C1" s="60"/>
      <c r="D1" s="60"/>
      <c r="E1" s="61"/>
      <c r="F1" s="61"/>
      <c r="G1" s="61"/>
      <c r="H1" s="61"/>
      <c r="I1" s="62"/>
    </row>
    <row r="2" spans="1:9" x14ac:dyDescent="0.2">
      <c r="A2" s="83" t="s">
        <v>190</v>
      </c>
      <c r="B2" s="114"/>
      <c r="C2" s="114"/>
      <c r="D2" s="114"/>
      <c r="E2" s="115"/>
      <c r="F2" s="115"/>
      <c r="G2" s="115"/>
      <c r="H2" s="115"/>
      <c r="I2" s="65"/>
    </row>
    <row r="3" spans="1:9" x14ac:dyDescent="0.2">
      <c r="A3" s="66" t="str">
        <f>"- X: X coordinate of point objects (Input as Float) ("&amp;'User Defined Units'!$B$11&amp;")"</f>
        <v>- X: X coordinate of point objects (Input as Float) (m)</v>
      </c>
      <c r="B3" s="114"/>
      <c r="C3" s="114"/>
      <c r="D3" s="114"/>
      <c r="E3" s="115"/>
      <c r="F3" s="115"/>
      <c r="G3" s="115"/>
      <c r="H3" s="115"/>
      <c r="I3" s="65"/>
    </row>
    <row r="4" spans="1:9" x14ac:dyDescent="0.2">
      <c r="A4" s="66" t="str">
        <f>"- Y: Y coordinate of point objects (Input as Float) ("&amp;'User Defined Units'!$B$11&amp;")"</f>
        <v>- Y: Y coordinate of point objects (Input as Float) (m)</v>
      </c>
      <c r="B4" s="114"/>
      <c r="C4" s="114"/>
      <c r="D4" s="114"/>
      <c r="E4" s="115"/>
      <c r="F4" s="115"/>
      <c r="G4" s="115"/>
      <c r="H4" s="115"/>
      <c r="I4" s="65"/>
    </row>
    <row r="5" spans="1:9" x14ac:dyDescent="0.2">
      <c r="A5" s="67" t="str">
        <f>"- Z: Z coordinate of point objects (Input as Float) ("&amp;'User Defined Units'!$B$11&amp;")"</f>
        <v>- Z: Z coordinate of point objects (Input as Float) (m)</v>
      </c>
      <c r="B5" s="68"/>
      <c r="C5" s="68"/>
      <c r="D5" s="68"/>
      <c r="E5" s="69"/>
      <c r="F5" s="69"/>
      <c r="G5" s="69"/>
      <c r="H5" s="69"/>
      <c r="I5" s="70"/>
    </row>
    <row r="6" spans="1:9" x14ac:dyDescent="0.2">
      <c r="A6" s="71"/>
      <c r="B6" s="72"/>
      <c r="C6" s="72"/>
      <c r="D6" s="72"/>
      <c r="E6" s="63"/>
      <c r="F6" s="63"/>
    </row>
    <row r="7" spans="1:9" s="6" customFormat="1" x14ac:dyDescent="0.2">
      <c r="A7" s="73" t="s">
        <v>189</v>
      </c>
      <c r="B7" s="10" t="s">
        <v>34</v>
      </c>
      <c r="C7" s="10" t="s">
        <v>35</v>
      </c>
      <c r="D7" s="10" t="s">
        <v>36</v>
      </c>
      <c r="E7" s="123"/>
      <c r="F7" s="74"/>
    </row>
    <row r="8" spans="1:9" x14ac:dyDescent="0.2">
      <c r="A8" s="108">
        <v>1</v>
      </c>
      <c r="B8" s="75">
        <v>0</v>
      </c>
      <c r="C8" s="75">
        <v>0</v>
      </c>
      <c r="D8" s="75">
        <v>0</v>
      </c>
    </row>
    <row r="9" spans="1:9" x14ac:dyDescent="0.2">
      <c r="A9" s="108">
        <v>2</v>
      </c>
      <c r="B9" s="75">
        <v>8</v>
      </c>
      <c r="C9" s="75">
        <v>0</v>
      </c>
      <c r="D9" s="75">
        <v>0</v>
      </c>
    </row>
    <row r="10" spans="1:9" x14ac:dyDescent="0.2">
      <c r="A10" s="106">
        <v>3</v>
      </c>
      <c r="B10" s="75">
        <v>16</v>
      </c>
      <c r="C10" s="75">
        <v>0</v>
      </c>
      <c r="D10" s="75">
        <v>0</v>
      </c>
    </row>
    <row r="11" spans="1:9" x14ac:dyDescent="0.2">
      <c r="A11" s="108">
        <v>4</v>
      </c>
      <c r="B11" s="75">
        <v>24</v>
      </c>
      <c r="C11" s="75">
        <v>0</v>
      </c>
      <c r="D11" s="75">
        <v>0</v>
      </c>
    </row>
    <row r="12" spans="1:9" x14ac:dyDescent="0.2">
      <c r="A12" s="108">
        <v>5</v>
      </c>
      <c r="B12" s="75">
        <v>32</v>
      </c>
      <c r="C12" s="75">
        <v>0</v>
      </c>
      <c r="D12" s="75">
        <v>0</v>
      </c>
    </row>
    <row r="13" spans="1:9" x14ac:dyDescent="0.2">
      <c r="A13" s="108">
        <v>6</v>
      </c>
      <c r="B13" s="75">
        <v>0</v>
      </c>
      <c r="C13" s="75">
        <v>8</v>
      </c>
      <c r="D13" s="75">
        <v>0</v>
      </c>
    </row>
    <row r="14" spans="1:9" x14ac:dyDescent="0.2">
      <c r="A14" s="108">
        <v>7</v>
      </c>
      <c r="B14" s="75">
        <v>8</v>
      </c>
      <c r="C14" s="75">
        <v>8</v>
      </c>
      <c r="D14" s="75">
        <v>0</v>
      </c>
    </row>
    <row r="15" spans="1:9" x14ac:dyDescent="0.2">
      <c r="A15" s="108">
        <v>8</v>
      </c>
      <c r="B15" s="75">
        <v>16</v>
      </c>
      <c r="C15" s="75">
        <v>8</v>
      </c>
      <c r="D15" s="75">
        <v>0</v>
      </c>
    </row>
    <row r="16" spans="1:9" x14ac:dyDescent="0.2">
      <c r="A16" s="108">
        <v>9</v>
      </c>
      <c r="B16" s="75">
        <v>24</v>
      </c>
      <c r="C16" s="75">
        <v>8</v>
      </c>
      <c r="D16" s="75">
        <v>0</v>
      </c>
    </row>
    <row r="17" spans="1:4" x14ac:dyDescent="0.2">
      <c r="A17" s="108">
        <v>10</v>
      </c>
      <c r="B17" s="75">
        <v>32</v>
      </c>
      <c r="C17" s="75">
        <v>8</v>
      </c>
      <c r="D17" s="75">
        <v>0</v>
      </c>
    </row>
    <row r="18" spans="1:4" x14ac:dyDescent="0.2">
      <c r="A18" s="108">
        <v>11</v>
      </c>
      <c r="B18" s="75">
        <v>0</v>
      </c>
      <c r="C18" s="75">
        <v>16</v>
      </c>
      <c r="D18" s="75">
        <v>0</v>
      </c>
    </row>
    <row r="19" spans="1:4" x14ac:dyDescent="0.2">
      <c r="A19" s="108">
        <v>12</v>
      </c>
      <c r="B19" s="75">
        <v>8</v>
      </c>
      <c r="C19" s="75">
        <v>16</v>
      </c>
      <c r="D19" s="75">
        <v>0</v>
      </c>
    </row>
    <row r="20" spans="1:4" x14ac:dyDescent="0.2">
      <c r="A20" s="108">
        <v>13</v>
      </c>
      <c r="B20" s="75">
        <v>16</v>
      </c>
      <c r="C20" s="75">
        <v>16</v>
      </c>
      <c r="D20" s="75">
        <v>0</v>
      </c>
    </row>
    <row r="21" spans="1:4" x14ac:dyDescent="0.2">
      <c r="A21" s="108">
        <v>14</v>
      </c>
      <c r="B21" s="75">
        <v>24</v>
      </c>
      <c r="C21" s="75">
        <v>16</v>
      </c>
      <c r="D21" s="75">
        <v>0</v>
      </c>
    </row>
    <row r="22" spans="1:4" x14ac:dyDescent="0.2">
      <c r="A22" s="108">
        <v>15</v>
      </c>
      <c r="B22" s="75">
        <v>32</v>
      </c>
      <c r="C22" s="75">
        <v>16</v>
      </c>
      <c r="D22" s="75">
        <v>0</v>
      </c>
    </row>
    <row r="23" spans="1:4" x14ac:dyDescent="0.2">
      <c r="A23" s="108">
        <v>16</v>
      </c>
      <c r="B23" s="75">
        <v>0</v>
      </c>
      <c r="C23" s="75">
        <v>24</v>
      </c>
      <c r="D23" s="75">
        <v>0</v>
      </c>
    </row>
    <row r="24" spans="1:4" x14ac:dyDescent="0.2">
      <c r="A24" s="108">
        <v>17</v>
      </c>
      <c r="B24" s="75">
        <v>8</v>
      </c>
      <c r="C24" s="75">
        <v>24</v>
      </c>
      <c r="D24" s="75">
        <v>0</v>
      </c>
    </row>
    <row r="25" spans="1:4" x14ac:dyDescent="0.2">
      <c r="A25" s="108">
        <v>18</v>
      </c>
      <c r="B25" s="75">
        <v>16</v>
      </c>
      <c r="C25" s="75">
        <v>24</v>
      </c>
      <c r="D25" s="75">
        <v>0</v>
      </c>
    </row>
    <row r="26" spans="1:4" x14ac:dyDescent="0.2">
      <c r="A26" s="108">
        <v>19</v>
      </c>
      <c r="B26" s="75">
        <v>24</v>
      </c>
      <c r="C26" s="75">
        <v>24</v>
      </c>
      <c r="D26" s="75">
        <v>0</v>
      </c>
    </row>
    <row r="27" spans="1:4" x14ac:dyDescent="0.2">
      <c r="A27" s="108">
        <v>20</v>
      </c>
      <c r="B27" s="75">
        <v>32</v>
      </c>
      <c r="C27" s="75">
        <v>24</v>
      </c>
      <c r="D27" s="75">
        <v>0</v>
      </c>
    </row>
    <row r="28" spans="1:4" x14ac:dyDescent="0.2">
      <c r="A28" s="108">
        <v>21</v>
      </c>
      <c r="B28" s="75">
        <v>0</v>
      </c>
      <c r="C28" s="75">
        <v>32</v>
      </c>
      <c r="D28" s="75">
        <v>0</v>
      </c>
    </row>
    <row r="29" spans="1:4" x14ac:dyDescent="0.2">
      <c r="A29" s="108">
        <v>22</v>
      </c>
      <c r="B29" s="75">
        <v>8</v>
      </c>
      <c r="C29" s="75">
        <v>32</v>
      </c>
      <c r="D29" s="75">
        <v>0</v>
      </c>
    </row>
    <row r="30" spans="1:4" x14ac:dyDescent="0.2">
      <c r="A30" s="108">
        <v>23</v>
      </c>
      <c r="B30" s="75">
        <v>16</v>
      </c>
      <c r="C30" s="75">
        <v>32</v>
      </c>
      <c r="D30" s="75">
        <v>0</v>
      </c>
    </row>
    <row r="31" spans="1:4" x14ac:dyDescent="0.2">
      <c r="A31" s="108">
        <v>24</v>
      </c>
      <c r="B31" s="75">
        <v>24</v>
      </c>
      <c r="C31" s="75">
        <v>32</v>
      </c>
      <c r="D31" s="75">
        <v>0</v>
      </c>
    </row>
    <row r="32" spans="1:4" x14ac:dyDescent="0.2">
      <c r="A32" s="108">
        <v>25</v>
      </c>
      <c r="B32" s="75">
        <v>32</v>
      </c>
      <c r="C32" s="75">
        <v>32</v>
      </c>
      <c r="D32" s="75">
        <v>0</v>
      </c>
    </row>
    <row r="33" spans="1:4" x14ac:dyDescent="0.2">
      <c r="A33" s="108">
        <v>26</v>
      </c>
      <c r="B33" s="75">
        <v>0</v>
      </c>
      <c r="C33" s="75">
        <v>0</v>
      </c>
      <c r="D33" s="75">
        <v>4</v>
      </c>
    </row>
    <row r="34" spans="1:4" x14ac:dyDescent="0.2">
      <c r="A34" s="108">
        <v>27</v>
      </c>
      <c r="B34" s="75">
        <v>8</v>
      </c>
      <c r="C34" s="75">
        <v>0</v>
      </c>
      <c r="D34" s="75">
        <v>4</v>
      </c>
    </row>
    <row r="35" spans="1:4" x14ac:dyDescent="0.2">
      <c r="A35" s="108">
        <v>28</v>
      </c>
      <c r="B35" s="75">
        <v>16</v>
      </c>
      <c r="C35" s="75">
        <v>0</v>
      </c>
      <c r="D35" s="75">
        <v>4</v>
      </c>
    </row>
    <row r="36" spans="1:4" x14ac:dyDescent="0.2">
      <c r="A36" s="108">
        <v>29</v>
      </c>
      <c r="B36" s="75">
        <v>24</v>
      </c>
      <c r="C36" s="75">
        <v>0</v>
      </c>
      <c r="D36" s="75">
        <v>4</v>
      </c>
    </row>
    <row r="37" spans="1:4" x14ac:dyDescent="0.2">
      <c r="A37" s="108">
        <v>30</v>
      </c>
      <c r="B37" s="75">
        <v>32</v>
      </c>
      <c r="C37" s="75">
        <v>0</v>
      </c>
      <c r="D37" s="75">
        <v>4</v>
      </c>
    </row>
    <row r="38" spans="1:4" x14ac:dyDescent="0.2">
      <c r="A38" s="108">
        <v>31</v>
      </c>
      <c r="B38" s="75">
        <v>0</v>
      </c>
      <c r="C38" s="75">
        <v>8</v>
      </c>
      <c r="D38" s="75">
        <v>4</v>
      </c>
    </row>
    <row r="39" spans="1:4" x14ac:dyDescent="0.2">
      <c r="A39" s="108">
        <v>32</v>
      </c>
      <c r="B39" s="75">
        <v>8</v>
      </c>
      <c r="C39" s="75">
        <v>8</v>
      </c>
      <c r="D39" s="75">
        <v>4</v>
      </c>
    </row>
    <row r="40" spans="1:4" x14ac:dyDescent="0.2">
      <c r="A40" s="108">
        <v>33</v>
      </c>
      <c r="B40" s="75">
        <v>16</v>
      </c>
      <c r="C40" s="75">
        <v>8</v>
      </c>
      <c r="D40" s="75">
        <v>4</v>
      </c>
    </row>
    <row r="41" spans="1:4" x14ac:dyDescent="0.2">
      <c r="A41" s="108">
        <v>34</v>
      </c>
      <c r="B41" s="75">
        <v>24</v>
      </c>
      <c r="C41" s="75">
        <v>8</v>
      </c>
      <c r="D41" s="75">
        <v>4</v>
      </c>
    </row>
    <row r="42" spans="1:4" x14ac:dyDescent="0.2">
      <c r="A42" s="108">
        <v>35</v>
      </c>
      <c r="B42" s="75">
        <v>32</v>
      </c>
      <c r="C42" s="75">
        <v>8</v>
      </c>
      <c r="D42" s="75">
        <v>4</v>
      </c>
    </row>
    <row r="43" spans="1:4" x14ac:dyDescent="0.2">
      <c r="A43" s="108">
        <v>36</v>
      </c>
      <c r="B43" s="75">
        <v>0</v>
      </c>
      <c r="C43" s="75">
        <v>16</v>
      </c>
      <c r="D43" s="75">
        <v>4</v>
      </c>
    </row>
    <row r="44" spans="1:4" x14ac:dyDescent="0.2">
      <c r="A44" s="108">
        <v>37</v>
      </c>
      <c r="B44" s="75">
        <v>8</v>
      </c>
      <c r="C44" s="75">
        <v>16</v>
      </c>
      <c r="D44" s="75">
        <v>4</v>
      </c>
    </row>
    <row r="45" spans="1:4" x14ac:dyDescent="0.2">
      <c r="A45" s="108">
        <v>38</v>
      </c>
      <c r="B45" s="75">
        <v>16</v>
      </c>
      <c r="C45" s="75">
        <v>16</v>
      </c>
      <c r="D45" s="75">
        <v>4</v>
      </c>
    </row>
    <row r="46" spans="1:4" x14ac:dyDescent="0.2">
      <c r="A46" s="108">
        <v>39</v>
      </c>
      <c r="B46" s="75">
        <v>24</v>
      </c>
      <c r="C46" s="75">
        <v>16</v>
      </c>
      <c r="D46" s="75">
        <v>4</v>
      </c>
    </row>
    <row r="47" spans="1:4" x14ac:dyDescent="0.2">
      <c r="A47" s="108">
        <v>40</v>
      </c>
      <c r="B47" s="75">
        <v>32</v>
      </c>
      <c r="C47" s="75">
        <v>16</v>
      </c>
      <c r="D47" s="75">
        <v>4</v>
      </c>
    </row>
    <row r="48" spans="1:4" x14ac:dyDescent="0.2">
      <c r="A48" s="108">
        <v>41</v>
      </c>
      <c r="B48" s="75">
        <v>0</v>
      </c>
      <c r="C48" s="75">
        <v>24</v>
      </c>
      <c r="D48" s="75">
        <v>4</v>
      </c>
    </row>
    <row r="49" spans="1:4" x14ac:dyDescent="0.2">
      <c r="A49" s="108">
        <v>42</v>
      </c>
      <c r="B49" s="75">
        <v>8</v>
      </c>
      <c r="C49" s="75">
        <v>24</v>
      </c>
      <c r="D49" s="75">
        <v>4</v>
      </c>
    </row>
    <row r="50" spans="1:4" x14ac:dyDescent="0.2">
      <c r="A50" s="108">
        <v>43</v>
      </c>
      <c r="B50" s="75">
        <v>16</v>
      </c>
      <c r="C50" s="75">
        <v>24</v>
      </c>
      <c r="D50" s="75">
        <v>4</v>
      </c>
    </row>
    <row r="51" spans="1:4" x14ac:dyDescent="0.2">
      <c r="A51" s="108">
        <v>44</v>
      </c>
      <c r="B51" s="75">
        <v>24</v>
      </c>
      <c r="C51" s="75">
        <v>24</v>
      </c>
      <c r="D51" s="75">
        <v>4</v>
      </c>
    </row>
    <row r="52" spans="1:4" x14ac:dyDescent="0.2">
      <c r="A52" s="108">
        <v>45</v>
      </c>
      <c r="B52" s="75">
        <v>32</v>
      </c>
      <c r="C52" s="75">
        <v>24</v>
      </c>
      <c r="D52" s="75">
        <v>4</v>
      </c>
    </row>
    <row r="53" spans="1:4" x14ac:dyDescent="0.2">
      <c r="A53" s="108">
        <v>46</v>
      </c>
      <c r="B53" s="75">
        <v>0</v>
      </c>
      <c r="C53" s="75">
        <v>32</v>
      </c>
      <c r="D53" s="75">
        <v>4</v>
      </c>
    </row>
    <row r="54" spans="1:4" x14ac:dyDescent="0.2">
      <c r="A54" s="108">
        <v>47</v>
      </c>
      <c r="B54" s="75">
        <v>8</v>
      </c>
      <c r="C54" s="75">
        <v>32</v>
      </c>
      <c r="D54" s="75">
        <v>4</v>
      </c>
    </row>
    <row r="55" spans="1:4" x14ac:dyDescent="0.2">
      <c r="A55" s="108">
        <v>48</v>
      </c>
      <c r="B55" s="75">
        <v>16</v>
      </c>
      <c r="C55" s="75">
        <v>32</v>
      </c>
      <c r="D55" s="75">
        <v>4</v>
      </c>
    </row>
    <row r="56" spans="1:4" x14ac:dyDescent="0.2">
      <c r="A56" s="108">
        <v>49</v>
      </c>
      <c r="B56" s="75">
        <v>24</v>
      </c>
      <c r="C56" s="75">
        <v>32</v>
      </c>
      <c r="D56" s="75">
        <v>4</v>
      </c>
    </row>
    <row r="57" spans="1:4" x14ac:dyDescent="0.2">
      <c r="A57" s="108">
        <v>50</v>
      </c>
      <c r="B57" s="75">
        <v>32</v>
      </c>
      <c r="C57" s="75">
        <v>32</v>
      </c>
      <c r="D57" s="75">
        <v>4</v>
      </c>
    </row>
    <row r="58" spans="1:4" x14ac:dyDescent="0.2">
      <c r="A58" s="108">
        <v>51</v>
      </c>
      <c r="B58" s="75">
        <v>0</v>
      </c>
      <c r="C58" s="75">
        <v>0</v>
      </c>
      <c r="D58" s="75">
        <v>7.5</v>
      </c>
    </row>
    <row r="59" spans="1:4" x14ac:dyDescent="0.2">
      <c r="A59" s="108">
        <v>52</v>
      </c>
      <c r="B59" s="75">
        <v>8</v>
      </c>
      <c r="C59" s="75">
        <v>0</v>
      </c>
      <c r="D59" s="75">
        <v>7.5</v>
      </c>
    </row>
    <row r="60" spans="1:4" x14ac:dyDescent="0.2">
      <c r="A60" s="108">
        <v>53</v>
      </c>
      <c r="B60" s="75">
        <v>16</v>
      </c>
      <c r="C60" s="75">
        <v>0</v>
      </c>
      <c r="D60" s="75">
        <v>7.5</v>
      </c>
    </row>
    <row r="61" spans="1:4" x14ac:dyDescent="0.2">
      <c r="A61" s="108">
        <v>54</v>
      </c>
      <c r="B61" s="75">
        <v>24</v>
      </c>
      <c r="C61" s="75">
        <v>0</v>
      </c>
      <c r="D61" s="75">
        <v>7.5</v>
      </c>
    </row>
    <row r="62" spans="1:4" x14ac:dyDescent="0.2">
      <c r="A62" s="108">
        <v>55</v>
      </c>
      <c r="B62" s="75">
        <v>32</v>
      </c>
      <c r="C62" s="75">
        <v>0</v>
      </c>
      <c r="D62" s="75">
        <v>7.5</v>
      </c>
    </row>
    <row r="63" spans="1:4" x14ac:dyDescent="0.2">
      <c r="A63" s="108">
        <v>56</v>
      </c>
      <c r="B63" s="75">
        <v>0</v>
      </c>
      <c r="C63" s="75">
        <v>8</v>
      </c>
      <c r="D63" s="75">
        <v>7.5</v>
      </c>
    </row>
    <row r="64" spans="1:4" x14ac:dyDescent="0.2">
      <c r="A64" s="108">
        <v>57</v>
      </c>
      <c r="B64" s="75">
        <v>8</v>
      </c>
      <c r="C64" s="75">
        <v>8</v>
      </c>
      <c r="D64" s="75">
        <v>7.5</v>
      </c>
    </row>
    <row r="65" spans="1:4" x14ac:dyDescent="0.2">
      <c r="A65" s="108">
        <v>58</v>
      </c>
      <c r="B65" s="75">
        <v>16</v>
      </c>
      <c r="C65" s="75">
        <v>8</v>
      </c>
      <c r="D65" s="75">
        <v>7.5</v>
      </c>
    </row>
    <row r="66" spans="1:4" x14ac:dyDescent="0.2">
      <c r="A66" s="108">
        <v>59</v>
      </c>
      <c r="B66" s="75">
        <v>24</v>
      </c>
      <c r="C66" s="75">
        <v>8</v>
      </c>
      <c r="D66" s="75">
        <v>7.5</v>
      </c>
    </row>
    <row r="67" spans="1:4" x14ac:dyDescent="0.2">
      <c r="A67" s="108">
        <v>60</v>
      </c>
      <c r="B67" s="75">
        <v>32</v>
      </c>
      <c r="C67" s="75">
        <v>8</v>
      </c>
      <c r="D67" s="75">
        <v>7.5</v>
      </c>
    </row>
    <row r="68" spans="1:4" x14ac:dyDescent="0.2">
      <c r="A68" s="108">
        <v>61</v>
      </c>
      <c r="B68" s="75">
        <v>0</v>
      </c>
      <c r="C68" s="75">
        <v>16</v>
      </c>
      <c r="D68" s="75">
        <v>7.5</v>
      </c>
    </row>
    <row r="69" spans="1:4" x14ac:dyDescent="0.2">
      <c r="A69" s="108">
        <v>62</v>
      </c>
      <c r="B69" s="75">
        <v>8</v>
      </c>
      <c r="C69" s="75">
        <v>16</v>
      </c>
      <c r="D69" s="75">
        <v>7.5</v>
      </c>
    </row>
    <row r="70" spans="1:4" x14ac:dyDescent="0.2">
      <c r="A70" s="108">
        <v>63</v>
      </c>
      <c r="B70" s="75">
        <v>16</v>
      </c>
      <c r="C70" s="75">
        <v>16</v>
      </c>
      <c r="D70" s="75">
        <v>7.5</v>
      </c>
    </row>
    <row r="71" spans="1:4" x14ac:dyDescent="0.2">
      <c r="A71" s="108">
        <v>64</v>
      </c>
      <c r="B71" s="75">
        <v>24</v>
      </c>
      <c r="C71" s="75">
        <v>16</v>
      </c>
      <c r="D71" s="75">
        <v>7.5</v>
      </c>
    </row>
    <row r="72" spans="1:4" x14ac:dyDescent="0.2">
      <c r="A72" s="108">
        <v>65</v>
      </c>
      <c r="B72" s="75">
        <v>32</v>
      </c>
      <c r="C72" s="75">
        <v>16</v>
      </c>
      <c r="D72" s="75">
        <v>7.5</v>
      </c>
    </row>
    <row r="73" spans="1:4" x14ac:dyDescent="0.2">
      <c r="A73" s="108">
        <v>66</v>
      </c>
      <c r="B73" s="75">
        <v>0</v>
      </c>
      <c r="C73" s="75">
        <v>24</v>
      </c>
      <c r="D73" s="75">
        <v>7.5</v>
      </c>
    </row>
    <row r="74" spans="1:4" x14ac:dyDescent="0.2">
      <c r="A74" s="108">
        <v>67</v>
      </c>
      <c r="B74" s="75">
        <v>8</v>
      </c>
      <c r="C74" s="75">
        <v>24</v>
      </c>
      <c r="D74" s="75">
        <v>7.5</v>
      </c>
    </row>
    <row r="75" spans="1:4" x14ac:dyDescent="0.2">
      <c r="A75" s="108">
        <v>68</v>
      </c>
      <c r="B75" s="75">
        <v>16</v>
      </c>
      <c r="C75" s="75">
        <v>24</v>
      </c>
      <c r="D75" s="75">
        <v>7.5</v>
      </c>
    </row>
    <row r="76" spans="1:4" x14ac:dyDescent="0.2">
      <c r="A76" s="108">
        <v>69</v>
      </c>
      <c r="B76" s="75">
        <v>24</v>
      </c>
      <c r="C76" s="75">
        <v>24</v>
      </c>
      <c r="D76" s="75">
        <v>7.5</v>
      </c>
    </row>
    <row r="77" spans="1:4" x14ac:dyDescent="0.2">
      <c r="A77" s="108">
        <v>70</v>
      </c>
      <c r="B77" s="75">
        <v>32</v>
      </c>
      <c r="C77" s="75">
        <v>24</v>
      </c>
      <c r="D77" s="75">
        <v>7.5</v>
      </c>
    </row>
    <row r="78" spans="1:4" x14ac:dyDescent="0.2">
      <c r="A78" s="108">
        <v>71</v>
      </c>
      <c r="B78" s="75">
        <v>0</v>
      </c>
      <c r="C78" s="75">
        <v>32</v>
      </c>
      <c r="D78" s="75">
        <v>7.5</v>
      </c>
    </row>
    <row r="79" spans="1:4" x14ac:dyDescent="0.2">
      <c r="A79" s="108">
        <v>72</v>
      </c>
      <c r="B79" s="75">
        <v>8</v>
      </c>
      <c r="C79" s="75">
        <v>32</v>
      </c>
      <c r="D79" s="75">
        <v>7.5</v>
      </c>
    </row>
    <row r="80" spans="1:4" x14ac:dyDescent="0.2">
      <c r="A80" s="108">
        <v>73</v>
      </c>
      <c r="B80" s="75">
        <v>16</v>
      </c>
      <c r="C80" s="75">
        <v>32</v>
      </c>
      <c r="D80" s="75">
        <v>7.5</v>
      </c>
    </row>
    <row r="81" spans="1:4" x14ac:dyDescent="0.2">
      <c r="A81" s="108">
        <v>74</v>
      </c>
      <c r="B81" s="75">
        <v>24</v>
      </c>
      <c r="C81" s="75">
        <v>32</v>
      </c>
      <c r="D81" s="75">
        <v>7.5</v>
      </c>
    </row>
    <row r="82" spans="1:4" x14ac:dyDescent="0.2">
      <c r="A82" s="108">
        <v>75</v>
      </c>
      <c r="B82" s="75">
        <v>32</v>
      </c>
      <c r="C82" s="75">
        <v>32</v>
      </c>
      <c r="D82" s="75">
        <v>7.5</v>
      </c>
    </row>
    <row r="83" spans="1:4" x14ac:dyDescent="0.2">
      <c r="A83" s="108">
        <v>76</v>
      </c>
      <c r="B83" s="75">
        <v>0</v>
      </c>
      <c r="C83" s="75">
        <v>0</v>
      </c>
      <c r="D83" s="75">
        <v>11</v>
      </c>
    </row>
    <row r="84" spans="1:4" x14ac:dyDescent="0.2">
      <c r="A84" s="108">
        <v>77</v>
      </c>
      <c r="B84" s="75">
        <v>8</v>
      </c>
      <c r="C84" s="75">
        <v>0</v>
      </c>
      <c r="D84" s="75">
        <v>11</v>
      </c>
    </row>
    <row r="85" spans="1:4" x14ac:dyDescent="0.2">
      <c r="A85" s="108">
        <v>78</v>
      </c>
      <c r="B85" s="75">
        <v>16</v>
      </c>
      <c r="C85" s="75">
        <v>0</v>
      </c>
      <c r="D85" s="75">
        <v>11</v>
      </c>
    </row>
    <row r="86" spans="1:4" x14ac:dyDescent="0.2">
      <c r="A86" s="108">
        <v>79</v>
      </c>
      <c r="B86" s="75">
        <v>24</v>
      </c>
      <c r="C86" s="75">
        <v>0</v>
      </c>
      <c r="D86" s="75">
        <v>11</v>
      </c>
    </row>
    <row r="87" spans="1:4" x14ac:dyDescent="0.2">
      <c r="A87" s="108">
        <v>80</v>
      </c>
      <c r="B87" s="75">
        <v>32</v>
      </c>
      <c r="C87" s="75">
        <v>0</v>
      </c>
      <c r="D87" s="75">
        <v>11</v>
      </c>
    </row>
    <row r="88" spans="1:4" x14ac:dyDescent="0.2">
      <c r="A88" s="108">
        <v>81</v>
      </c>
      <c r="B88" s="75">
        <v>0</v>
      </c>
      <c r="C88" s="75">
        <v>8</v>
      </c>
      <c r="D88" s="75">
        <v>11</v>
      </c>
    </row>
    <row r="89" spans="1:4" x14ac:dyDescent="0.2">
      <c r="A89" s="108">
        <v>82</v>
      </c>
      <c r="B89" s="75">
        <v>8</v>
      </c>
      <c r="C89" s="75">
        <v>8</v>
      </c>
      <c r="D89" s="75">
        <v>11</v>
      </c>
    </row>
    <row r="90" spans="1:4" x14ac:dyDescent="0.2">
      <c r="A90" s="108">
        <v>83</v>
      </c>
      <c r="B90" s="75">
        <v>16</v>
      </c>
      <c r="C90" s="75">
        <v>8</v>
      </c>
      <c r="D90" s="75">
        <v>11</v>
      </c>
    </row>
    <row r="91" spans="1:4" x14ac:dyDescent="0.2">
      <c r="A91" s="108">
        <v>84</v>
      </c>
      <c r="B91" s="75">
        <v>24</v>
      </c>
      <c r="C91" s="75">
        <v>8</v>
      </c>
      <c r="D91" s="75">
        <v>11</v>
      </c>
    </row>
    <row r="92" spans="1:4" x14ac:dyDescent="0.2">
      <c r="A92" s="108">
        <v>85</v>
      </c>
      <c r="B92" s="75">
        <v>32</v>
      </c>
      <c r="C92" s="75">
        <v>8</v>
      </c>
      <c r="D92" s="75">
        <v>11</v>
      </c>
    </row>
    <row r="93" spans="1:4" x14ac:dyDescent="0.2">
      <c r="A93" s="108">
        <v>86</v>
      </c>
      <c r="B93" s="75">
        <v>0</v>
      </c>
      <c r="C93" s="75">
        <v>16</v>
      </c>
      <c r="D93" s="75">
        <v>11</v>
      </c>
    </row>
    <row r="94" spans="1:4" x14ac:dyDescent="0.2">
      <c r="A94" s="108">
        <v>87</v>
      </c>
      <c r="B94" s="75">
        <v>8</v>
      </c>
      <c r="C94" s="75">
        <v>16</v>
      </c>
      <c r="D94" s="75">
        <v>11</v>
      </c>
    </row>
    <row r="95" spans="1:4" x14ac:dyDescent="0.2">
      <c r="A95" s="108">
        <v>88</v>
      </c>
      <c r="B95" s="75">
        <v>16</v>
      </c>
      <c r="C95" s="75">
        <v>16</v>
      </c>
      <c r="D95" s="75">
        <v>11</v>
      </c>
    </row>
    <row r="96" spans="1:4" x14ac:dyDescent="0.2">
      <c r="A96" s="108">
        <v>89</v>
      </c>
      <c r="B96" s="75">
        <v>24</v>
      </c>
      <c r="C96" s="75">
        <v>16</v>
      </c>
      <c r="D96" s="75">
        <v>11</v>
      </c>
    </row>
    <row r="97" spans="1:4" x14ac:dyDescent="0.2">
      <c r="A97" s="108">
        <v>90</v>
      </c>
      <c r="B97" s="75">
        <v>32</v>
      </c>
      <c r="C97" s="75">
        <v>16</v>
      </c>
      <c r="D97" s="75">
        <v>11</v>
      </c>
    </row>
    <row r="98" spans="1:4" x14ac:dyDescent="0.2">
      <c r="A98" s="108">
        <v>91</v>
      </c>
      <c r="B98" s="75">
        <v>0</v>
      </c>
      <c r="C98" s="75">
        <v>24</v>
      </c>
      <c r="D98" s="75">
        <v>11</v>
      </c>
    </row>
    <row r="99" spans="1:4" x14ac:dyDescent="0.2">
      <c r="A99" s="108">
        <v>92</v>
      </c>
      <c r="B99" s="75">
        <v>8</v>
      </c>
      <c r="C99" s="75">
        <v>24</v>
      </c>
      <c r="D99" s="75">
        <v>11</v>
      </c>
    </row>
    <row r="100" spans="1:4" x14ac:dyDescent="0.2">
      <c r="A100" s="108">
        <v>93</v>
      </c>
      <c r="B100" s="75">
        <v>16</v>
      </c>
      <c r="C100" s="75">
        <v>24</v>
      </c>
      <c r="D100" s="75">
        <v>11</v>
      </c>
    </row>
    <row r="101" spans="1:4" x14ac:dyDescent="0.2">
      <c r="A101" s="108">
        <v>94</v>
      </c>
      <c r="B101" s="75">
        <v>24</v>
      </c>
      <c r="C101" s="75">
        <v>24</v>
      </c>
      <c r="D101" s="75">
        <v>11</v>
      </c>
    </row>
    <row r="102" spans="1:4" x14ac:dyDescent="0.2">
      <c r="A102" s="108">
        <v>95</v>
      </c>
      <c r="B102" s="75">
        <v>32</v>
      </c>
      <c r="C102" s="75">
        <v>24</v>
      </c>
      <c r="D102" s="75">
        <v>11</v>
      </c>
    </row>
    <row r="103" spans="1:4" x14ac:dyDescent="0.2">
      <c r="A103" s="108">
        <v>96</v>
      </c>
      <c r="B103" s="75">
        <v>0</v>
      </c>
      <c r="C103" s="75">
        <v>32</v>
      </c>
      <c r="D103" s="75">
        <v>11</v>
      </c>
    </row>
    <row r="104" spans="1:4" x14ac:dyDescent="0.2">
      <c r="A104" s="108">
        <v>97</v>
      </c>
      <c r="B104" s="75">
        <v>8</v>
      </c>
      <c r="C104" s="75">
        <v>32</v>
      </c>
      <c r="D104" s="75">
        <v>11</v>
      </c>
    </row>
    <row r="105" spans="1:4" x14ac:dyDescent="0.2">
      <c r="A105" s="108">
        <v>98</v>
      </c>
      <c r="B105" s="75">
        <v>16</v>
      </c>
      <c r="C105" s="75">
        <v>32</v>
      </c>
      <c r="D105" s="75">
        <v>11</v>
      </c>
    </row>
    <row r="106" spans="1:4" x14ac:dyDescent="0.2">
      <c r="A106" s="108">
        <v>99</v>
      </c>
      <c r="B106" s="75">
        <v>24</v>
      </c>
      <c r="C106" s="75">
        <v>32</v>
      </c>
      <c r="D106" s="75">
        <v>11</v>
      </c>
    </row>
    <row r="107" spans="1:4" x14ac:dyDescent="0.2">
      <c r="A107" s="108">
        <v>100</v>
      </c>
      <c r="B107" s="75">
        <v>32</v>
      </c>
      <c r="C107" s="75">
        <v>32</v>
      </c>
      <c r="D107" s="75">
        <v>11</v>
      </c>
    </row>
    <row r="108" spans="1:4" x14ac:dyDescent="0.2">
      <c r="A108" s="108">
        <v>101</v>
      </c>
      <c r="B108" s="75">
        <v>0</v>
      </c>
      <c r="C108" s="75">
        <v>0</v>
      </c>
      <c r="D108" s="75">
        <v>14.5</v>
      </c>
    </row>
    <row r="109" spans="1:4" x14ac:dyDescent="0.2">
      <c r="A109" s="108">
        <v>102</v>
      </c>
      <c r="B109" s="75">
        <v>8</v>
      </c>
      <c r="C109" s="75">
        <v>0</v>
      </c>
      <c r="D109" s="75">
        <v>14.5</v>
      </c>
    </row>
    <row r="110" spans="1:4" x14ac:dyDescent="0.2">
      <c r="A110" s="108">
        <v>103</v>
      </c>
      <c r="B110" s="75">
        <v>16</v>
      </c>
      <c r="C110" s="75">
        <v>0</v>
      </c>
      <c r="D110" s="75">
        <v>14.5</v>
      </c>
    </row>
    <row r="111" spans="1:4" x14ac:dyDescent="0.2">
      <c r="A111" s="108">
        <v>104</v>
      </c>
      <c r="B111" s="75">
        <v>24</v>
      </c>
      <c r="C111" s="75">
        <v>0</v>
      </c>
      <c r="D111" s="75">
        <v>14.5</v>
      </c>
    </row>
    <row r="112" spans="1:4" x14ac:dyDescent="0.2">
      <c r="A112" s="108">
        <v>105</v>
      </c>
      <c r="B112" s="75">
        <v>32</v>
      </c>
      <c r="C112" s="75">
        <v>0</v>
      </c>
      <c r="D112" s="75">
        <v>14.5</v>
      </c>
    </row>
    <row r="113" spans="1:4" x14ac:dyDescent="0.2">
      <c r="A113" s="108">
        <v>106</v>
      </c>
      <c r="B113" s="75">
        <v>0</v>
      </c>
      <c r="C113" s="75">
        <v>8</v>
      </c>
      <c r="D113" s="75">
        <v>14.5</v>
      </c>
    </row>
    <row r="114" spans="1:4" x14ac:dyDescent="0.2">
      <c r="A114" s="108">
        <v>107</v>
      </c>
      <c r="B114" s="75">
        <v>8</v>
      </c>
      <c r="C114" s="75">
        <v>8</v>
      </c>
      <c r="D114" s="75">
        <v>14.5</v>
      </c>
    </row>
    <row r="115" spans="1:4" x14ac:dyDescent="0.2">
      <c r="A115" s="108">
        <v>108</v>
      </c>
      <c r="B115" s="75">
        <v>16</v>
      </c>
      <c r="C115" s="75">
        <v>8</v>
      </c>
      <c r="D115" s="75">
        <v>14.5</v>
      </c>
    </row>
    <row r="116" spans="1:4" x14ac:dyDescent="0.2">
      <c r="A116" s="108">
        <v>109</v>
      </c>
      <c r="B116" s="75">
        <v>24</v>
      </c>
      <c r="C116" s="75">
        <v>8</v>
      </c>
      <c r="D116" s="75">
        <v>14.5</v>
      </c>
    </row>
    <row r="117" spans="1:4" x14ac:dyDescent="0.2">
      <c r="A117" s="108">
        <v>110</v>
      </c>
      <c r="B117" s="75">
        <v>32</v>
      </c>
      <c r="C117" s="75">
        <v>8</v>
      </c>
      <c r="D117" s="75">
        <v>14.5</v>
      </c>
    </row>
    <row r="118" spans="1:4" x14ac:dyDescent="0.2">
      <c r="A118" s="108">
        <v>111</v>
      </c>
      <c r="B118" s="75">
        <v>0</v>
      </c>
      <c r="C118" s="75">
        <v>16</v>
      </c>
      <c r="D118" s="75">
        <v>14.5</v>
      </c>
    </row>
    <row r="119" spans="1:4" x14ac:dyDescent="0.2">
      <c r="A119" s="108">
        <v>112</v>
      </c>
      <c r="B119" s="75">
        <v>8</v>
      </c>
      <c r="C119" s="75">
        <v>16</v>
      </c>
      <c r="D119" s="75">
        <v>14.5</v>
      </c>
    </row>
    <row r="120" spans="1:4" x14ac:dyDescent="0.2">
      <c r="A120" s="108">
        <v>113</v>
      </c>
      <c r="B120" s="75">
        <v>16</v>
      </c>
      <c r="C120" s="75">
        <v>16</v>
      </c>
      <c r="D120" s="75">
        <v>14.5</v>
      </c>
    </row>
    <row r="121" spans="1:4" x14ac:dyDescent="0.2">
      <c r="A121" s="108">
        <v>114</v>
      </c>
      <c r="B121" s="75">
        <v>24</v>
      </c>
      <c r="C121" s="75">
        <v>16</v>
      </c>
      <c r="D121" s="75">
        <v>14.5</v>
      </c>
    </row>
    <row r="122" spans="1:4" x14ac:dyDescent="0.2">
      <c r="A122" s="108">
        <v>115</v>
      </c>
      <c r="B122" s="75">
        <v>32</v>
      </c>
      <c r="C122" s="75">
        <v>16</v>
      </c>
      <c r="D122" s="75">
        <v>14.5</v>
      </c>
    </row>
    <row r="123" spans="1:4" x14ac:dyDescent="0.2">
      <c r="A123" s="108">
        <v>116</v>
      </c>
      <c r="B123" s="75">
        <v>0</v>
      </c>
      <c r="C123" s="75">
        <v>24</v>
      </c>
      <c r="D123" s="75">
        <v>14.5</v>
      </c>
    </row>
    <row r="124" spans="1:4" x14ac:dyDescent="0.2">
      <c r="A124" s="108">
        <v>117</v>
      </c>
      <c r="B124" s="75">
        <v>8</v>
      </c>
      <c r="C124" s="75">
        <v>24</v>
      </c>
      <c r="D124" s="75">
        <v>14.5</v>
      </c>
    </row>
    <row r="125" spans="1:4" x14ac:dyDescent="0.2">
      <c r="A125" s="108">
        <v>118</v>
      </c>
      <c r="B125" s="75">
        <v>16</v>
      </c>
      <c r="C125" s="75">
        <v>24</v>
      </c>
      <c r="D125" s="75">
        <v>14.5</v>
      </c>
    </row>
    <row r="126" spans="1:4" x14ac:dyDescent="0.2">
      <c r="A126" s="108">
        <v>119</v>
      </c>
      <c r="B126" s="75">
        <v>24</v>
      </c>
      <c r="C126" s="75">
        <v>24</v>
      </c>
      <c r="D126" s="75">
        <v>14.5</v>
      </c>
    </row>
    <row r="127" spans="1:4" x14ac:dyDescent="0.2">
      <c r="A127" s="108">
        <v>120</v>
      </c>
      <c r="B127" s="75">
        <v>32</v>
      </c>
      <c r="C127" s="75">
        <v>24</v>
      </c>
      <c r="D127" s="75">
        <v>14.5</v>
      </c>
    </row>
    <row r="128" spans="1:4" x14ac:dyDescent="0.2">
      <c r="A128" s="108">
        <v>121</v>
      </c>
      <c r="B128" s="75">
        <v>0</v>
      </c>
      <c r="C128" s="75">
        <v>32</v>
      </c>
      <c r="D128" s="75">
        <v>14.5</v>
      </c>
    </row>
    <row r="129" spans="1:4" x14ac:dyDescent="0.2">
      <c r="A129" s="108">
        <v>122</v>
      </c>
      <c r="B129" s="75">
        <v>8</v>
      </c>
      <c r="C129" s="75">
        <v>32</v>
      </c>
      <c r="D129" s="75">
        <v>14.5</v>
      </c>
    </row>
    <row r="130" spans="1:4" x14ac:dyDescent="0.2">
      <c r="A130" s="108">
        <v>123</v>
      </c>
      <c r="B130" s="75">
        <v>16</v>
      </c>
      <c r="C130" s="75">
        <v>32</v>
      </c>
      <c r="D130" s="75">
        <v>14.5</v>
      </c>
    </row>
    <row r="131" spans="1:4" x14ac:dyDescent="0.2">
      <c r="A131" s="108">
        <v>124</v>
      </c>
      <c r="B131" s="75">
        <v>24</v>
      </c>
      <c r="C131" s="75">
        <v>32</v>
      </c>
      <c r="D131" s="75">
        <v>14.5</v>
      </c>
    </row>
    <row r="132" spans="1:4" x14ac:dyDescent="0.2">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94" zoomScale="130" zoomScaleNormal="130" workbookViewId="0">
      <selection activeCell="K114" sqref="K114"/>
    </sheetView>
  </sheetViews>
  <sheetFormatPr baseColWidth="10" defaultColWidth="10.83203125" defaultRowHeight="16" x14ac:dyDescent="0.2"/>
  <cols>
    <col min="1" max="1" width="15.6640625" style="91" customWidth="1"/>
    <col min="2" max="3" width="10.6640625" style="91" customWidth="1"/>
    <col min="4" max="4" width="20.6640625" style="38" customWidth="1"/>
    <col min="5" max="5" width="25.6640625" style="49" customWidth="1"/>
    <col min="6" max="6" width="20.6640625" style="49" customWidth="1"/>
    <col min="7" max="8" width="20.6640625" style="88" customWidth="1"/>
    <col min="9" max="9" width="15.6640625" style="49" customWidth="1"/>
    <col min="10" max="10" width="20.6640625" style="49" customWidth="1"/>
    <col min="11" max="16384" width="10.83203125" style="79"/>
  </cols>
  <sheetData>
    <row r="1" spans="1:10" x14ac:dyDescent="0.2">
      <c r="A1" s="59" t="s">
        <v>102</v>
      </c>
      <c r="B1" s="76"/>
      <c r="C1" s="76"/>
      <c r="D1" s="34"/>
      <c r="E1" s="77"/>
      <c r="F1" s="77"/>
      <c r="G1" s="77"/>
      <c r="H1" s="77"/>
      <c r="I1" s="76"/>
      <c r="J1" s="117"/>
    </row>
    <row r="2" spans="1:10" x14ac:dyDescent="0.2">
      <c r="A2" s="83" t="s">
        <v>191</v>
      </c>
      <c r="B2" s="80"/>
      <c r="C2" s="80"/>
      <c r="D2" s="34"/>
      <c r="E2" s="81"/>
      <c r="F2" s="81"/>
      <c r="G2" s="81"/>
      <c r="H2" s="81"/>
      <c r="I2" s="80"/>
      <c r="J2" s="118"/>
    </row>
    <row r="3" spans="1:10" x14ac:dyDescent="0.2">
      <c r="A3" s="116" t="s">
        <v>227</v>
      </c>
      <c r="B3" s="80"/>
      <c r="C3" s="80"/>
      <c r="D3" s="34"/>
      <c r="E3" s="81"/>
      <c r="F3" s="81"/>
      <c r="G3" s="81"/>
      <c r="H3" s="81"/>
      <c r="I3" s="80"/>
      <c r="J3" s="118"/>
    </row>
    <row r="4" spans="1:10" x14ac:dyDescent="0.2">
      <c r="A4" s="116" t="s">
        <v>228</v>
      </c>
      <c r="B4" s="80"/>
      <c r="C4" s="80"/>
      <c r="D4" s="34"/>
      <c r="E4" s="81"/>
      <c r="F4" s="81"/>
      <c r="G4" s="81"/>
      <c r="H4" s="81"/>
      <c r="I4" s="80"/>
      <c r="J4" s="118"/>
    </row>
    <row r="5" spans="1:10" x14ac:dyDescent="0.2">
      <c r="A5" s="116" t="s">
        <v>177</v>
      </c>
      <c r="B5" s="80"/>
      <c r="C5" s="80"/>
      <c r="D5" s="34"/>
      <c r="E5" s="81"/>
      <c r="F5" s="81"/>
      <c r="G5" s="81"/>
      <c r="H5" s="81"/>
      <c r="I5" s="80"/>
      <c r="J5" s="118"/>
    </row>
    <row r="6" spans="1:10" x14ac:dyDescent="0.2">
      <c r="A6" s="83" t="s">
        <v>129</v>
      </c>
      <c r="B6" s="80"/>
      <c r="C6" s="80"/>
      <c r="D6" s="34"/>
      <c r="E6" s="81"/>
      <c r="F6" s="81"/>
      <c r="G6" s="81"/>
      <c r="H6" s="81"/>
      <c r="I6" s="80"/>
      <c r="J6" s="118"/>
    </row>
    <row r="7" spans="1:10" x14ac:dyDescent="0.2">
      <c r="A7" s="116" t="s">
        <v>226</v>
      </c>
      <c r="B7" s="80"/>
      <c r="C7" s="80"/>
      <c r="D7" s="34"/>
      <c r="E7" s="81"/>
      <c r="F7" s="81"/>
      <c r="G7" s="81"/>
      <c r="H7" s="81"/>
      <c r="I7" s="80"/>
      <c r="J7" s="118"/>
    </row>
    <row r="8" spans="1:10" x14ac:dyDescent="0.2">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
      <c r="A10" s="116" t="s">
        <v>199</v>
      </c>
      <c r="B10" s="80"/>
      <c r="C10" s="80"/>
      <c r="D10" s="34"/>
      <c r="E10" s="81"/>
      <c r="F10" s="81"/>
      <c r="G10" s="81"/>
      <c r="H10" s="81"/>
      <c r="I10" s="80"/>
      <c r="J10" s="118"/>
    </row>
    <row r="11" spans="1:10" x14ac:dyDescent="0.2">
      <c r="A11" s="116" t="s">
        <v>198</v>
      </c>
      <c r="B11" s="80"/>
      <c r="C11" s="80"/>
      <c r="D11" s="34"/>
      <c r="E11" s="81"/>
      <c r="F11" s="81"/>
      <c r="G11" s="81"/>
      <c r="H11" s="81"/>
      <c r="I11" s="80"/>
      <c r="J11" s="118"/>
    </row>
    <row r="12" spans="1:10" x14ac:dyDescent="0.2">
      <c r="A12" s="84" t="s">
        <v>124</v>
      </c>
      <c r="B12" s="80"/>
      <c r="C12" s="80"/>
      <c r="D12" s="34"/>
      <c r="E12" s="81"/>
      <c r="F12" s="81"/>
      <c r="G12" s="81"/>
      <c r="H12" s="81"/>
      <c r="I12" s="80"/>
      <c r="J12" s="118"/>
    </row>
    <row r="13" spans="1:10" x14ac:dyDescent="0.2">
      <c r="A13" s="85" t="s">
        <v>137</v>
      </c>
      <c r="B13" s="86"/>
      <c r="C13" s="87"/>
      <c r="D13" s="36"/>
      <c r="E13" s="87"/>
      <c r="F13" s="87"/>
      <c r="G13" s="87"/>
      <c r="H13" s="87"/>
      <c r="I13" s="122"/>
      <c r="J13" s="119"/>
    </row>
    <row r="14" spans="1:10" x14ac:dyDescent="0.2">
      <c r="A14" s="89"/>
      <c r="B14" s="49"/>
      <c r="C14" s="49"/>
      <c r="D14" s="1"/>
      <c r="E14" s="79"/>
      <c r="F14" s="79"/>
      <c r="G14" s="79"/>
      <c r="H14" s="79"/>
    </row>
    <row r="15" spans="1:10" s="6" customFormat="1" x14ac:dyDescent="0.2">
      <c r="A15" s="73" t="s">
        <v>189</v>
      </c>
      <c r="B15" s="10" t="s">
        <v>107</v>
      </c>
      <c r="C15" s="10" t="s">
        <v>108</v>
      </c>
      <c r="D15" s="24" t="s">
        <v>37</v>
      </c>
      <c r="E15" s="73" t="s">
        <v>127</v>
      </c>
      <c r="F15" s="73" t="s">
        <v>225</v>
      </c>
      <c r="G15" s="90" t="s">
        <v>125</v>
      </c>
      <c r="H15" s="90" t="s">
        <v>126</v>
      </c>
      <c r="I15" s="73" t="s">
        <v>194</v>
      </c>
      <c r="J15" s="73" t="s">
        <v>197</v>
      </c>
    </row>
    <row r="16" spans="1:10" x14ac:dyDescent="0.2">
      <c r="A16" s="91">
        <v>1</v>
      </c>
      <c r="B16" s="91">
        <v>1</v>
      </c>
      <c r="C16" s="91">
        <v>26</v>
      </c>
      <c r="D16" s="38" t="s">
        <v>38</v>
      </c>
      <c r="E16" s="127" t="s">
        <v>128</v>
      </c>
      <c r="F16" s="127">
        <v>1</v>
      </c>
      <c r="G16" s="88">
        <v>0</v>
      </c>
      <c r="H16" s="88">
        <v>0</v>
      </c>
      <c r="I16" s="49" t="s">
        <v>28</v>
      </c>
      <c r="J16" s="49" t="s">
        <v>186</v>
      </c>
    </row>
    <row r="17" spans="1:10" x14ac:dyDescent="0.2">
      <c r="A17" s="91">
        <v>2</v>
      </c>
      <c r="B17" s="91">
        <v>2</v>
      </c>
      <c r="C17" s="91">
        <v>27</v>
      </c>
      <c r="D17" s="38" t="s">
        <v>38</v>
      </c>
      <c r="E17" s="49" t="s">
        <v>128</v>
      </c>
      <c r="F17" s="127">
        <v>1</v>
      </c>
      <c r="G17" s="88">
        <v>0</v>
      </c>
      <c r="H17" s="88">
        <v>0</v>
      </c>
      <c r="I17" s="49" t="s">
        <v>28</v>
      </c>
      <c r="J17" s="49" t="s">
        <v>186</v>
      </c>
    </row>
    <row r="18" spans="1:10" x14ac:dyDescent="0.2">
      <c r="A18" s="91">
        <v>3</v>
      </c>
      <c r="B18" s="91">
        <v>3</v>
      </c>
      <c r="C18" s="91">
        <v>28</v>
      </c>
      <c r="D18" s="38" t="s">
        <v>38</v>
      </c>
      <c r="E18" s="49" t="s">
        <v>128</v>
      </c>
      <c r="F18" s="127">
        <v>1</v>
      </c>
      <c r="G18" s="88">
        <v>0</v>
      </c>
      <c r="H18" s="88">
        <v>0</v>
      </c>
      <c r="I18" s="49" t="s">
        <v>28</v>
      </c>
      <c r="J18" s="49" t="s">
        <v>186</v>
      </c>
    </row>
    <row r="19" spans="1:10" x14ac:dyDescent="0.2">
      <c r="A19" s="91">
        <v>4</v>
      </c>
      <c r="B19" s="91">
        <v>4</v>
      </c>
      <c r="C19" s="91">
        <v>29</v>
      </c>
      <c r="D19" s="38" t="s">
        <v>38</v>
      </c>
      <c r="E19" s="49" t="s">
        <v>128</v>
      </c>
      <c r="F19" s="127">
        <v>1</v>
      </c>
      <c r="G19" s="88">
        <v>0</v>
      </c>
      <c r="H19" s="88">
        <v>0</v>
      </c>
      <c r="I19" s="49" t="s">
        <v>28</v>
      </c>
      <c r="J19" s="49" t="s">
        <v>186</v>
      </c>
    </row>
    <row r="20" spans="1:10" x14ac:dyDescent="0.2">
      <c r="A20" s="91">
        <v>5</v>
      </c>
      <c r="B20" s="91">
        <v>5</v>
      </c>
      <c r="C20" s="91">
        <v>30</v>
      </c>
      <c r="D20" s="38" t="s">
        <v>38</v>
      </c>
      <c r="E20" s="49" t="s">
        <v>128</v>
      </c>
      <c r="F20" s="127">
        <v>1</v>
      </c>
      <c r="G20" s="88">
        <v>0</v>
      </c>
      <c r="H20" s="88">
        <v>0</v>
      </c>
      <c r="I20" s="49" t="s">
        <v>28</v>
      </c>
      <c r="J20" s="49" t="s">
        <v>186</v>
      </c>
    </row>
    <row r="21" spans="1:10" x14ac:dyDescent="0.2">
      <c r="A21" s="91">
        <v>6</v>
      </c>
      <c r="B21" s="91">
        <v>6</v>
      </c>
      <c r="C21" s="91">
        <v>31</v>
      </c>
      <c r="D21" s="38" t="s">
        <v>38</v>
      </c>
      <c r="E21" s="49" t="s">
        <v>128</v>
      </c>
      <c r="F21" s="127">
        <v>1</v>
      </c>
      <c r="G21" s="88">
        <v>0</v>
      </c>
      <c r="H21" s="88">
        <v>0</v>
      </c>
      <c r="I21" s="49" t="s">
        <v>28</v>
      </c>
      <c r="J21" s="49" t="s">
        <v>186</v>
      </c>
    </row>
    <row r="22" spans="1:10" x14ac:dyDescent="0.2">
      <c r="A22" s="91">
        <v>7</v>
      </c>
      <c r="B22" s="91">
        <v>7</v>
      </c>
      <c r="C22" s="91">
        <v>32</v>
      </c>
      <c r="D22" s="38" t="s">
        <v>38</v>
      </c>
      <c r="E22" s="49" t="s">
        <v>128</v>
      </c>
      <c r="F22" s="127">
        <v>1</v>
      </c>
      <c r="G22" s="88">
        <v>0</v>
      </c>
      <c r="H22" s="88">
        <v>0</v>
      </c>
      <c r="I22" s="49" t="s">
        <v>28</v>
      </c>
      <c r="J22" s="49" t="s">
        <v>186</v>
      </c>
    </row>
    <row r="23" spans="1:10" x14ac:dyDescent="0.2">
      <c r="A23" s="91">
        <v>8</v>
      </c>
      <c r="B23" s="91">
        <v>8</v>
      </c>
      <c r="C23" s="91">
        <v>33</v>
      </c>
      <c r="D23" s="38" t="s">
        <v>38</v>
      </c>
      <c r="E23" s="49" t="s">
        <v>128</v>
      </c>
      <c r="F23" s="127">
        <v>1</v>
      </c>
      <c r="G23" s="88">
        <v>0</v>
      </c>
      <c r="H23" s="88">
        <v>0</v>
      </c>
      <c r="I23" s="49" t="s">
        <v>28</v>
      </c>
      <c r="J23" s="49" t="s">
        <v>186</v>
      </c>
    </row>
    <row r="24" spans="1:10" x14ac:dyDescent="0.2">
      <c r="A24" s="91">
        <v>9</v>
      </c>
      <c r="B24" s="91">
        <v>9</v>
      </c>
      <c r="C24" s="91">
        <v>34</v>
      </c>
      <c r="D24" s="38" t="s">
        <v>38</v>
      </c>
      <c r="E24" s="49" t="s">
        <v>128</v>
      </c>
      <c r="F24" s="127">
        <v>1</v>
      </c>
      <c r="G24" s="88">
        <v>0</v>
      </c>
      <c r="H24" s="88">
        <v>0</v>
      </c>
      <c r="I24" s="49" t="s">
        <v>28</v>
      </c>
      <c r="J24" s="49" t="s">
        <v>186</v>
      </c>
    </row>
    <row r="25" spans="1:10" x14ac:dyDescent="0.2">
      <c r="A25" s="91">
        <v>10</v>
      </c>
      <c r="B25" s="91">
        <v>10</v>
      </c>
      <c r="C25" s="91">
        <v>35</v>
      </c>
      <c r="D25" s="38" t="s">
        <v>38</v>
      </c>
      <c r="E25" s="49" t="s">
        <v>128</v>
      </c>
      <c r="F25" s="127">
        <v>1</v>
      </c>
      <c r="G25" s="88">
        <v>0</v>
      </c>
      <c r="H25" s="88">
        <v>0</v>
      </c>
      <c r="I25" s="49" t="s">
        <v>28</v>
      </c>
      <c r="J25" s="49" t="s">
        <v>186</v>
      </c>
    </row>
    <row r="26" spans="1:10" x14ac:dyDescent="0.2">
      <c r="A26" s="91">
        <v>11</v>
      </c>
      <c r="B26" s="91">
        <v>11</v>
      </c>
      <c r="C26" s="91">
        <v>36</v>
      </c>
      <c r="D26" s="38" t="s">
        <v>38</v>
      </c>
      <c r="E26" s="49" t="s">
        <v>128</v>
      </c>
      <c r="F26" s="127">
        <v>1</v>
      </c>
      <c r="G26" s="88">
        <v>0</v>
      </c>
      <c r="H26" s="88">
        <v>0</v>
      </c>
      <c r="I26" s="49" t="s">
        <v>28</v>
      </c>
      <c r="J26" s="49" t="s">
        <v>186</v>
      </c>
    </row>
    <row r="27" spans="1:10" x14ac:dyDescent="0.2">
      <c r="A27" s="91">
        <v>12</v>
      </c>
      <c r="B27" s="91">
        <v>12</v>
      </c>
      <c r="C27" s="91">
        <v>37</v>
      </c>
      <c r="D27" s="38" t="s">
        <v>38</v>
      </c>
      <c r="E27" s="49" t="s">
        <v>128</v>
      </c>
      <c r="F27" s="127">
        <v>1</v>
      </c>
      <c r="G27" s="88">
        <v>0</v>
      </c>
      <c r="H27" s="88">
        <v>0</v>
      </c>
      <c r="I27" s="49" t="s">
        <v>28</v>
      </c>
      <c r="J27" s="49" t="s">
        <v>186</v>
      </c>
    </row>
    <row r="28" spans="1:10" x14ac:dyDescent="0.2">
      <c r="A28" s="91">
        <v>13</v>
      </c>
      <c r="B28" s="91">
        <v>13</v>
      </c>
      <c r="C28" s="91">
        <v>38</v>
      </c>
      <c r="D28" s="38" t="s">
        <v>38</v>
      </c>
      <c r="E28" s="49" t="s">
        <v>128</v>
      </c>
      <c r="F28" s="127">
        <v>1</v>
      </c>
      <c r="G28" s="88">
        <v>0</v>
      </c>
      <c r="H28" s="88">
        <v>0</v>
      </c>
      <c r="I28" s="49" t="s">
        <v>28</v>
      </c>
      <c r="J28" s="49" t="s">
        <v>186</v>
      </c>
    </row>
    <row r="29" spans="1:10" x14ac:dyDescent="0.2">
      <c r="A29" s="91">
        <v>14</v>
      </c>
      <c r="B29" s="91">
        <v>14</v>
      </c>
      <c r="C29" s="91">
        <v>39</v>
      </c>
      <c r="D29" s="38" t="s">
        <v>38</v>
      </c>
      <c r="E29" s="49" t="s">
        <v>128</v>
      </c>
      <c r="F29" s="127">
        <v>1</v>
      </c>
      <c r="G29" s="88">
        <v>0</v>
      </c>
      <c r="H29" s="88">
        <v>0</v>
      </c>
      <c r="I29" s="49" t="s">
        <v>28</v>
      </c>
      <c r="J29" s="49" t="s">
        <v>186</v>
      </c>
    </row>
    <row r="30" spans="1:10" x14ac:dyDescent="0.2">
      <c r="A30" s="91">
        <v>15</v>
      </c>
      <c r="B30" s="91">
        <v>15</v>
      </c>
      <c r="C30" s="91">
        <v>40</v>
      </c>
      <c r="D30" s="38" t="s">
        <v>38</v>
      </c>
      <c r="E30" s="49" t="s">
        <v>128</v>
      </c>
      <c r="F30" s="127">
        <v>1</v>
      </c>
      <c r="G30" s="88">
        <v>0</v>
      </c>
      <c r="H30" s="88">
        <v>0</v>
      </c>
      <c r="I30" s="49" t="s">
        <v>28</v>
      </c>
      <c r="J30" s="49" t="s">
        <v>186</v>
      </c>
    </row>
    <row r="31" spans="1:10" x14ac:dyDescent="0.2">
      <c r="A31" s="91">
        <v>16</v>
      </c>
      <c r="B31" s="91">
        <v>16</v>
      </c>
      <c r="C31" s="91">
        <v>41</v>
      </c>
      <c r="D31" s="38" t="s">
        <v>38</v>
      </c>
      <c r="E31" s="49" t="s">
        <v>128</v>
      </c>
      <c r="F31" s="127">
        <v>1</v>
      </c>
      <c r="G31" s="88">
        <v>0</v>
      </c>
      <c r="H31" s="88">
        <v>0</v>
      </c>
      <c r="I31" s="49" t="s">
        <v>28</v>
      </c>
      <c r="J31" s="49" t="s">
        <v>186</v>
      </c>
    </row>
    <row r="32" spans="1:10" x14ac:dyDescent="0.2">
      <c r="A32" s="91">
        <v>17</v>
      </c>
      <c r="B32" s="91">
        <v>17</v>
      </c>
      <c r="C32" s="91">
        <v>42</v>
      </c>
      <c r="D32" s="38" t="s">
        <v>38</v>
      </c>
      <c r="E32" s="49" t="s">
        <v>128</v>
      </c>
      <c r="F32" s="127">
        <v>1</v>
      </c>
      <c r="G32" s="88">
        <v>0</v>
      </c>
      <c r="H32" s="88">
        <v>0</v>
      </c>
      <c r="I32" s="49" t="s">
        <v>28</v>
      </c>
      <c r="J32" s="49" t="s">
        <v>186</v>
      </c>
    </row>
    <row r="33" spans="1:10" x14ac:dyDescent="0.2">
      <c r="A33" s="91">
        <v>18</v>
      </c>
      <c r="B33" s="91">
        <v>18</v>
      </c>
      <c r="C33" s="91">
        <v>43</v>
      </c>
      <c r="D33" s="38" t="s">
        <v>38</v>
      </c>
      <c r="E33" s="49" t="s">
        <v>128</v>
      </c>
      <c r="F33" s="127">
        <v>1</v>
      </c>
      <c r="G33" s="88">
        <v>0</v>
      </c>
      <c r="H33" s="88">
        <v>0</v>
      </c>
      <c r="I33" s="49" t="s">
        <v>28</v>
      </c>
      <c r="J33" s="49" t="s">
        <v>186</v>
      </c>
    </row>
    <row r="34" spans="1:10" x14ac:dyDescent="0.2">
      <c r="A34" s="91">
        <v>19</v>
      </c>
      <c r="B34" s="91">
        <v>19</v>
      </c>
      <c r="C34" s="91">
        <v>44</v>
      </c>
      <c r="D34" s="38" t="s">
        <v>38</v>
      </c>
      <c r="E34" s="49" t="s">
        <v>128</v>
      </c>
      <c r="F34" s="127">
        <v>1</v>
      </c>
      <c r="G34" s="88">
        <v>0</v>
      </c>
      <c r="H34" s="88">
        <v>0</v>
      </c>
      <c r="I34" s="49" t="s">
        <v>28</v>
      </c>
      <c r="J34" s="49" t="s">
        <v>186</v>
      </c>
    </row>
    <row r="35" spans="1:10" x14ac:dyDescent="0.2">
      <c r="A35" s="91">
        <v>20</v>
      </c>
      <c r="B35" s="91">
        <v>20</v>
      </c>
      <c r="C35" s="91">
        <v>45</v>
      </c>
      <c r="D35" s="38" t="s">
        <v>38</v>
      </c>
      <c r="E35" s="49" t="s">
        <v>128</v>
      </c>
      <c r="F35" s="127">
        <v>1</v>
      </c>
      <c r="G35" s="88">
        <v>0</v>
      </c>
      <c r="H35" s="88">
        <v>0</v>
      </c>
      <c r="I35" s="49" t="s">
        <v>28</v>
      </c>
      <c r="J35" s="49" t="s">
        <v>186</v>
      </c>
    </row>
    <row r="36" spans="1:10" x14ac:dyDescent="0.2">
      <c r="A36" s="91">
        <v>21</v>
      </c>
      <c r="B36" s="91">
        <v>21</v>
      </c>
      <c r="C36" s="91">
        <v>46</v>
      </c>
      <c r="D36" s="38" t="s">
        <v>38</v>
      </c>
      <c r="E36" s="49" t="s">
        <v>128</v>
      </c>
      <c r="F36" s="127">
        <v>1</v>
      </c>
      <c r="G36" s="88">
        <v>0</v>
      </c>
      <c r="H36" s="88">
        <v>0</v>
      </c>
      <c r="I36" s="49" t="s">
        <v>28</v>
      </c>
      <c r="J36" s="49" t="s">
        <v>186</v>
      </c>
    </row>
    <row r="37" spans="1:10" x14ac:dyDescent="0.2">
      <c r="A37" s="91">
        <v>22</v>
      </c>
      <c r="B37" s="91">
        <v>22</v>
      </c>
      <c r="C37" s="91">
        <v>47</v>
      </c>
      <c r="D37" s="38" t="s">
        <v>38</v>
      </c>
      <c r="E37" s="49" t="s">
        <v>128</v>
      </c>
      <c r="F37" s="127">
        <v>1</v>
      </c>
      <c r="G37" s="88">
        <v>0</v>
      </c>
      <c r="H37" s="88">
        <v>0</v>
      </c>
      <c r="I37" s="49" t="s">
        <v>28</v>
      </c>
      <c r="J37" s="49" t="s">
        <v>186</v>
      </c>
    </row>
    <row r="38" spans="1:10" x14ac:dyDescent="0.2">
      <c r="A38" s="91">
        <v>23</v>
      </c>
      <c r="B38" s="91">
        <v>23</v>
      </c>
      <c r="C38" s="91">
        <v>48</v>
      </c>
      <c r="D38" s="38" t="s">
        <v>38</v>
      </c>
      <c r="E38" s="49" t="s">
        <v>128</v>
      </c>
      <c r="F38" s="127">
        <v>1</v>
      </c>
      <c r="G38" s="88">
        <v>0</v>
      </c>
      <c r="H38" s="88">
        <v>0</v>
      </c>
      <c r="I38" s="49" t="s">
        <v>28</v>
      </c>
      <c r="J38" s="49" t="s">
        <v>186</v>
      </c>
    </row>
    <row r="39" spans="1:10" x14ac:dyDescent="0.2">
      <c r="A39" s="91">
        <v>24</v>
      </c>
      <c r="B39" s="91">
        <v>24</v>
      </c>
      <c r="C39" s="91">
        <v>49</v>
      </c>
      <c r="D39" s="38" t="s">
        <v>38</v>
      </c>
      <c r="E39" s="49" t="s">
        <v>128</v>
      </c>
      <c r="F39" s="127">
        <v>1</v>
      </c>
      <c r="G39" s="88">
        <v>0</v>
      </c>
      <c r="H39" s="88">
        <v>0</v>
      </c>
      <c r="I39" s="49" t="s">
        <v>28</v>
      </c>
      <c r="J39" s="49" t="s">
        <v>186</v>
      </c>
    </row>
    <row r="40" spans="1:10" x14ac:dyDescent="0.2">
      <c r="A40" s="91">
        <v>25</v>
      </c>
      <c r="B40" s="91">
        <v>25</v>
      </c>
      <c r="C40" s="91">
        <v>50</v>
      </c>
      <c r="D40" s="38" t="s">
        <v>38</v>
      </c>
      <c r="E40" s="49" t="s">
        <v>128</v>
      </c>
      <c r="F40" s="127">
        <v>1</v>
      </c>
      <c r="G40" s="88">
        <v>0</v>
      </c>
      <c r="H40" s="88">
        <v>0</v>
      </c>
      <c r="I40" s="49" t="s">
        <v>28</v>
      </c>
      <c r="J40" s="49" t="s">
        <v>186</v>
      </c>
    </row>
    <row r="41" spans="1:10" x14ac:dyDescent="0.2">
      <c r="A41" s="91">
        <v>26</v>
      </c>
      <c r="B41" s="91">
        <v>26</v>
      </c>
      <c r="C41" s="91">
        <v>51</v>
      </c>
      <c r="D41" s="38" t="s">
        <v>38</v>
      </c>
      <c r="E41" s="49" t="s">
        <v>128</v>
      </c>
      <c r="F41" s="127">
        <v>1</v>
      </c>
      <c r="G41" s="88">
        <v>0</v>
      </c>
      <c r="H41" s="88">
        <v>0</v>
      </c>
      <c r="I41" s="49" t="s">
        <v>28</v>
      </c>
      <c r="J41" s="49" t="s">
        <v>186</v>
      </c>
    </row>
    <row r="42" spans="1:10" x14ac:dyDescent="0.2">
      <c r="A42" s="91">
        <v>27</v>
      </c>
      <c r="B42" s="91">
        <v>27</v>
      </c>
      <c r="C42" s="91">
        <v>52</v>
      </c>
      <c r="D42" s="38" t="s">
        <v>38</v>
      </c>
      <c r="E42" s="49" t="s">
        <v>128</v>
      </c>
      <c r="F42" s="127">
        <v>1</v>
      </c>
      <c r="G42" s="88">
        <v>0</v>
      </c>
      <c r="H42" s="88">
        <v>0</v>
      </c>
      <c r="I42" s="49" t="s">
        <v>28</v>
      </c>
      <c r="J42" s="49" t="s">
        <v>186</v>
      </c>
    </row>
    <row r="43" spans="1:10" x14ac:dyDescent="0.2">
      <c r="A43" s="91">
        <v>28</v>
      </c>
      <c r="B43" s="91">
        <v>28</v>
      </c>
      <c r="C43" s="91">
        <v>53</v>
      </c>
      <c r="D43" s="38" t="s">
        <v>38</v>
      </c>
      <c r="E43" s="49" t="s">
        <v>128</v>
      </c>
      <c r="F43" s="127">
        <v>1</v>
      </c>
      <c r="G43" s="88">
        <v>0</v>
      </c>
      <c r="H43" s="88">
        <v>0</v>
      </c>
      <c r="I43" s="49" t="s">
        <v>28</v>
      </c>
      <c r="J43" s="49" t="s">
        <v>186</v>
      </c>
    </row>
    <row r="44" spans="1:10" x14ac:dyDescent="0.2">
      <c r="A44" s="91">
        <v>29</v>
      </c>
      <c r="B44" s="91">
        <v>29</v>
      </c>
      <c r="C44" s="91">
        <v>54</v>
      </c>
      <c r="D44" s="38" t="s">
        <v>38</v>
      </c>
      <c r="E44" s="49" t="s">
        <v>128</v>
      </c>
      <c r="F44" s="127">
        <v>1</v>
      </c>
      <c r="G44" s="88">
        <v>0</v>
      </c>
      <c r="H44" s="88">
        <v>0</v>
      </c>
      <c r="I44" s="49" t="s">
        <v>28</v>
      </c>
      <c r="J44" s="49" t="s">
        <v>186</v>
      </c>
    </row>
    <row r="45" spans="1:10" x14ac:dyDescent="0.2">
      <c r="A45" s="91">
        <v>30</v>
      </c>
      <c r="B45" s="91">
        <v>30</v>
      </c>
      <c r="C45" s="91">
        <v>55</v>
      </c>
      <c r="D45" s="38" t="s">
        <v>38</v>
      </c>
      <c r="E45" s="49" t="s">
        <v>128</v>
      </c>
      <c r="F45" s="127">
        <v>1</v>
      </c>
      <c r="G45" s="88">
        <v>0</v>
      </c>
      <c r="H45" s="88">
        <v>0</v>
      </c>
      <c r="I45" s="49" t="s">
        <v>28</v>
      </c>
      <c r="J45" s="49" t="s">
        <v>186</v>
      </c>
    </row>
    <row r="46" spans="1:10" x14ac:dyDescent="0.2">
      <c r="A46" s="91">
        <v>31</v>
      </c>
      <c r="B46" s="91">
        <v>31</v>
      </c>
      <c r="C46" s="91">
        <v>56</v>
      </c>
      <c r="D46" s="38" t="s">
        <v>38</v>
      </c>
      <c r="E46" s="49" t="s">
        <v>128</v>
      </c>
      <c r="F46" s="127">
        <v>1</v>
      </c>
      <c r="G46" s="88">
        <v>0</v>
      </c>
      <c r="H46" s="88">
        <v>0</v>
      </c>
      <c r="I46" s="49" t="s">
        <v>28</v>
      </c>
      <c r="J46" s="49" t="s">
        <v>186</v>
      </c>
    </row>
    <row r="47" spans="1:10" x14ac:dyDescent="0.2">
      <c r="A47" s="91">
        <v>32</v>
      </c>
      <c r="B47" s="91">
        <v>32</v>
      </c>
      <c r="C47" s="91">
        <v>57</v>
      </c>
      <c r="D47" s="38" t="s">
        <v>38</v>
      </c>
      <c r="E47" s="49" t="s">
        <v>128</v>
      </c>
      <c r="F47" s="127">
        <v>1</v>
      </c>
      <c r="G47" s="88">
        <v>0</v>
      </c>
      <c r="H47" s="88">
        <v>0</v>
      </c>
      <c r="I47" s="49" t="s">
        <v>28</v>
      </c>
      <c r="J47" s="49" t="s">
        <v>186</v>
      </c>
    </row>
    <row r="48" spans="1:10" x14ac:dyDescent="0.2">
      <c r="A48" s="91">
        <v>33</v>
      </c>
      <c r="B48" s="91">
        <v>33</v>
      </c>
      <c r="C48" s="91">
        <v>58</v>
      </c>
      <c r="D48" s="38" t="s">
        <v>38</v>
      </c>
      <c r="E48" s="49" t="s">
        <v>128</v>
      </c>
      <c r="F48" s="127">
        <v>1</v>
      </c>
      <c r="G48" s="88">
        <v>0</v>
      </c>
      <c r="H48" s="88">
        <v>0</v>
      </c>
      <c r="I48" s="49" t="s">
        <v>28</v>
      </c>
      <c r="J48" s="49" t="s">
        <v>186</v>
      </c>
    </row>
    <row r="49" spans="1:10" x14ac:dyDescent="0.2">
      <c r="A49" s="91">
        <v>34</v>
      </c>
      <c r="B49" s="91">
        <v>34</v>
      </c>
      <c r="C49" s="91">
        <v>59</v>
      </c>
      <c r="D49" s="38" t="s">
        <v>38</v>
      </c>
      <c r="E49" s="49" t="s">
        <v>128</v>
      </c>
      <c r="F49" s="127">
        <v>1</v>
      </c>
      <c r="G49" s="88">
        <v>0</v>
      </c>
      <c r="H49" s="88">
        <v>0</v>
      </c>
      <c r="I49" s="49" t="s">
        <v>28</v>
      </c>
      <c r="J49" s="49" t="s">
        <v>186</v>
      </c>
    </row>
    <row r="50" spans="1:10" x14ac:dyDescent="0.2">
      <c r="A50" s="91">
        <v>35</v>
      </c>
      <c r="B50" s="91">
        <v>35</v>
      </c>
      <c r="C50" s="91">
        <v>60</v>
      </c>
      <c r="D50" s="38" t="s">
        <v>38</v>
      </c>
      <c r="E50" s="49" t="s">
        <v>128</v>
      </c>
      <c r="F50" s="127">
        <v>1</v>
      </c>
      <c r="G50" s="88">
        <v>0</v>
      </c>
      <c r="H50" s="88">
        <v>0</v>
      </c>
      <c r="I50" s="49" t="s">
        <v>28</v>
      </c>
      <c r="J50" s="49" t="s">
        <v>186</v>
      </c>
    </row>
    <row r="51" spans="1:10" x14ac:dyDescent="0.2">
      <c r="A51" s="91">
        <v>36</v>
      </c>
      <c r="B51" s="91">
        <v>36</v>
      </c>
      <c r="C51" s="91">
        <v>61</v>
      </c>
      <c r="D51" s="38" t="s">
        <v>38</v>
      </c>
      <c r="E51" s="49" t="s">
        <v>128</v>
      </c>
      <c r="F51" s="127">
        <v>1</v>
      </c>
      <c r="G51" s="88">
        <v>0</v>
      </c>
      <c r="H51" s="88">
        <v>0</v>
      </c>
      <c r="I51" s="49" t="s">
        <v>28</v>
      </c>
      <c r="J51" s="49" t="s">
        <v>186</v>
      </c>
    </row>
    <row r="52" spans="1:10" x14ac:dyDescent="0.2">
      <c r="A52" s="91">
        <v>37</v>
      </c>
      <c r="B52" s="91">
        <v>37</v>
      </c>
      <c r="C52" s="91">
        <v>62</v>
      </c>
      <c r="D52" s="38" t="s">
        <v>38</v>
      </c>
      <c r="E52" s="49" t="s">
        <v>128</v>
      </c>
      <c r="F52" s="127">
        <v>1</v>
      </c>
      <c r="G52" s="88">
        <v>0</v>
      </c>
      <c r="H52" s="88">
        <v>0</v>
      </c>
      <c r="I52" s="49" t="s">
        <v>28</v>
      </c>
      <c r="J52" s="49" t="s">
        <v>186</v>
      </c>
    </row>
    <row r="53" spans="1:10" x14ac:dyDescent="0.2">
      <c r="A53" s="91">
        <v>38</v>
      </c>
      <c r="B53" s="91">
        <v>38</v>
      </c>
      <c r="C53" s="91">
        <v>63</v>
      </c>
      <c r="D53" s="38" t="s">
        <v>38</v>
      </c>
      <c r="E53" s="49" t="s">
        <v>128</v>
      </c>
      <c r="F53" s="127">
        <v>1</v>
      </c>
      <c r="G53" s="88">
        <v>0</v>
      </c>
      <c r="H53" s="88">
        <v>0</v>
      </c>
      <c r="I53" s="49" t="s">
        <v>28</v>
      </c>
      <c r="J53" s="49" t="s">
        <v>186</v>
      </c>
    </row>
    <row r="54" spans="1:10" x14ac:dyDescent="0.2">
      <c r="A54" s="91">
        <v>39</v>
      </c>
      <c r="B54" s="91">
        <v>39</v>
      </c>
      <c r="C54" s="91">
        <v>64</v>
      </c>
      <c r="D54" s="38" t="s">
        <v>38</v>
      </c>
      <c r="E54" s="49" t="s">
        <v>128</v>
      </c>
      <c r="F54" s="127">
        <v>1</v>
      </c>
      <c r="G54" s="88">
        <v>0</v>
      </c>
      <c r="H54" s="88">
        <v>0</v>
      </c>
      <c r="I54" s="49" t="s">
        <v>28</v>
      </c>
      <c r="J54" s="49" t="s">
        <v>186</v>
      </c>
    </row>
    <row r="55" spans="1:10" x14ac:dyDescent="0.2">
      <c r="A55" s="91">
        <v>40</v>
      </c>
      <c r="B55" s="91">
        <v>40</v>
      </c>
      <c r="C55" s="91">
        <v>65</v>
      </c>
      <c r="D55" s="38" t="s">
        <v>38</v>
      </c>
      <c r="E55" s="49" t="s">
        <v>128</v>
      </c>
      <c r="F55" s="127">
        <v>1</v>
      </c>
      <c r="G55" s="88">
        <v>0</v>
      </c>
      <c r="H55" s="88">
        <v>0</v>
      </c>
      <c r="I55" s="49" t="s">
        <v>28</v>
      </c>
      <c r="J55" s="49" t="s">
        <v>186</v>
      </c>
    </row>
    <row r="56" spans="1:10" x14ac:dyDescent="0.2">
      <c r="A56" s="91">
        <v>41</v>
      </c>
      <c r="B56" s="91">
        <v>41</v>
      </c>
      <c r="C56" s="91">
        <v>66</v>
      </c>
      <c r="D56" s="38" t="s">
        <v>38</v>
      </c>
      <c r="E56" s="49" t="s">
        <v>128</v>
      </c>
      <c r="F56" s="127">
        <v>1</v>
      </c>
      <c r="G56" s="88">
        <v>0</v>
      </c>
      <c r="H56" s="88">
        <v>0</v>
      </c>
      <c r="I56" s="49" t="s">
        <v>28</v>
      </c>
      <c r="J56" s="49" t="s">
        <v>186</v>
      </c>
    </row>
    <row r="57" spans="1:10" x14ac:dyDescent="0.2">
      <c r="A57" s="91">
        <v>42</v>
      </c>
      <c r="B57" s="91">
        <v>42</v>
      </c>
      <c r="C57" s="91">
        <v>67</v>
      </c>
      <c r="D57" s="38" t="s">
        <v>38</v>
      </c>
      <c r="E57" s="49" t="s">
        <v>128</v>
      </c>
      <c r="F57" s="127">
        <v>1</v>
      </c>
      <c r="G57" s="88">
        <v>0</v>
      </c>
      <c r="H57" s="88">
        <v>0</v>
      </c>
      <c r="I57" s="49" t="s">
        <v>28</v>
      </c>
      <c r="J57" s="49" t="s">
        <v>186</v>
      </c>
    </row>
    <row r="58" spans="1:10" x14ac:dyDescent="0.2">
      <c r="A58" s="91">
        <v>43</v>
      </c>
      <c r="B58" s="91">
        <v>43</v>
      </c>
      <c r="C58" s="91">
        <v>68</v>
      </c>
      <c r="D58" s="38" t="s">
        <v>38</v>
      </c>
      <c r="E58" s="49" t="s">
        <v>128</v>
      </c>
      <c r="F58" s="127">
        <v>1</v>
      </c>
      <c r="G58" s="88">
        <v>0</v>
      </c>
      <c r="H58" s="88">
        <v>0</v>
      </c>
      <c r="I58" s="49" t="s">
        <v>28</v>
      </c>
      <c r="J58" s="49" t="s">
        <v>186</v>
      </c>
    </row>
    <row r="59" spans="1:10" x14ac:dyDescent="0.2">
      <c r="A59" s="91">
        <v>44</v>
      </c>
      <c r="B59" s="91">
        <v>44</v>
      </c>
      <c r="C59" s="91">
        <v>69</v>
      </c>
      <c r="D59" s="38" t="s">
        <v>38</v>
      </c>
      <c r="E59" s="49" t="s">
        <v>128</v>
      </c>
      <c r="F59" s="127">
        <v>1</v>
      </c>
      <c r="G59" s="88">
        <v>0</v>
      </c>
      <c r="H59" s="88">
        <v>0</v>
      </c>
      <c r="I59" s="49" t="s">
        <v>28</v>
      </c>
      <c r="J59" s="49" t="s">
        <v>186</v>
      </c>
    </row>
    <row r="60" spans="1:10" x14ac:dyDescent="0.2">
      <c r="A60" s="91">
        <v>45</v>
      </c>
      <c r="B60" s="91">
        <v>45</v>
      </c>
      <c r="C60" s="91">
        <v>70</v>
      </c>
      <c r="D60" s="38" t="s">
        <v>38</v>
      </c>
      <c r="E60" s="49" t="s">
        <v>128</v>
      </c>
      <c r="F60" s="127">
        <v>1</v>
      </c>
      <c r="G60" s="88">
        <v>0</v>
      </c>
      <c r="H60" s="88">
        <v>0</v>
      </c>
      <c r="I60" s="49" t="s">
        <v>28</v>
      </c>
      <c r="J60" s="49" t="s">
        <v>186</v>
      </c>
    </row>
    <row r="61" spans="1:10" x14ac:dyDescent="0.2">
      <c r="A61" s="91">
        <v>46</v>
      </c>
      <c r="B61" s="91">
        <v>46</v>
      </c>
      <c r="C61" s="91">
        <v>71</v>
      </c>
      <c r="D61" s="38" t="s">
        <v>38</v>
      </c>
      <c r="E61" s="49" t="s">
        <v>128</v>
      </c>
      <c r="F61" s="127">
        <v>1</v>
      </c>
      <c r="G61" s="88">
        <v>0</v>
      </c>
      <c r="H61" s="88">
        <v>0</v>
      </c>
      <c r="I61" s="49" t="s">
        <v>28</v>
      </c>
      <c r="J61" s="49" t="s">
        <v>186</v>
      </c>
    </row>
    <row r="62" spans="1:10" x14ac:dyDescent="0.2">
      <c r="A62" s="91">
        <v>47</v>
      </c>
      <c r="B62" s="91">
        <v>47</v>
      </c>
      <c r="C62" s="91">
        <v>72</v>
      </c>
      <c r="D62" s="38" t="s">
        <v>38</v>
      </c>
      <c r="E62" s="49" t="s">
        <v>128</v>
      </c>
      <c r="F62" s="127">
        <v>1</v>
      </c>
      <c r="G62" s="88">
        <v>0</v>
      </c>
      <c r="H62" s="88">
        <v>0</v>
      </c>
      <c r="I62" s="49" t="s">
        <v>28</v>
      </c>
      <c r="J62" s="49" t="s">
        <v>186</v>
      </c>
    </row>
    <row r="63" spans="1:10" x14ac:dyDescent="0.2">
      <c r="A63" s="91">
        <v>48</v>
      </c>
      <c r="B63" s="91">
        <v>48</v>
      </c>
      <c r="C63" s="91">
        <v>73</v>
      </c>
      <c r="D63" s="38" t="s">
        <v>38</v>
      </c>
      <c r="E63" s="49" t="s">
        <v>128</v>
      </c>
      <c r="F63" s="127">
        <v>1</v>
      </c>
      <c r="G63" s="88">
        <v>0</v>
      </c>
      <c r="H63" s="88">
        <v>0</v>
      </c>
      <c r="I63" s="49" t="s">
        <v>28</v>
      </c>
      <c r="J63" s="49" t="s">
        <v>186</v>
      </c>
    </row>
    <row r="64" spans="1:10" x14ac:dyDescent="0.2">
      <c r="A64" s="91">
        <v>49</v>
      </c>
      <c r="B64" s="91">
        <v>49</v>
      </c>
      <c r="C64" s="91">
        <v>74</v>
      </c>
      <c r="D64" s="38" t="s">
        <v>38</v>
      </c>
      <c r="E64" s="49" t="s">
        <v>128</v>
      </c>
      <c r="F64" s="127">
        <v>1</v>
      </c>
      <c r="G64" s="88">
        <v>0</v>
      </c>
      <c r="H64" s="88">
        <v>0</v>
      </c>
      <c r="I64" s="49" t="s">
        <v>28</v>
      </c>
      <c r="J64" s="49" t="s">
        <v>186</v>
      </c>
    </row>
    <row r="65" spans="1:10" x14ac:dyDescent="0.2">
      <c r="A65" s="91">
        <v>50</v>
      </c>
      <c r="B65" s="91">
        <v>50</v>
      </c>
      <c r="C65" s="91">
        <v>75</v>
      </c>
      <c r="D65" s="38" t="s">
        <v>38</v>
      </c>
      <c r="E65" s="49" t="s">
        <v>128</v>
      </c>
      <c r="F65" s="127">
        <v>1</v>
      </c>
      <c r="G65" s="88">
        <v>0</v>
      </c>
      <c r="H65" s="88">
        <v>0</v>
      </c>
      <c r="I65" s="49" t="s">
        <v>28</v>
      </c>
      <c r="J65" s="49" t="s">
        <v>186</v>
      </c>
    </row>
    <row r="66" spans="1:10" x14ac:dyDescent="0.2">
      <c r="A66" s="91">
        <v>51</v>
      </c>
      <c r="B66" s="91">
        <v>51</v>
      </c>
      <c r="C66" s="91">
        <v>76</v>
      </c>
      <c r="D66" s="38" t="s">
        <v>38</v>
      </c>
      <c r="E66" s="49" t="s">
        <v>128</v>
      </c>
      <c r="F66" s="127">
        <v>1</v>
      </c>
      <c r="G66" s="88">
        <v>0</v>
      </c>
      <c r="H66" s="88">
        <v>0</v>
      </c>
      <c r="I66" s="49" t="s">
        <v>28</v>
      </c>
      <c r="J66" s="49" t="s">
        <v>186</v>
      </c>
    </row>
    <row r="67" spans="1:10" x14ac:dyDescent="0.2">
      <c r="A67" s="91">
        <v>52</v>
      </c>
      <c r="B67" s="91">
        <v>52</v>
      </c>
      <c r="C67" s="91">
        <v>77</v>
      </c>
      <c r="D67" s="38" t="s">
        <v>38</v>
      </c>
      <c r="E67" s="49" t="s">
        <v>128</v>
      </c>
      <c r="F67" s="127">
        <v>1</v>
      </c>
      <c r="G67" s="88">
        <v>0</v>
      </c>
      <c r="H67" s="88">
        <v>0</v>
      </c>
      <c r="I67" s="49" t="s">
        <v>28</v>
      </c>
      <c r="J67" s="49" t="s">
        <v>186</v>
      </c>
    </row>
    <row r="68" spans="1:10" x14ac:dyDescent="0.2">
      <c r="A68" s="91">
        <v>53</v>
      </c>
      <c r="B68" s="91">
        <v>53</v>
      </c>
      <c r="C68" s="91">
        <v>78</v>
      </c>
      <c r="D68" s="38" t="s">
        <v>38</v>
      </c>
      <c r="E68" s="49" t="s">
        <v>128</v>
      </c>
      <c r="F68" s="127">
        <v>1</v>
      </c>
      <c r="G68" s="88">
        <v>0</v>
      </c>
      <c r="H68" s="88">
        <v>0</v>
      </c>
      <c r="I68" s="49" t="s">
        <v>28</v>
      </c>
      <c r="J68" s="49" t="s">
        <v>186</v>
      </c>
    </row>
    <row r="69" spans="1:10" x14ac:dyDescent="0.2">
      <c r="A69" s="91">
        <v>54</v>
      </c>
      <c r="B69" s="91">
        <v>54</v>
      </c>
      <c r="C69" s="91">
        <v>79</v>
      </c>
      <c r="D69" s="38" t="s">
        <v>38</v>
      </c>
      <c r="E69" s="49" t="s">
        <v>128</v>
      </c>
      <c r="F69" s="127">
        <v>1</v>
      </c>
      <c r="G69" s="88">
        <v>0</v>
      </c>
      <c r="H69" s="88">
        <v>0</v>
      </c>
      <c r="I69" s="49" t="s">
        <v>28</v>
      </c>
      <c r="J69" s="49" t="s">
        <v>186</v>
      </c>
    </row>
    <row r="70" spans="1:10" x14ac:dyDescent="0.2">
      <c r="A70" s="91">
        <v>55</v>
      </c>
      <c r="B70" s="91">
        <v>55</v>
      </c>
      <c r="C70" s="91">
        <v>80</v>
      </c>
      <c r="D70" s="38" t="s">
        <v>38</v>
      </c>
      <c r="E70" s="49" t="s">
        <v>128</v>
      </c>
      <c r="F70" s="127">
        <v>1</v>
      </c>
      <c r="G70" s="88">
        <v>0</v>
      </c>
      <c r="H70" s="88">
        <v>0</v>
      </c>
      <c r="I70" s="49" t="s">
        <v>28</v>
      </c>
      <c r="J70" s="49" t="s">
        <v>186</v>
      </c>
    </row>
    <row r="71" spans="1:10" x14ac:dyDescent="0.2">
      <c r="A71" s="91">
        <v>56</v>
      </c>
      <c r="B71" s="91">
        <v>56</v>
      </c>
      <c r="C71" s="91">
        <v>81</v>
      </c>
      <c r="D71" s="38" t="s">
        <v>38</v>
      </c>
      <c r="E71" s="49" t="s">
        <v>128</v>
      </c>
      <c r="F71" s="127">
        <v>1</v>
      </c>
      <c r="G71" s="88">
        <v>0</v>
      </c>
      <c r="H71" s="88">
        <v>0</v>
      </c>
      <c r="I71" s="49" t="s">
        <v>28</v>
      </c>
      <c r="J71" s="49" t="s">
        <v>186</v>
      </c>
    </row>
    <row r="72" spans="1:10" x14ac:dyDescent="0.2">
      <c r="A72" s="91">
        <v>57</v>
      </c>
      <c r="B72" s="91">
        <v>57</v>
      </c>
      <c r="C72" s="91">
        <v>82</v>
      </c>
      <c r="D72" s="38" t="s">
        <v>38</v>
      </c>
      <c r="E72" s="49" t="s">
        <v>128</v>
      </c>
      <c r="F72" s="127">
        <v>1</v>
      </c>
      <c r="G72" s="88">
        <v>0</v>
      </c>
      <c r="H72" s="88">
        <v>0</v>
      </c>
      <c r="I72" s="49" t="s">
        <v>28</v>
      </c>
      <c r="J72" s="49" t="s">
        <v>186</v>
      </c>
    </row>
    <row r="73" spans="1:10" x14ac:dyDescent="0.2">
      <c r="A73" s="91">
        <v>58</v>
      </c>
      <c r="B73" s="91">
        <v>58</v>
      </c>
      <c r="C73" s="91">
        <v>83</v>
      </c>
      <c r="D73" s="38" t="s">
        <v>38</v>
      </c>
      <c r="E73" s="49" t="s">
        <v>128</v>
      </c>
      <c r="F73" s="127">
        <v>1</v>
      </c>
      <c r="G73" s="88">
        <v>0</v>
      </c>
      <c r="H73" s="88">
        <v>0</v>
      </c>
      <c r="I73" s="49" t="s">
        <v>28</v>
      </c>
      <c r="J73" s="49" t="s">
        <v>186</v>
      </c>
    </row>
    <row r="74" spans="1:10" x14ac:dyDescent="0.2">
      <c r="A74" s="91">
        <v>59</v>
      </c>
      <c r="B74" s="91">
        <v>59</v>
      </c>
      <c r="C74" s="91">
        <v>84</v>
      </c>
      <c r="D74" s="38" t="s">
        <v>38</v>
      </c>
      <c r="E74" s="49" t="s">
        <v>128</v>
      </c>
      <c r="F74" s="127">
        <v>1</v>
      </c>
      <c r="G74" s="88">
        <v>0</v>
      </c>
      <c r="H74" s="88">
        <v>0</v>
      </c>
      <c r="I74" s="49" t="s">
        <v>28</v>
      </c>
      <c r="J74" s="49" t="s">
        <v>186</v>
      </c>
    </row>
    <row r="75" spans="1:10" x14ac:dyDescent="0.2">
      <c r="A75" s="91">
        <v>60</v>
      </c>
      <c r="B75" s="91">
        <v>60</v>
      </c>
      <c r="C75" s="91">
        <v>85</v>
      </c>
      <c r="D75" s="38" t="s">
        <v>38</v>
      </c>
      <c r="E75" s="49" t="s">
        <v>128</v>
      </c>
      <c r="F75" s="127">
        <v>1</v>
      </c>
      <c r="G75" s="88">
        <v>0</v>
      </c>
      <c r="H75" s="88">
        <v>0</v>
      </c>
      <c r="I75" s="49" t="s">
        <v>28</v>
      </c>
      <c r="J75" s="49" t="s">
        <v>186</v>
      </c>
    </row>
    <row r="76" spans="1:10" x14ac:dyDescent="0.2">
      <c r="A76" s="91">
        <v>61</v>
      </c>
      <c r="B76" s="91">
        <v>61</v>
      </c>
      <c r="C76" s="91">
        <v>86</v>
      </c>
      <c r="D76" s="38" t="s">
        <v>38</v>
      </c>
      <c r="E76" s="49" t="s">
        <v>128</v>
      </c>
      <c r="F76" s="127">
        <v>1</v>
      </c>
      <c r="G76" s="88">
        <v>0</v>
      </c>
      <c r="H76" s="88">
        <v>0</v>
      </c>
      <c r="I76" s="49" t="s">
        <v>28</v>
      </c>
      <c r="J76" s="49" t="s">
        <v>186</v>
      </c>
    </row>
    <row r="77" spans="1:10" x14ac:dyDescent="0.2">
      <c r="A77" s="91">
        <v>62</v>
      </c>
      <c r="B77" s="91">
        <v>62</v>
      </c>
      <c r="C77" s="91">
        <v>87</v>
      </c>
      <c r="D77" s="38" t="s">
        <v>38</v>
      </c>
      <c r="E77" s="49" t="s">
        <v>128</v>
      </c>
      <c r="F77" s="127">
        <v>1</v>
      </c>
      <c r="G77" s="88">
        <v>0</v>
      </c>
      <c r="H77" s="88">
        <v>0</v>
      </c>
      <c r="I77" s="49" t="s">
        <v>28</v>
      </c>
      <c r="J77" s="49" t="s">
        <v>186</v>
      </c>
    </row>
    <row r="78" spans="1:10" x14ac:dyDescent="0.2">
      <c r="A78" s="91">
        <v>63</v>
      </c>
      <c r="B78" s="91">
        <v>63</v>
      </c>
      <c r="C78" s="91">
        <v>88</v>
      </c>
      <c r="D78" s="38" t="s">
        <v>38</v>
      </c>
      <c r="E78" s="49" t="s">
        <v>128</v>
      </c>
      <c r="F78" s="127">
        <v>1</v>
      </c>
      <c r="G78" s="88">
        <v>0</v>
      </c>
      <c r="H78" s="88">
        <v>0</v>
      </c>
      <c r="I78" s="49" t="s">
        <v>28</v>
      </c>
      <c r="J78" s="49" t="s">
        <v>186</v>
      </c>
    </row>
    <row r="79" spans="1:10" x14ac:dyDescent="0.2">
      <c r="A79" s="91">
        <v>64</v>
      </c>
      <c r="B79" s="91">
        <v>64</v>
      </c>
      <c r="C79" s="91">
        <v>89</v>
      </c>
      <c r="D79" s="38" t="s">
        <v>38</v>
      </c>
      <c r="E79" s="49" t="s">
        <v>128</v>
      </c>
      <c r="F79" s="127">
        <v>1</v>
      </c>
      <c r="G79" s="88">
        <v>0</v>
      </c>
      <c r="H79" s="88">
        <v>0</v>
      </c>
      <c r="I79" s="49" t="s">
        <v>28</v>
      </c>
      <c r="J79" s="49" t="s">
        <v>186</v>
      </c>
    </row>
    <row r="80" spans="1:10" x14ac:dyDescent="0.2">
      <c r="A80" s="91">
        <v>65</v>
      </c>
      <c r="B80" s="91">
        <v>65</v>
      </c>
      <c r="C80" s="91">
        <v>90</v>
      </c>
      <c r="D80" s="38" t="s">
        <v>38</v>
      </c>
      <c r="E80" s="49" t="s">
        <v>128</v>
      </c>
      <c r="F80" s="127">
        <v>1</v>
      </c>
      <c r="G80" s="88">
        <v>0</v>
      </c>
      <c r="H80" s="88">
        <v>0</v>
      </c>
      <c r="I80" s="49" t="s">
        <v>28</v>
      </c>
      <c r="J80" s="49" t="s">
        <v>186</v>
      </c>
    </row>
    <row r="81" spans="1:10" x14ac:dyDescent="0.2">
      <c r="A81" s="91">
        <v>66</v>
      </c>
      <c r="B81" s="91">
        <v>66</v>
      </c>
      <c r="C81" s="91">
        <v>91</v>
      </c>
      <c r="D81" s="38" t="s">
        <v>38</v>
      </c>
      <c r="E81" s="49" t="s">
        <v>128</v>
      </c>
      <c r="F81" s="127">
        <v>1</v>
      </c>
      <c r="G81" s="88">
        <v>0</v>
      </c>
      <c r="H81" s="88">
        <v>0</v>
      </c>
      <c r="I81" s="49" t="s">
        <v>28</v>
      </c>
      <c r="J81" s="49" t="s">
        <v>186</v>
      </c>
    </row>
    <row r="82" spans="1:10" x14ac:dyDescent="0.2">
      <c r="A82" s="91">
        <v>67</v>
      </c>
      <c r="B82" s="91">
        <v>67</v>
      </c>
      <c r="C82" s="91">
        <v>92</v>
      </c>
      <c r="D82" s="38" t="s">
        <v>38</v>
      </c>
      <c r="E82" s="49" t="s">
        <v>128</v>
      </c>
      <c r="F82" s="127">
        <v>1</v>
      </c>
      <c r="G82" s="88">
        <v>0</v>
      </c>
      <c r="H82" s="88">
        <v>0</v>
      </c>
      <c r="I82" s="49" t="s">
        <v>28</v>
      </c>
      <c r="J82" s="49" t="s">
        <v>186</v>
      </c>
    </row>
    <row r="83" spans="1:10" x14ac:dyDescent="0.2">
      <c r="A83" s="91">
        <v>68</v>
      </c>
      <c r="B83" s="91">
        <v>68</v>
      </c>
      <c r="C83" s="91">
        <v>93</v>
      </c>
      <c r="D83" s="38" t="s">
        <v>38</v>
      </c>
      <c r="E83" s="49" t="s">
        <v>128</v>
      </c>
      <c r="F83" s="127">
        <v>1</v>
      </c>
      <c r="G83" s="88">
        <v>0</v>
      </c>
      <c r="H83" s="88">
        <v>0</v>
      </c>
      <c r="I83" s="49" t="s">
        <v>28</v>
      </c>
      <c r="J83" s="49" t="s">
        <v>186</v>
      </c>
    </row>
    <row r="84" spans="1:10" x14ac:dyDescent="0.2">
      <c r="A84" s="91">
        <v>69</v>
      </c>
      <c r="B84" s="91">
        <v>69</v>
      </c>
      <c r="C84" s="91">
        <v>94</v>
      </c>
      <c r="D84" s="38" t="s">
        <v>38</v>
      </c>
      <c r="E84" s="49" t="s">
        <v>128</v>
      </c>
      <c r="F84" s="127">
        <v>1</v>
      </c>
      <c r="G84" s="88">
        <v>0</v>
      </c>
      <c r="H84" s="88">
        <v>0</v>
      </c>
      <c r="I84" s="49" t="s">
        <v>28</v>
      </c>
      <c r="J84" s="49" t="s">
        <v>186</v>
      </c>
    </row>
    <row r="85" spans="1:10" x14ac:dyDescent="0.2">
      <c r="A85" s="91">
        <v>70</v>
      </c>
      <c r="B85" s="91">
        <v>70</v>
      </c>
      <c r="C85" s="91">
        <v>95</v>
      </c>
      <c r="D85" s="38" t="s">
        <v>38</v>
      </c>
      <c r="E85" s="49" t="s">
        <v>128</v>
      </c>
      <c r="F85" s="127">
        <v>1</v>
      </c>
      <c r="G85" s="88">
        <v>0</v>
      </c>
      <c r="H85" s="88">
        <v>0</v>
      </c>
      <c r="I85" s="49" t="s">
        <v>28</v>
      </c>
      <c r="J85" s="49" t="s">
        <v>186</v>
      </c>
    </row>
    <row r="86" spans="1:10" x14ac:dyDescent="0.2">
      <c r="A86" s="91">
        <v>71</v>
      </c>
      <c r="B86" s="91">
        <v>71</v>
      </c>
      <c r="C86" s="91">
        <v>96</v>
      </c>
      <c r="D86" s="38" t="s">
        <v>38</v>
      </c>
      <c r="E86" s="49" t="s">
        <v>128</v>
      </c>
      <c r="F86" s="127">
        <v>1</v>
      </c>
      <c r="G86" s="88">
        <v>0</v>
      </c>
      <c r="H86" s="88">
        <v>0</v>
      </c>
      <c r="I86" s="49" t="s">
        <v>28</v>
      </c>
      <c r="J86" s="49" t="s">
        <v>186</v>
      </c>
    </row>
    <row r="87" spans="1:10" x14ac:dyDescent="0.2">
      <c r="A87" s="91">
        <v>72</v>
      </c>
      <c r="B87" s="91">
        <v>72</v>
      </c>
      <c r="C87" s="91">
        <v>97</v>
      </c>
      <c r="D87" s="38" t="s">
        <v>38</v>
      </c>
      <c r="E87" s="49" t="s">
        <v>128</v>
      </c>
      <c r="F87" s="127">
        <v>1</v>
      </c>
      <c r="G87" s="88">
        <v>0</v>
      </c>
      <c r="H87" s="88">
        <v>0</v>
      </c>
      <c r="I87" s="49" t="s">
        <v>28</v>
      </c>
      <c r="J87" s="49" t="s">
        <v>186</v>
      </c>
    </row>
    <row r="88" spans="1:10" x14ac:dyDescent="0.2">
      <c r="A88" s="91">
        <v>73</v>
      </c>
      <c r="B88" s="91">
        <v>73</v>
      </c>
      <c r="C88" s="91">
        <v>98</v>
      </c>
      <c r="D88" s="38" t="s">
        <v>38</v>
      </c>
      <c r="E88" s="49" t="s">
        <v>128</v>
      </c>
      <c r="F88" s="127">
        <v>1</v>
      </c>
      <c r="G88" s="88">
        <v>0</v>
      </c>
      <c r="H88" s="88">
        <v>0</v>
      </c>
      <c r="I88" s="49" t="s">
        <v>28</v>
      </c>
      <c r="J88" s="49" t="s">
        <v>186</v>
      </c>
    </row>
    <row r="89" spans="1:10" x14ac:dyDescent="0.2">
      <c r="A89" s="91">
        <v>74</v>
      </c>
      <c r="B89" s="91">
        <v>74</v>
      </c>
      <c r="C89" s="91">
        <v>99</v>
      </c>
      <c r="D89" s="38" t="s">
        <v>38</v>
      </c>
      <c r="E89" s="49" t="s">
        <v>128</v>
      </c>
      <c r="F89" s="127">
        <v>1</v>
      </c>
      <c r="G89" s="88">
        <v>0</v>
      </c>
      <c r="H89" s="88">
        <v>0</v>
      </c>
      <c r="I89" s="49" t="s">
        <v>28</v>
      </c>
      <c r="J89" s="49" t="s">
        <v>186</v>
      </c>
    </row>
    <row r="90" spans="1:10" x14ac:dyDescent="0.2">
      <c r="A90" s="91">
        <v>75</v>
      </c>
      <c r="B90" s="91">
        <v>75</v>
      </c>
      <c r="C90" s="91">
        <v>100</v>
      </c>
      <c r="D90" s="38" t="s">
        <v>38</v>
      </c>
      <c r="E90" s="49" t="s">
        <v>128</v>
      </c>
      <c r="F90" s="127">
        <v>1</v>
      </c>
      <c r="G90" s="88">
        <v>0</v>
      </c>
      <c r="H90" s="88">
        <v>0</v>
      </c>
      <c r="I90" s="49" t="s">
        <v>28</v>
      </c>
      <c r="J90" s="49" t="s">
        <v>186</v>
      </c>
    </row>
    <row r="91" spans="1:10" x14ac:dyDescent="0.2">
      <c r="A91" s="91">
        <v>76</v>
      </c>
      <c r="B91" s="91">
        <v>76</v>
      </c>
      <c r="C91" s="91">
        <v>101</v>
      </c>
      <c r="D91" s="38" t="s">
        <v>38</v>
      </c>
      <c r="E91" s="49" t="s">
        <v>128</v>
      </c>
      <c r="F91" s="127">
        <v>1</v>
      </c>
      <c r="G91" s="88">
        <v>0</v>
      </c>
      <c r="H91" s="88">
        <v>0</v>
      </c>
      <c r="I91" s="49" t="s">
        <v>28</v>
      </c>
      <c r="J91" s="49" t="s">
        <v>186</v>
      </c>
    </row>
    <row r="92" spans="1:10" x14ac:dyDescent="0.2">
      <c r="A92" s="91">
        <v>77</v>
      </c>
      <c r="B92" s="91">
        <v>77</v>
      </c>
      <c r="C92" s="91">
        <v>102</v>
      </c>
      <c r="D92" s="38" t="s">
        <v>38</v>
      </c>
      <c r="E92" s="49" t="s">
        <v>128</v>
      </c>
      <c r="F92" s="127">
        <v>1</v>
      </c>
      <c r="G92" s="88">
        <v>0</v>
      </c>
      <c r="H92" s="88">
        <v>0</v>
      </c>
      <c r="I92" s="49" t="s">
        <v>28</v>
      </c>
      <c r="J92" s="49" t="s">
        <v>186</v>
      </c>
    </row>
    <row r="93" spans="1:10" x14ac:dyDescent="0.2">
      <c r="A93" s="91">
        <v>78</v>
      </c>
      <c r="B93" s="91">
        <v>78</v>
      </c>
      <c r="C93" s="91">
        <v>103</v>
      </c>
      <c r="D93" s="38" t="s">
        <v>38</v>
      </c>
      <c r="E93" s="49" t="s">
        <v>128</v>
      </c>
      <c r="F93" s="127">
        <v>1</v>
      </c>
      <c r="G93" s="88">
        <v>0</v>
      </c>
      <c r="H93" s="88">
        <v>0</v>
      </c>
      <c r="I93" s="49" t="s">
        <v>28</v>
      </c>
      <c r="J93" s="49" t="s">
        <v>186</v>
      </c>
    </row>
    <row r="94" spans="1:10" x14ac:dyDescent="0.2">
      <c r="A94" s="91">
        <v>79</v>
      </c>
      <c r="B94" s="91">
        <v>79</v>
      </c>
      <c r="C94" s="91">
        <v>104</v>
      </c>
      <c r="D94" s="38" t="s">
        <v>38</v>
      </c>
      <c r="E94" s="49" t="s">
        <v>128</v>
      </c>
      <c r="F94" s="127">
        <v>1</v>
      </c>
      <c r="G94" s="88">
        <v>0</v>
      </c>
      <c r="H94" s="88">
        <v>0</v>
      </c>
      <c r="I94" s="49" t="s">
        <v>28</v>
      </c>
      <c r="J94" s="49" t="s">
        <v>186</v>
      </c>
    </row>
    <row r="95" spans="1:10" x14ac:dyDescent="0.2">
      <c r="A95" s="91">
        <v>80</v>
      </c>
      <c r="B95" s="91">
        <v>80</v>
      </c>
      <c r="C95" s="91">
        <v>105</v>
      </c>
      <c r="D95" s="38" t="s">
        <v>38</v>
      </c>
      <c r="E95" s="49" t="s">
        <v>128</v>
      </c>
      <c r="F95" s="127">
        <v>1</v>
      </c>
      <c r="G95" s="88">
        <v>0</v>
      </c>
      <c r="H95" s="88">
        <v>0</v>
      </c>
      <c r="I95" s="49" t="s">
        <v>28</v>
      </c>
      <c r="J95" s="49" t="s">
        <v>186</v>
      </c>
    </row>
    <row r="96" spans="1:10" x14ac:dyDescent="0.2">
      <c r="A96" s="91">
        <v>81</v>
      </c>
      <c r="B96" s="91">
        <v>81</v>
      </c>
      <c r="C96" s="91">
        <v>106</v>
      </c>
      <c r="D96" s="38" t="s">
        <v>38</v>
      </c>
      <c r="E96" s="49" t="s">
        <v>128</v>
      </c>
      <c r="F96" s="127">
        <v>1</v>
      </c>
      <c r="G96" s="88">
        <v>0</v>
      </c>
      <c r="H96" s="88">
        <v>0</v>
      </c>
      <c r="I96" s="49" t="s">
        <v>28</v>
      </c>
      <c r="J96" s="49" t="s">
        <v>186</v>
      </c>
    </row>
    <row r="97" spans="1:10" x14ac:dyDescent="0.2">
      <c r="A97" s="91">
        <v>82</v>
      </c>
      <c r="B97" s="91">
        <v>82</v>
      </c>
      <c r="C97" s="91">
        <v>107</v>
      </c>
      <c r="D97" s="38" t="s">
        <v>38</v>
      </c>
      <c r="E97" s="49" t="s">
        <v>128</v>
      </c>
      <c r="F97" s="127">
        <v>1</v>
      </c>
      <c r="G97" s="88">
        <v>0</v>
      </c>
      <c r="H97" s="88">
        <v>0</v>
      </c>
      <c r="I97" s="49" t="s">
        <v>28</v>
      </c>
      <c r="J97" s="49" t="s">
        <v>186</v>
      </c>
    </row>
    <row r="98" spans="1:10" x14ac:dyDescent="0.2">
      <c r="A98" s="91">
        <v>83</v>
      </c>
      <c r="B98" s="91">
        <v>83</v>
      </c>
      <c r="C98" s="91">
        <v>108</v>
      </c>
      <c r="D98" s="38" t="s">
        <v>38</v>
      </c>
      <c r="E98" s="49" t="s">
        <v>128</v>
      </c>
      <c r="F98" s="127">
        <v>1</v>
      </c>
      <c r="G98" s="88">
        <v>0</v>
      </c>
      <c r="H98" s="88">
        <v>0</v>
      </c>
      <c r="I98" s="49" t="s">
        <v>28</v>
      </c>
      <c r="J98" s="49" t="s">
        <v>186</v>
      </c>
    </row>
    <row r="99" spans="1:10" x14ac:dyDescent="0.2">
      <c r="A99" s="91">
        <v>84</v>
      </c>
      <c r="B99" s="91">
        <v>84</v>
      </c>
      <c r="C99" s="91">
        <v>109</v>
      </c>
      <c r="D99" s="38" t="s">
        <v>38</v>
      </c>
      <c r="E99" s="49" t="s">
        <v>128</v>
      </c>
      <c r="F99" s="127">
        <v>1</v>
      </c>
      <c r="G99" s="88">
        <v>0</v>
      </c>
      <c r="H99" s="88">
        <v>0</v>
      </c>
      <c r="I99" s="49" t="s">
        <v>28</v>
      </c>
      <c r="J99" s="49" t="s">
        <v>186</v>
      </c>
    </row>
    <row r="100" spans="1:10" x14ac:dyDescent="0.2">
      <c r="A100" s="91">
        <v>85</v>
      </c>
      <c r="B100" s="91">
        <v>85</v>
      </c>
      <c r="C100" s="91">
        <v>110</v>
      </c>
      <c r="D100" s="38" t="s">
        <v>38</v>
      </c>
      <c r="E100" s="49" t="s">
        <v>128</v>
      </c>
      <c r="F100" s="127">
        <v>1</v>
      </c>
      <c r="G100" s="88">
        <v>0</v>
      </c>
      <c r="H100" s="88">
        <v>0</v>
      </c>
      <c r="I100" s="49" t="s">
        <v>28</v>
      </c>
      <c r="J100" s="49" t="s">
        <v>186</v>
      </c>
    </row>
    <row r="101" spans="1:10" x14ac:dyDescent="0.2">
      <c r="A101" s="91">
        <v>86</v>
      </c>
      <c r="B101" s="91">
        <v>86</v>
      </c>
      <c r="C101" s="91">
        <v>111</v>
      </c>
      <c r="D101" s="38" t="s">
        <v>38</v>
      </c>
      <c r="E101" s="49" t="s">
        <v>128</v>
      </c>
      <c r="F101" s="127">
        <v>1</v>
      </c>
      <c r="G101" s="88">
        <v>0</v>
      </c>
      <c r="H101" s="88">
        <v>0</v>
      </c>
      <c r="I101" s="49" t="s">
        <v>28</v>
      </c>
      <c r="J101" s="49" t="s">
        <v>186</v>
      </c>
    </row>
    <row r="102" spans="1:10" x14ac:dyDescent="0.2">
      <c r="A102" s="91">
        <v>87</v>
      </c>
      <c r="B102" s="91">
        <v>87</v>
      </c>
      <c r="C102" s="91">
        <v>112</v>
      </c>
      <c r="D102" s="38" t="s">
        <v>38</v>
      </c>
      <c r="E102" s="49" t="s">
        <v>128</v>
      </c>
      <c r="F102" s="127">
        <v>1</v>
      </c>
      <c r="G102" s="88">
        <v>0</v>
      </c>
      <c r="H102" s="88">
        <v>0</v>
      </c>
      <c r="I102" s="49" t="s">
        <v>28</v>
      </c>
      <c r="J102" s="49" t="s">
        <v>186</v>
      </c>
    </row>
    <row r="103" spans="1:10" x14ac:dyDescent="0.2">
      <c r="A103" s="91">
        <v>88</v>
      </c>
      <c r="B103" s="91">
        <v>88</v>
      </c>
      <c r="C103" s="91">
        <v>113</v>
      </c>
      <c r="D103" s="38" t="s">
        <v>38</v>
      </c>
      <c r="E103" s="49" t="s">
        <v>128</v>
      </c>
      <c r="F103" s="127">
        <v>1</v>
      </c>
      <c r="G103" s="88">
        <v>0</v>
      </c>
      <c r="H103" s="88">
        <v>0</v>
      </c>
      <c r="I103" s="49" t="s">
        <v>28</v>
      </c>
      <c r="J103" s="49" t="s">
        <v>186</v>
      </c>
    </row>
    <row r="104" spans="1:10" x14ac:dyDescent="0.2">
      <c r="A104" s="91">
        <v>89</v>
      </c>
      <c r="B104" s="91">
        <v>89</v>
      </c>
      <c r="C104" s="91">
        <v>114</v>
      </c>
      <c r="D104" s="38" t="s">
        <v>38</v>
      </c>
      <c r="E104" s="49" t="s">
        <v>128</v>
      </c>
      <c r="F104" s="127">
        <v>1</v>
      </c>
      <c r="G104" s="88">
        <v>0</v>
      </c>
      <c r="H104" s="88">
        <v>0</v>
      </c>
      <c r="I104" s="49" t="s">
        <v>28</v>
      </c>
      <c r="J104" s="49" t="s">
        <v>186</v>
      </c>
    </row>
    <row r="105" spans="1:10" x14ac:dyDescent="0.2">
      <c r="A105" s="91">
        <v>90</v>
      </c>
      <c r="B105" s="91">
        <v>90</v>
      </c>
      <c r="C105" s="91">
        <v>115</v>
      </c>
      <c r="D105" s="38" t="s">
        <v>38</v>
      </c>
      <c r="E105" s="49" t="s">
        <v>128</v>
      </c>
      <c r="F105" s="127">
        <v>1</v>
      </c>
      <c r="G105" s="88">
        <v>0</v>
      </c>
      <c r="H105" s="88">
        <v>0</v>
      </c>
      <c r="I105" s="49" t="s">
        <v>28</v>
      </c>
      <c r="J105" s="49" t="s">
        <v>186</v>
      </c>
    </row>
    <row r="106" spans="1:10" x14ac:dyDescent="0.2">
      <c r="A106" s="91">
        <v>91</v>
      </c>
      <c r="B106" s="91">
        <v>91</v>
      </c>
      <c r="C106" s="91">
        <v>116</v>
      </c>
      <c r="D106" s="38" t="s">
        <v>38</v>
      </c>
      <c r="E106" s="49" t="s">
        <v>128</v>
      </c>
      <c r="F106" s="127">
        <v>1</v>
      </c>
      <c r="G106" s="88">
        <v>0</v>
      </c>
      <c r="H106" s="88">
        <v>0</v>
      </c>
      <c r="I106" s="49" t="s">
        <v>28</v>
      </c>
      <c r="J106" s="49" t="s">
        <v>186</v>
      </c>
    </row>
    <row r="107" spans="1:10" x14ac:dyDescent="0.2">
      <c r="A107" s="91">
        <v>92</v>
      </c>
      <c r="B107" s="91">
        <v>92</v>
      </c>
      <c r="C107" s="91">
        <v>117</v>
      </c>
      <c r="D107" s="38" t="s">
        <v>38</v>
      </c>
      <c r="E107" s="49" t="s">
        <v>128</v>
      </c>
      <c r="F107" s="127">
        <v>1</v>
      </c>
      <c r="G107" s="88">
        <v>0</v>
      </c>
      <c r="H107" s="88">
        <v>0</v>
      </c>
      <c r="I107" s="49" t="s">
        <v>28</v>
      </c>
      <c r="J107" s="49" t="s">
        <v>186</v>
      </c>
    </row>
    <row r="108" spans="1:10" x14ac:dyDescent="0.2">
      <c r="A108" s="91">
        <v>93</v>
      </c>
      <c r="B108" s="91">
        <v>93</v>
      </c>
      <c r="C108" s="91">
        <v>118</v>
      </c>
      <c r="D108" s="38" t="s">
        <v>38</v>
      </c>
      <c r="E108" s="49" t="s">
        <v>128</v>
      </c>
      <c r="F108" s="127">
        <v>1</v>
      </c>
      <c r="G108" s="88">
        <v>0</v>
      </c>
      <c r="H108" s="88">
        <v>0</v>
      </c>
      <c r="I108" s="49" t="s">
        <v>28</v>
      </c>
      <c r="J108" s="49" t="s">
        <v>186</v>
      </c>
    </row>
    <row r="109" spans="1:10" x14ac:dyDescent="0.2">
      <c r="A109" s="91">
        <v>94</v>
      </c>
      <c r="B109" s="91">
        <v>94</v>
      </c>
      <c r="C109" s="91">
        <v>119</v>
      </c>
      <c r="D109" s="38" t="s">
        <v>38</v>
      </c>
      <c r="E109" s="49" t="s">
        <v>128</v>
      </c>
      <c r="F109" s="127">
        <v>1</v>
      </c>
      <c r="G109" s="88">
        <v>0</v>
      </c>
      <c r="H109" s="88">
        <v>0</v>
      </c>
      <c r="I109" s="49" t="s">
        <v>28</v>
      </c>
      <c r="J109" s="49" t="s">
        <v>186</v>
      </c>
    </row>
    <row r="110" spans="1:10" x14ac:dyDescent="0.2">
      <c r="A110" s="91">
        <v>95</v>
      </c>
      <c r="B110" s="91">
        <v>95</v>
      </c>
      <c r="C110" s="91">
        <v>120</v>
      </c>
      <c r="D110" s="38" t="s">
        <v>38</v>
      </c>
      <c r="E110" s="49" t="s">
        <v>128</v>
      </c>
      <c r="F110" s="127">
        <v>1</v>
      </c>
      <c r="G110" s="88">
        <v>0</v>
      </c>
      <c r="H110" s="88">
        <v>0</v>
      </c>
      <c r="I110" s="49" t="s">
        <v>28</v>
      </c>
      <c r="J110" s="49" t="s">
        <v>186</v>
      </c>
    </row>
    <row r="111" spans="1:10" x14ac:dyDescent="0.2">
      <c r="A111" s="91">
        <v>96</v>
      </c>
      <c r="B111" s="91">
        <v>96</v>
      </c>
      <c r="C111" s="91">
        <v>121</v>
      </c>
      <c r="D111" s="38" t="s">
        <v>38</v>
      </c>
      <c r="E111" s="49" t="s">
        <v>128</v>
      </c>
      <c r="F111" s="127">
        <v>1</v>
      </c>
      <c r="G111" s="88">
        <v>0</v>
      </c>
      <c r="H111" s="88">
        <v>0</v>
      </c>
      <c r="I111" s="49" t="s">
        <v>28</v>
      </c>
      <c r="J111" s="49" t="s">
        <v>186</v>
      </c>
    </row>
    <row r="112" spans="1:10" x14ac:dyDescent="0.2">
      <c r="A112" s="91">
        <v>97</v>
      </c>
      <c r="B112" s="91">
        <v>97</v>
      </c>
      <c r="C112" s="91">
        <v>122</v>
      </c>
      <c r="D112" s="38" t="s">
        <v>38</v>
      </c>
      <c r="E112" s="49" t="s">
        <v>128</v>
      </c>
      <c r="F112" s="127">
        <v>1</v>
      </c>
      <c r="G112" s="88">
        <v>0</v>
      </c>
      <c r="H112" s="88">
        <v>0</v>
      </c>
      <c r="I112" s="49" t="s">
        <v>28</v>
      </c>
      <c r="J112" s="49" t="s">
        <v>186</v>
      </c>
    </row>
    <row r="113" spans="1:10" x14ac:dyDescent="0.2">
      <c r="A113" s="91">
        <v>98</v>
      </c>
      <c r="B113" s="91">
        <v>98</v>
      </c>
      <c r="C113" s="91">
        <v>123</v>
      </c>
      <c r="D113" s="38" t="s">
        <v>38</v>
      </c>
      <c r="E113" s="49" t="s">
        <v>128</v>
      </c>
      <c r="F113" s="127">
        <v>1</v>
      </c>
      <c r="G113" s="88">
        <v>0</v>
      </c>
      <c r="H113" s="88">
        <v>0</v>
      </c>
      <c r="I113" s="49" t="s">
        <v>28</v>
      </c>
      <c r="J113" s="49" t="s">
        <v>186</v>
      </c>
    </row>
    <row r="114" spans="1:10" x14ac:dyDescent="0.2">
      <c r="A114" s="91">
        <v>99</v>
      </c>
      <c r="B114" s="91">
        <v>99</v>
      </c>
      <c r="C114" s="91">
        <v>124</v>
      </c>
      <c r="D114" s="38" t="s">
        <v>38</v>
      </c>
      <c r="E114" s="49" t="s">
        <v>128</v>
      </c>
      <c r="F114" s="127">
        <v>1</v>
      </c>
      <c r="G114" s="88">
        <v>0</v>
      </c>
      <c r="H114" s="88">
        <v>0</v>
      </c>
      <c r="I114" s="49" t="s">
        <v>28</v>
      </c>
      <c r="J114" s="49" t="s">
        <v>186</v>
      </c>
    </row>
    <row r="115" spans="1:10" x14ac:dyDescent="0.2">
      <c r="A115" s="91">
        <v>100</v>
      </c>
      <c r="B115" s="91">
        <v>100</v>
      </c>
      <c r="C115" s="91">
        <v>125</v>
      </c>
      <c r="D115" s="38" t="s">
        <v>38</v>
      </c>
      <c r="E115" s="49" t="s">
        <v>128</v>
      </c>
      <c r="F115" s="127">
        <v>1</v>
      </c>
      <c r="G115" s="88">
        <v>0</v>
      </c>
      <c r="H115" s="88">
        <v>0</v>
      </c>
      <c r="I115" s="49" t="s">
        <v>28</v>
      </c>
      <c r="J115" s="49" t="s">
        <v>186</v>
      </c>
    </row>
    <row r="116" spans="1:10" x14ac:dyDescent="0.2">
      <c r="A116" s="91">
        <v>101</v>
      </c>
      <c r="B116" s="91">
        <v>26</v>
      </c>
      <c r="C116" s="91">
        <v>27</v>
      </c>
      <c r="D116" s="38" t="s">
        <v>39</v>
      </c>
      <c r="E116" s="49" t="s">
        <v>128</v>
      </c>
      <c r="F116" s="49">
        <v>0</v>
      </c>
      <c r="G116" s="88">
        <v>0</v>
      </c>
      <c r="H116" s="88">
        <v>0</v>
      </c>
      <c r="I116" s="49" t="s">
        <v>29</v>
      </c>
      <c r="J116" s="49" t="s">
        <v>52</v>
      </c>
    </row>
    <row r="117" spans="1:10" x14ac:dyDescent="0.2">
      <c r="A117" s="91">
        <v>102</v>
      </c>
      <c r="B117" s="91">
        <v>27</v>
      </c>
      <c r="C117" s="91">
        <v>28</v>
      </c>
      <c r="D117" s="38" t="s">
        <v>39</v>
      </c>
      <c r="E117" s="49" t="s">
        <v>128</v>
      </c>
      <c r="F117" s="49">
        <v>0</v>
      </c>
      <c r="G117" s="88">
        <v>0</v>
      </c>
      <c r="H117" s="88">
        <v>0</v>
      </c>
      <c r="I117" s="49" t="s">
        <v>29</v>
      </c>
      <c r="J117" s="49" t="s">
        <v>52</v>
      </c>
    </row>
    <row r="118" spans="1:10" x14ac:dyDescent="0.2">
      <c r="A118" s="91">
        <v>103</v>
      </c>
      <c r="B118" s="91">
        <v>28</v>
      </c>
      <c r="C118" s="91">
        <v>29</v>
      </c>
      <c r="D118" s="38" t="s">
        <v>39</v>
      </c>
      <c r="E118" s="49" t="s">
        <v>128</v>
      </c>
      <c r="F118" s="49">
        <v>0</v>
      </c>
      <c r="G118" s="88">
        <v>0</v>
      </c>
      <c r="H118" s="88">
        <v>0</v>
      </c>
      <c r="I118" s="49" t="s">
        <v>29</v>
      </c>
      <c r="J118" s="49" t="s">
        <v>52</v>
      </c>
    </row>
    <row r="119" spans="1:10" x14ac:dyDescent="0.2">
      <c r="A119" s="91">
        <v>104</v>
      </c>
      <c r="B119" s="91">
        <v>29</v>
      </c>
      <c r="C119" s="91">
        <v>30</v>
      </c>
      <c r="D119" s="38" t="s">
        <v>39</v>
      </c>
      <c r="E119" s="49" t="s">
        <v>128</v>
      </c>
      <c r="F119" s="49">
        <v>0</v>
      </c>
      <c r="G119" s="88">
        <v>0</v>
      </c>
      <c r="H119" s="88">
        <v>0</v>
      </c>
      <c r="I119" s="49" t="s">
        <v>29</v>
      </c>
      <c r="J119" s="49" t="s">
        <v>52</v>
      </c>
    </row>
    <row r="120" spans="1:10" x14ac:dyDescent="0.2">
      <c r="A120" s="91">
        <v>105</v>
      </c>
      <c r="B120" s="91">
        <v>31</v>
      </c>
      <c r="C120" s="91">
        <v>32</v>
      </c>
      <c r="D120" s="38" t="s">
        <v>39</v>
      </c>
      <c r="E120" s="49" t="s">
        <v>128</v>
      </c>
      <c r="F120" s="49">
        <v>0</v>
      </c>
      <c r="G120" s="88">
        <v>0</v>
      </c>
      <c r="H120" s="88">
        <v>0</v>
      </c>
      <c r="I120" s="49" t="s">
        <v>29</v>
      </c>
      <c r="J120" s="49" t="s">
        <v>52</v>
      </c>
    </row>
    <row r="121" spans="1:10" x14ac:dyDescent="0.2">
      <c r="A121" s="91">
        <v>106</v>
      </c>
      <c r="B121" s="91">
        <v>32</v>
      </c>
      <c r="C121" s="91">
        <v>33</v>
      </c>
      <c r="D121" s="38" t="s">
        <v>39</v>
      </c>
      <c r="E121" s="49" t="s">
        <v>128</v>
      </c>
      <c r="F121" s="49">
        <v>0</v>
      </c>
      <c r="G121" s="88">
        <v>0</v>
      </c>
      <c r="H121" s="88">
        <v>0</v>
      </c>
      <c r="I121" s="49" t="s">
        <v>29</v>
      </c>
      <c r="J121" s="49" t="s">
        <v>52</v>
      </c>
    </row>
    <row r="122" spans="1:10" x14ac:dyDescent="0.2">
      <c r="A122" s="91">
        <v>107</v>
      </c>
      <c r="B122" s="91">
        <v>33</v>
      </c>
      <c r="C122" s="91">
        <v>34</v>
      </c>
      <c r="D122" s="38" t="s">
        <v>39</v>
      </c>
      <c r="E122" s="49" t="s">
        <v>128</v>
      </c>
      <c r="F122" s="49">
        <v>0</v>
      </c>
      <c r="G122" s="88">
        <v>0</v>
      </c>
      <c r="H122" s="88">
        <v>0</v>
      </c>
      <c r="I122" s="49" t="s">
        <v>29</v>
      </c>
      <c r="J122" s="49" t="s">
        <v>52</v>
      </c>
    </row>
    <row r="123" spans="1:10" x14ac:dyDescent="0.2">
      <c r="A123" s="91">
        <v>108</v>
      </c>
      <c r="B123" s="91">
        <v>34</v>
      </c>
      <c r="C123" s="91">
        <v>35</v>
      </c>
      <c r="D123" s="38" t="s">
        <v>39</v>
      </c>
      <c r="E123" s="49" t="s">
        <v>128</v>
      </c>
      <c r="F123" s="49">
        <v>0</v>
      </c>
      <c r="G123" s="88">
        <v>0</v>
      </c>
      <c r="H123" s="88">
        <v>0</v>
      </c>
      <c r="I123" s="49" t="s">
        <v>29</v>
      </c>
      <c r="J123" s="49" t="s">
        <v>52</v>
      </c>
    </row>
    <row r="124" spans="1:10" x14ac:dyDescent="0.2">
      <c r="A124" s="91">
        <v>109</v>
      </c>
      <c r="B124" s="91">
        <v>36</v>
      </c>
      <c r="C124" s="91">
        <v>37</v>
      </c>
      <c r="D124" s="38" t="s">
        <v>39</v>
      </c>
      <c r="E124" s="49" t="s">
        <v>128</v>
      </c>
      <c r="F124" s="49">
        <v>0</v>
      </c>
      <c r="G124" s="88">
        <v>0</v>
      </c>
      <c r="H124" s="88">
        <v>0</v>
      </c>
      <c r="I124" s="49" t="s">
        <v>29</v>
      </c>
      <c r="J124" s="49" t="s">
        <v>52</v>
      </c>
    </row>
    <row r="125" spans="1:10" x14ac:dyDescent="0.2">
      <c r="A125" s="91">
        <v>110</v>
      </c>
      <c r="B125" s="91">
        <v>37</v>
      </c>
      <c r="C125" s="91">
        <v>38</v>
      </c>
      <c r="D125" s="38" t="s">
        <v>39</v>
      </c>
      <c r="E125" s="49" t="s">
        <v>128</v>
      </c>
      <c r="F125" s="49">
        <v>0</v>
      </c>
      <c r="G125" s="88">
        <v>0</v>
      </c>
      <c r="H125" s="88">
        <v>0</v>
      </c>
      <c r="I125" s="49" t="s">
        <v>29</v>
      </c>
      <c r="J125" s="49" t="s">
        <v>52</v>
      </c>
    </row>
    <row r="126" spans="1:10" x14ac:dyDescent="0.2">
      <c r="A126" s="91">
        <v>111</v>
      </c>
      <c r="B126" s="91">
        <v>38</v>
      </c>
      <c r="C126" s="91">
        <v>39</v>
      </c>
      <c r="D126" s="38" t="s">
        <v>39</v>
      </c>
      <c r="E126" s="49" t="s">
        <v>128</v>
      </c>
      <c r="F126" s="49">
        <v>0</v>
      </c>
      <c r="G126" s="88">
        <v>0</v>
      </c>
      <c r="H126" s="88">
        <v>0</v>
      </c>
      <c r="I126" s="49" t="s">
        <v>29</v>
      </c>
      <c r="J126" s="49" t="s">
        <v>52</v>
      </c>
    </row>
    <row r="127" spans="1:10" x14ac:dyDescent="0.2">
      <c r="A127" s="91">
        <v>112</v>
      </c>
      <c r="B127" s="91">
        <v>39</v>
      </c>
      <c r="C127" s="91">
        <v>40</v>
      </c>
      <c r="D127" s="38" t="s">
        <v>39</v>
      </c>
      <c r="E127" s="49" t="s">
        <v>128</v>
      </c>
      <c r="F127" s="49">
        <v>0</v>
      </c>
      <c r="G127" s="88">
        <v>0</v>
      </c>
      <c r="H127" s="88">
        <v>0</v>
      </c>
      <c r="I127" s="49" t="s">
        <v>29</v>
      </c>
      <c r="J127" s="49" t="s">
        <v>52</v>
      </c>
    </row>
    <row r="128" spans="1:10" x14ac:dyDescent="0.2">
      <c r="A128" s="91">
        <v>113</v>
      </c>
      <c r="B128" s="91">
        <v>41</v>
      </c>
      <c r="C128" s="91">
        <v>42</v>
      </c>
      <c r="D128" s="38" t="s">
        <v>39</v>
      </c>
      <c r="E128" s="49" t="s">
        <v>128</v>
      </c>
      <c r="F128" s="49">
        <v>0</v>
      </c>
      <c r="G128" s="88">
        <v>0</v>
      </c>
      <c r="H128" s="88">
        <v>0</v>
      </c>
      <c r="I128" s="49" t="s">
        <v>29</v>
      </c>
      <c r="J128" s="49" t="s">
        <v>52</v>
      </c>
    </row>
    <row r="129" spans="1:10" x14ac:dyDescent="0.2">
      <c r="A129" s="91">
        <v>114</v>
      </c>
      <c r="B129" s="91">
        <v>42</v>
      </c>
      <c r="C129" s="91">
        <v>43</v>
      </c>
      <c r="D129" s="38" t="s">
        <v>39</v>
      </c>
      <c r="E129" s="49" t="s">
        <v>128</v>
      </c>
      <c r="F129" s="49">
        <v>0</v>
      </c>
      <c r="G129" s="88">
        <v>0</v>
      </c>
      <c r="H129" s="88">
        <v>0</v>
      </c>
      <c r="I129" s="49" t="s">
        <v>29</v>
      </c>
      <c r="J129" s="49" t="s">
        <v>52</v>
      </c>
    </row>
    <row r="130" spans="1:10" x14ac:dyDescent="0.2">
      <c r="A130" s="91">
        <v>115</v>
      </c>
      <c r="B130" s="91">
        <v>43</v>
      </c>
      <c r="C130" s="91">
        <v>44</v>
      </c>
      <c r="D130" s="38" t="s">
        <v>39</v>
      </c>
      <c r="E130" s="49" t="s">
        <v>128</v>
      </c>
      <c r="F130" s="49">
        <v>0</v>
      </c>
      <c r="G130" s="88">
        <v>0</v>
      </c>
      <c r="H130" s="88">
        <v>0</v>
      </c>
      <c r="I130" s="49" t="s">
        <v>29</v>
      </c>
      <c r="J130" s="49" t="s">
        <v>52</v>
      </c>
    </row>
    <row r="131" spans="1:10" x14ac:dyDescent="0.2">
      <c r="A131" s="91">
        <v>116</v>
      </c>
      <c r="B131" s="91">
        <v>44</v>
      </c>
      <c r="C131" s="91">
        <v>45</v>
      </c>
      <c r="D131" s="38" t="s">
        <v>39</v>
      </c>
      <c r="E131" s="49" t="s">
        <v>128</v>
      </c>
      <c r="F131" s="49">
        <v>0</v>
      </c>
      <c r="G131" s="88">
        <v>0</v>
      </c>
      <c r="H131" s="88">
        <v>0</v>
      </c>
      <c r="I131" s="49" t="s">
        <v>29</v>
      </c>
      <c r="J131" s="49" t="s">
        <v>52</v>
      </c>
    </row>
    <row r="132" spans="1:10" x14ac:dyDescent="0.2">
      <c r="A132" s="91">
        <v>117</v>
      </c>
      <c r="B132" s="91">
        <v>46</v>
      </c>
      <c r="C132" s="91">
        <v>47</v>
      </c>
      <c r="D132" s="38" t="s">
        <v>39</v>
      </c>
      <c r="E132" s="49" t="s">
        <v>128</v>
      </c>
      <c r="F132" s="49">
        <v>0</v>
      </c>
      <c r="G132" s="88">
        <v>0</v>
      </c>
      <c r="H132" s="88">
        <v>0</v>
      </c>
      <c r="I132" s="49" t="s">
        <v>29</v>
      </c>
      <c r="J132" s="49" t="s">
        <v>52</v>
      </c>
    </row>
    <row r="133" spans="1:10" x14ac:dyDescent="0.2">
      <c r="A133" s="91">
        <v>118</v>
      </c>
      <c r="B133" s="91">
        <v>47</v>
      </c>
      <c r="C133" s="91">
        <v>48</v>
      </c>
      <c r="D133" s="38" t="s">
        <v>39</v>
      </c>
      <c r="E133" s="49" t="s">
        <v>128</v>
      </c>
      <c r="F133" s="49">
        <v>0</v>
      </c>
      <c r="G133" s="88">
        <v>0</v>
      </c>
      <c r="H133" s="88">
        <v>0</v>
      </c>
      <c r="I133" s="49" t="s">
        <v>29</v>
      </c>
      <c r="J133" s="49" t="s">
        <v>52</v>
      </c>
    </row>
    <row r="134" spans="1:10" x14ac:dyDescent="0.2">
      <c r="A134" s="91">
        <v>119</v>
      </c>
      <c r="B134" s="91">
        <v>48</v>
      </c>
      <c r="C134" s="91">
        <v>49</v>
      </c>
      <c r="D134" s="38" t="s">
        <v>39</v>
      </c>
      <c r="E134" s="49" t="s">
        <v>128</v>
      </c>
      <c r="F134" s="49">
        <v>0</v>
      </c>
      <c r="G134" s="88">
        <v>0</v>
      </c>
      <c r="H134" s="88">
        <v>0</v>
      </c>
      <c r="I134" s="49" t="s">
        <v>29</v>
      </c>
      <c r="J134" s="49" t="s">
        <v>52</v>
      </c>
    </row>
    <row r="135" spans="1:10" x14ac:dyDescent="0.2">
      <c r="A135" s="91">
        <v>120</v>
      </c>
      <c r="B135" s="91">
        <v>49</v>
      </c>
      <c r="C135" s="91">
        <v>50</v>
      </c>
      <c r="D135" s="38" t="s">
        <v>39</v>
      </c>
      <c r="E135" s="49" t="s">
        <v>128</v>
      </c>
      <c r="F135" s="49">
        <v>0</v>
      </c>
      <c r="G135" s="88">
        <v>0</v>
      </c>
      <c r="H135" s="88">
        <v>0</v>
      </c>
      <c r="I135" s="49" t="s">
        <v>29</v>
      </c>
      <c r="J135" s="49" t="s">
        <v>52</v>
      </c>
    </row>
    <row r="136" spans="1:10" x14ac:dyDescent="0.2">
      <c r="A136" s="91">
        <v>121</v>
      </c>
      <c r="B136" s="91">
        <v>51</v>
      </c>
      <c r="C136" s="91">
        <v>52</v>
      </c>
      <c r="D136" s="38" t="s">
        <v>39</v>
      </c>
      <c r="E136" s="49" t="s">
        <v>128</v>
      </c>
      <c r="F136" s="49">
        <v>0</v>
      </c>
      <c r="G136" s="88">
        <v>0</v>
      </c>
      <c r="H136" s="88">
        <v>0</v>
      </c>
      <c r="I136" s="49" t="s">
        <v>29</v>
      </c>
      <c r="J136" s="49" t="s">
        <v>52</v>
      </c>
    </row>
    <row r="137" spans="1:10" x14ac:dyDescent="0.2">
      <c r="A137" s="91">
        <v>122</v>
      </c>
      <c r="B137" s="91">
        <v>52</v>
      </c>
      <c r="C137" s="91">
        <v>53</v>
      </c>
      <c r="D137" s="38" t="s">
        <v>39</v>
      </c>
      <c r="E137" s="49" t="s">
        <v>128</v>
      </c>
      <c r="F137" s="49">
        <v>0</v>
      </c>
      <c r="G137" s="88">
        <v>0</v>
      </c>
      <c r="H137" s="88">
        <v>0</v>
      </c>
      <c r="I137" s="49" t="s">
        <v>29</v>
      </c>
      <c r="J137" s="49" t="s">
        <v>52</v>
      </c>
    </row>
    <row r="138" spans="1:10" x14ac:dyDescent="0.2">
      <c r="A138" s="91">
        <v>123</v>
      </c>
      <c r="B138" s="91">
        <v>53</v>
      </c>
      <c r="C138" s="91">
        <v>54</v>
      </c>
      <c r="D138" s="38" t="s">
        <v>39</v>
      </c>
      <c r="E138" s="49" t="s">
        <v>128</v>
      </c>
      <c r="F138" s="49">
        <v>0</v>
      </c>
      <c r="G138" s="88">
        <v>0</v>
      </c>
      <c r="H138" s="88">
        <v>0</v>
      </c>
      <c r="I138" s="49" t="s">
        <v>29</v>
      </c>
      <c r="J138" s="49" t="s">
        <v>52</v>
      </c>
    </row>
    <row r="139" spans="1:10" x14ac:dyDescent="0.2">
      <c r="A139" s="91">
        <v>124</v>
      </c>
      <c r="B139" s="91">
        <v>54</v>
      </c>
      <c r="C139" s="91">
        <v>55</v>
      </c>
      <c r="D139" s="38" t="s">
        <v>39</v>
      </c>
      <c r="E139" s="49" t="s">
        <v>128</v>
      </c>
      <c r="F139" s="49">
        <v>0</v>
      </c>
      <c r="G139" s="88">
        <v>0</v>
      </c>
      <c r="H139" s="88">
        <v>0</v>
      </c>
      <c r="I139" s="49" t="s">
        <v>29</v>
      </c>
      <c r="J139" s="49" t="s">
        <v>52</v>
      </c>
    </row>
    <row r="140" spans="1:10" x14ac:dyDescent="0.2">
      <c r="A140" s="91">
        <v>125</v>
      </c>
      <c r="B140" s="91">
        <v>56</v>
      </c>
      <c r="C140" s="91">
        <v>57</v>
      </c>
      <c r="D140" s="38" t="s">
        <v>39</v>
      </c>
      <c r="E140" s="49" t="s">
        <v>128</v>
      </c>
      <c r="F140" s="49">
        <v>0</v>
      </c>
      <c r="G140" s="88">
        <v>0</v>
      </c>
      <c r="H140" s="88">
        <v>0</v>
      </c>
      <c r="I140" s="49" t="s">
        <v>29</v>
      </c>
      <c r="J140" s="49" t="s">
        <v>52</v>
      </c>
    </row>
    <row r="141" spans="1:10" x14ac:dyDescent="0.2">
      <c r="A141" s="91">
        <v>126</v>
      </c>
      <c r="B141" s="91">
        <v>57</v>
      </c>
      <c r="C141" s="91">
        <v>58</v>
      </c>
      <c r="D141" s="38" t="s">
        <v>39</v>
      </c>
      <c r="E141" s="49" t="s">
        <v>128</v>
      </c>
      <c r="F141" s="49">
        <v>0</v>
      </c>
      <c r="G141" s="88">
        <v>0</v>
      </c>
      <c r="H141" s="88">
        <v>0</v>
      </c>
      <c r="I141" s="49" t="s">
        <v>29</v>
      </c>
      <c r="J141" s="49" t="s">
        <v>52</v>
      </c>
    </row>
    <row r="142" spans="1:10" x14ac:dyDescent="0.2">
      <c r="A142" s="91">
        <v>127</v>
      </c>
      <c r="B142" s="91">
        <v>58</v>
      </c>
      <c r="C142" s="91">
        <v>59</v>
      </c>
      <c r="D142" s="38" t="s">
        <v>39</v>
      </c>
      <c r="E142" s="49" t="s">
        <v>128</v>
      </c>
      <c r="F142" s="49">
        <v>0</v>
      </c>
      <c r="G142" s="88">
        <v>0</v>
      </c>
      <c r="H142" s="88">
        <v>0</v>
      </c>
      <c r="I142" s="49" t="s">
        <v>29</v>
      </c>
      <c r="J142" s="49" t="s">
        <v>52</v>
      </c>
    </row>
    <row r="143" spans="1:10" x14ac:dyDescent="0.2">
      <c r="A143" s="91">
        <v>128</v>
      </c>
      <c r="B143" s="91">
        <v>59</v>
      </c>
      <c r="C143" s="91">
        <v>60</v>
      </c>
      <c r="D143" s="38" t="s">
        <v>39</v>
      </c>
      <c r="E143" s="49" t="s">
        <v>128</v>
      </c>
      <c r="F143" s="49">
        <v>0</v>
      </c>
      <c r="G143" s="88">
        <v>0</v>
      </c>
      <c r="H143" s="88">
        <v>0</v>
      </c>
      <c r="I143" s="49" t="s">
        <v>29</v>
      </c>
      <c r="J143" s="49" t="s">
        <v>52</v>
      </c>
    </row>
    <row r="144" spans="1:10" x14ac:dyDescent="0.2">
      <c r="A144" s="91">
        <v>129</v>
      </c>
      <c r="B144" s="91">
        <v>61</v>
      </c>
      <c r="C144" s="91">
        <v>62</v>
      </c>
      <c r="D144" s="38" t="s">
        <v>39</v>
      </c>
      <c r="E144" s="49" t="s">
        <v>128</v>
      </c>
      <c r="F144" s="49">
        <v>0</v>
      </c>
      <c r="G144" s="88">
        <v>0</v>
      </c>
      <c r="H144" s="88">
        <v>0</v>
      </c>
      <c r="I144" s="49" t="s">
        <v>29</v>
      </c>
      <c r="J144" s="49" t="s">
        <v>52</v>
      </c>
    </row>
    <row r="145" spans="1:10" x14ac:dyDescent="0.2">
      <c r="A145" s="91">
        <v>130</v>
      </c>
      <c r="B145" s="91">
        <v>62</v>
      </c>
      <c r="C145" s="91">
        <v>63</v>
      </c>
      <c r="D145" s="38" t="s">
        <v>39</v>
      </c>
      <c r="E145" s="49" t="s">
        <v>128</v>
      </c>
      <c r="F145" s="49">
        <v>0</v>
      </c>
      <c r="G145" s="88">
        <v>0</v>
      </c>
      <c r="H145" s="88">
        <v>0</v>
      </c>
      <c r="I145" s="49" t="s">
        <v>29</v>
      </c>
      <c r="J145" s="49" t="s">
        <v>52</v>
      </c>
    </row>
    <row r="146" spans="1:10" x14ac:dyDescent="0.2">
      <c r="A146" s="91">
        <v>131</v>
      </c>
      <c r="B146" s="91">
        <v>63</v>
      </c>
      <c r="C146" s="91">
        <v>64</v>
      </c>
      <c r="D146" s="38" t="s">
        <v>39</v>
      </c>
      <c r="E146" s="49" t="s">
        <v>128</v>
      </c>
      <c r="F146" s="49">
        <v>0</v>
      </c>
      <c r="G146" s="88">
        <v>0</v>
      </c>
      <c r="H146" s="88">
        <v>0</v>
      </c>
      <c r="I146" s="49" t="s">
        <v>29</v>
      </c>
      <c r="J146" s="49" t="s">
        <v>52</v>
      </c>
    </row>
    <row r="147" spans="1:10" x14ac:dyDescent="0.2">
      <c r="A147" s="91">
        <v>132</v>
      </c>
      <c r="B147" s="91">
        <v>64</v>
      </c>
      <c r="C147" s="91">
        <v>65</v>
      </c>
      <c r="D147" s="38" t="s">
        <v>39</v>
      </c>
      <c r="E147" s="49" t="s">
        <v>128</v>
      </c>
      <c r="F147" s="49">
        <v>0</v>
      </c>
      <c r="G147" s="88">
        <v>0</v>
      </c>
      <c r="H147" s="88">
        <v>0</v>
      </c>
      <c r="I147" s="49" t="s">
        <v>29</v>
      </c>
      <c r="J147" s="49" t="s">
        <v>52</v>
      </c>
    </row>
    <row r="148" spans="1:10" x14ac:dyDescent="0.2">
      <c r="A148" s="91">
        <v>133</v>
      </c>
      <c r="B148" s="91">
        <v>66</v>
      </c>
      <c r="C148" s="91">
        <v>67</v>
      </c>
      <c r="D148" s="38" t="s">
        <v>39</v>
      </c>
      <c r="E148" s="49" t="s">
        <v>128</v>
      </c>
      <c r="F148" s="49">
        <v>0</v>
      </c>
      <c r="G148" s="88">
        <v>0</v>
      </c>
      <c r="H148" s="88">
        <v>0</v>
      </c>
      <c r="I148" s="49" t="s">
        <v>29</v>
      </c>
      <c r="J148" s="49" t="s">
        <v>52</v>
      </c>
    </row>
    <row r="149" spans="1:10" x14ac:dyDescent="0.2">
      <c r="A149" s="91">
        <v>134</v>
      </c>
      <c r="B149" s="91">
        <v>67</v>
      </c>
      <c r="C149" s="91">
        <v>68</v>
      </c>
      <c r="D149" s="38" t="s">
        <v>39</v>
      </c>
      <c r="E149" s="49" t="s">
        <v>128</v>
      </c>
      <c r="F149" s="49">
        <v>0</v>
      </c>
      <c r="G149" s="88">
        <v>0</v>
      </c>
      <c r="H149" s="88">
        <v>0</v>
      </c>
      <c r="I149" s="49" t="s">
        <v>29</v>
      </c>
      <c r="J149" s="49" t="s">
        <v>52</v>
      </c>
    </row>
    <row r="150" spans="1:10" x14ac:dyDescent="0.2">
      <c r="A150" s="91">
        <v>135</v>
      </c>
      <c r="B150" s="91">
        <v>68</v>
      </c>
      <c r="C150" s="91">
        <v>69</v>
      </c>
      <c r="D150" s="38" t="s">
        <v>39</v>
      </c>
      <c r="E150" s="49" t="s">
        <v>128</v>
      </c>
      <c r="F150" s="49">
        <v>0</v>
      </c>
      <c r="G150" s="88">
        <v>0</v>
      </c>
      <c r="H150" s="88">
        <v>0</v>
      </c>
      <c r="I150" s="49" t="s">
        <v>29</v>
      </c>
      <c r="J150" s="49" t="s">
        <v>52</v>
      </c>
    </row>
    <row r="151" spans="1:10" x14ac:dyDescent="0.2">
      <c r="A151" s="91">
        <v>136</v>
      </c>
      <c r="B151" s="91">
        <v>69</v>
      </c>
      <c r="C151" s="91">
        <v>70</v>
      </c>
      <c r="D151" s="38" t="s">
        <v>39</v>
      </c>
      <c r="E151" s="49" t="s">
        <v>128</v>
      </c>
      <c r="F151" s="49">
        <v>0</v>
      </c>
      <c r="G151" s="88">
        <v>0</v>
      </c>
      <c r="H151" s="88">
        <v>0</v>
      </c>
      <c r="I151" s="49" t="s">
        <v>29</v>
      </c>
      <c r="J151" s="49" t="s">
        <v>52</v>
      </c>
    </row>
    <row r="152" spans="1:10" x14ac:dyDescent="0.2">
      <c r="A152" s="91">
        <v>137</v>
      </c>
      <c r="B152" s="91">
        <v>71</v>
      </c>
      <c r="C152" s="91">
        <v>72</v>
      </c>
      <c r="D152" s="38" t="s">
        <v>39</v>
      </c>
      <c r="E152" s="49" t="s">
        <v>128</v>
      </c>
      <c r="F152" s="49">
        <v>0</v>
      </c>
      <c r="G152" s="88">
        <v>0</v>
      </c>
      <c r="H152" s="88">
        <v>0</v>
      </c>
      <c r="I152" s="49" t="s">
        <v>29</v>
      </c>
      <c r="J152" s="49" t="s">
        <v>52</v>
      </c>
    </row>
    <row r="153" spans="1:10" x14ac:dyDescent="0.2">
      <c r="A153" s="91">
        <v>138</v>
      </c>
      <c r="B153" s="91">
        <v>72</v>
      </c>
      <c r="C153" s="91">
        <v>73</v>
      </c>
      <c r="D153" s="38" t="s">
        <v>39</v>
      </c>
      <c r="E153" s="49" t="s">
        <v>128</v>
      </c>
      <c r="F153" s="49">
        <v>0</v>
      </c>
      <c r="G153" s="88">
        <v>0</v>
      </c>
      <c r="H153" s="88">
        <v>0</v>
      </c>
      <c r="I153" s="49" t="s">
        <v>29</v>
      </c>
      <c r="J153" s="49" t="s">
        <v>52</v>
      </c>
    </row>
    <row r="154" spans="1:10" x14ac:dyDescent="0.2">
      <c r="A154" s="91">
        <v>139</v>
      </c>
      <c r="B154" s="91">
        <v>73</v>
      </c>
      <c r="C154" s="91">
        <v>74</v>
      </c>
      <c r="D154" s="38" t="s">
        <v>39</v>
      </c>
      <c r="E154" s="49" t="s">
        <v>128</v>
      </c>
      <c r="F154" s="49">
        <v>0</v>
      </c>
      <c r="G154" s="88">
        <v>0</v>
      </c>
      <c r="H154" s="88">
        <v>0</v>
      </c>
      <c r="I154" s="49" t="s">
        <v>29</v>
      </c>
      <c r="J154" s="49" t="s">
        <v>52</v>
      </c>
    </row>
    <row r="155" spans="1:10" x14ac:dyDescent="0.2">
      <c r="A155" s="91">
        <v>140</v>
      </c>
      <c r="B155" s="91">
        <v>74</v>
      </c>
      <c r="C155" s="91">
        <v>75</v>
      </c>
      <c r="D155" s="38" t="s">
        <v>39</v>
      </c>
      <c r="E155" s="49" t="s">
        <v>128</v>
      </c>
      <c r="F155" s="49">
        <v>0</v>
      </c>
      <c r="G155" s="88">
        <v>0</v>
      </c>
      <c r="H155" s="88">
        <v>0</v>
      </c>
      <c r="I155" s="49" t="s">
        <v>29</v>
      </c>
      <c r="J155" s="49" t="s">
        <v>52</v>
      </c>
    </row>
    <row r="156" spans="1:10" x14ac:dyDescent="0.2">
      <c r="A156" s="91">
        <v>141</v>
      </c>
      <c r="B156" s="91">
        <v>76</v>
      </c>
      <c r="C156" s="91">
        <v>77</v>
      </c>
      <c r="D156" s="38" t="s">
        <v>39</v>
      </c>
      <c r="E156" s="49" t="s">
        <v>128</v>
      </c>
      <c r="F156" s="49">
        <v>0</v>
      </c>
      <c r="G156" s="88">
        <v>0</v>
      </c>
      <c r="H156" s="88">
        <v>0</v>
      </c>
      <c r="I156" s="49" t="s">
        <v>29</v>
      </c>
      <c r="J156" s="49" t="s">
        <v>52</v>
      </c>
    </row>
    <row r="157" spans="1:10" x14ac:dyDescent="0.2">
      <c r="A157" s="91">
        <v>142</v>
      </c>
      <c r="B157" s="91">
        <v>77</v>
      </c>
      <c r="C157" s="91">
        <v>78</v>
      </c>
      <c r="D157" s="38" t="s">
        <v>39</v>
      </c>
      <c r="E157" s="49" t="s">
        <v>128</v>
      </c>
      <c r="F157" s="49">
        <v>0</v>
      </c>
      <c r="G157" s="88">
        <v>0</v>
      </c>
      <c r="H157" s="88">
        <v>0</v>
      </c>
      <c r="I157" s="49" t="s">
        <v>29</v>
      </c>
      <c r="J157" s="49" t="s">
        <v>52</v>
      </c>
    </row>
    <row r="158" spans="1:10" x14ac:dyDescent="0.2">
      <c r="A158" s="91">
        <v>143</v>
      </c>
      <c r="B158" s="91">
        <v>78</v>
      </c>
      <c r="C158" s="91">
        <v>79</v>
      </c>
      <c r="D158" s="38" t="s">
        <v>39</v>
      </c>
      <c r="E158" s="49" t="s">
        <v>128</v>
      </c>
      <c r="F158" s="49">
        <v>0</v>
      </c>
      <c r="G158" s="88">
        <v>0</v>
      </c>
      <c r="H158" s="88">
        <v>0</v>
      </c>
      <c r="I158" s="49" t="s">
        <v>29</v>
      </c>
      <c r="J158" s="49" t="s">
        <v>52</v>
      </c>
    </row>
    <row r="159" spans="1:10" x14ac:dyDescent="0.2">
      <c r="A159" s="91">
        <v>144</v>
      </c>
      <c r="B159" s="91">
        <v>79</v>
      </c>
      <c r="C159" s="91">
        <v>80</v>
      </c>
      <c r="D159" s="38" t="s">
        <v>39</v>
      </c>
      <c r="E159" s="49" t="s">
        <v>128</v>
      </c>
      <c r="F159" s="49">
        <v>0</v>
      </c>
      <c r="G159" s="88">
        <v>0</v>
      </c>
      <c r="H159" s="88">
        <v>0</v>
      </c>
      <c r="I159" s="49" t="s">
        <v>29</v>
      </c>
      <c r="J159" s="49" t="s">
        <v>52</v>
      </c>
    </row>
    <row r="160" spans="1:10" x14ac:dyDescent="0.2">
      <c r="A160" s="91">
        <v>145</v>
      </c>
      <c r="B160" s="91">
        <v>81</v>
      </c>
      <c r="C160" s="91">
        <v>82</v>
      </c>
      <c r="D160" s="38" t="s">
        <v>39</v>
      </c>
      <c r="E160" s="49" t="s">
        <v>128</v>
      </c>
      <c r="F160" s="49">
        <v>0</v>
      </c>
      <c r="G160" s="88">
        <v>0</v>
      </c>
      <c r="H160" s="88">
        <v>0</v>
      </c>
      <c r="I160" s="49" t="s">
        <v>29</v>
      </c>
      <c r="J160" s="49" t="s">
        <v>52</v>
      </c>
    </row>
    <row r="161" spans="1:10" x14ac:dyDescent="0.2">
      <c r="A161" s="91">
        <v>146</v>
      </c>
      <c r="B161" s="91">
        <v>82</v>
      </c>
      <c r="C161" s="91">
        <v>83</v>
      </c>
      <c r="D161" s="38" t="s">
        <v>39</v>
      </c>
      <c r="E161" s="49" t="s">
        <v>128</v>
      </c>
      <c r="F161" s="49">
        <v>0</v>
      </c>
      <c r="G161" s="88">
        <v>0</v>
      </c>
      <c r="H161" s="88">
        <v>0</v>
      </c>
      <c r="I161" s="49" t="s">
        <v>29</v>
      </c>
      <c r="J161" s="49" t="s">
        <v>52</v>
      </c>
    </row>
    <row r="162" spans="1:10" x14ac:dyDescent="0.2">
      <c r="A162" s="91">
        <v>147</v>
      </c>
      <c r="B162" s="91">
        <v>83</v>
      </c>
      <c r="C162" s="91">
        <v>84</v>
      </c>
      <c r="D162" s="38" t="s">
        <v>39</v>
      </c>
      <c r="E162" s="49" t="s">
        <v>128</v>
      </c>
      <c r="F162" s="49">
        <v>0</v>
      </c>
      <c r="G162" s="88">
        <v>0</v>
      </c>
      <c r="H162" s="88">
        <v>0</v>
      </c>
      <c r="I162" s="49" t="s">
        <v>29</v>
      </c>
      <c r="J162" s="49" t="s">
        <v>52</v>
      </c>
    </row>
    <row r="163" spans="1:10" x14ac:dyDescent="0.2">
      <c r="A163" s="91">
        <v>148</v>
      </c>
      <c r="B163" s="91">
        <v>84</v>
      </c>
      <c r="C163" s="91">
        <v>85</v>
      </c>
      <c r="D163" s="38" t="s">
        <v>39</v>
      </c>
      <c r="E163" s="49" t="s">
        <v>128</v>
      </c>
      <c r="F163" s="49">
        <v>0</v>
      </c>
      <c r="G163" s="88">
        <v>0</v>
      </c>
      <c r="H163" s="88">
        <v>0</v>
      </c>
      <c r="I163" s="49" t="s">
        <v>29</v>
      </c>
      <c r="J163" s="49" t="s">
        <v>52</v>
      </c>
    </row>
    <row r="164" spans="1:10" x14ac:dyDescent="0.2">
      <c r="A164" s="91">
        <v>149</v>
      </c>
      <c r="B164" s="91">
        <v>86</v>
      </c>
      <c r="C164" s="91">
        <v>87</v>
      </c>
      <c r="D164" s="38" t="s">
        <v>39</v>
      </c>
      <c r="E164" s="49" t="s">
        <v>128</v>
      </c>
      <c r="F164" s="49">
        <v>0</v>
      </c>
      <c r="G164" s="88">
        <v>0</v>
      </c>
      <c r="H164" s="88">
        <v>0</v>
      </c>
      <c r="I164" s="49" t="s">
        <v>29</v>
      </c>
      <c r="J164" s="49" t="s">
        <v>52</v>
      </c>
    </row>
    <row r="165" spans="1:10" x14ac:dyDescent="0.2">
      <c r="A165" s="91">
        <v>150</v>
      </c>
      <c r="B165" s="91">
        <v>87</v>
      </c>
      <c r="C165" s="91">
        <v>88</v>
      </c>
      <c r="D165" s="38" t="s">
        <v>39</v>
      </c>
      <c r="E165" s="49" t="s">
        <v>128</v>
      </c>
      <c r="F165" s="49">
        <v>0</v>
      </c>
      <c r="G165" s="88">
        <v>0</v>
      </c>
      <c r="H165" s="88">
        <v>0</v>
      </c>
      <c r="I165" s="49" t="s">
        <v>29</v>
      </c>
      <c r="J165" s="49" t="s">
        <v>52</v>
      </c>
    </row>
    <row r="166" spans="1:10" x14ac:dyDescent="0.2">
      <c r="A166" s="91">
        <v>151</v>
      </c>
      <c r="B166" s="91">
        <v>88</v>
      </c>
      <c r="C166" s="91">
        <v>89</v>
      </c>
      <c r="D166" s="38" t="s">
        <v>39</v>
      </c>
      <c r="E166" s="49" t="s">
        <v>128</v>
      </c>
      <c r="F166" s="49">
        <v>0</v>
      </c>
      <c r="G166" s="88">
        <v>0</v>
      </c>
      <c r="H166" s="88">
        <v>0</v>
      </c>
      <c r="I166" s="49" t="s">
        <v>29</v>
      </c>
      <c r="J166" s="49" t="s">
        <v>52</v>
      </c>
    </row>
    <row r="167" spans="1:10" x14ac:dyDescent="0.2">
      <c r="A167" s="91">
        <v>152</v>
      </c>
      <c r="B167" s="91">
        <v>89</v>
      </c>
      <c r="C167" s="91">
        <v>90</v>
      </c>
      <c r="D167" s="38" t="s">
        <v>39</v>
      </c>
      <c r="E167" s="49" t="s">
        <v>128</v>
      </c>
      <c r="F167" s="49">
        <v>0</v>
      </c>
      <c r="G167" s="88">
        <v>0</v>
      </c>
      <c r="H167" s="88">
        <v>0</v>
      </c>
      <c r="I167" s="49" t="s">
        <v>29</v>
      </c>
      <c r="J167" s="49" t="s">
        <v>52</v>
      </c>
    </row>
    <row r="168" spans="1:10" x14ac:dyDescent="0.2">
      <c r="A168" s="91">
        <v>153</v>
      </c>
      <c r="B168" s="91">
        <v>91</v>
      </c>
      <c r="C168" s="91">
        <v>92</v>
      </c>
      <c r="D168" s="38" t="s">
        <v>39</v>
      </c>
      <c r="E168" s="49" t="s">
        <v>128</v>
      </c>
      <c r="F168" s="49">
        <v>0</v>
      </c>
      <c r="G168" s="88">
        <v>0</v>
      </c>
      <c r="H168" s="88">
        <v>0</v>
      </c>
      <c r="I168" s="49" t="s">
        <v>29</v>
      </c>
      <c r="J168" s="49" t="s">
        <v>52</v>
      </c>
    </row>
    <row r="169" spans="1:10" x14ac:dyDescent="0.2">
      <c r="A169" s="91">
        <v>154</v>
      </c>
      <c r="B169" s="91">
        <v>92</v>
      </c>
      <c r="C169" s="91">
        <v>93</v>
      </c>
      <c r="D169" s="38" t="s">
        <v>39</v>
      </c>
      <c r="E169" s="49" t="s">
        <v>128</v>
      </c>
      <c r="F169" s="49">
        <v>0</v>
      </c>
      <c r="G169" s="88">
        <v>0</v>
      </c>
      <c r="H169" s="88">
        <v>0</v>
      </c>
      <c r="I169" s="49" t="s">
        <v>29</v>
      </c>
      <c r="J169" s="49" t="s">
        <v>52</v>
      </c>
    </row>
    <row r="170" spans="1:10" x14ac:dyDescent="0.2">
      <c r="A170" s="91">
        <v>155</v>
      </c>
      <c r="B170" s="91">
        <v>93</v>
      </c>
      <c r="C170" s="91">
        <v>94</v>
      </c>
      <c r="D170" s="38" t="s">
        <v>39</v>
      </c>
      <c r="E170" s="49" t="s">
        <v>128</v>
      </c>
      <c r="F170" s="49">
        <v>0</v>
      </c>
      <c r="G170" s="88">
        <v>0</v>
      </c>
      <c r="H170" s="88">
        <v>0</v>
      </c>
      <c r="I170" s="49" t="s">
        <v>29</v>
      </c>
      <c r="J170" s="49" t="s">
        <v>52</v>
      </c>
    </row>
    <row r="171" spans="1:10" x14ac:dyDescent="0.2">
      <c r="A171" s="91">
        <v>156</v>
      </c>
      <c r="B171" s="91">
        <v>94</v>
      </c>
      <c r="C171" s="91">
        <v>95</v>
      </c>
      <c r="D171" s="38" t="s">
        <v>39</v>
      </c>
      <c r="E171" s="49" t="s">
        <v>128</v>
      </c>
      <c r="F171" s="49">
        <v>0</v>
      </c>
      <c r="G171" s="88">
        <v>0</v>
      </c>
      <c r="H171" s="88">
        <v>0</v>
      </c>
      <c r="I171" s="49" t="s">
        <v>29</v>
      </c>
      <c r="J171" s="49" t="s">
        <v>52</v>
      </c>
    </row>
    <row r="172" spans="1:10" x14ac:dyDescent="0.2">
      <c r="A172" s="91">
        <v>157</v>
      </c>
      <c r="B172" s="91">
        <v>96</v>
      </c>
      <c r="C172" s="91">
        <v>97</v>
      </c>
      <c r="D172" s="38" t="s">
        <v>39</v>
      </c>
      <c r="E172" s="49" t="s">
        <v>128</v>
      </c>
      <c r="F172" s="49">
        <v>0</v>
      </c>
      <c r="G172" s="88">
        <v>0</v>
      </c>
      <c r="H172" s="88">
        <v>0</v>
      </c>
      <c r="I172" s="49" t="s">
        <v>29</v>
      </c>
      <c r="J172" s="49" t="s">
        <v>52</v>
      </c>
    </row>
    <row r="173" spans="1:10" x14ac:dyDescent="0.2">
      <c r="A173" s="91">
        <v>158</v>
      </c>
      <c r="B173" s="91">
        <v>97</v>
      </c>
      <c r="C173" s="91">
        <v>98</v>
      </c>
      <c r="D173" s="38" t="s">
        <v>39</v>
      </c>
      <c r="E173" s="49" t="s">
        <v>128</v>
      </c>
      <c r="F173" s="49">
        <v>0</v>
      </c>
      <c r="G173" s="88">
        <v>0</v>
      </c>
      <c r="H173" s="88">
        <v>0</v>
      </c>
      <c r="I173" s="49" t="s">
        <v>29</v>
      </c>
      <c r="J173" s="49" t="s">
        <v>52</v>
      </c>
    </row>
    <row r="174" spans="1:10" x14ac:dyDescent="0.2">
      <c r="A174" s="91">
        <v>159</v>
      </c>
      <c r="B174" s="91">
        <v>98</v>
      </c>
      <c r="C174" s="91">
        <v>99</v>
      </c>
      <c r="D174" s="38" t="s">
        <v>39</v>
      </c>
      <c r="E174" s="49" t="s">
        <v>128</v>
      </c>
      <c r="F174" s="49">
        <v>0</v>
      </c>
      <c r="G174" s="88">
        <v>0</v>
      </c>
      <c r="H174" s="88">
        <v>0</v>
      </c>
      <c r="I174" s="49" t="s">
        <v>29</v>
      </c>
      <c r="J174" s="49" t="s">
        <v>52</v>
      </c>
    </row>
    <row r="175" spans="1:10" x14ac:dyDescent="0.2">
      <c r="A175" s="91">
        <v>160</v>
      </c>
      <c r="B175" s="91">
        <v>99</v>
      </c>
      <c r="C175" s="91">
        <v>100</v>
      </c>
      <c r="D175" s="38" t="s">
        <v>39</v>
      </c>
      <c r="E175" s="49" t="s">
        <v>128</v>
      </c>
      <c r="F175" s="49">
        <v>0</v>
      </c>
      <c r="G175" s="88">
        <v>0</v>
      </c>
      <c r="H175" s="88">
        <v>0</v>
      </c>
      <c r="I175" s="49" t="s">
        <v>29</v>
      </c>
      <c r="J175" s="49" t="s">
        <v>52</v>
      </c>
    </row>
    <row r="176" spans="1:10" x14ac:dyDescent="0.2">
      <c r="A176" s="91">
        <v>161</v>
      </c>
      <c r="B176" s="91">
        <v>101</v>
      </c>
      <c r="C176" s="91">
        <v>102</v>
      </c>
      <c r="D176" s="38" t="s">
        <v>39</v>
      </c>
      <c r="E176" s="49" t="s">
        <v>128</v>
      </c>
      <c r="F176" s="49">
        <v>0</v>
      </c>
      <c r="G176" s="88">
        <v>0</v>
      </c>
      <c r="H176" s="88">
        <v>0</v>
      </c>
      <c r="I176" s="49" t="s">
        <v>29</v>
      </c>
      <c r="J176" s="49" t="s">
        <v>52</v>
      </c>
    </row>
    <row r="177" spans="1:10" x14ac:dyDescent="0.2">
      <c r="A177" s="91">
        <v>162</v>
      </c>
      <c r="B177" s="91">
        <v>102</v>
      </c>
      <c r="C177" s="91">
        <v>103</v>
      </c>
      <c r="D177" s="38" t="s">
        <v>39</v>
      </c>
      <c r="E177" s="49" t="s">
        <v>128</v>
      </c>
      <c r="F177" s="49">
        <v>0</v>
      </c>
      <c r="G177" s="88">
        <v>0</v>
      </c>
      <c r="H177" s="88">
        <v>0</v>
      </c>
      <c r="I177" s="49" t="s">
        <v>29</v>
      </c>
      <c r="J177" s="49" t="s">
        <v>52</v>
      </c>
    </row>
    <row r="178" spans="1:10" x14ac:dyDescent="0.2">
      <c r="A178" s="91">
        <v>163</v>
      </c>
      <c r="B178" s="91">
        <v>103</v>
      </c>
      <c r="C178" s="91">
        <v>104</v>
      </c>
      <c r="D178" s="38" t="s">
        <v>39</v>
      </c>
      <c r="E178" s="49" t="s">
        <v>128</v>
      </c>
      <c r="F178" s="49">
        <v>0</v>
      </c>
      <c r="G178" s="88">
        <v>0</v>
      </c>
      <c r="H178" s="88">
        <v>0</v>
      </c>
      <c r="I178" s="49" t="s">
        <v>29</v>
      </c>
      <c r="J178" s="49" t="s">
        <v>52</v>
      </c>
    </row>
    <row r="179" spans="1:10" x14ac:dyDescent="0.2">
      <c r="A179" s="91">
        <v>164</v>
      </c>
      <c r="B179" s="91">
        <v>104</v>
      </c>
      <c r="C179" s="91">
        <v>105</v>
      </c>
      <c r="D179" s="38" t="s">
        <v>39</v>
      </c>
      <c r="E179" s="49" t="s">
        <v>128</v>
      </c>
      <c r="F179" s="49">
        <v>0</v>
      </c>
      <c r="G179" s="88">
        <v>0</v>
      </c>
      <c r="H179" s="88">
        <v>0</v>
      </c>
      <c r="I179" s="49" t="s">
        <v>29</v>
      </c>
      <c r="J179" s="49" t="s">
        <v>52</v>
      </c>
    </row>
    <row r="180" spans="1:10" x14ac:dyDescent="0.2">
      <c r="A180" s="91">
        <v>165</v>
      </c>
      <c r="B180" s="91">
        <v>106</v>
      </c>
      <c r="C180" s="91">
        <v>107</v>
      </c>
      <c r="D180" s="38" t="s">
        <v>39</v>
      </c>
      <c r="E180" s="49" t="s">
        <v>128</v>
      </c>
      <c r="F180" s="49">
        <v>0</v>
      </c>
      <c r="G180" s="88">
        <v>0</v>
      </c>
      <c r="H180" s="88">
        <v>0</v>
      </c>
      <c r="I180" s="49" t="s">
        <v>29</v>
      </c>
      <c r="J180" s="49" t="s">
        <v>52</v>
      </c>
    </row>
    <row r="181" spans="1:10" x14ac:dyDescent="0.2">
      <c r="A181" s="91">
        <v>166</v>
      </c>
      <c r="B181" s="91">
        <v>107</v>
      </c>
      <c r="C181" s="91">
        <v>108</v>
      </c>
      <c r="D181" s="38" t="s">
        <v>39</v>
      </c>
      <c r="E181" s="49" t="s">
        <v>128</v>
      </c>
      <c r="F181" s="49">
        <v>0</v>
      </c>
      <c r="G181" s="88">
        <v>0</v>
      </c>
      <c r="H181" s="88">
        <v>0</v>
      </c>
      <c r="I181" s="49" t="s">
        <v>29</v>
      </c>
      <c r="J181" s="49" t="s">
        <v>52</v>
      </c>
    </row>
    <row r="182" spans="1:10" x14ac:dyDescent="0.2">
      <c r="A182" s="91">
        <v>167</v>
      </c>
      <c r="B182" s="91">
        <v>108</v>
      </c>
      <c r="C182" s="91">
        <v>109</v>
      </c>
      <c r="D182" s="38" t="s">
        <v>39</v>
      </c>
      <c r="E182" s="49" t="s">
        <v>128</v>
      </c>
      <c r="F182" s="49">
        <v>0</v>
      </c>
      <c r="G182" s="88">
        <v>0</v>
      </c>
      <c r="H182" s="88">
        <v>0</v>
      </c>
      <c r="I182" s="49" t="s">
        <v>29</v>
      </c>
      <c r="J182" s="49" t="s">
        <v>52</v>
      </c>
    </row>
    <row r="183" spans="1:10" x14ac:dyDescent="0.2">
      <c r="A183" s="91">
        <v>168</v>
      </c>
      <c r="B183" s="91">
        <v>109</v>
      </c>
      <c r="C183" s="91">
        <v>110</v>
      </c>
      <c r="D183" s="38" t="s">
        <v>39</v>
      </c>
      <c r="E183" s="49" t="s">
        <v>128</v>
      </c>
      <c r="F183" s="49">
        <v>0</v>
      </c>
      <c r="G183" s="88">
        <v>0</v>
      </c>
      <c r="H183" s="88">
        <v>0</v>
      </c>
      <c r="I183" s="49" t="s">
        <v>29</v>
      </c>
      <c r="J183" s="49" t="s">
        <v>52</v>
      </c>
    </row>
    <row r="184" spans="1:10" x14ac:dyDescent="0.2">
      <c r="A184" s="91">
        <v>169</v>
      </c>
      <c r="B184" s="91">
        <v>111</v>
      </c>
      <c r="C184" s="91">
        <v>112</v>
      </c>
      <c r="D184" s="38" t="s">
        <v>39</v>
      </c>
      <c r="E184" s="49" t="s">
        <v>128</v>
      </c>
      <c r="F184" s="49">
        <v>0</v>
      </c>
      <c r="G184" s="88">
        <v>0</v>
      </c>
      <c r="H184" s="88">
        <v>0</v>
      </c>
      <c r="I184" s="49" t="s">
        <v>29</v>
      </c>
      <c r="J184" s="49" t="s">
        <v>52</v>
      </c>
    </row>
    <row r="185" spans="1:10" x14ac:dyDescent="0.2">
      <c r="A185" s="91">
        <v>170</v>
      </c>
      <c r="B185" s="91">
        <v>112</v>
      </c>
      <c r="C185" s="91">
        <v>113</v>
      </c>
      <c r="D185" s="38" t="s">
        <v>39</v>
      </c>
      <c r="E185" s="49" t="s">
        <v>128</v>
      </c>
      <c r="F185" s="49">
        <v>0</v>
      </c>
      <c r="G185" s="88">
        <v>0</v>
      </c>
      <c r="H185" s="88">
        <v>0</v>
      </c>
      <c r="I185" s="49" t="s">
        <v>29</v>
      </c>
      <c r="J185" s="49" t="s">
        <v>52</v>
      </c>
    </row>
    <row r="186" spans="1:10" x14ac:dyDescent="0.2">
      <c r="A186" s="91">
        <v>171</v>
      </c>
      <c r="B186" s="91">
        <v>113</v>
      </c>
      <c r="C186" s="91">
        <v>114</v>
      </c>
      <c r="D186" s="38" t="s">
        <v>39</v>
      </c>
      <c r="E186" s="49" t="s">
        <v>128</v>
      </c>
      <c r="F186" s="49">
        <v>0</v>
      </c>
      <c r="G186" s="88">
        <v>0</v>
      </c>
      <c r="H186" s="88">
        <v>0</v>
      </c>
      <c r="I186" s="49" t="s">
        <v>29</v>
      </c>
      <c r="J186" s="49" t="s">
        <v>52</v>
      </c>
    </row>
    <row r="187" spans="1:10" x14ac:dyDescent="0.2">
      <c r="A187" s="91">
        <v>172</v>
      </c>
      <c r="B187" s="91">
        <v>114</v>
      </c>
      <c r="C187" s="91">
        <v>115</v>
      </c>
      <c r="D187" s="38" t="s">
        <v>39</v>
      </c>
      <c r="E187" s="49" t="s">
        <v>128</v>
      </c>
      <c r="F187" s="49">
        <v>0</v>
      </c>
      <c r="G187" s="88">
        <v>0</v>
      </c>
      <c r="H187" s="88">
        <v>0</v>
      </c>
      <c r="I187" s="49" t="s">
        <v>29</v>
      </c>
      <c r="J187" s="49" t="s">
        <v>52</v>
      </c>
    </row>
    <row r="188" spans="1:10" x14ac:dyDescent="0.2">
      <c r="A188" s="91">
        <v>173</v>
      </c>
      <c r="B188" s="91">
        <v>116</v>
      </c>
      <c r="C188" s="91">
        <v>117</v>
      </c>
      <c r="D188" s="38" t="s">
        <v>39</v>
      </c>
      <c r="E188" s="49" t="s">
        <v>128</v>
      </c>
      <c r="F188" s="49">
        <v>0</v>
      </c>
      <c r="G188" s="88">
        <v>0</v>
      </c>
      <c r="H188" s="88">
        <v>0</v>
      </c>
      <c r="I188" s="49" t="s">
        <v>29</v>
      </c>
      <c r="J188" s="49" t="s">
        <v>52</v>
      </c>
    </row>
    <row r="189" spans="1:10" x14ac:dyDescent="0.2">
      <c r="A189" s="91">
        <v>174</v>
      </c>
      <c r="B189" s="91">
        <v>117</v>
      </c>
      <c r="C189" s="91">
        <v>118</v>
      </c>
      <c r="D189" s="38" t="s">
        <v>39</v>
      </c>
      <c r="E189" s="49" t="s">
        <v>128</v>
      </c>
      <c r="F189" s="49">
        <v>0</v>
      </c>
      <c r="G189" s="88">
        <v>0</v>
      </c>
      <c r="H189" s="88">
        <v>0</v>
      </c>
      <c r="I189" s="49" t="s">
        <v>29</v>
      </c>
      <c r="J189" s="49" t="s">
        <v>52</v>
      </c>
    </row>
    <row r="190" spans="1:10" x14ac:dyDescent="0.2">
      <c r="A190" s="91">
        <v>175</v>
      </c>
      <c r="B190" s="91">
        <v>118</v>
      </c>
      <c r="C190" s="91">
        <v>119</v>
      </c>
      <c r="D190" s="38" t="s">
        <v>39</v>
      </c>
      <c r="E190" s="49" t="s">
        <v>128</v>
      </c>
      <c r="F190" s="49">
        <v>0</v>
      </c>
      <c r="G190" s="88">
        <v>0</v>
      </c>
      <c r="H190" s="88">
        <v>0</v>
      </c>
      <c r="I190" s="49" t="s">
        <v>29</v>
      </c>
      <c r="J190" s="49" t="s">
        <v>52</v>
      </c>
    </row>
    <row r="191" spans="1:10" x14ac:dyDescent="0.2">
      <c r="A191" s="91">
        <v>176</v>
      </c>
      <c r="B191" s="91">
        <v>119</v>
      </c>
      <c r="C191" s="91">
        <v>120</v>
      </c>
      <c r="D191" s="38" t="s">
        <v>39</v>
      </c>
      <c r="E191" s="49" t="s">
        <v>128</v>
      </c>
      <c r="F191" s="49">
        <v>0</v>
      </c>
      <c r="G191" s="88">
        <v>0</v>
      </c>
      <c r="H191" s="88">
        <v>0</v>
      </c>
      <c r="I191" s="49" t="s">
        <v>29</v>
      </c>
      <c r="J191" s="49" t="s">
        <v>52</v>
      </c>
    </row>
    <row r="192" spans="1:10" x14ac:dyDescent="0.2">
      <c r="A192" s="91">
        <v>177</v>
      </c>
      <c r="B192" s="91">
        <v>121</v>
      </c>
      <c r="C192" s="91">
        <v>122</v>
      </c>
      <c r="D192" s="38" t="s">
        <v>39</v>
      </c>
      <c r="E192" s="49" t="s">
        <v>128</v>
      </c>
      <c r="F192" s="49">
        <v>0</v>
      </c>
      <c r="G192" s="88">
        <v>0</v>
      </c>
      <c r="H192" s="88">
        <v>0</v>
      </c>
      <c r="I192" s="49" t="s">
        <v>29</v>
      </c>
      <c r="J192" s="49" t="s">
        <v>52</v>
      </c>
    </row>
    <row r="193" spans="1:10" x14ac:dyDescent="0.2">
      <c r="A193" s="91">
        <v>178</v>
      </c>
      <c r="B193" s="91">
        <v>122</v>
      </c>
      <c r="C193" s="91">
        <v>123</v>
      </c>
      <c r="D193" s="38" t="s">
        <v>39</v>
      </c>
      <c r="E193" s="49" t="s">
        <v>128</v>
      </c>
      <c r="F193" s="49">
        <v>0</v>
      </c>
      <c r="G193" s="88">
        <v>0</v>
      </c>
      <c r="H193" s="88">
        <v>0</v>
      </c>
      <c r="I193" s="49" t="s">
        <v>29</v>
      </c>
      <c r="J193" s="49" t="s">
        <v>52</v>
      </c>
    </row>
    <row r="194" spans="1:10" x14ac:dyDescent="0.2">
      <c r="A194" s="91">
        <v>179</v>
      </c>
      <c r="B194" s="91">
        <v>123</v>
      </c>
      <c r="C194" s="91">
        <v>124</v>
      </c>
      <c r="D194" s="38" t="s">
        <v>39</v>
      </c>
      <c r="E194" s="49" t="s">
        <v>128</v>
      </c>
      <c r="F194" s="49">
        <v>0</v>
      </c>
      <c r="G194" s="88">
        <v>0</v>
      </c>
      <c r="H194" s="88">
        <v>0</v>
      </c>
      <c r="I194" s="49" t="s">
        <v>29</v>
      </c>
      <c r="J194" s="49" t="s">
        <v>52</v>
      </c>
    </row>
    <row r="195" spans="1:10" x14ac:dyDescent="0.2">
      <c r="A195" s="91">
        <v>180</v>
      </c>
      <c r="B195" s="91">
        <v>124</v>
      </c>
      <c r="C195" s="91">
        <v>125</v>
      </c>
      <c r="D195" s="38" t="s">
        <v>39</v>
      </c>
      <c r="E195" s="49" t="s">
        <v>128</v>
      </c>
      <c r="F195" s="49">
        <v>0</v>
      </c>
      <c r="G195" s="88">
        <v>0</v>
      </c>
      <c r="H195" s="88">
        <v>0</v>
      </c>
      <c r="I195" s="49" t="s">
        <v>29</v>
      </c>
      <c r="J195" s="49" t="s">
        <v>52</v>
      </c>
    </row>
    <row r="196" spans="1:10" x14ac:dyDescent="0.2">
      <c r="A196" s="91">
        <v>181</v>
      </c>
      <c r="B196" s="91">
        <v>26</v>
      </c>
      <c r="C196" s="91">
        <v>31</v>
      </c>
      <c r="D196" s="38" t="s">
        <v>39</v>
      </c>
      <c r="E196" s="49" t="s">
        <v>128</v>
      </c>
      <c r="F196" s="49">
        <v>0</v>
      </c>
      <c r="G196" s="88">
        <v>0</v>
      </c>
      <c r="H196" s="88">
        <v>0</v>
      </c>
      <c r="I196" s="49" t="s">
        <v>29</v>
      </c>
      <c r="J196" s="49" t="s">
        <v>52</v>
      </c>
    </row>
    <row r="197" spans="1:10" x14ac:dyDescent="0.2">
      <c r="A197" s="91">
        <v>182</v>
      </c>
      <c r="B197" s="91">
        <v>27</v>
      </c>
      <c r="C197" s="91">
        <v>32</v>
      </c>
      <c r="D197" s="38" t="s">
        <v>39</v>
      </c>
      <c r="E197" s="49" t="s">
        <v>128</v>
      </c>
      <c r="F197" s="49">
        <v>0</v>
      </c>
      <c r="G197" s="88">
        <v>0</v>
      </c>
      <c r="H197" s="88">
        <v>0</v>
      </c>
      <c r="I197" s="49" t="s">
        <v>29</v>
      </c>
      <c r="J197" s="49" t="s">
        <v>52</v>
      </c>
    </row>
    <row r="198" spans="1:10" x14ac:dyDescent="0.2">
      <c r="A198" s="91">
        <v>183</v>
      </c>
      <c r="B198" s="91">
        <v>28</v>
      </c>
      <c r="C198" s="91">
        <v>33</v>
      </c>
      <c r="D198" s="38" t="s">
        <v>39</v>
      </c>
      <c r="E198" s="49" t="s">
        <v>128</v>
      </c>
      <c r="F198" s="49">
        <v>0</v>
      </c>
      <c r="G198" s="88">
        <v>0</v>
      </c>
      <c r="H198" s="88">
        <v>0</v>
      </c>
      <c r="I198" s="49" t="s">
        <v>29</v>
      </c>
      <c r="J198" s="49" t="s">
        <v>52</v>
      </c>
    </row>
    <row r="199" spans="1:10" x14ac:dyDescent="0.2">
      <c r="A199" s="91">
        <v>184</v>
      </c>
      <c r="B199" s="91">
        <v>29</v>
      </c>
      <c r="C199" s="91">
        <v>34</v>
      </c>
      <c r="D199" s="38" t="s">
        <v>39</v>
      </c>
      <c r="E199" s="49" t="s">
        <v>128</v>
      </c>
      <c r="F199" s="49">
        <v>0</v>
      </c>
      <c r="G199" s="88">
        <v>0</v>
      </c>
      <c r="H199" s="88">
        <v>0</v>
      </c>
      <c r="I199" s="49" t="s">
        <v>29</v>
      </c>
      <c r="J199" s="49" t="s">
        <v>52</v>
      </c>
    </row>
    <row r="200" spans="1:10" x14ac:dyDescent="0.2">
      <c r="A200" s="91">
        <v>185</v>
      </c>
      <c r="B200" s="91">
        <v>30</v>
      </c>
      <c r="C200" s="91">
        <v>35</v>
      </c>
      <c r="D200" s="38" t="s">
        <v>39</v>
      </c>
      <c r="E200" s="49" t="s">
        <v>128</v>
      </c>
      <c r="F200" s="49">
        <v>0</v>
      </c>
      <c r="G200" s="88">
        <v>0</v>
      </c>
      <c r="H200" s="88">
        <v>0</v>
      </c>
      <c r="I200" s="49" t="s">
        <v>29</v>
      </c>
      <c r="J200" s="49" t="s">
        <v>52</v>
      </c>
    </row>
    <row r="201" spans="1:10" x14ac:dyDescent="0.2">
      <c r="A201" s="91">
        <v>186</v>
      </c>
      <c r="B201" s="91">
        <v>31</v>
      </c>
      <c r="C201" s="91">
        <v>36</v>
      </c>
      <c r="D201" s="38" t="s">
        <v>39</v>
      </c>
      <c r="E201" s="49" t="s">
        <v>128</v>
      </c>
      <c r="F201" s="49">
        <v>0</v>
      </c>
      <c r="G201" s="88">
        <v>0</v>
      </c>
      <c r="H201" s="88">
        <v>0</v>
      </c>
      <c r="I201" s="49" t="s">
        <v>29</v>
      </c>
      <c r="J201" s="49" t="s">
        <v>52</v>
      </c>
    </row>
    <row r="202" spans="1:10" x14ac:dyDescent="0.2">
      <c r="A202" s="91">
        <v>187</v>
      </c>
      <c r="B202" s="91">
        <v>32</v>
      </c>
      <c r="C202" s="91">
        <v>37</v>
      </c>
      <c r="D202" s="38" t="s">
        <v>39</v>
      </c>
      <c r="E202" s="49" t="s">
        <v>128</v>
      </c>
      <c r="F202" s="49">
        <v>0</v>
      </c>
      <c r="G202" s="88">
        <v>0</v>
      </c>
      <c r="H202" s="88">
        <v>0</v>
      </c>
      <c r="I202" s="49" t="s">
        <v>29</v>
      </c>
      <c r="J202" s="49" t="s">
        <v>52</v>
      </c>
    </row>
    <row r="203" spans="1:10" x14ac:dyDescent="0.2">
      <c r="A203" s="91">
        <v>188</v>
      </c>
      <c r="B203" s="91">
        <v>33</v>
      </c>
      <c r="C203" s="91">
        <v>38</v>
      </c>
      <c r="D203" s="38" t="s">
        <v>39</v>
      </c>
      <c r="E203" s="49" t="s">
        <v>128</v>
      </c>
      <c r="F203" s="49">
        <v>0</v>
      </c>
      <c r="G203" s="88">
        <v>0</v>
      </c>
      <c r="H203" s="88">
        <v>0</v>
      </c>
      <c r="I203" s="49" t="s">
        <v>29</v>
      </c>
      <c r="J203" s="49" t="s">
        <v>52</v>
      </c>
    </row>
    <row r="204" spans="1:10" x14ac:dyDescent="0.2">
      <c r="A204" s="91">
        <v>189</v>
      </c>
      <c r="B204" s="91">
        <v>34</v>
      </c>
      <c r="C204" s="91">
        <v>39</v>
      </c>
      <c r="D204" s="38" t="s">
        <v>39</v>
      </c>
      <c r="E204" s="49" t="s">
        <v>128</v>
      </c>
      <c r="F204" s="49">
        <v>0</v>
      </c>
      <c r="G204" s="88">
        <v>0</v>
      </c>
      <c r="H204" s="88">
        <v>0</v>
      </c>
      <c r="I204" s="49" t="s">
        <v>29</v>
      </c>
      <c r="J204" s="49" t="s">
        <v>52</v>
      </c>
    </row>
    <row r="205" spans="1:10" x14ac:dyDescent="0.2">
      <c r="A205" s="91">
        <v>190</v>
      </c>
      <c r="B205" s="91">
        <v>35</v>
      </c>
      <c r="C205" s="91">
        <v>40</v>
      </c>
      <c r="D205" s="38" t="s">
        <v>39</v>
      </c>
      <c r="E205" s="49" t="s">
        <v>128</v>
      </c>
      <c r="F205" s="49">
        <v>0</v>
      </c>
      <c r="G205" s="88">
        <v>0</v>
      </c>
      <c r="H205" s="88">
        <v>0</v>
      </c>
      <c r="I205" s="49" t="s">
        <v>29</v>
      </c>
      <c r="J205" s="49" t="s">
        <v>52</v>
      </c>
    </row>
    <row r="206" spans="1:10" x14ac:dyDescent="0.2">
      <c r="A206" s="91">
        <v>191</v>
      </c>
      <c r="B206" s="91">
        <v>36</v>
      </c>
      <c r="C206" s="91">
        <v>41</v>
      </c>
      <c r="D206" s="38" t="s">
        <v>39</v>
      </c>
      <c r="E206" s="49" t="s">
        <v>128</v>
      </c>
      <c r="F206" s="49">
        <v>0</v>
      </c>
      <c r="G206" s="88">
        <v>0</v>
      </c>
      <c r="H206" s="88">
        <v>0</v>
      </c>
      <c r="I206" s="49" t="s">
        <v>29</v>
      </c>
      <c r="J206" s="49" t="s">
        <v>52</v>
      </c>
    </row>
    <row r="207" spans="1:10" x14ac:dyDescent="0.2">
      <c r="A207" s="91">
        <v>192</v>
      </c>
      <c r="B207" s="91">
        <v>37</v>
      </c>
      <c r="C207" s="91">
        <v>42</v>
      </c>
      <c r="D207" s="38" t="s">
        <v>39</v>
      </c>
      <c r="E207" s="49" t="s">
        <v>128</v>
      </c>
      <c r="F207" s="49">
        <v>0</v>
      </c>
      <c r="G207" s="88">
        <v>0</v>
      </c>
      <c r="H207" s="88">
        <v>0</v>
      </c>
      <c r="I207" s="49" t="s">
        <v>29</v>
      </c>
      <c r="J207" s="49" t="s">
        <v>52</v>
      </c>
    </row>
    <row r="208" spans="1:10" x14ac:dyDescent="0.2">
      <c r="A208" s="91">
        <v>193</v>
      </c>
      <c r="B208" s="91">
        <v>38</v>
      </c>
      <c r="C208" s="91">
        <v>43</v>
      </c>
      <c r="D208" s="38" t="s">
        <v>39</v>
      </c>
      <c r="E208" s="49" t="s">
        <v>128</v>
      </c>
      <c r="F208" s="49">
        <v>0</v>
      </c>
      <c r="G208" s="88">
        <v>0</v>
      </c>
      <c r="H208" s="88">
        <v>0</v>
      </c>
      <c r="I208" s="49" t="s">
        <v>29</v>
      </c>
      <c r="J208" s="49" t="s">
        <v>52</v>
      </c>
    </row>
    <row r="209" spans="1:10" x14ac:dyDescent="0.2">
      <c r="A209" s="91">
        <v>194</v>
      </c>
      <c r="B209" s="91">
        <v>39</v>
      </c>
      <c r="C209" s="91">
        <v>44</v>
      </c>
      <c r="D209" s="38" t="s">
        <v>39</v>
      </c>
      <c r="E209" s="49" t="s">
        <v>128</v>
      </c>
      <c r="F209" s="49">
        <v>0</v>
      </c>
      <c r="G209" s="88">
        <v>0</v>
      </c>
      <c r="H209" s="88">
        <v>0</v>
      </c>
      <c r="I209" s="49" t="s">
        <v>29</v>
      </c>
      <c r="J209" s="49" t="s">
        <v>52</v>
      </c>
    </row>
    <row r="210" spans="1:10" x14ac:dyDescent="0.2">
      <c r="A210" s="91">
        <v>195</v>
      </c>
      <c r="B210" s="91">
        <v>40</v>
      </c>
      <c r="C210" s="91">
        <v>45</v>
      </c>
      <c r="D210" s="38" t="s">
        <v>39</v>
      </c>
      <c r="E210" s="49" t="s">
        <v>128</v>
      </c>
      <c r="F210" s="49">
        <v>0</v>
      </c>
      <c r="G210" s="88">
        <v>0</v>
      </c>
      <c r="H210" s="88">
        <v>0</v>
      </c>
      <c r="I210" s="49" t="s">
        <v>29</v>
      </c>
      <c r="J210" s="49" t="s">
        <v>52</v>
      </c>
    </row>
    <row r="211" spans="1:10" x14ac:dyDescent="0.2">
      <c r="A211" s="91">
        <v>196</v>
      </c>
      <c r="B211" s="91">
        <v>41</v>
      </c>
      <c r="C211" s="91">
        <v>46</v>
      </c>
      <c r="D211" s="38" t="s">
        <v>39</v>
      </c>
      <c r="E211" s="49" t="s">
        <v>128</v>
      </c>
      <c r="F211" s="49">
        <v>0</v>
      </c>
      <c r="G211" s="88">
        <v>0</v>
      </c>
      <c r="H211" s="88">
        <v>0</v>
      </c>
      <c r="I211" s="49" t="s">
        <v>29</v>
      </c>
      <c r="J211" s="49" t="s">
        <v>52</v>
      </c>
    </row>
    <row r="212" spans="1:10" x14ac:dyDescent="0.2">
      <c r="A212" s="91">
        <v>197</v>
      </c>
      <c r="B212" s="91">
        <v>42</v>
      </c>
      <c r="C212" s="91">
        <v>47</v>
      </c>
      <c r="D212" s="38" t="s">
        <v>39</v>
      </c>
      <c r="E212" s="49" t="s">
        <v>128</v>
      </c>
      <c r="F212" s="49">
        <v>0</v>
      </c>
      <c r="G212" s="88">
        <v>0</v>
      </c>
      <c r="H212" s="88">
        <v>0</v>
      </c>
      <c r="I212" s="49" t="s">
        <v>29</v>
      </c>
      <c r="J212" s="49" t="s">
        <v>52</v>
      </c>
    </row>
    <row r="213" spans="1:10" x14ac:dyDescent="0.2">
      <c r="A213" s="91">
        <v>198</v>
      </c>
      <c r="B213" s="91">
        <v>43</v>
      </c>
      <c r="C213" s="91">
        <v>48</v>
      </c>
      <c r="D213" s="38" t="s">
        <v>39</v>
      </c>
      <c r="E213" s="49" t="s">
        <v>128</v>
      </c>
      <c r="F213" s="49">
        <v>0</v>
      </c>
      <c r="G213" s="88">
        <v>0</v>
      </c>
      <c r="H213" s="88">
        <v>0</v>
      </c>
      <c r="I213" s="49" t="s">
        <v>29</v>
      </c>
      <c r="J213" s="49" t="s">
        <v>52</v>
      </c>
    </row>
    <row r="214" spans="1:10" x14ac:dyDescent="0.2">
      <c r="A214" s="91">
        <v>199</v>
      </c>
      <c r="B214" s="91">
        <v>44</v>
      </c>
      <c r="C214" s="91">
        <v>49</v>
      </c>
      <c r="D214" s="38" t="s">
        <v>39</v>
      </c>
      <c r="E214" s="49" t="s">
        <v>128</v>
      </c>
      <c r="F214" s="49">
        <v>0</v>
      </c>
      <c r="G214" s="88">
        <v>0</v>
      </c>
      <c r="H214" s="88">
        <v>0</v>
      </c>
      <c r="I214" s="49" t="s">
        <v>29</v>
      </c>
      <c r="J214" s="49" t="s">
        <v>52</v>
      </c>
    </row>
    <row r="215" spans="1:10" x14ac:dyDescent="0.2">
      <c r="A215" s="91">
        <v>200</v>
      </c>
      <c r="B215" s="91">
        <v>45</v>
      </c>
      <c r="C215" s="91">
        <v>50</v>
      </c>
      <c r="D215" s="38" t="s">
        <v>39</v>
      </c>
      <c r="E215" s="49" t="s">
        <v>128</v>
      </c>
      <c r="F215" s="49">
        <v>0</v>
      </c>
      <c r="G215" s="88">
        <v>0</v>
      </c>
      <c r="H215" s="88">
        <v>0</v>
      </c>
      <c r="I215" s="49" t="s">
        <v>29</v>
      </c>
      <c r="J215" s="49" t="s">
        <v>52</v>
      </c>
    </row>
    <row r="216" spans="1:10" x14ac:dyDescent="0.2">
      <c r="A216" s="91">
        <v>201</v>
      </c>
      <c r="B216" s="91">
        <v>51</v>
      </c>
      <c r="C216" s="91">
        <v>56</v>
      </c>
      <c r="D216" s="38" t="s">
        <v>39</v>
      </c>
      <c r="E216" s="49" t="s">
        <v>128</v>
      </c>
      <c r="F216" s="49">
        <v>0</v>
      </c>
      <c r="G216" s="88">
        <v>0</v>
      </c>
      <c r="H216" s="88">
        <v>0</v>
      </c>
      <c r="I216" s="49" t="s">
        <v>29</v>
      </c>
      <c r="J216" s="49" t="s">
        <v>52</v>
      </c>
    </row>
    <row r="217" spans="1:10" x14ac:dyDescent="0.2">
      <c r="A217" s="91">
        <v>202</v>
      </c>
      <c r="B217" s="91">
        <v>52</v>
      </c>
      <c r="C217" s="91">
        <v>57</v>
      </c>
      <c r="D217" s="38" t="s">
        <v>39</v>
      </c>
      <c r="E217" s="49" t="s">
        <v>128</v>
      </c>
      <c r="F217" s="49">
        <v>0</v>
      </c>
      <c r="G217" s="88">
        <v>0</v>
      </c>
      <c r="H217" s="88">
        <v>0</v>
      </c>
      <c r="I217" s="49" t="s">
        <v>29</v>
      </c>
      <c r="J217" s="49" t="s">
        <v>52</v>
      </c>
    </row>
    <row r="218" spans="1:10" x14ac:dyDescent="0.2">
      <c r="A218" s="91">
        <v>203</v>
      </c>
      <c r="B218" s="91">
        <v>53</v>
      </c>
      <c r="C218" s="91">
        <v>58</v>
      </c>
      <c r="D218" s="38" t="s">
        <v>39</v>
      </c>
      <c r="E218" s="49" t="s">
        <v>128</v>
      </c>
      <c r="F218" s="49">
        <v>0</v>
      </c>
      <c r="G218" s="88">
        <v>0</v>
      </c>
      <c r="H218" s="88">
        <v>0</v>
      </c>
      <c r="I218" s="49" t="s">
        <v>29</v>
      </c>
      <c r="J218" s="49" t="s">
        <v>52</v>
      </c>
    </row>
    <row r="219" spans="1:10" x14ac:dyDescent="0.2">
      <c r="A219" s="91">
        <v>204</v>
      </c>
      <c r="B219" s="91">
        <v>54</v>
      </c>
      <c r="C219" s="91">
        <v>59</v>
      </c>
      <c r="D219" s="38" t="s">
        <v>39</v>
      </c>
      <c r="E219" s="49" t="s">
        <v>128</v>
      </c>
      <c r="F219" s="49">
        <v>0</v>
      </c>
      <c r="G219" s="88">
        <v>0</v>
      </c>
      <c r="H219" s="88">
        <v>0</v>
      </c>
      <c r="I219" s="49" t="s">
        <v>29</v>
      </c>
      <c r="J219" s="49" t="s">
        <v>52</v>
      </c>
    </row>
    <row r="220" spans="1:10" x14ac:dyDescent="0.2">
      <c r="A220" s="91">
        <v>205</v>
      </c>
      <c r="B220" s="91">
        <v>55</v>
      </c>
      <c r="C220" s="91">
        <v>60</v>
      </c>
      <c r="D220" s="38" t="s">
        <v>39</v>
      </c>
      <c r="E220" s="49" t="s">
        <v>128</v>
      </c>
      <c r="F220" s="49">
        <v>0</v>
      </c>
      <c r="G220" s="88">
        <v>0</v>
      </c>
      <c r="H220" s="88">
        <v>0</v>
      </c>
      <c r="I220" s="49" t="s">
        <v>29</v>
      </c>
      <c r="J220" s="49" t="s">
        <v>52</v>
      </c>
    </row>
    <row r="221" spans="1:10" x14ac:dyDescent="0.2">
      <c r="A221" s="91">
        <v>206</v>
      </c>
      <c r="B221" s="91">
        <v>56</v>
      </c>
      <c r="C221" s="91">
        <v>61</v>
      </c>
      <c r="D221" s="38" t="s">
        <v>39</v>
      </c>
      <c r="E221" s="49" t="s">
        <v>128</v>
      </c>
      <c r="F221" s="49">
        <v>0</v>
      </c>
      <c r="G221" s="88">
        <v>0</v>
      </c>
      <c r="H221" s="88">
        <v>0</v>
      </c>
      <c r="I221" s="49" t="s">
        <v>29</v>
      </c>
      <c r="J221" s="49" t="s">
        <v>52</v>
      </c>
    </row>
    <row r="222" spans="1:10" x14ac:dyDescent="0.2">
      <c r="A222" s="91">
        <v>207</v>
      </c>
      <c r="B222" s="91">
        <v>57</v>
      </c>
      <c r="C222" s="91">
        <v>62</v>
      </c>
      <c r="D222" s="38" t="s">
        <v>39</v>
      </c>
      <c r="E222" s="49" t="s">
        <v>128</v>
      </c>
      <c r="F222" s="49">
        <v>0</v>
      </c>
      <c r="G222" s="88">
        <v>0</v>
      </c>
      <c r="H222" s="88">
        <v>0</v>
      </c>
      <c r="I222" s="49" t="s">
        <v>29</v>
      </c>
      <c r="J222" s="49" t="s">
        <v>52</v>
      </c>
    </row>
    <row r="223" spans="1:10" x14ac:dyDescent="0.2">
      <c r="A223" s="91">
        <v>208</v>
      </c>
      <c r="B223" s="91">
        <v>58</v>
      </c>
      <c r="C223" s="91">
        <v>63</v>
      </c>
      <c r="D223" s="38" t="s">
        <v>39</v>
      </c>
      <c r="E223" s="49" t="s">
        <v>128</v>
      </c>
      <c r="F223" s="49">
        <v>0</v>
      </c>
      <c r="G223" s="88">
        <v>0</v>
      </c>
      <c r="H223" s="88">
        <v>0</v>
      </c>
      <c r="I223" s="49" t="s">
        <v>29</v>
      </c>
      <c r="J223" s="49" t="s">
        <v>52</v>
      </c>
    </row>
    <row r="224" spans="1:10" x14ac:dyDescent="0.2">
      <c r="A224" s="91">
        <v>209</v>
      </c>
      <c r="B224" s="91">
        <v>59</v>
      </c>
      <c r="C224" s="91">
        <v>64</v>
      </c>
      <c r="D224" s="38" t="s">
        <v>39</v>
      </c>
      <c r="E224" s="49" t="s">
        <v>128</v>
      </c>
      <c r="F224" s="49">
        <v>0</v>
      </c>
      <c r="G224" s="88">
        <v>0</v>
      </c>
      <c r="H224" s="88">
        <v>0</v>
      </c>
      <c r="I224" s="49" t="s">
        <v>29</v>
      </c>
      <c r="J224" s="49" t="s">
        <v>52</v>
      </c>
    </row>
    <row r="225" spans="1:10" x14ac:dyDescent="0.2">
      <c r="A225" s="91">
        <v>210</v>
      </c>
      <c r="B225" s="91">
        <v>60</v>
      </c>
      <c r="C225" s="91">
        <v>65</v>
      </c>
      <c r="D225" s="38" t="s">
        <v>39</v>
      </c>
      <c r="E225" s="49" t="s">
        <v>128</v>
      </c>
      <c r="F225" s="49">
        <v>0</v>
      </c>
      <c r="G225" s="88">
        <v>0</v>
      </c>
      <c r="H225" s="88">
        <v>0</v>
      </c>
      <c r="I225" s="49" t="s">
        <v>29</v>
      </c>
      <c r="J225" s="49" t="s">
        <v>52</v>
      </c>
    </row>
    <row r="226" spans="1:10" x14ac:dyDescent="0.2">
      <c r="A226" s="91">
        <v>211</v>
      </c>
      <c r="B226" s="91">
        <v>61</v>
      </c>
      <c r="C226" s="91">
        <v>66</v>
      </c>
      <c r="D226" s="38" t="s">
        <v>39</v>
      </c>
      <c r="E226" s="49" t="s">
        <v>128</v>
      </c>
      <c r="F226" s="49">
        <v>0</v>
      </c>
      <c r="G226" s="88">
        <v>0</v>
      </c>
      <c r="H226" s="88">
        <v>0</v>
      </c>
      <c r="I226" s="49" t="s">
        <v>29</v>
      </c>
      <c r="J226" s="49" t="s">
        <v>52</v>
      </c>
    </row>
    <row r="227" spans="1:10" x14ac:dyDescent="0.2">
      <c r="A227" s="91">
        <v>212</v>
      </c>
      <c r="B227" s="91">
        <v>62</v>
      </c>
      <c r="C227" s="91">
        <v>67</v>
      </c>
      <c r="D227" s="38" t="s">
        <v>39</v>
      </c>
      <c r="E227" s="49" t="s">
        <v>128</v>
      </c>
      <c r="F227" s="49">
        <v>0</v>
      </c>
      <c r="G227" s="88">
        <v>0</v>
      </c>
      <c r="H227" s="88">
        <v>0</v>
      </c>
      <c r="I227" s="49" t="s">
        <v>29</v>
      </c>
      <c r="J227" s="49" t="s">
        <v>52</v>
      </c>
    </row>
    <row r="228" spans="1:10" x14ac:dyDescent="0.2">
      <c r="A228" s="91">
        <v>213</v>
      </c>
      <c r="B228" s="91">
        <v>63</v>
      </c>
      <c r="C228" s="91">
        <v>68</v>
      </c>
      <c r="D228" s="38" t="s">
        <v>39</v>
      </c>
      <c r="E228" s="49" t="s">
        <v>128</v>
      </c>
      <c r="F228" s="49">
        <v>0</v>
      </c>
      <c r="G228" s="88">
        <v>0</v>
      </c>
      <c r="H228" s="88">
        <v>0</v>
      </c>
      <c r="I228" s="49" t="s">
        <v>29</v>
      </c>
      <c r="J228" s="49" t="s">
        <v>52</v>
      </c>
    </row>
    <row r="229" spans="1:10" x14ac:dyDescent="0.2">
      <c r="A229" s="91">
        <v>214</v>
      </c>
      <c r="B229" s="91">
        <v>64</v>
      </c>
      <c r="C229" s="91">
        <v>69</v>
      </c>
      <c r="D229" s="38" t="s">
        <v>39</v>
      </c>
      <c r="E229" s="49" t="s">
        <v>128</v>
      </c>
      <c r="F229" s="49">
        <v>0</v>
      </c>
      <c r="G229" s="88">
        <v>0</v>
      </c>
      <c r="H229" s="88">
        <v>0</v>
      </c>
      <c r="I229" s="49" t="s">
        <v>29</v>
      </c>
      <c r="J229" s="49" t="s">
        <v>52</v>
      </c>
    </row>
    <row r="230" spans="1:10" x14ac:dyDescent="0.2">
      <c r="A230" s="91">
        <v>215</v>
      </c>
      <c r="B230" s="91">
        <v>65</v>
      </c>
      <c r="C230" s="91">
        <v>70</v>
      </c>
      <c r="D230" s="38" t="s">
        <v>39</v>
      </c>
      <c r="E230" s="49" t="s">
        <v>128</v>
      </c>
      <c r="F230" s="49">
        <v>0</v>
      </c>
      <c r="G230" s="88">
        <v>0</v>
      </c>
      <c r="H230" s="88">
        <v>0</v>
      </c>
      <c r="I230" s="49" t="s">
        <v>29</v>
      </c>
      <c r="J230" s="49" t="s">
        <v>52</v>
      </c>
    </row>
    <row r="231" spans="1:10" x14ac:dyDescent="0.2">
      <c r="A231" s="91">
        <v>216</v>
      </c>
      <c r="B231" s="91">
        <v>66</v>
      </c>
      <c r="C231" s="91">
        <v>71</v>
      </c>
      <c r="D231" s="38" t="s">
        <v>39</v>
      </c>
      <c r="E231" s="49" t="s">
        <v>128</v>
      </c>
      <c r="F231" s="49">
        <v>0</v>
      </c>
      <c r="G231" s="88">
        <v>0</v>
      </c>
      <c r="H231" s="88">
        <v>0</v>
      </c>
      <c r="I231" s="49" t="s">
        <v>29</v>
      </c>
      <c r="J231" s="49" t="s">
        <v>52</v>
      </c>
    </row>
    <row r="232" spans="1:10" x14ac:dyDescent="0.2">
      <c r="A232" s="91">
        <v>217</v>
      </c>
      <c r="B232" s="91">
        <v>67</v>
      </c>
      <c r="C232" s="91">
        <v>72</v>
      </c>
      <c r="D232" s="38" t="s">
        <v>39</v>
      </c>
      <c r="E232" s="49" t="s">
        <v>128</v>
      </c>
      <c r="F232" s="49">
        <v>0</v>
      </c>
      <c r="G232" s="88">
        <v>0</v>
      </c>
      <c r="H232" s="88">
        <v>0</v>
      </c>
      <c r="I232" s="49" t="s">
        <v>29</v>
      </c>
      <c r="J232" s="49" t="s">
        <v>52</v>
      </c>
    </row>
    <row r="233" spans="1:10" x14ac:dyDescent="0.2">
      <c r="A233" s="91">
        <v>218</v>
      </c>
      <c r="B233" s="91">
        <v>68</v>
      </c>
      <c r="C233" s="91">
        <v>73</v>
      </c>
      <c r="D233" s="38" t="s">
        <v>39</v>
      </c>
      <c r="E233" s="49" t="s">
        <v>128</v>
      </c>
      <c r="F233" s="49">
        <v>0</v>
      </c>
      <c r="G233" s="88">
        <v>0</v>
      </c>
      <c r="H233" s="88">
        <v>0</v>
      </c>
      <c r="I233" s="49" t="s">
        <v>29</v>
      </c>
      <c r="J233" s="49" t="s">
        <v>52</v>
      </c>
    </row>
    <row r="234" spans="1:10" x14ac:dyDescent="0.2">
      <c r="A234" s="91">
        <v>219</v>
      </c>
      <c r="B234" s="91">
        <v>69</v>
      </c>
      <c r="C234" s="91">
        <v>74</v>
      </c>
      <c r="D234" s="38" t="s">
        <v>39</v>
      </c>
      <c r="E234" s="49" t="s">
        <v>128</v>
      </c>
      <c r="F234" s="49">
        <v>0</v>
      </c>
      <c r="G234" s="88">
        <v>0</v>
      </c>
      <c r="H234" s="88">
        <v>0</v>
      </c>
      <c r="I234" s="49" t="s">
        <v>29</v>
      </c>
      <c r="J234" s="49" t="s">
        <v>52</v>
      </c>
    </row>
    <row r="235" spans="1:10" x14ac:dyDescent="0.2">
      <c r="A235" s="91">
        <v>220</v>
      </c>
      <c r="B235" s="91">
        <v>70</v>
      </c>
      <c r="C235" s="91">
        <v>75</v>
      </c>
      <c r="D235" s="38" t="s">
        <v>39</v>
      </c>
      <c r="E235" s="49" t="s">
        <v>128</v>
      </c>
      <c r="F235" s="49">
        <v>0</v>
      </c>
      <c r="G235" s="88">
        <v>0</v>
      </c>
      <c r="H235" s="88">
        <v>0</v>
      </c>
      <c r="I235" s="49" t="s">
        <v>29</v>
      </c>
      <c r="J235" s="49" t="s">
        <v>52</v>
      </c>
    </row>
    <row r="236" spans="1:10" x14ac:dyDescent="0.2">
      <c r="A236" s="91">
        <v>221</v>
      </c>
      <c r="B236" s="91">
        <v>76</v>
      </c>
      <c r="C236" s="91">
        <v>81</v>
      </c>
      <c r="D236" s="38" t="s">
        <v>39</v>
      </c>
      <c r="E236" s="49" t="s">
        <v>128</v>
      </c>
      <c r="F236" s="49">
        <v>0</v>
      </c>
      <c r="G236" s="88">
        <v>0</v>
      </c>
      <c r="H236" s="88">
        <v>0</v>
      </c>
      <c r="I236" s="49" t="s">
        <v>29</v>
      </c>
      <c r="J236" s="49" t="s">
        <v>52</v>
      </c>
    </row>
    <row r="237" spans="1:10" x14ac:dyDescent="0.2">
      <c r="A237" s="91">
        <v>222</v>
      </c>
      <c r="B237" s="91">
        <v>77</v>
      </c>
      <c r="C237" s="91">
        <v>82</v>
      </c>
      <c r="D237" s="38" t="s">
        <v>39</v>
      </c>
      <c r="E237" s="49" t="s">
        <v>128</v>
      </c>
      <c r="F237" s="49">
        <v>0</v>
      </c>
      <c r="G237" s="88">
        <v>0</v>
      </c>
      <c r="H237" s="88">
        <v>0</v>
      </c>
      <c r="I237" s="49" t="s">
        <v>29</v>
      </c>
      <c r="J237" s="49" t="s">
        <v>52</v>
      </c>
    </row>
    <row r="238" spans="1:10" x14ac:dyDescent="0.2">
      <c r="A238" s="91">
        <v>223</v>
      </c>
      <c r="B238" s="91">
        <v>78</v>
      </c>
      <c r="C238" s="91">
        <v>83</v>
      </c>
      <c r="D238" s="38" t="s">
        <v>39</v>
      </c>
      <c r="E238" s="49" t="s">
        <v>128</v>
      </c>
      <c r="F238" s="49">
        <v>0</v>
      </c>
      <c r="G238" s="88">
        <v>0</v>
      </c>
      <c r="H238" s="88">
        <v>0</v>
      </c>
      <c r="I238" s="49" t="s">
        <v>29</v>
      </c>
      <c r="J238" s="49" t="s">
        <v>52</v>
      </c>
    </row>
    <row r="239" spans="1:10" x14ac:dyDescent="0.2">
      <c r="A239" s="91">
        <v>224</v>
      </c>
      <c r="B239" s="91">
        <v>79</v>
      </c>
      <c r="C239" s="91">
        <v>84</v>
      </c>
      <c r="D239" s="38" t="s">
        <v>39</v>
      </c>
      <c r="E239" s="49" t="s">
        <v>128</v>
      </c>
      <c r="F239" s="49">
        <v>0</v>
      </c>
      <c r="G239" s="88">
        <v>0</v>
      </c>
      <c r="H239" s="88">
        <v>0</v>
      </c>
      <c r="I239" s="49" t="s">
        <v>29</v>
      </c>
      <c r="J239" s="49" t="s">
        <v>52</v>
      </c>
    </row>
    <row r="240" spans="1:10" x14ac:dyDescent="0.2">
      <c r="A240" s="91">
        <v>225</v>
      </c>
      <c r="B240" s="91">
        <v>80</v>
      </c>
      <c r="C240" s="91">
        <v>85</v>
      </c>
      <c r="D240" s="38" t="s">
        <v>39</v>
      </c>
      <c r="E240" s="49" t="s">
        <v>128</v>
      </c>
      <c r="F240" s="49">
        <v>0</v>
      </c>
      <c r="G240" s="88">
        <v>0</v>
      </c>
      <c r="H240" s="88">
        <v>0</v>
      </c>
      <c r="I240" s="49" t="s">
        <v>29</v>
      </c>
      <c r="J240" s="49" t="s">
        <v>52</v>
      </c>
    </row>
    <row r="241" spans="1:10" x14ac:dyDescent="0.2">
      <c r="A241" s="91">
        <v>226</v>
      </c>
      <c r="B241" s="91">
        <v>81</v>
      </c>
      <c r="C241" s="91">
        <v>86</v>
      </c>
      <c r="D241" s="38" t="s">
        <v>39</v>
      </c>
      <c r="E241" s="49" t="s">
        <v>128</v>
      </c>
      <c r="F241" s="49">
        <v>0</v>
      </c>
      <c r="G241" s="88">
        <v>0</v>
      </c>
      <c r="H241" s="88">
        <v>0</v>
      </c>
      <c r="I241" s="49" t="s">
        <v>29</v>
      </c>
      <c r="J241" s="49" t="s">
        <v>52</v>
      </c>
    </row>
    <row r="242" spans="1:10" x14ac:dyDescent="0.2">
      <c r="A242" s="91">
        <v>227</v>
      </c>
      <c r="B242" s="91">
        <v>82</v>
      </c>
      <c r="C242" s="91">
        <v>87</v>
      </c>
      <c r="D242" s="38" t="s">
        <v>39</v>
      </c>
      <c r="E242" s="49" t="s">
        <v>128</v>
      </c>
      <c r="F242" s="49">
        <v>0</v>
      </c>
      <c r="G242" s="88">
        <v>0</v>
      </c>
      <c r="H242" s="88">
        <v>0</v>
      </c>
      <c r="I242" s="49" t="s">
        <v>29</v>
      </c>
      <c r="J242" s="49" t="s">
        <v>52</v>
      </c>
    </row>
    <row r="243" spans="1:10" x14ac:dyDescent="0.2">
      <c r="A243" s="91">
        <v>228</v>
      </c>
      <c r="B243" s="91">
        <v>83</v>
      </c>
      <c r="C243" s="91">
        <v>88</v>
      </c>
      <c r="D243" s="38" t="s">
        <v>39</v>
      </c>
      <c r="E243" s="49" t="s">
        <v>128</v>
      </c>
      <c r="F243" s="49">
        <v>0</v>
      </c>
      <c r="G243" s="88">
        <v>0</v>
      </c>
      <c r="H243" s="88">
        <v>0</v>
      </c>
      <c r="I243" s="49" t="s">
        <v>29</v>
      </c>
      <c r="J243" s="49" t="s">
        <v>52</v>
      </c>
    </row>
    <row r="244" spans="1:10" x14ac:dyDescent="0.2">
      <c r="A244" s="91">
        <v>229</v>
      </c>
      <c r="B244" s="91">
        <v>84</v>
      </c>
      <c r="C244" s="91">
        <v>89</v>
      </c>
      <c r="D244" s="38" t="s">
        <v>39</v>
      </c>
      <c r="E244" s="49" t="s">
        <v>128</v>
      </c>
      <c r="F244" s="49">
        <v>0</v>
      </c>
      <c r="G244" s="88">
        <v>0</v>
      </c>
      <c r="H244" s="88">
        <v>0</v>
      </c>
      <c r="I244" s="49" t="s">
        <v>29</v>
      </c>
      <c r="J244" s="49" t="s">
        <v>52</v>
      </c>
    </row>
    <row r="245" spans="1:10" x14ac:dyDescent="0.2">
      <c r="A245" s="91">
        <v>230</v>
      </c>
      <c r="B245" s="91">
        <v>85</v>
      </c>
      <c r="C245" s="91">
        <v>90</v>
      </c>
      <c r="D245" s="38" t="s">
        <v>39</v>
      </c>
      <c r="E245" s="49" t="s">
        <v>128</v>
      </c>
      <c r="F245" s="49">
        <v>0</v>
      </c>
      <c r="G245" s="88">
        <v>0</v>
      </c>
      <c r="H245" s="88">
        <v>0</v>
      </c>
      <c r="I245" s="49" t="s">
        <v>29</v>
      </c>
      <c r="J245" s="49" t="s">
        <v>52</v>
      </c>
    </row>
    <row r="246" spans="1:10" x14ac:dyDescent="0.2">
      <c r="A246" s="91">
        <v>231</v>
      </c>
      <c r="B246" s="91">
        <v>86</v>
      </c>
      <c r="C246" s="91">
        <v>91</v>
      </c>
      <c r="D246" s="38" t="s">
        <v>39</v>
      </c>
      <c r="E246" s="49" t="s">
        <v>128</v>
      </c>
      <c r="F246" s="49">
        <v>0</v>
      </c>
      <c r="G246" s="88">
        <v>0</v>
      </c>
      <c r="H246" s="88">
        <v>0</v>
      </c>
      <c r="I246" s="49" t="s">
        <v>29</v>
      </c>
      <c r="J246" s="49" t="s">
        <v>52</v>
      </c>
    </row>
    <row r="247" spans="1:10" x14ac:dyDescent="0.2">
      <c r="A247" s="91">
        <v>232</v>
      </c>
      <c r="B247" s="91">
        <v>87</v>
      </c>
      <c r="C247" s="91">
        <v>92</v>
      </c>
      <c r="D247" s="38" t="s">
        <v>39</v>
      </c>
      <c r="E247" s="49" t="s">
        <v>128</v>
      </c>
      <c r="F247" s="49">
        <v>0</v>
      </c>
      <c r="G247" s="88">
        <v>0</v>
      </c>
      <c r="H247" s="88">
        <v>0</v>
      </c>
      <c r="I247" s="49" t="s">
        <v>29</v>
      </c>
      <c r="J247" s="49" t="s">
        <v>52</v>
      </c>
    </row>
    <row r="248" spans="1:10" x14ac:dyDescent="0.2">
      <c r="A248" s="91">
        <v>233</v>
      </c>
      <c r="B248" s="91">
        <v>88</v>
      </c>
      <c r="C248" s="91">
        <v>93</v>
      </c>
      <c r="D248" s="38" t="s">
        <v>39</v>
      </c>
      <c r="E248" s="49" t="s">
        <v>128</v>
      </c>
      <c r="F248" s="49">
        <v>0</v>
      </c>
      <c r="G248" s="88">
        <v>0</v>
      </c>
      <c r="H248" s="88">
        <v>0</v>
      </c>
      <c r="I248" s="49" t="s">
        <v>29</v>
      </c>
      <c r="J248" s="49" t="s">
        <v>52</v>
      </c>
    </row>
    <row r="249" spans="1:10" x14ac:dyDescent="0.2">
      <c r="A249" s="91">
        <v>234</v>
      </c>
      <c r="B249" s="91">
        <v>89</v>
      </c>
      <c r="C249" s="91">
        <v>94</v>
      </c>
      <c r="D249" s="38" t="s">
        <v>39</v>
      </c>
      <c r="E249" s="49" t="s">
        <v>128</v>
      </c>
      <c r="F249" s="49">
        <v>0</v>
      </c>
      <c r="G249" s="88">
        <v>0</v>
      </c>
      <c r="H249" s="88">
        <v>0</v>
      </c>
      <c r="I249" s="49" t="s">
        <v>29</v>
      </c>
      <c r="J249" s="49" t="s">
        <v>52</v>
      </c>
    </row>
    <row r="250" spans="1:10" x14ac:dyDescent="0.2">
      <c r="A250" s="91">
        <v>235</v>
      </c>
      <c r="B250" s="91">
        <v>90</v>
      </c>
      <c r="C250" s="91">
        <v>95</v>
      </c>
      <c r="D250" s="38" t="s">
        <v>39</v>
      </c>
      <c r="E250" s="49" t="s">
        <v>128</v>
      </c>
      <c r="F250" s="49">
        <v>0</v>
      </c>
      <c r="G250" s="88">
        <v>0</v>
      </c>
      <c r="H250" s="88">
        <v>0</v>
      </c>
      <c r="I250" s="49" t="s">
        <v>29</v>
      </c>
      <c r="J250" s="49" t="s">
        <v>52</v>
      </c>
    </row>
    <row r="251" spans="1:10" x14ac:dyDescent="0.2">
      <c r="A251" s="91">
        <v>236</v>
      </c>
      <c r="B251" s="91">
        <v>91</v>
      </c>
      <c r="C251" s="91">
        <v>96</v>
      </c>
      <c r="D251" s="38" t="s">
        <v>39</v>
      </c>
      <c r="E251" s="49" t="s">
        <v>128</v>
      </c>
      <c r="F251" s="49">
        <v>0</v>
      </c>
      <c r="G251" s="88">
        <v>0</v>
      </c>
      <c r="H251" s="88">
        <v>0</v>
      </c>
      <c r="I251" s="49" t="s">
        <v>29</v>
      </c>
      <c r="J251" s="49" t="s">
        <v>52</v>
      </c>
    </row>
    <row r="252" spans="1:10" x14ac:dyDescent="0.2">
      <c r="A252" s="91">
        <v>237</v>
      </c>
      <c r="B252" s="91">
        <v>92</v>
      </c>
      <c r="C252" s="91">
        <v>97</v>
      </c>
      <c r="D252" s="38" t="s">
        <v>39</v>
      </c>
      <c r="E252" s="49" t="s">
        <v>128</v>
      </c>
      <c r="F252" s="49">
        <v>0</v>
      </c>
      <c r="G252" s="88">
        <v>0</v>
      </c>
      <c r="H252" s="88">
        <v>0</v>
      </c>
      <c r="I252" s="49" t="s">
        <v>29</v>
      </c>
      <c r="J252" s="49" t="s">
        <v>52</v>
      </c>
    </row>
    <row r="253" spans="1:10" x14ac:dyDescent="0.2">
      <c r="A253" s="91">
        <v>238</v>
      </c>
      <c r="B253" s="91">
        <v>93</v>
      </c>
      <c r="C253" s="91">
        <v>98</v>
      </c>
      <c r="D253" s="38" t="s">
        <v>39</v>
      </c>
      <c r="E253" s="49" t="s">
        <v>128</v>
      </c>
      <c r="F253" s="49">
        <v>0</v>
      </c>
      <c r="G253" s="88">
        <v>0</v>
      </c>
      <c r="H253" s="88">
        <v>0</v>
      </c>
      <c r="I253" s="49" t="s">
        <v>29</v>
      </c>
      <c r="J253" s="49" t="s">
        <v>52</v>
      </c>
    </row>
    <row r="254" spans="1:10" x14ac:dyDescent="0.2">
      <c r="A254" s="91">
        <v>239</v>
      </c>
      <c r="B254" s="91">
        <v>94</v>
      </c>
      <c r="C254" s="91">
        <v>99</v>
      </c>
      <c r="D254" s="38" t="s">
        <v>39</v>
      </c>
      <c r="E254" s="49" t="s">
        <v>128</v>
      </c>
      <c r="F254" s="49">
        <v>0</v>
      </c>
      <c r="G254" s="88">
        <v>0</v>
      </c>
      <c r="H254" s="88">
        <v>0</v>
      </c>
      <c r="I254" s="49" t="s">
        <v>29</v>
      </c>
      <c r="J254" s="49" t="s">
        <v>52</v>
      </c>
    </row>
    <row r="255" spans="1:10" x14ac:dyDescent="0.2">
      <c r="A255" s="91">
        <v>240</v>
      </c>
      <c r="B255" s="91">
        <v>95</v>
      </c>
      <c r="C255" s="91">
        <v>100</v>
      </c>
      <c r="D255" s="38" t="s">
        <v>39</v>
      </c>
      <c r="E255" s="49" t="s">
        <v>128</v>
      </c>
      <c r="F255" s="49">
        <v>0</v>
      </c>
      <c r="G255" s="88">
        <v>0</v>
      </c>
      <c r="H255" s="88">
        <v>0</v>
      </c>
      <c r="I255" s="49" t="s">
        <v>29</v>
      </c>
      <c r="J255" s="49" t="s">
        <v>52</v>
      </c>
    </row>
    <row r="256" spans="1:10" x14ac:dyDescent="0.2">
      <c r="A256" s="91">
        <v>241</v>
      </c>
      <c r="B256" s="91">
        <v>101</v>
      </c>
      <c r="C256" s="91">
        <v>106</v>
      </c>
      <c r="D256" s="38" t="s">
        <v>39</v>
      </c>
      <c r="E256" s="49" t="s">
        <v>128</v>
      </c>
      <c r="F256" s="49">
        <v>0</v>
      </c>
      <c r="G256" s="88">
        <v>0</v>
      </c>
      <c r="H256" s="88">
        <v>0</v>
      </c>
      <c r="I256" s="49" t="s">
        <v>29</v>
      </c>
      <c r="J256" s="49" t="s">
        <v>52</v>
      </c>
    </row>
    <row r="257" spans="1:10" x14ac:dyDescent="0.2">
      <c r="A257" s="91">
        <v>242</v>
      </c>
      <c r="B257" s="91">
        <v>102</v>
      </c>
      <c r="C257" s="91">
        <v>107</v>
      </c>
      <c r="D257" s="38" t="s">
        <v>39</v>
      </c>
      <c r="E257" s="49" t="s">
        <v>128</v>
      </c>
      <c r="F257" s="49">
        <v>0</v>
      </c>
      <c r="G257" s="88">
        <v>0</v>
      </c>
      <c r="H257" s="88">
        <v>0</v>
      </c>
      <c r="I257" s="49" t="s">
        <v>29</v>
      </c>
      <c r="J257" s="49" t="s">
        <v>52</v>
      </c>
    </row>
    <row r="258" spans="1:10" x14ac:dyDescent="0.2">
      <c r="A258" s="91">
        <v>243</v>
      </c>
      <c r="B258" s="91">
        <v>103</v>
      </c>
      <c r="C258" s="91">
        <v>108</v>
      </c>
      <c r="D258" s="38" t="s">
        <v>39</v>
      </c>
      <c r="E258" s="49" t="s">
        <v>128</v>
      </c>
      <c r="F258" s="49">
        <v>0</v>
      </c>
      <c r="G258" s="88">
        <v>0</v>
      </c>
      <c r="H258" s="88">
        <v>0</v>
      </c>
      <c r="I258" s="49" t="s">
        <v>29</v>
      </c>
      <c r="J258" s="49" t="s">
        <v>52</v>
      </c>
    </row>
    <row r="259" spans="1:10" x14ac:dyDescent="0.2">
      <c r="A259" s="91">
        <v>244</v>
      </c>
      <c r="B259" s="91">
        <v>104</v>
      </c>
      <c r="C259" s="91">
        <v>109</v>
      </c>
      <c r="D259" s="38" t="s">
        <v>39</v>
      </c>
      <c r="E259" s="49" t="s">
        <v>128</v>
      </c>
      <c r="F259" s="49">
        <v>0</v>
      </c>
      <c r="G259" s="88">
        <v>0</v>
      </c>
      <c r="H259" s="88">
        <v>0</v>
      </c>
      <c r="I259" s="49" t="s">
        <v>29</v>
      </c>
      <c r="J259" s="49" t="s">
        <v>52</v>
      </c>
    </row>
    <row r="260" spans="1:10" x14ac:dyDescent="0.2">
      <c r="A260" s="91">
        <v>245</v>
      </c>
      <c r="B260" s="91">
        <v>105</v>
      </c>
      <c r="C260" s="91">
        <v>110</v>
      </c>
      <c r="D260" s="38" t="s">
        <v>39</v>
      </c>
      <c r="E260" s="49" t="s">
        <v>128</v>
      </c>
      <c r="F260" s="49">
        <v>0</v>
      </c>
      <c r="G260" s="88">
        <v>0</v>
      </c>
      <c r="H260" s="88">
        <v>0</v>
      </c>
      <c r="I260" s="49" t="s">
        <v>29</v>
      </c>
      <c r="J260" s="49" t="s">
        <v>52</v>
      </c>
    </row>
    <row r="261" spans="1:10" x14ac:dyDescent="0.2">
      <c r="A261" s="91">
        <v>246</v>
      </c>
      <c r="B261" s="91">
        <v>106</v>
      </c>
      <c r="C261" s="91">
        <v>111</v>
      </c>
      <c r="D261" s="38" t="s">
        <v>39</v>
      </c>
      <c r="E261" s="49" t="s">
        <v>128</v>
      </c>
      <c r="F261" s="49">
        <v>0</v>
      </c>
      <c r="G261" s="88">
        <v>0</v>
      </c>
      <c r="H261" s="88">
        <v>0</v>
      </c>
      <c r="I261" s="49" t="s">
        <v>29</v>
      </c>
      <c r="J261" s="49" t="s">
        <v>52</v>
      </c>
    </row>
    <row r="262" spans="1:10" x14ac:dyDescent="0.2">
      <c r="A262" s="91">
        <v>247</v>
      </c>
      <c r="B262" s="91">
        <v>107</v>
      </c>
      <c r="C262" s="91">
        <v>112</v>
      </c>
      <c r="D262" s="38" t="s">
        <v>39</v>
      </c>
      <c r="E262" s="49" t="s">
        <v>128</v>
      </c>
      <c r="F262" s="49">
        <v>0</v>
      </c>
      <c r="G262" s="88">
        <v>0</v>
      </c>
      <c r="H262" s="88">
        <v>0</v>
      </c>
      <c r="I262" s="49" t="s">
        <v>29</v>
      </c>
      <c r="J262" s="49" t="s">
        <v>52</v>
      </c>
    </row>
    <row r="263" spans="1:10" x14ac:dyDescent="0.2">
      <c r="A263" s="91">
        <v>248</v>
      </c>
      <c r="B263" s="91">
        <v>108</v>
      </c>
      <c r="C263" s="91">
        <v>113</v>
      </c>
      <c r="D263" s="38" t="s">
        <v>39</v>
      </c>
      <c r="E263" s="49" t="s">
        <v>128</v>
      </c>
      <c r="F263" s="49">
        <v>0</v>
      </c>
      <c r="G263" s="88">
        <v>0</v>
      </c>
      <c r="H263" s="88">
        <v>0</v>
      </c>
      <c r="I263" s="49" t="s">
        <v>29</v>
      </c>
      <c r="J263" s="49" t="s">
        <v>52</v>
      </c>
    </row>
    <row r="264" spans="1:10" x14ac:dyDescent="0.2">
      <c r="A264" s="91">
        <v>249</v>
      </c>
      <c r="B264" s="91">
        <v>109</v>
      </c>
      <c r="C264" s="91">
        <v>114</v>
      </c>
      <c r="D264" s="38" t="s">
        <v>39</v>
      </c>
      <c r="E264" s="49" t="s">
        <v>128</v>
      </c>
      <c r="F264" s="49">
        <v>0</v>
      </c>
      <c r="G264" s="88">
        <v>0</v>
      </c>
      <c r="H264" s="88">
        <v>0</v>
      </c>
      <c r="I264" s="49" t="s">
        <v>29</v>
      </c>
      <c r="J264" s="49" t="s">
        <v>52</v>
      </c>
    </row>
    <row r="265" spans="1:10" x14ac:dyDescent="0.2">
      <c r="A265" s="91">
        <v>250</v>
      </c>
      <c r="B265" s="91">
        <v>110</v>
      </c>
      <c r="C265" s="91">
        <v>115</v>
      </c>
      <c r="D265" s="38" t="s">
        <v>39</v>
      </c>
      <c r="E265" s="49" t="s">
        <v>128</v>
      </c>
      <c r="F265" s="49">
        <v>0</v>
      </c>
      <c r="G265" s="88">
        <v>0</v>
      </c>
      <c r="H265" s="88">
        <v>0</v>
      </c>
      <c r="I265" s="49" t="s">
        <v>29</v>
      </c>
      <c r="J265" s="49" t="s">
        <v>52</v>
      </c>
    </row>
    <row r="266" spans="1:10" x14ac:dyDescent="0.2">
      <c r="A266" s="91">
        <v>251</v>
      </c>
      <c r="B266" s="91">
        <v>111</v>
      </c>
      <c r="C266" s="91">
        <v>116</v>
      </c>
      <c r="D266" s="38" t="s">
        <v>39</v>
      </c>
      <c r="E266" s="49" t="s">
        <v>128</v>
      </c>
      <c r="F266" s="49">
        <v>0</v>
      </c>
      <c r="G266" s="88">
        <v>0</v>
      </c>
      <c r="H266" s="88">
        <v>0</v>
      </c>
      <c r="I266" s="49" t="s">
        <v>29</v>
      </c>
      <c r="J266" s="49" t="s">
        <v>52</v>
      </c>
    </row>
    <row r="267" spans="1:10" x14ac:dyDescent="0.2">
      <c r="A267" s="91">
        <v>252</v>
      </c>
      <c r="B267" s="91">
        <v>112</v>
      </c>
      <c r="C267" s="91">
        <v>117</v>
      </c>
      <c r="D267" s="38" t="s">
        <v>39</v>
      </c>
      <c r="E267" s="49" t="s">
        <v>128</v>
      </c>
      <c r="F267" s="49">
        <v>0</v>
      </c>
      <c r="G267" s="88">
        <v>0</v>
      </c>
      <c r="H267" s="88">
        <v>0</v>
      </c>
      <c r="I267" s="49" t="s">
        <v>29</v>
      </c>
      <c r="J267" s="49" t="s">
        <v>52</v>
      </c>
    </row>
    <row r="268" spans="1:10" x14ac:dyDescent="0.2">
      <c r="A268" s="91">
        <v>253</v>
      </c>
      <c r="B268" s="91">
        <v>113</v>
      </c>
      <c r="C268" s="91">
        <v>118</v>
      </c>
      <c r="D268" s="38" t="s">
        <v>39</v>
      </c>
      <c r="E268" s="49" t="s">
        <v>128</v>
      </c>
      <c r="F268" s="49">
        <v>0</v>
      </c>
      <c r="G268" s="88">
        <v>0</v>
      </c>
      <c r="H268" s="88">
        <v>0</v>
      </c>
      <c r="I268" s="49" t="s">
        <v>29</v>
      </c>
      <c r="J268" s="49" t="s">
        <v>52</v>
      </c>
    </row>
    <row r="269" spans="1:10" x14ac:dyDescent="0.2">
      <c r="A269" s="91">
        <v>254</v>
      </c>
      <c r="B269" s="91">
        <v>114</v>
      </c>
      <c r="C269" s="91">
        <v>119</v>
      </c>
      <c r="D269" s="38" t="s">
        <v>39</v>
      </c>
      <c r="E269" s="49" t="s">
        <v>128</v>
      </c>
      <c r="F269" s="49">
        <v>0</v>
      </c>
      <c r="G269" s="88">
        <v>0</v>
      </c>
      <c r="H269" s="88">
        <v>0</v>
      </c>
      <c r="I269" s="49" t="s">
        <v>29</v>
      </c>
      <c r="J269" s="49" t="s">
        <v>52</v>
      </c>
    </row>
    <row r="270" spans="1:10" x14ac:dyDescent="0.2">
      <c r="A270" s="91">
        <v>255</v>
      </c>
      <c r="B270" s="91">
        <v>115</v>
      </c>
      <c r="C270" s="91">
        <v>120</v>
      </c>
      <c r="D270" s="38" t="s">
        <v>39</v>
      </c>
      <c r="E270" s="49" t="s">
        <v>128</v>
      </c>
      <c r="F270" s="49">
        <v>0</v>
      </c>
      <c r="G270" s="88">
        <v>0</v>
      </c>
      <c r="H270" s="88">
        <v>0</v>
      </c>
      <c r="I270" s="49" t="s">
        <v>29</v>
      </c>
      <c r="J270" s="49" t="s">
        <v>52</v>
      </c>
    </row>
    <row r="271" spans="1:10" x14ac:dyDescent="0.2">
      <c r="A271" s="91">
        <v>256</v>
      </c>
      <c r="B271" s="91">
        <v>116</v>
      </c>
      <c r="C271" s="91">
        <v>121</v>
      </c>
      <c r="D271" s="38" t="s">
        <v>39</v>
      </c>
      <c r="E271" s="49" t="s">
        <v>128</v>
      </c>
      <c r="F271" s="49">
        <v>0</v>
      </c>
      <c r="G271" s="88">
        <v>0</v>
      </c>
      <c r="H271" s="88">
        <v>0</v>
      </c>
      <c r="I271" s="49" t="s">
        <v>29</v>
      </c>
      <c r="J271" s="49" t="s">
        <v>52</v>
      </c>
    </row>
    <row r="272" spans="1:10" x14ac:dyDescent="0.2">
      <c r="A272" s="91">
        <v>257</v>
      </c>
      <c r="B272" s="91">
        <v>117</v>
      </c>
      <c r="C272" s="91">
        <v>122</v>
      </c>
      <c r="D272" s="38" t="s">
        <v>39</v>
      </c>
      <c r="E272" s="49" t="s">
        <v>128</v>
      </c>
      <c r="F272" s="49">
        <v>0</v>
      </c>
      <c r="G272" s="88">
        <v>0</v>
      </c>
      <c r="H272" s="88">
        <v>0</v>
      </c>
      <c r="I272" s="49" t="s">
        <v>29</v>
      </c>
      <c r="J272" s="49" t="s">
        <v>52</v>
      </c>
    </row>
    <row r="273" spans="1:10" x14ac:dyDescent="0.2">
      <c r="A273" s="91">
        <v>258</v>
      </c>
      <c r="B273" s="91">
        <v>118</v>
      </c>
      <c r="C273" s="91">
        <v>123</v>
      </c>
      <c r="D273" s="38" t="s">
        <v>39</v>
      </c>
      <c r="E273" s="49" t="s">
        <v>128</v>
      </c>
      <c r="F273" s="49">
        <v>0</v>
      </c>
      <c r="G273" s="88">
        <v>0</v>
      </c>
      <c r="H273" s="88">
        <v>0</v>
      </c>
      <c r="I273" s="49" t="s">
        <v>29</v>
      </c>
      <c r="J273" s="49" t="s">
        <v>52</v>
      </c>
    </row>
    <row r="274" spans="1:10" x14ac:dyDescent="0.2">
      <c r="A274" s="91">
        <v>259</v>
      </c>
      <c r="B274" s="91">
        <v>119</v>
      </c>
      <c r="C274" s="91">
        <v>124</v>
      </c>
      <c r="D274" s="38" t="s">
        <v>39</v>
      </c>
      <c r="E274" s="49" t="s">
        <v>128</v>
      </c>
      <c r="F274" s="49">
        <v>0</v>
      </c>
      <c r="G274" s="88">
        <v>0</v>
      </c>
      <c r="H274" s="88">
        <v>0</v>
      </c>
      <c r="I274" s="49" t="s">
        <v>29</v>
      </c>
      <c r="J274" s="49" t="s">
        <v>52</v>
      </c>
    </row>
    <row r="275" spans="1:10" x14ac:dyDescent="0.2">
      <c r="A275" s="91">
        <v>260</v>
      </c>
      <c r="B275" s="91">
        <v>120</v>
      </c>
      <c r="C275" s="91">
        <v>125</v>
      </c>
      <c r="D275" s="38" t="s">
        <v>39</v>
      </c>
      <c r="E275" s="49" t="s">
        <v>128</v>
      </c>
      <c r="F275" s="49">
        <v>0</v>
      </c>
      <c r="G275" s="88">
        <v>0</v>
      </c>
      <c r="H275" s="88">
        <v>0</v>
      </c>
      <c r="I275" s="49" t="s">
        <v>29</v>
      </c>
      <c r="J275" s="49" t="s">
        <v>52</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1" customWidth="1"/>
    <col min="2" max="5" width="10.6640625" style="91" customWidth="1"/>
    <col min="6" max="6" width="20.6640625" style="91" customWidth="1"/>
    <col min="7" max="10" width="10.6640625" style="49" customWidth="1"/>
    <col min="11" max="16384" width="10.83203125" style="79"/>
  </cols>
  <sheetData>
    <row r="1" spans="1:10" x14ac:dyDescent="0.2">
      <c r="A1" s="92" t="s">
        <v>102</v>
      </c>
      <c r="B1" s="76"/>
      <c r="C1" s="76"/>
      <c r="D1" s="76"/>
      <c r="E1" s="76"/>
      <c r="F1" s="76"/>
      <c r="G1" s="77"/>
      <c r="H1" s="77"/>
      <c r="I1" s="77"/>
      <c r="J1" s="78"/>
    </row>
    <row r="2" spans="1:10" x14ac:dyDescent="0.2">
      <c r="A2" s="83" t="s">
        <v>192</v>
      </c>
      <c r="B2" s="80"/>
      <c r="C2" s="80"/>
      <c r="D2" s="80"/>
      <c r="E2" s="80"/>
      <c r="F2" s="80"/>
      <c r="G2" s="81"/>
      <c r="H2" s="81"/>
      <c r="I2" s="81"/>
      <c r="J2" s="82"/>
    </row>
    <row r="3" spans="1:10" x14ac:dyDescent="0.2">
      <c r="A3" s="93" t="s">
        <v>119</v>
      </c>
      <c r="B3" s="80"/>
      <c r="C3" s="80"/>
      <c r="D3" s="80"/>
      <c r="E3" s="80"/>
      <c r="F3" s="80"/>
      <c r="G3" s="81"/>
      <c r="H3" s="81"/>
      <c r="I3" s="81"/>
      <c r="J3" s="82"/>
    </row>
    <row r="4" spans="1:10" x14ac:dyDescent="0.2">
      <c r="A4" s="64" t="s">
        <v>120</v>
      </c>
      <c r="B4" s="80"/>
      <c r="C4" s="80"/>
      <c r="D4" s="80"/>
      <c r="E4" s="80"/>
      <c r="F4" s="80"/>
      <c r="G4" s="81"/>
      <c r="H4" s="81"/>
      <c r="I4" s="81"/>
      <c r="J4" s="82"/>
    </row>
    <row r="5" spans="1:10" x14ac:dyDescent="0.2">
      <c r="A5" s="64" t="s">
        <v>121</v>
      </c>
      <c r="B5" s="80"/>
      <c r="C5" s="80"/>
      <c r="D5" s="80"/>
      <c r="E5" s="80"/>
      <c r="F5" s="80"/>
      <c r="G5" s="81"/>
      <c r="H5" s="81"/>
      <c r="I5" s="81"/>
      <c r="J5" s="82"/>
    </row>
    <row r="6" spans="1:10" x14ac:dyDescent="0.2">
      <c r="A6" s="116" t="s">
        <v>122</v>
      </c>
      <c r="B6" s="80"/>
      <c r="C6" s="80"/>
      <c r="D6" s="80"/>
      <c r="E6" s="80"/>
      <c r="F6" s="80"/>
      <c r="G6" s="81"/>
      <c r="H6" s="81"/>
      <c r="I6" s="81"/>
      <c r="J6" s="82"/>
    </row>
    <row r="7" spans="1:10" x14ac:dyDescent="0.2">
      <c r="A7" s="116" t="s">
        <v>177</v>
      </c>
      <c r="B7" s="80"/>
      <c r="C7" s="80"/>
      <c r="D7" s="80"/>
      <c r="E7" s="80"/>
      <c r="F7" s="80"/>
      <c r="G7" s="81"/>
      <c r="H7" s="81"/>
      <c r="I7" s="81"/>
      <c r="J7" s="82"/>
    </row>
    <row r="8" spans="1:10" x14ac:dyDescent="0.2">
      <c r="A8" s="113" t="s">
        <v>200</v>
      </c>
      <c r="B8" s="86"/>
      <c r="C8" s="86"/>
      <c r="D8" s="86"/>
      <c r="E8" s="86"/>
      <c r="F8" s="86"/>
      <c r="G8" s="94"/>
      <c r="H8" s="94"/>
      <c r="I8" s="94"/>
      <c r="J8" s="95"/>
    </row>
    <row r="9" spans="1:10" x14ac:dyDescent="0.2">
      <c r="A9" s="89"/>
      <c r="B9" s="49"/>
      <c r="C9" s="49"/>
      <c r="D9" s="49"/>
      <c r="E9" s="49"/>
      <c r="F9" s="49"/>
      <c r="G9" s="79"/>
      <c r="H9" s="79"/>
      <c r="I9" s="79"/>
      <c r="J9" s="79"/>
    </row>
    <row r="10" spans="1:10" s="6" customFormat="1" x14ac:dyDescent="0.2">
      <c r="A10" s="73" t="s">
        <v>189</v>
      </c>
      <c r="B10" s="10" t="s">
        <v>97</v>
      </c>
      <c r="C10" s="10" t="s">
        <v>98</v>
      </c>
      <c r="D10" s="10" t="s">
        <v>99</v>
      </c>
      <c r="E10" s="10" t="s">
        <v>100</v>
      </c>
      <c r="F10" s="73" t="s">
        <v>37</v>
      </c>
      <c r="G10" s="73" t="s">
        <v>194</v>
      </c>
      <c r="H10" s="49"/>
      <c r="I10" s="49"/>
      <c r="J10" s="49"/>
    </row>
    <row r="11" spans="1:10" x14ac:dyDescent="0.2">
      <c r="A11" s="91">
        <v>1</v>
      </c>
      <c r="B11" s="91">
        <v>101</v>
      </c>
      <c r="C11" s="91">
        <v>182</v>
      </c>
      <c r="D11" s="91">
        <v>105</v>
      </c>
      <c r="E11" s="91">
        <v>181</v>
      </c>
      <c r="F11" s="91" t="s">
        <v>222</v>
      </c>
      <c r="G11" s="49" t="s">
        <v>33</v>
      </c>
    </row>
    <row r="12" spans="1:10" x14ac:dyDescent="0.2">
      <c r="A12" s="91">
        <v>2</v>
      </c>
      <c r="B12" s="91">
        <v>102</v>
      </c>
      <c r="C12" s="91">
        <v>183</v>
      </c>
      <c r="D12" s="91">
        <v>106</v>
      </c>
      <c r="E12" s="91">
        <v>182</v>
      </c>
      <c r="F12" s="91" t="s">
        <v>222</v>
      </c>
      <c r="G12" s="49" t="s">
        <v>33</v>
      </c>
    </row>
    <row r="13" spans="1:10" x14ac:dyDescent="0.2">
      <c r="A13" s="91">
        <v>3</v>
      </c>
      <c r="B13" s="91">
        <v>103</v>
      </c>
      <c r="C13" s="91">
        <v>184</v>
      </c>
      <c r="D13" s="91">
        <v>107</v>
      </c>
      <c r="E13" s="91">
        <v>183</v>
      </c>
      <c r="F13" s="91" t="s">
        <v>222</v>
      </c>
      <c r="G13" s="49" t="s">
        <v>33</v>
      </c>
    </row>
    <row r="14" spans="1:10" x14ac:dyDescent="0.2">
      <c r="A14" s="91">
        <v>4</v>
      </c>
      <c r="B14" s="91">
        <v>104</v>
      </c>
      <c r="C14" s="91">
        <v>185</v>
      </c>
      <c r="D14" s="91">
        <v>108</v>
      </c>
      <c r="E14" s="91">
        <v>184</v>
      </c>
      <c r="F14" s="91" t="s">
        <v>222</v>
      </c>
      <c r="G14" s="49" t="s">
        <v>33</v>
      </c>
    </row>
    <row r="15" spans="1:10" x14ac:dyDescent="0.2">
      <c r="A15" s="91">
        <v>5</v>
      </c>
      <c r="B15" s="91">
        <v>105</v>
      </c>
      <c r="C15" s="91">
        <v>187</v>
      </c>
      <c r="D15" s="91">
        <v>109</v>
      </c>
      <c r="E15" s="91">
        <v>186</v>
      </c>
      <c r="F15" s="91" t="s">
        <v>222</v>
      </c>
      <c r="G15" s="49" t="s">
        <v>33</v>
      </c>
    </row>
    <row r="16" spans="1:10" x14ac:dyDescent="0.2">
      <c r="A16" s="91">
        <v>6</v>
      </c>
      <c r="B16" s="91">
        <v>106</v>
      </c>
      <c r="C16" s="91">
        <v>188</v>
      </c>
      <c r="D16" s="91">
        <v>110</v>
      </c>
      <c r="E16" s="91">
        <v>187</v>
      </c>
      <c r="F16" s="91" t="s">
        <v>222</v>
      </c>
      <c r="G16" s="49" t="s">
        <v>33</v>
      </c>
    </row>
    <row r="17" spans="1:7" x14ac:dyDescent="0.2">
      <c r="A17" s="91">
        <v>7</v>
      </c>
      <c r="B17" s="91">
        <v>107</v>
      </c>
      <c r="C17" s="91">
        <v>189</v>
      </c>
      <c r="D17" s="91">
        <v>111</v>
      </c>
      <c r="E17" s="91">
        <v>188</v>
      </c>
      <c r="F17" s="91" t="s">
        <v>222</v>
      </c>
      <c r="G17" s="49" t="s">
        <v>33</v>
      </c>
    </row>
    <row r="18" spans="1:7" x14ac:dyDescent="0.2">
      <c r="A18" s="91">
        <v>8</v>
      </c>
      <c r="B18" s="91">
        <v>108</v>
      </c>
      <c r="C18" s="91">
        <v>190</v>
      </c>
      <c r="D18" s="91">
        <v>112</v>
      </c>
      <c r="E18" s="91">
        <v>189</v>
      </c>
      <c r="F18" s="91" t="s">
        <v>222</v>
      </c>
      <c r="G18" s="49" t="s">
        <v>33</v>
      </c>
    </row>
    <row r="19" spans="1:7" x14ac:dyDescent="0.2">
      <c r="A19" s="91">
        <v>9</v>
      </c>
      <c r="B19" s="91">
        <v>109</v>
      </c>
      <c r="C19" s="91">
        <v>192</v>
      </c>
      <c r="D19" s="91">
        <v>113</v>
      </c>
      <c r="E19" s="91">
        <v>191</v>
      </c>
      <c r="F19" s="91" t="s">
        <v>222</v>
      </c>
      <c r="G19" s="49" t="s">
        <v>33</v>
      </c>
    </row>
    <row r="20" spans="1:7" x14ac:dyDescent="0.2">
      <c r="A20" s="91">
        <v>10</v>
      </c>
      <c r="B20" s="91">
        <v>110</v>
      </c>
      <c r="C20" s="91">
        <v>193</v>
      </c>
      <c r="D20" s="91">
        <v>114</v>
      </c>
      <c r="E20" s="91">
        <v>192</v>
      </c>
      <c r="F20" s="91" t="s">
        <v>222</v>
      </c>
      <c r="G20" s="49" t="s">
        <v>33</v>
      </c>
    </row>
    <row r="21" spans="1:7" x14ac:dyDescent="0.2">
      <c r="A21" s="91">
        <v>11</v>
      </c>
      <c r="B21" s="91">
        <v>111</v>
      </c>
      <c r="C21" s="91">
        <v>194</v>
      </c>
      <c r="D21" s="91">
        <v>115</v>
      </c>
      <c r="E21" s="91">
        <v>193</v>
      </c>
      <c r="F21" s="91" t="s">
        <v>222</v>
      </c>
      <c r="G21" s="49" t="s">
        <v>33</v>
      </c>
    </row>
    <row r="22" spans="1:7" x14ac:dyDescent="0.2">
      <c r="A22" s="91">
        <v>12</v>
      </c>
      <c r="B22" s="91">
        <v>112</v>
      </c>
      <c r="C22" s="91">
        <v>195</v>
      </c>
      <c r="D22" s="91">
        <v>116</v>
      </c>
      <c r="E22" s="91">
        <v>194</v>
      </c>
      <c r="F22" s="91" t="s">
        <v>222</v>
      </c>
      <c r="G22" s="49" t="s">
        <v>33</v>
      </c>
    </row>
    <row r="23" spans="1:7" x14ac:dyDescent="0.2">
      <c r="A23" s="91">
        <v>13</v>
      </c>
      <c r="B23" s="91">
        <v>113</v>
      </c>
      <c r="C23" s="91">
        <v>197</v>
      </c>
      <c r="D23" s="91">
        <v>117</v>
      </c>
      <c r="E23" s="91">
        <v>196</v>
      </c>
      <c r="F23" s="91" t="s">
        <v>222</v>
      </c>
      <c r="G23" s="49" t="s">
        <v>33</v>
      </c>
    </row>
    <row r="24" spans="1:7" x14ac:dyDescent="0.2">
      <c r="A24" s="91">
        <v>14</v>
      </c>
      <c r="B24" s="91">
        <v>114</v>
      </c>
      <c r="C24" s="91">
        <v>198</v>
      </c>
      <c r="D24" s="91">
        <v>118</v>
      </c>
      <c r="E24" s="91">
        <v>197</v>
      </c>
      <c r="F24" s="91" t="s">
        <v>222</v>
      </c>
      <c r="G24" s="49" t="s">
        <v>33</v>
      </c>
    </row>
    <row r="25" spans="1:7" x14ac:dyDescent="0.2">
      <c r="A25" s="91">
        <v>15</v>
      </c>
      <c r="B25" s="91">
        <v>115</v>
      </c>
      <c r="C25" s="91">
        <v>199</v>
      </c>
      <c r="D25" s="91">
        <v>119</v>
      </c>
      <c r="E25" s="91">
        <v>198</v>
      </c>
      <c r="F25" s="91" t="s">
        <v>222</v>
      </c>
      <c r="G25" s="49" t="s">
        <v>33</v>
      </c>
    </row>
    <row r="26" spans="1:7" x14ac:dyDescent="0.2">
      <c r="A26" s="91">
        <v>16</v>
      </c>
      <c r="B26" s="91">
        <v>116</v>
      </c>
      <c r="C26" s="91">
        <v>200</v>
      </c>
      <c r="D26" s="91">
        <v>120</v>
      </c>
      <c r="E26" s="91">
        <v>199</v>
      </c>
      <c r="F26" s="91" t="s">
        <v>222</v>
      </c>
      <c r="G26" s="49" t="s">
        <v>33</v>
      </c>
    </row>
    <row r="27" spans="1:7" x14ac:dyDescent="0.2">
      <c r="A27" s="91">
        <v>17</v>
      </c>
      <c r="B27" s="91">
        <v>121</v>
      </c>
      <c r="C27" s="91">
        <v>202</v>
      </c>
      <c r="D27" s="91">
        <v>125</v>
      </c>
      <c r="E27" s="91">
        <v>201</v>
      </c>
      <c r="F27" s="91" t="s">
        <v>222</v>
      </c>
      <c r="G27" s="49" t="s">
        <v>33</v>
      </c>
    </row>
    <row r="28" spans="1:7" x14ac:dyDescent="0.2">
      <c r="A28" s="91">
        <v>18</v>
      </c>
      <c r="B28" s="91">
        <v>122</v>
      </c>
      <c r="C28" s="91">
        <v>203</v>
      </c>
      <c r="D28" s="91">
        <v>126</v>
      </c>
      <c r="E28" s="91">
        <v>202</v>
      </c>
      <c r="F28" s="91" t="s">
        <v>222</v>
      </c>
      <c r="G28" s="49" t="s">
        <v>33</v>
      </c>
    </row>
    <row r="29" spans="1:7" x14ac:dyDescent="0.2">
      <c r="A29" s="91">
        <v>19</v>
      </c>
      <c r="B29" s="91">
        <v>123</v>
      </c>
      <c r="C29" s="91">
        <v>204</v>
      </c>
      <c r="D29" s="91">
        <v>127</v>
      </c>
      <c r="E29" s="91">
        <v>203</v>
      </c>
      <c r="F29" s="91" t="s">
        <v>222</v>
      </c>
      <c r="G29" s="49" t="s">
        <v>33</v>
      </c>
    </row>
    <row r="30" spans="1:7" x14ac:dyDescent="0.2">
      <c r="A30" s="91">
        <v>20</v>
      </c>
      <c r="B30" s="91">
        <v>124</v>
      </c>
      <c r="C30" s="91">
        <v>205</v>
      </c>
      <c r="D30" s="91">
        <v>128</v>
      </c>
      <c r="E30" s="91">
        <v>204</v>
      </c>
      <c r="F30" s="91" t="s">
        <v>222</v>
      </c>
      <c r="G30" s="49" t="s">
        <v>33</v>
      </c>
    </row>
    <row r="31" spans="1:7" x14ac:dyDescent="0.2">
      <c r="A31" s="91">
        <v>21</v>
      </c>
      <c r="B31" s="91">
        <v>125</v>
      </c>
      <c r="C31" s="91">
        <v>207</v>
      </c>
      <c r="D31" s="91">
        <v>129</v>
      </c>
      <c r="E31" s="91">
        <v>206</v>
      </c>
      <c r="F31" s="91" t="s">
        <v>222</v>
      </c>
      <c r="G31" s="49" t="s">
        <v>33</v>
      </c>
    </row>
    <row r="32" spans="1:7" x14ac:dyDescent="0.2">
      <c r="A32" s="91">
        <v>22</v>
      </c>
      <c r="B32" s="91">
        <v>126</v>
      </c>
      <c r="C32" s="91">
        <v>208</v>
      </c>
      <c r="D32" s="91">
        <v>130</v>
      </c>
      <c r="E32" s="91">
        <v>207</v>
      </c>
      <c r="F32" s="91" t="s">
        <v>222</v>
      </c>
      <c r="G32" s="49" t="s">
        <v>33</v>
      </c>
    </row>
    <row r="33" spans="1:7" x14ac:dyDescent="0.2">
      <c r="A33" s="91">
        <v>23</v>
      </c>
      <c r="B33" s="91">
        <v>127</v>
      </c>
      <c r="C33" s="91">
        <v>209</v>
      </c>
      <c r="D33" s="91">
        <v>131</v>
      </c>
      <c r="E33" s="91">
        <v>208</v>
      </c>
      <c r="F33" s="91" t="s">
        <v>222</v>
      </c>
      <c r="G33" s="49" t="s">
        <v>33</v>
      </c>
    </row>
    <row r="34" spans="1:7" x14ac:dyDescent="0.2">
      <c r="A34" s="91">
        <v>24</v>
      </c>
      <c r="B34" s="91">
        <v>128</v>
      </c>
      <c r="C34" s="91">
        <v>210</v>
      </c>
      <c r="D34" s="91">
        <v>132</v>
      </c>
      <c r="E34" s="91">
        <v>209</v>
      </c>
      <c r="F34" s="91" t="s">
        <v>222</v>
      </c>
      <c r="G34" s="49" t="s">
        <v>33</v>
      </c>
    </row>
    <row r="35" spans="1:7" x14ac:dyDescent="0.2">
      <c r="A35" s="91">
        <v>25</v>
      </c>
      <c r="B35" s="91">
        <v>129</v>
      </c>
      <c r="C35" s="91">
        <v>212</v>
      </c>
      <c r="D35" s="91">
        <v>133</v>
      </c>
      <c r="E35" s="91">
        <v>211</v>
      </c>
      <c r="F35" s="91" t="s">
        <v>222</v>
      </c>
      <c r="G35" s="49" t="s">
        <v>33</v>
      </c>
    </row>
    <row r="36" spans="1:7" x14ac:dyDescent="0.2">
      <c r="A36" s="91">
        <v>26</v>
      </c>
      <c r="B36" s="91">
        <v>130</v>
      </c>
      <c r="C36" s="91">
        <v>213</v>
      </c>
      <c r="D36" s="91">
        <v>134</v>
      </c>
      <c r="E36" s="91">
        <v>212</v>
      </c>
      <c r="F36" s="91" t="s">
        <v>222</v>
      </c>
      <c r="G36" s="49" t="s">
        <v>33</v>
      </c>
    </row>
    <row r="37" spans="1:7" x14ac:dyDescent="0.2">
      <c r="A37" s="91">
        <v>27</v>
      </c>
      <c r="B37" s="91">
        <v>131</v>
      </c>
      <c r="C37" s="91">
        <v>214</v>
      </c>
      <c r="D37" s="91">
        <v>135</v>
      </c>
      <c r="E37" s="91">
        <v>213</v>
      </c>
      <c r="F37" s="91" t="s">
        <v>222</v>
      </c>
      <c r="G37" s="49" t="s">
        <v>33</v>
      </c>
    </row>
    <row r="38" spans="1:7" x14ac:dyDescent="0.2">
      <c r="A38" s="91">
        <v>28</v>
      </c>
      <c r="B38" s="91">
        <v>132</v>
      </c>
      <c r="C38" s="91">
        <v>215</v>
      </c>
      <c r="D38" s="91">
        <v>136</v>
      </c>
      <c r="E38" s="91">
        <v>214</v>
      </c>
      <c r="F38" s="91" t="s">
        <v>222</v>
      </c>
      <c r="G38" s="49" t="s">
        <v>33</v>
      </c>
    </row>
    <row r="39" spans="1:7" x14ac:dyDescent="0.2">
      <c r="A39" s="91">
        <v>29</v>
      </c>
      <c r="B39" s="91">
        <v>133</v>
      </c>
      <c r="C39" s="91">
        <v>217</v>
      </c>
      <c r="D39" s="91">
        <v>137</v>
      </c>
      <c r="E39" s="91">
        <v>216</v>
      </c>
      <c r="F39" s="91" t="s">
        <v>222</v>
      </c>
      <c r="G39" s="49" t="s">
        <v>33</v>
      </c>
    </row>
    <row r="40" spans="1:7" x14ac:dyDescent="0.2">
      <c r="A40" s="91">
        <v>30</v>
      </c>
      <c r="B40" s="91">
        <v>134</v>
      </c>
      <c r="C40" s="91">
        <v>218</v>
      </c>
      <c r="D40" s="91">
        <v>138</v>
      </c>
      <c r="E40" s="91">
        <v>217</v>
      </c>
      <c r="F40" s="91" t="s">
        <v>222</v>
      </c>
      <c r="G40" s="49" t="s">
        <v>33</v>
      </c>
    </row>
    <row r="41" spans="1:7" x14ac:dyDescent="0.2">
      <c r="A41" s="91">
        <v>31</v>
      </c>
      <c r="B41" s="91">
        <v>135</v>
      </c>
      <c r="C41" s="91">
        <v>219</v>
      </c>
      <c r="D41" s="91">
        <v>139</v>
      </c>
      <c r="E41" s="91">
        <v>218</v>
      </c>
      <c r="F41" s="91" t="s">
        <v>222</v>
      </c>
      <c r="G41" s="49" t="s">
        <v>33</v>
      </c>
    </row>
    <row r="42" spans="1:7" x14ac:dyDescent="0.2">
      <c r="A42" s="91">
        <v>32</v>
      </c>
      <c r="B42" s="91">
        <v>136</v>
      </c>
      <c r="C42" s="91">
        <v>220</v>
      </c>
      <c r="D42" s="91">
        <v>140</v>
      </c>
      <c r="E42" s="91">
        <v>219</v>
      </c>
      <c r="F42" s="91" t="s">
        <v>222</v>
      </c>
      <c r="G42" s="49" t="s">
        <v>33</v>
      </c>
    </row>
    <row r="43" spans="1:7" x14ac:dyDescent="0.2">
      <c r="A43" s="91">
        <v>33</v>
      </c>
      <c r="B43" s="91">
        <v>141</v>
      </c>
      <c r="C43" s="91">
        <v>222</v>
      </c>
      <c r="D43" s="91">
        <v>145</v>
      </c>
      <c r="E43" s="91">
        <v>221</v>
      </c>
      <c r="F43" s="91" t="s">
        <v>222</v>
      </c>
      <c r="G43" s="49" t="s">
        <v>33</v>
      </c>
    </row>
    <row r="44" spans="1:7" x14ac:dyDescent="0.2">
      <c r="A44" s="91">
        <v>34</v>
      </c>
      <c r="B44" s="91">
        <v>142</v>
      </c>
      <c r="C44" s="91">
        <v>223</v>
      </c>
      <c r="D44" s="91">
        <v>146</v>
      </c>
      <c r="E44" s="91">
        <v>222</v>
      </c>
      <c r="F44" s="91" t="s">
        <v>222</v>
      </c>
      <c r="G44" s="49" t="s">
        <v>33</v>
      </c>
    </row>
    <row r="45" spans="1:7" x14ac:dyDescent="0.2">
      <c r="A45" s="91">
        <v>35</v>
      </c>
      <c r="B45" s="91">
        <v>143</v>
      </c>
      <c r="C45" s="91">
        <v>224</v>
      </c>
      <c r="D45" s="91">
        <v>147</v>
      </c>
      <c r="E45" s="91">
        <v>223</v>
      </c>
      <c r="F45" s="91" t="s">
        <v>222</v>
      </c>
      <c r="G45" s="49" t="s">
        <v>33</v>
      </c>
    </row>
    <row r="46" spans="1:7" x14ac:dyDescent="0.2">
      <c r="A46" s="91">
        <v>36</v>
      </c>
      <c r="B46" s="91">
        <v>144</v>
      </c>
      <c r="C46" s="91">
        <v>225</v>
      </c>
      <c r="D46" s="91">
        <v>148</v>
      </c>
      <c r="E46" s="91">
        <v>224</v>
      </c>
      <c r="F46" s="91" t="s">
        <v>222</v>
      </c>
      <c r="G46" s="49" t="s">
        <v>33</v>
      </c>
    </row>
    <row r="47" spans="1:7" x14ac:dyDescent="0.2">
      <c r="A47" s="91">
        <v>37</v>
      </c>
      <c r="B47" s="91">
        <v>145</v>
      </c>
      <c r="C47" s="91">
        <v>227</v>
      </c>
      <c r="D47" s="91">
        <v>149</v>
      </c>
      <c r="E47" s="91">
        <v>226</v>
      </c>
      <c r="F47" s="91" t="s">
        <v>222</v>
      </c>
      <c r="G47" s="49" t="s">
        <v>33</v>
      </c>
    </row>
    <row r="48" spans="1:7" x14ac:dyDescent="0.2">
      <c r="A48" s="91">
        <v>38</v>
      </c>
      <c r="B48" s="91">
        <v>146</v>
      </c>
      <c r="C48" s="91">
        <v>228</v>
      </c>
      <c r="D48" s="91">
        <v>150</v>
      </c>
      <c r="E48" s="91">
        <v>227</v>
      </c>
      <c r="F48" s="91" t="s">
        <v>222</v>
      </c>
      <c r="G48" s="49" t="s">
        <v>33</v>
      </c>
    </row>
    <row r="49" spans="1:7" x14ac:dyDescent="0.2">
      <c r="A49" s="91">
        <v>39</v>
      </c>
      <c r="B49" s="91">
        <v>147</v>
      </c>
      <c r="C49" s="91">
        <v>229</v>
      </c>
      <c r="D49" s="91">
        <v>151</v>
      </c>
      <c r="E49" s="91">
        <v>228</v>
      </c>
      <c r="F49" s="91" t="s">
        <v>222</v>
      </c>
      <c r="G49" s="49" t="s">
        <v>33</v>
      </c>
    </row>
    <row r="50" spans="1:7" x14ac:dyDescent="0.2">
      <c r="A50" s="91">
        <v>40</v>
      </c>
      <c r="B50" s="91">
        <v>148</v>
      </c>
      <c r="C50" s="91">
        <v>230</v>
      </c>
      <c r="D50" s="91">
        <v>152</v>
      </c>
      <c r="E50" s="91">
        <v>229</v>
      </c>
      <c r="F50" s="91" t="s">
        <v>222</v>
      </c>
      <c r="G50" s="49" t="s">
        <v>33</v>
      </c>
    </row>
    <row r="51" spans="1:7" x14ac:dyDescent="0.2">
      <c r="A51" s="91">
        <v>41</v>
      </c>
      <c r="B51" s="91">
        <v>149</v>
      </c>
      <c r="C51" s="91">
        <v>232</v>
      </c>
      <c r="D51" s="91">
        <v>153</v>
      </c>
      <c r="E51" s="91">
        <v>231</v>
      </c>
      <c r="F51" s="91" t="s">
        <v>222</v>
      </c>
      <c r="G51" s="49" t="s">
        <v>33</v>
      </c>
    </row>
    <row r="52" spans="1:7" x14ac:dyDescent="0.2">
      <c r="A52" s="91">
        <v>42</v>
      </c>
      <c r="B52" s="91">
        <v>150</v>
      </c>
      <c r="C52" s="91">
        <v>233</v>
      </c>
      <c r="D52" s="91">
        <v>154</v>
      </c>
      <c r="E52" s="91">
        <v>232</v>
      </c>
      <c r="F52" s="91" t="s">
        <v>222</v>
      </c>
      <c r="G52" s="49" t="s">
        <v>33</v>
      </c>
    </row>
    <row r="53" spans="1:7" x14ac:dyDescent="0.2">
      <c r="A53" s="91">
        <v>43</v>
      </c>
      <c r="B53" s="91">
        <v>151</v>
      </c>
      <c r="C53" s="91">
        <v>234</v>
      </c>
      <c r="D53" s="91">
        <v>155</v>
      </c>
      <c r="E53" s="91">
        <v>233</v>
      </c>
      <c r="F53" s="91" t="s">
        <v>222</v>
      </c>
      <c r="G53" s="49" t="s">
        <v>33</v>
      </c>
    </row>
    <row r="54" spans="1:7" x14ac:dyDescent="0.2">
      <c r="A54" s="91">
        <v>44</v>
      </c>
      <c r="B54" s="91">
        <v>152</v>
      </c>
      <c r="C54" s="91">
        <v>235</v>
      </c>
      <c r="D54" s="91">
        <v>156</v>
      </c>
      <c r="E54" s="91">
        <v>234</v>
      </c>
      <c r="F54" s="91" t="s">
        <v>222</v>
      </c>
      <c r="G54" s="49" t="s">
        <v>33</v>
      </c>
    </row>
    <row r="55" spans="1:7" x14ac:dyDescent="0.2">
      <c r="A55" s="91">
        <v>45</v>
      </c>
      <c r="B55" s="91">
        <v>153</v>
      </c>
      <c r="C55" s="91">
        <v>237</v>
      </c>
      <c r="D55" s="91">
        <v>157</v>
      </c>
      <c r="E55" s="91">
        <v>236</v>
      </c>
      <c r="F55" s="91" t="s">
        <v>222</v>
      </c>
      <c r="G55" s="49" t="s">
        <v>33</v>
      </c>
    </row>
    <row r="56" spans="1:7" x14ac:dyDescent="0.2">
      <c r="A56" s="91">
        <v>46</v>
      </c>
      <c r="B56" s="91">
        <v>154</v>
      </c>
      <c r="C56" s="91">
        <v>238</v>
      </c>
      <c r="D56" s="91">
        <v>158</v>
      </c>
      <c r="E56" s="91">
        <v>237</v>
      </c>
      <c r="F56" s="91" t="s">
        <v>222</v>
      </c>
      <c r="G56" s="49" t="s">
        <v>33</v>
      </c>
    </row>
    <row r="57" spans="1:7" x14ac:dyDescent="0.2">
      <c r="A57" s="91">
        <v>47</v>
      </c>
      <c r="B57" s="91">
        <v>155</v>
      </c>
      <c r="C57" s="91">
        <v>239</v>
      </c>
      <c r="D57" s="91">
        <v>159</v>
      </c>
      <c r="E57" s="91">
        <v>238</v>
      </c>
      <c r="F57" s="91" t="s">
        <v>222</v>
      </c>
      <c r="G57" s="49" t="s">
        <v>33</v>
      </c>
    </row>
    <row r="58" spans="1:7" x14ac:dyDescent="0.2">
      <c r="A58" s="91">
        <v>48</v>
      </c>
      <c r="B58" s="91">
        <v>156</v>
      </c>
      <c r="C58" s="91">
        <v>240</v>
      </c>
      <c r="D58" s="91">
        <v>160</v>
      </c>
      <c r="E58" s="91">
        <v>239</v>
      </c>
      <c r="F58" s="91" t="s">
        <v>222</v>
      </c>
      <c r="G58" s="49" t="s">
        <v>33</v>
      </c>
    </row>
    <row r="59" spans="1:7" x14ac:dyDescent="0.2">
      <c r="A59" s="91">
        <v>49</v>
      </c>
      <c r="B59" s="91">
        <v>161</v>
      </c>
      <c r="C59" s="91">
        <v>242</v>
      </c>
      <c r="D59" s="91">
        <v>165</v>
      </c>
      <c r="E59" s="91">
        <v>241</v>
      </c>
      <c r="F59" s="91" t="s">
        <v>222</v>
      </c>
      <c r="G59" s="49" t="s">
        <v>33</v>
      </c>
    </row>
    <row r="60" spans="1:7" x14ac:dyDescent="0.2">
      <c r="A60" s="91">
        <v>50</v>
      </c>
      <c r="B60" s="91">
        <v>162</v>
      </c>
      <c r="C60" s="91">
        <v>243</v>
      </c>
      <c r="D60" s="91">
        <v>166</v>
      </c>
      <c r="E60" s="91">
        <v>242</v>
      </c>
      <c r="F60" s="91" t="s">
        <v>222</v>
      </c>
      <c r="G60" s="49" t="s">
        <v>33</v>
      </c>
    </row>
    <row r="61" spans="1:7" x14ac:dyDescent="0.2">
      <c r="A61" s="91">
        <v>51</v>
      </c>
      <c r="B61" s="91">
        <v>163</v>
      </c>
      <c r="C61" s="91">
        <v>244</v>
      </c>
      <c r="D61" s="91">
        <v>167</v>
      </c>
      <c r="E61" s="91">
        <v>243</v>
      </c>
      <c r="F61" s="91" t="s">
        <v>222</v>
      </c>
      <c r="G61" s="49" t="s">
        <v>33</v>
      </c>
    </row>
    <row r="62" spans="1:7" x14ac:dyDescent="0.2">
      <c r="A62" s="91">
        <v>52</v>
      </c>
      <c r="B62" s="91">
        <v>164</v>
      </c>
      <c r="C62" s="91">
        <v>245</v>
      </c>
      <c r="D62" s="91">
        <v>168</v>
      </c>
      <c r="E62" s="91">
        <v>244</v>
      </c>
      <c r="F62" s="91" t="s">
        <v>222</v>
      </c>
      <c r="G62" s="49" t="s">
        <v>33</v>
      </c>
    </row>
    <row r="63" spans="1:7" x14ac:dyDescent="0.2">
      <c r="A63" s="91">
        <v>53</v>
      </c>
      <c r="B63" s="91">
        <v>165</v>
      </c>
      <c r="C63" s="91">
        <v>247</v>
      </c>
      <c r="D63" s="91">
        <v>169</v>
      </c>
      <c r="E63" s="91">
        <v>246</v>
      </c>
      <c r="F63" s="91" t="s">
        <v>222</v>
      </c>
      <c r="G63" s="49" t="s">
        <v>33</v>
      </c>
    </row>
    <row r="64" spans="1:7" x14ac:dyDescent="0.2">
      <c r="A64" s="91">
        <v>54</v>
      </c>
      <c r="B64" s="91">
        <v>166</v>
      </c>
      <c r="C64" s="91">
        <v>248</v>
      </c>
      <c r="D64" s="91">
        <v>170</v>
      </c>
      <c r="E64" s="91">
        <v>247</v>
      </c>
      <c r="F64" s="91" t="s">
        <v>222</v>
      </c>
      <c r="G64" s="49" t="s">
        <v>33</v>
      </c>
    </row>
    <row r="65" spans="1:7" x14ac:dyDescent="0.2">
      <c r="A65" s="91">
        <v>55</v>
      </c>
      <c r="B65" s="91">
        <v>167</v>
      </c>
      <c r="C65" s="91">
        <v>249</v>
      </c>
      <c r="D65" s="91">
        <v>171</v>
      </c>
      <c r="E65" s="91">
        <v>248</v>
      </c>
      <c r="F65" s="91" t="s">
        <v>222</v>
      </c>
      <c r="G65" s="49" t="s">
        <v>33</v>
      </c>
    </row>
    <row r="66" spans="1:7" x14ac:dyDescent="0.2">
      <c r="A66" s="91">
        <v>56</v>
      </c>
      <c r="B66" s="91">
        <v>168</v>
      </c>
      <c r="C66" s="91">
        <v>250</v>
      </c>
      <c r="D66" s="91">
        <v>172</v>
      </c>
      <c r="E66" s="91">
        <v>249</v>
      </c>
      <c r="F66" s="91" t="s">
        <v>222</v>
      </c>
      <c r="G66" s="49" t="s">
        <v>33</v>
      </c>
    </row>
    <row r="67" spans="1:7" x14ac:dyDescent="0.2">
      <c r="A67" s="91">
        <v>57</v>
      </c>
      <c r="B67" s="91">
        <v>169</v>
      </c>
      <c r="C67" s="91">
        <v>252</v>
      </c>
      <c r="D67" s="91">
        <v>173</v>
      </c>
      <c r="E67" s="91">
        <v>251</v>
      </c>
      <c r="F67" s="91" t="s">
        <v>222</v>
      </c>
      <c r="G67" s="49" t="s">
        <v>33</v>
      </c>
    </row>
    <row r="68" spans="1:7" x14ac:dyDescent="0.2">
      <c r="A68" s="91">
        <v>58</v>
      </c>
      <c r="B68" s="91">
        <v>170</v>
      </c>
      <c r="C68" s="91">
        <v>253</v>
      </c>
      <c r="D68" s="91">
        <v>174</v>
      </c>
      <c r="E68" s="91">
        <v>252</v>
      </c>
      <c r="F68" s="91" t="s">
        <v>222</v>
      </c>
      <c r="G68" s="49" t="s">
        <v>33</v>
      </c>
    </row>
    <row r="69" spans="1:7" x14ac:dyDescent="0.2">
      <c r="A69" s="91">
        <v>59</v>
      </c>
      <c r="B69" s="91">
        <v>171</v>
      </c>
      <c r="C69" s="91">
        <v>254</v>
      </c>
      <c r="D69" s="91">
        <v>175</v>
      </c>
      <c r="E69" s="91">
        <v>253</v>
      </c>
      <c r="F69" s="91" t="s">
        <v>222</v>
      </c>
      <c r="G69" s="49" t="s">
        <v>33</v>
      </c>
    </row>
    <row r="70" spans="1:7" x14ac:dyDescent="0.2">
      <c r="A70" s="91">
        <v>60</v>
      </c>
      <c r="B70" s="91">
        <v>172</v>
      </c>
      <c r="C70" s="91">
        <v>255</v>
      </c>
      <c r="D70" s="91">
        <v>176</v>
      </c>
      <c r="E70" s="91">
        <v>254</v>
      </c>
      <c r="F70" s="91" t="s">
        <v>222</v>
      </c>
      <c r="G70" s="49" t="s">
        <v>33</v>
      </c>
    </row>
    <row r="71" spans="1:7" x14ac:dyDescent="0.2">
      <c r="A71" s="91">
        <v>61</v>
      </c>
      <c r="B71" s="91">
        <v>173</v>
      </c>
      <c r="C71" s="91">
        <v>257</v>
      </c>
      <c r="D71" s="91">
        <v>177</v>
      </c>
      <c r="E71" s="91">
        <v>256</v>
      </c>
      <c r="F71" s="91" t="s">
        <v>222</v>
      </c>
      <c r="G71" s="49" t="s">
        <v>33</v>
      </c>
    </row>
    <row r="72" spans="1:7" x14ac:dyDescent="0.2">
      <c r="A72" s="91">
        <v>62</v>
      </c>
      <c r="B72" s="91">
        <v>174</v>
      </c>
      <c r="C72" s="91">
        <v>258</v>
      </c>
      <c r="D72" s="91">
        <v>178</v>
      </c>
      <c r="E72" s="91">
        <v>257</v>
      </c>
      <c r="F72" s="91" t="s">
        <v>222</v>
      </c>
      <c r="G72" s="49" t="s">
        <v>33</v>
      </c>
    </row>
    <row r="73" spans="1:7" x14ac:dyDescent="0.2">
      <c r="A73" s="91">
        <v>63</v>
      </c>
      <c r="B73" s="91">
        <v>175</v>
      </c>
      <c r="C73" s="91">
        <v>259</v>
      </c>
      <c r="D73" s="91">
        <v>179</v>
      </c>
      <c r="E73" s="91">
        <v>258</v>
      </c>
      <c r="F73" s="91" t="s">
        <v>222</v>
      </c>
      <c r="G73" s="49" t="s">
        <v>33</v>
      </c>
    </row>
    <row r="74" spans="1:7" x14ac:dyDescent="0.2">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102</v>
      </c>
      <c r="B1" s="32"/>
      <c r="C1" s="32"/>
      <c r="D1" s="32"/>
      <c r="E1" s="32"/>
      <c r="F1" s="32"/>
      <c r="G1" s="32"/>
      <c r="H1" s="110"/>
      <c r="I1" s="33"/>
    </row>
    <row r="2" spans="1:9" x14ac:dyDescent="0.2">
      <c r="A2" s="120" t="s">
        <v>202</v>
      </c>
      <c r="B2" s="34"/>
      <c r="C2" s="34"/>
      <c r="D2" s="34"/>
      <c r="E2" s="34"/>
      <c r="F2" s="34"/>
      <c r="G2" s="34"/>
      <c r="H2" s="109"/>
      <c r="I2" s="35"/>
    </row>
    <row r="3" spans="1:9" x14ac:dyDescent="0.2">
      <c r="A3" s="120" t="s">
        <v>203</v>
      </c>
      <c r="B3" s="34"/>
      <c r="C3" s="34"/>
      <c r="D3" s="34"/>
      <c r="E3" s="34"/>
      <c r="F3" s="34"/>
      <c r="G3" s="34"/>
      <c r="H3" s="109"/>
      <c r="I3" s="35"/>
    </row>
    <row r="4" spans="1:9" x14ac:dyDescent="0.2">
      <c r="A4" s="120" t="s">
        <v>204</v>
      </c>
      <c r="B4" s="34"/>
      <c r="C4" s="34"/>
      <c r="D4" s="34"/>
      <c r="E4" s="34"/>
      <c r="F4" s="34"/>
      <c r="G4" s="34"/>
      <c r="H4" s="109"/>
      <c r="I4" s="35"/>
    </row>
    <row r="5" spans="1:9" x14ac:dyDescent="0.2">
      <c r="A5" s="120" t="s">
        <v>205</v>
      </c>
      <c r="B5" s="34"/>
      <c r="C5" s="34"/>
      <c r="D5" s="34"/>
      <c r="E5" s="34"/>
      <c r="F5" s="34"/>
      <c r="G5" s="34"/>
      <c r="H5" s="109"/>
      <c r="I5" s="35"/>
    </row>
    <row r="6" spans="1:9" x14ac:dyDescent="0.2">
      <c r="A6" s="120" t="s">
        <v>206</v>
      </c>
      <c r="B6" s="34"/>
      <c r="C6" s="34"/>
      <c r="D6" s="34"/>
      <c r="E6" s="34"/>
      <c r="F6" s="34"/>
      <c r="G6" s="34"/>
      <c r="H6" s="109"/>
      <c r="I6" s="35"/>
    </row>
    <row r="7" spans="1:9" x14ac:dyDescent="0.2">
      <c r="A7" s="120" t="s">
        <v>207</v>
      </c>
      <c r="B7" s="34"/>
      <c r="C7" s="34"/>
      <c r="D7" s="34"/>
      <c r="E7" s="34"/>
      <c r="F7" s="34"/>
      <c r="G7" s="34"/>
      <c r="H7" s="109"/>
      <c r="I7" s="35"/>
    </row>
    <row r="8" spans="1:9" x14ac:dyDescent="0.2">
      <c r="A8" s="121" t="s">
        <v>208</v>
      </c>
      <c r="B8" s="36"/>
      <c r="C8" s="36"/>
      <c r="D8" s="36"/>
      <c r="E8" s="36"/>
      <c r="F8" s="36"/>
      <c r="G8" s="36"/>
      <c r="H8" s="111"/>
      <c r="I8" s="37"/>
    </row>
    <row r="9" spans="1:9" x14ac:dyDescent="0.2">
      <c r="A9" s="27"/>
    </row>
    <row r="10" spans="1:9" s="4" customFormat="1" x14ac:dyDescent="0.2">
      <c r="A10" s="24" t="s">
        <v>201</v>
      </c>
      <c r="B10" s="25" t="s">
        <v>40</v>
      </c>
      <c r="C10" s="25" t="s">
        <v>41</v>
      </c>
      <c r="D10" s="25" t="s">
        <v>42</v>
      </c>
      <c r="E10" s="25" t="s">
        <v>43</v>
      </c>
      <c r="F10" s="25" t="s">
        <v>44</v>
      </c>
      <c r="G10" s="25" t="s">
        <v>45</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8" sqref="E28"/>
    </sheetView>
  </sheetViews>
  <sheetFormatPr baseColWidth="10" defaultColWidth="9.1640625" defaultRowHeight="16" x14ac:dyDescent="0.2"/>
  <cols>
    <col min="1" max="2" width="15.6640625" style="139" customWidth="1"/>
    <col min="3" max="8" width="10.6640625" style="140" customWidth="1"/>
    <col min="9" max="16384" width="9.1640625" style="128"/>
  </cols>
  <sheetData>
    <row r="1" spans="1:8" x14ac:dyDescent="0.2">
      <c r="A1" s="130" t="s">
        <v>102</v>
      </c>
      <c r="B1" s="131"/>
      <c r="C1" s="131"/>
      <c r="D1" s="131"/>
      <c r="E1" s="131"/>
      <c r="F1" s="131"/>
      <c r="G1" s="131"/>
      <c r="H1" s="132"/>
    </row>
    <row r="2" spans="1:8" x14ac:dyDescent="0.2">
      <c r="A2" s="133" t="s">
        <v>239</v>
      </c>
      <c r="B2" s="134"/>
      <c r="C2" s="134"/>
      <c r="D2" s="134"/>
      <c r="E2" s="134"/>
      <c r="F2" s="134"/>
      <c r="G2" s="134"/>
      <c r="H2" s="135"/>
    </row>
    <row r="3" spans="1:8" x14ac:dyDescent="0.2">
      <c r="A3" s="133" t="s">
        <v>240</v>
      </c>
      <c r="B3" s="134"/>
      <c r="C3" s="134"/>
      <c r="D3" s="134"/>
      <c r="E3" s="134"/>
      <c r="F3" s="134"/>
      <c r="G3" s="134"/>
      <c r="H3" s="135"/>
    </row>
    <row r="4" spans="1:8" x14ac:dyDescent="0.2">
      <c r="A4" s="133" t="str">
        <f>"- FX: Force along global X-axis (Input as Float) ("&amp;'User Defined Units'!$B$10&amp;")"</f>
        <v>- FX: Force along global X-axis (Input as Float) (kN)</v>
      </c>
      <c r="B4" s="134"/>
      <c r="C4" s="134"/>
      <c r="D4" s="134"/>
      <c r="E4" s="134"/>
      <c r="F4" s="134"/>
      <c r="G4" s="134"/>
      <c r="H4" s="135"/>
    </row>
    <row r="5" spans="1:8" x14ac:dyDescent="0.2">
      <c r="A5" s="133" t="str">
        <f>"- FY: Force along global Y-axis (Input as Float) ("&amp;'User Defined Units'!$B$10&amp;")"</f>
        <v>- FY: Force along global Y-axis (Input as Float) (kN)</v>
      </c>
      <c r="B5" s="134"/>
      <c r="C5" s="134"/>
      <c r="D5" s="134"/>
      <c r="E5" s="134"/>
      <c r="F5" s="134"/>
      <c r="G5" s="134"/>
      <c r="H5" s="135"/>
    </row>
    <row r="6" spans="1:8" x14ac:dyDescent="0.2">
      <c r="A6" s="133" t="str">
        <f>"- FZ: Force along global Z-axis (Input as Float) ("&amp;'User Defined Units'!$B$10&amp;")"</f>
        <v>- FZ: Force along global Z-axis (Input as Float) (kN)</v>
      </c>
      <c r="B6" s="134"/>
      <c r="C6" s="134"/>
      <c r="D6" s="134"/>
      <c r="E6" s="134"/>
      <c r="F6" s="134"/>
      <c r="G6" s="134"/>
      <c r="H6" s="135"/>
    </row>
    <row r="7" spans="1:8" x14ac:dyDescent="0.2">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
      <c r="A10" s="128"/>
      <c r="B10" s="128"/>
      <c r="C10" s="128"/>
      <c r="D10" s="128"/>
      <c r="E10" s="128"/>
      <c r="F10" s="128"/>
      <c r="G10" s="128"/>
      <c r="H10" s="128"/>
    </row>
    <row r="11" spans="1:8" s="124" customFormat="1" x14ac:dyDescent="0.2">
      <c r="A11" s="129" t="s">
        <v>201</v>
      </c>
      <c r="B11" s="129" t="s">
        <v>235</v>
      </c>
      <c r="C11" s="129" t="s">
        <v>229</v>
      </c>
      <c r="D11" s="129" t="s">
        <v>230</v>
      </c>
      <c r="E11" s="129" t="s">
        <v>231</v>
      </c>
      <c r="F11" s="129" t="s">
        <v>232</v>
      </c>
      <c r="G11" s="129" t="s">
        <v>233</v>
      </c>
      <c r="H11" s="129" t="s">
        <v>234</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G26" sqref="G26"/>
    </sheetView>
  </sheetViews>
  <sheetFormatPr baseColWidth="10" defaultColWidth="9.1640625" defaultRowHeight="16" x14ac:dyDescent="0.2"/>
  <cols>
    <col min="1" max="3" width="15.6640625" style="139" customWidth="1"/>
    <col min="4" max="11" width="10.6640625" style="140" customWidth="1"/>
    <col min="12" max="16384" width="9.1640625" style="128"/>
  </cols>
  <sheetData>
    <row r="1" spans="1:11" x14ac:dyDescent="0.2">
      <c r="A1" s="130" t="s">
        <v>102</v>
      </c>
      <c r="B1" s="131"/>
      <c r="C1" s="131"/>
      <c r="D1" s="131"/>
      <c r="E1" s="131"/>
      <c r="F1" s="131"/>
      <c r="G1" s="131"/>
      <c r="H1" s="131"/>
      <c r="I1" s="131"/>
      <c r="J1" s="131"/>
      <c r="K1" s="132"/>
    </row>
    <row r="2" spans="1:11" x14ac:dyDescent="0.2">
      <c r="A2" s="133" t="s">
        <v>241</v>
      </c>
      <c r="B2" s="134"/>
      <c r="C2" s="134"/>
      <c r="D2" s="134"/>
      <c r="E2" s="134"/>
      <c r="F2" s="134"/>
      <c r="G2" s="134"/>
      <c r="H2" s="134"/>
      <c r="I2" s="134"/>
      <c r="J2" s="134"/>
      <c r="K2" s="135"/>
    </row>
    <row r="3" spans="1:11" x14ac:dyDescent="0.2">
      <c r="A3" s="133" t="s">
        <v>242</v>
      </c>
      <c r="B3" s="134"/>
      <c r="C3" s="134"/>
      <c r="D3" s="134"/>
      <c r="E3" s="134"/>
      <c r="F3" s="134"/>
      <c r="G3" s="134"/>
      <c r="H3" s="134"/>
      <c r="I3" s="134"/>
      <c r="J3" s="134"/>
      <c r="K3" s="135"/>
    </row>
    <row r="4" spans="1:11" x14ac:dyDescent="0.2">
      <c r="A4" s="133" t="s">
        <v>259</v>
      </c>
      <c r="B4" s="134"/>
      <c r="C4" s="134"/>
      <c r="D4" s="134"/>
      <c r="E4" s="134"/>
      <c r="F4" s="134"/>
      <c r="G4" s="134"/>
      <c r="H4" s="134"/>
      <c r="I4" s="134"/>
      <c r="J4" s="134"/>
      <c r="K4" s="135"/>
    </row>
    <row r="5" spans="1:11" x14ac:dyDescent="0.2">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
      <c r="A13" s="128"/>
      <c r="B13" s="128"/>
      <c r="C13" s="128"/>
      <c r="D13" s="128"/>
      <c r="E13" s="128"/>
      <c r="F13" s="128"/>
      <c r="G13" s="128"/>
      <c r="H13" s="128"/>
      <c r="I13" s="128"/>
      <c r="J13" s="128"/>
      <c r="K13" s="128"/>
    </row>
    <row r="14" spans="1:11" s="124" customFormat="1" x14ac:dyDescent="0.2">
      <c r="A14" s="129" t="s">
        <v>236</v>
      </c>
      <c r="B14" s="129" t="s">
        <v>235</v>
      </c>
      <c r="C14" s="129" t="s">
        <v>238</v>
      </c>
      <c r="D14" s="129" t="s">
        <v>248</v>
      </c>
      <c r="E14" s="129" t="s">
        <v>252</v>
      </c>
      <c r="F14" s="129" t="s">
        <v>249</v>
      </c>
      <c r="G14" s="129" t="s">
        <v>253</v>
      </c>
      <c r="H14" s="129" t="s">
        <v>250</v>
      </c>
      <c r="I14" s="129" t="s">
        <v>254</v>
      </c>
      <c r="J14" s="129" t="s">
        <v>251</v>
      </c>
      <c r="K14" s="129" t="s">
        <v>255</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abSelected="1" zoomScale="130" zoomScaleNormal="130" workbookViewId="0">
      <selection activeCell="D18" sqref="D18"/>
    </sheetView>
  </sheetViews>
  <sheetFormatPr baseColWidth="10" defaultColWidth="9.1640625" defaultRowHeight="16" x14ac:dyDescent="0.2"/>
  <cols>
    <col min="1" max="3" width="15.6640625" style="139" customWidth="1"/>
    <col min="4" max="4" width="15.6640625" style="140" customWidth="1"/>
    <col min="5" max="12" width="10.6640625" style="140" customWidth="1"/>
    <col min="13" max="16384" width="9.1640625" style="128"/>
  </cols>
  <sheetData>
    <row r="1" spans="1:12" x14ac:dyDescent="0.2">
      <c r="A1" s="130" t="s">
        <v>102</v>
      </c>
      <c r="B1" s="131"/>
      <c r="C1" s="131"/>
      <c r="D1" s="131"/>
      <c r="E1" s="131"/>
      <c r="F1" s="131"/>
      <c r="G1" s="131"/>
      <c r="H1" s="131"/>
      <c r="I1" s="131"/>
      <c r="J1" s="131"/>
      <c r="K1" s="131"/>
      <c r="L1" s="132"/>
    </row>
    <row r="2" spans="1:12" x14ac:dyDescent="0.2">
      <c r="A2" s="133" t="s">
        <v>257</v>
      </c>
      <c r="B2" s="134"/>
      <c r="C2" s="134"/>
      <c r="D2" s="134"/>
      <c r="E2" s="134"/>
      <c r="F2" s="134"/>
      <c r="G2" s="134"/>
      <c r="H2" s="134"/>
      <c r="I2" s="134"/>
      <c r="J2" s="134"/>
      <c r="K2" s="134"/>
      <c r="L2" s="135"/>
    </row>
    <row r="3" spans="1:12" x14ac:dyDescent="0.2">
      <c r="A3" s="133" t="s">
        <v>258</v>
      </c>
      <c r="B3" s="134"/>
      <c r="C3" s="134"/>
      <c r="D3" s="134"/>
      <c r="E3" s="134"/>
      <c r="F3" s="134"/>
      <c r="G3" s="134"/>
      <c r="H3" s="134"/>
      <c r="I3" s="134"/>
      <c r="J3" s="134"/>
      <c r="K3" s="134"/>
      <c r="L3" s="135"/>
    </row>
    <row r="4" spans="1:12" x14ac:dyDescent="0.2">
      <c r="A4" s="133" t="s">
        <v>260</v>
      </c>
      <c r="B4" s="134"/>
      <c r="C4" s="134"/>
      <c r="D4" s="134"/>
      <c r="E4" s="134"/>
      <c r="F4" s="134"/>
      <c r="G4" s="134"/>
      <c r="H4" s="134"/>
      <c r="I4" s="134"/>
      <c r="J4" s="134"/>
      <c r="K4" s="134"/>
      <c r="L4" s="135"/>
    </row>
    <row r="5" spans="1:12" x14ac:dyDescent="0.2">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
      <c r="A14" s="128"/>
      <c r="B14" s="128"/>
      <c r="C14" s="128"/>
      <c r="D14" s="128"/>
      <c r="E14" s="128"/>
      <c r="F14" s="128"/>
      <c r="G14" s="128"/>
      <c r="H14" s="128"/>
      <c r="I14" s="128"/>
      <c r="J14" s="128"/>
      <c r="K14" s="128"/>
      <c r="L14" s="128"/>
    </row>
    <row r="15" spans="1:12" s="124" customFormat="1" x14ac:dyDescent="0.2">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
      <c r="A16" s="139">
        <v>101</v>
      </c>
      <c r="B16" s="139" t="s">
        <v>346</v>
      </c>
      <c r="C16" s="139" t="s">
        <v>237</v>
      </c>
      <c r="D16" s="140">
        <v>7.04</v>
      </c>
    </row>
    <row r="17" spans="1:4" x14ac:dyDescent="0.2">
      <c r="A17" s="139">
        <v>102</v>
      </c>
      <c r="B17" s="139" t="s">
        <v>346</v>
      </c>
      <c r="C17" s="139" t="s">
        <v>237</v>
      </c>
      <c r="D17" s="140">
        <v>7.04</v>
      </c>
    </row>
    <row r="18" spans="1:4" x14ac:dyDescent="0.2">
      <c r="A18" s="139">
        <v>103</v>
      </c>
      <c r="B18" s="139" t="s">
        <v>346</v>
      </c>
      <c r="C18" s="139" t="s">
        <v>237</v>
      </c>
      <c r="D18" s="140">
        <v>7.04</v>
      </c>
    </row>
    <row r="19" spans="1:4" x14ac:dyDescent="0.2">
      <c r="A19" s="139">
        <v>104</v>
      </c>
      <c r="B19" s="139" t="s">
        <v>346</v>
      </c>
      <c r="C19" s="139" t="s">
        <v>237</v>
      </c>
      <c r="D19" s="140">
        <v>7.04</v>
      </c>
    </row>
    <row r="20" spans="1:4" x14ac:dyDescent="0.2">
      <c r="A20" s="139">
        <v>117</v>
      </c>
      <c r="B20" s="139" t="s">
        <v>346</v>
      </c>
      <c r="C20" s="139" t="s">
        <v>237</v>
      </c>
      <c r="D20" s="140">
        <v>7.04</v>
      </c>
    </row>
    <row r="21" spans="1:4" x14ac:dyDescent="0.2">
      <c r="A21" s="139">
        <v>118</v>
      </c>
      <c r="B21" s="139" t="s">
        <v>346</v>
      </c>
      <c r="C21" s="139" t="s">
        <v>237</v>
      </c>
      <c r="D21" s="140">
        <v>7.04</v>
      </c>
    </row>
    <row r="22" spans="1:4" x14ac:dyDescent="0.2">
      <c r="A22" s="139">
        <v>119</v>
      </c>
      <c r="B22" s="139" t="s">
        <v>346</v>
      </c>
      <c r="C22" s="139" t="s">
        <v>237</v>
      </c>
      <c r="D22" s="140">
        <v>7.04</v>
      </c>
    </row>
    <row r="23" spans="1:4" x14ac:dyDescent="0.2">
      <c r="A23" s="139">
        <v>120</v>
      </c>
      <c r="B23" s="139" t="s">
        <v>346</v>
      </c>
      <c r="C23" s="139" t="s">
        <v>237</v>
      </c>
      <c r="D23" s="140">
        <v>7.04</v>
      </c>
    </row>
    <row r="24" spans="1:4" x14ac:dyDescent="0.2">
      <c r="A24" s="139">
        <v>181</v>
      </c>
      <c r="B24" s="139" t="s">
        <v>346</v>
      </c>
      <c r="C24" s="139" t="s">
        <v>237</v>
      </c>
      <c r="D24" s="140">
        <v>7.04</v>
      </c>
    </row>
    <row r="25" spans="1:4" x14ac:dyDescent="0.2">
      <c r="A25" s="139">
        <v>185</v>
      </c>
      <c r="B25" s="139" t="s">
        <v>346</v>
      </c>
      <c r="C25" s="139" t="s">
        <v>237</v>
      </c>
      <c r="D25" s="140">
        <v>7.04</v>
      </c>
    </row>
    <row r="26" spans="1:4" x14ac:dyDescent="0.2">
      <c r="A26" s="139">
        <v>186</v>
      </c>
      <c r="B26" s="139" t="s">
        <v>346</v>
      </c>
      <c r="C26" s="139" t="s">
        <v>237</v>
      </c>
      <c r="D26" s="140">
        <v>7.04</v>
      </c>
    </row>
    <row r="27" spans="1:4" x14ac:dyDescent="0.2">
      <c r="A27" s="139">
        <v>190</v>
      </c>
      <c r="B27" s="139" t="s">
        <v>346</v>
      </c>
      <c r="C27" s="139" t="s">
        <v>237</v>
      </c>
      <c r="D27" s="140">
        <v>7.04</v>
      </c>
    </row>
    <row r="28" spans="1:4" x14ac:dyDescent="0.2">
      <c r="A28" s="139">
        <v>191</v>
      </c>
      <c r="B28" s="139" t="s">
        <v>346</v>
      </c>
      <c r="C28" s="139" t="s">
        <v>237</v>
      </c>
      <c r="D28" s="140">
        <v>7.04</v>
      </c>
    </row>
    <row r="29" spans="1:4" x14ac:dyDescent="0.2">
      <c r="A29" s="139">
        <v>195</v>
      </c>
      <c r="B29" s="139" t="s">
        <v>346</v>
      </c>
      <c r="C29" s="139" t="s">
        <v>237</v>
      </c>
      <c r="D29" s="140">
        <v>7.04</v>
      </c>
    </row>
    <row r="30" spans="1:4" x14ac:dyDescent="0.2">
      <c r="A30" s="139">
        <v>196</v>
      </c>
      <c r="B30" s="139" t="s">
        <v>346</v>
      </c>
      <c r="C30" s="139" t="s">
        <v>237</v>
      </c>
      <c r="D30" s="140">
        <v>7.04</v>
      </c>
    </row>
    <row r="31" spans="1:4" x14ac:dyDescent="0.2">
      <c r="A31" s="139">
        <v>200</v>
      </c>
      <c r="B31" s="139" t="s">
        <v>346</v>
      </c>
      <c r="C31" s="139" t="s">
        <v>237</v>
      </c>
      <c r="D31" s="140">
        <v>7.04</v>
      </c>
    </row>
    <row r="32" spans="1:4" x14ac:dyDescent="0.2">
      <c r="A32" s="139">
        <v>121</v>
      </c>
      <c r="B32" s="139" t="s">
        <v>346</v>
      </c>
      <c r="C32" s="139" t="s">
        <v>237</v>
      </c>
      <c r="D32" s="140">
        <v>7.04</v>
      </c>
    </row>
    <row r="33" spans="1:4" x14ac:dyDescent="0.2">
      <c r="A33" s="139">
        <v>122</v>
      </c>
      <c r="B33" s="139" t="s">
        <v>346</v>
      </c>
      <c r="C33" s="139" t="s">
        <v>237</v>
      </c>
      <c r="D33" s="140">
        <v>7.04</v>
      </c>
    </row>
    <row r="34" spans="1:4" x14ac:dyDescent="0.2">
      <c r="A34" s="139">
        <v>123</v>
      </c>
      <c r="B34" s="139" t="s">
        <v>346</v>
      </c>
      <c r="C34" s="139" t="s">
        <v>237</v>
      </c>
      <c r="D34" s="140">
        <v>7.04</v>
      </c>
    </row>
    <row r="35" spans="1:4" x14ac:dyDescent="0.2">
      <c r="A35" s="139">
        <v>124</v>
      </c>
      <c r="B35" s="139" t="s">
        <v>346</v>
      </c>
      <c r="C35" s="139" t="s">
        <v>237</v>
      </c>
      <c r="D35" s="140">
        <v>7.04</v>
      </c>
    </row>
    <row r="36" spans="1:4" x14ac:dyDescent="0.2">
      <c r="A36" s="139">
        <v>137</v>
      </c>
      <c r="B36" s="139" t="s">
        <v>346</v>
      </c>
      <c r="C36" s="139" t="s">
        <v>237</v>
      </c>
      <c r="D36" s="140">
        <v>7.04</v>
      </c>
    </row>
    <row r="37" spans="1:4" x14ac:dyDescent="0.2">
      <c r="A37" s="139">
        <v>138</v>
      </c>
      <c r="B37" s="139" t="s">
        <v>346</v>
      </c>
      <c r="C37" s="139" t="s">
        <v>237</v>
      </c>
      <c r="D37" s="140">
        <v>7.04</v>
      </c>
    </row>
    <row r="38" spans="1:4" x14ac:dyDescent="0.2">
      <c r="A38" s="139">
        <v>139</v>
      </c>
      <c r="B38" s="139" t="s">
        <v>346</v>
      </c>
      <c r="C38" s="139" t="s">
        <v>237</v>
      </c>
      <c r="D38" s="140">
        <v>7.04</v>
      </c>
    </row>
    <row r="39" spans="1:4" x14ac:dyDescent="0.2">
      <c r="A39" s="139">
        <v>140</v>
      </c>
      <c r="B39" s="139" t="s">
        <v>346</v>
      </c>
      <c r="C39" s="139" t="s">
        <v>237</v>
      </c>
      <c r="D39" s="140">
        <v>7.04</v>
      </c>
    </row>
    <row r="40" spans="1:4" x14ac:dyDescent="0.2">
      <c r="A40" s="139">
        <v>201</v>
      </c>
      <c r="B40" s="139" t="s">
        <v>346</v>
      </c>
      <c r="C40" s="139" t="s">
        <v>237</v>
      </c>
      <c r="D40" s="140">
        <v>7.04</v>
      </c>
    </row>
    <row r="41" spans="1:4" x14ac:dyDescent="0.2">
      <c r="A41" s="139">
        <v>205</v>
      </c>
      <c r="B41" s="139" t="s">
        <v>346</v>
      </c>
      <c r="C41" s="139" t="s">
        <v>237</v>
      </c>
      <c r="D41" s="140">
        <v>7.04</v>
      </c>
    </row>
    <row r="42" spans="1:4" x14ac:dyDescent="0.2">
      <c r="A42" s="139">
        <v>206</v>
      </c>
      <c r="B42" s="139" t="s">
        <v>346</v>
      </c>
      <c r="C42" s="139" t="s">
        <v>237</v>
      </c>
      <c r="D42" s="140">
        <v>7.04</v>
      </c>
    </row>
    <row r="43" spans="1:4" x14ac:dyDescent="0.2">
      <c r="A43" s="139">
        <v>210</v>
      </c>
      <c r="B43" s="139" t="s">
        <v>346</v>
      </c>
      <c r="C43" s="139" t="s">
        <v>237</v>
      </c>
      <c r="D43" s="140">
        <v>7.04</v>
      </c>
    </row>
    <row r="44" spans="1:4" x14ac:dyDescent="0.2">
      <c r="A44" s="139">
        <v>211</v>
      </c>
      <c r="B44" s="139" t="s">
        <v>346</v>
      </c>
      <c r="C44" s="139" t="s">
        <v>237</v>
      </c>
      <c r="D44" s="140">
        <v>7.04</v>
      </c>
    </row>
    <row r="45" spans="1:4" x14ac:dyDescent="0.2">
      <c r="A45" s="139">
        <v>215</v>
      </c>
      <c r="B45" s="139" t="s">
        <v>346</v>
      </c>
      <c r="C45" s="139" t="s">
        <v>237</v>
      </c>
      <c r="D45" s="140">
        <v>7.04</v>
      </c>
    </row>
    <row r="46" spans="1:4" x14ac:dyDescent="0.2">
      <c r="A46" s="139">
        <v>216</v>
      </c>
      <c r="B46" s="139" t="s">
        <v>346</v>
      </c>
      <c r="C46" s="139" t="s">
        <v>237</v>
      </c>
      <c r="D46" s="140">
        <v>7.04</v>
      </c>
    </row>
    <row r="47" spans="1:4" x14ac:dyDescent="0.2">
      <c r="A47" s="139">
        <v>220</v>
      </c>
      <c r="B47" s="139" t="s">
        <v>346</v>
      </c>
      <c r="C47" s="139" t="s">
        <v>237</v>
      </c>
      <c r="D47" s="140">
        <v>7.04</v>
      </c>
    </row>
    <row r="48" spans="1:4" x14ac:dyDescent="0.2">
      <c r="A48" s="139">
        <v>141</v>
      </c>
      <c r="B48" s="139" t="s">
        <v>346</v>
      </c>
      <c r="C48" s="139" t="s">
        <v>237</v>
      </c>
      <c r="D48" s="140">
        <v>7.04</v>
      </c>
    </row>
    <row r="49" spans="1:4" x14ac:dyDescent="0.2">
      <c r="A49" s="139">
        <v>142</v>
      </c>
      <c r="B49" s="139" t="s">
        <v>346</v>
      </c>
      <c r="C49" s="139" t="s">
        <v>237</v>
      </c>
      <c r="D49" s="140">
        <v>7.04</v>
      </c>
    </row>
    <row r="50" spans="1:4" x14ac:dyDescent="0.2">
      <c r="A50" s="139">
        <v>143</v>
      </c>
      <c r="B50" s="139" t="s">
        <v>346</v>
      </c>
      <c r="C50" s="139" t="s">
        <v>237</v>
      </c>
      <c r="D50" s="140">
        <v>7.04</v>
      </c>
    </row>
    <row r="51" spans="1:4" x14ac:dyDescent="0.2">
      <c r="A51" s="139">
        <v>144</v>
      </c>
      <c r="B51" s="139" t="s">
        <v>346</v>
      </c>
      <c r="C51" s="139" t="s">
        <v>237</v>
      </c>
      <c r="D51" s="140">
        <v>7.04</v>
      </c>
    </row>
    <row r="52" spans="1:4" x14ac:dyDescent="0.2">
      <c r="A52" s="139">
        <v>157</v>
      </c>
      <c r="B52" s="139" t="s">
        <v>346</v>
      </c>
      <c r="C52" s="139" t="s">
        <v>237</v>
      </c>
      <c r="D52" s="140">
        <v>7.04</v>
      </c>
    </row>
    <row r="53" spans="1:4" x14ac:dyDescent="0.2">
      <c r="A53" s="139">
        <v>158</v>
      </c>
      <c r="B53" s="139" t="s">
        <v>346</v>
      </c>
      <c r="C53" s="139" t="s">
        <v>237</v>
      </c>
      <c r="D53" s="140">
        <v>7.04</v>
      </c>
    </row>
    <row r="54" spans="1:4" x14ac:dyDescent="0.2">
      <c r="A54" s="139">
        <v>159</v>
      </c>
      <c r="B54" s="139" t="s">
        <v>346</v>
      </c>
      <c r="C54" s="139" t="s">
        <v>237</v>
      </c>
      <c r="D54" s="140">
        <v>7.04</v>
      </c>
    </row>
    <row r="55" spans="1:4" x14ac:dyDescent="0.2">
      <c r="A55" s="139">
        <v>160</v>
      </c>
      <c r="B55" s="139" t="s">
        <v>346</v>
      </c>
      <c r="C55" s="139" t="s">
        <v>237</v>
      </c>
      <c r="D55" s="140">
        <v>7.04</v>
      </c>
    </row>
    <row r="56" spans="1:4" x14ac:dyDescent="0.2">
      <c r="A56" s="139">
        <v>221</v>
      </c>
      <c r="B56" s="139" t="s">
        <v>346</v>
      </c>
      <c r="C56" s="139" t="s">
        <v>237</v>
      </c>
      <c r="D56" s="140">
        <v>7.04</v>
      </c>
    </row>
    <row r="57" spans="1:4" x14ac:dyDescent="0.2">
      <c r="A57" s="139">
        <v>225</v>
      </c>
      <c r="B57" s="139" t="s">
        <v>346</v>
      </c>
      <c r="C57" s="139" t="s">
        <v>237</v>
      </c>
      <c r="D57" s="140">
        <v>7.04</v>
      </c>
    </row>
    <row r="58" spans="1:4" x14ac:dyDescent="0.2">
      <c r="A58" s="139">
        <v>226</v>
      </c>
      <c r="B58" s="139" t="s">
        <v>346</v>
      </c>
      <c r="C58" s="139" t="s">
        <v>237</v>
      </c>
      <c r="D58" s="140">
        <v>7.04</v>
      </c>
    </row>
    <row r="59" spans="1:4" x14ac:dyDescent="0.2">
      <c r="A59" s="139">
        <v>230</v>
      </c>
      <c r="B59" s="139" t="s">
        <v>346</v>
      </c>
      <c r="C59" s="139" t="s">
        <v>237</v>
      </c>
      <c r="D59" s="140">
        <v>7.04</v>
      </c>
    </row>
    <row r="60" spans="1:4" x14ac:dyDescent="0.2">
      <c r="A60" s="139">
        <v>231</v>
      </c>
      <c r="B60" s="139" t="s">
        <v>346</v>
      </c>
      <c r="C60" s="139" t="s">
        <v>237</v>
      </c>
      <c r="D60" s="140">
        <v>7.04</v>
      </c>
    </row>
    <row r="61" spans="1:4" x14ac:dyDescent="0.2">
      <c r="A61" s="139">
        <v>235</v>
      </c>
      <c r="B61" s="139" t="s">
        <v>346</v>
      </c>
      <c r="C61" s="139" t="s">
        <v>237</v>
      </c>
      <c r="D61" s="140">
        <v>7.04</v>
      </c>
    </row>
    <row r="62" spans="1:4" x14ac:dyDescent="0.2">
      <c r="A62" s="139">
        <v>236</v>
      </c>
      <c r="B62" s="139" t="s">
        <v>346</v>
      </c>
      <c r="C62" s="139" t="s">
        <v>237</v>
      </c>
      <c r="D62" s="140">
        <v>7.04</v>
      </c>
    </row>
    <row r="63" spans="1:4" x14ac:dyDescent="0.2">
      <c r="A63" s="139">
        <v>240</v>
      </c>
      <c r="B63" s="139" t="s">
        <v>346</v>
      </c>
      <c r="C63" s="139" t="s">
        <v>237</v>
      </c>
      <c r="D63" s="140">
        <v>7.04</v>
      </c>
    </row>
    <row r="64" spans="1:4" x14ac:dyDescent="0.2">
      <c r="A64" s="139">
        <v>161</v>
      </c>
      <c r="B64" s="139" t="s">
        <v>346</v>
      </c>
      <c r="C64" s="139" t="s">
        <v>237</v>
      </c>
      <c r="D64" s="140">
        <v>2.41</v>
      </c>
    </row>
    <row r="65" spans="1:4" x14ac:dyDescent="0.2">
      <c r="A65" s="139">
        <v>162</v>
      </c>
      <c r="B65" s="139" t="s">
        <v>346</v>
      </c>
      <c r="C65" s="139" t="s">
        <v>237</v>
      </c>
      <c r="D65" s="140">
        <v>2.41</v>
      </c>
    </row>
    <row r="66" spans="1:4" x14ac:dyDescent="0.2">
      <c r="A66" s="139">
        <v>163</v>
      </c>
      <c r="B66" s="139" t="s">
        <v>346</v>
      </c>
      <c r="C66" s="139" t="s">
        <v>237</v>
      </c>
      <c r="D66" s="140">
        <v>2.41</v>
      </c>
    </row>
    <row r="67" spans="1:4" x14ac:dyDescent="0.2">
      <c r="A67" s="139">
        <v>164</v>
      </c>
      <c r="B67" s="139" t="s">
        <v>346</v>
      </c>
      <c r="C67" s="139" t="s">
        <v>237</v>
      </c>
      <c r="D67" s="140">
        <v>2.41</v>
      </c>
    </row>
    <row r="68" spans="1:4" x14ac:dyDescent="0.2">
      <c r="A68" s="139">
        <v>177</v>
      </c>
      <c r="B68" s="139" t="s">
        <v>346</v>
      </c>
      <c r="C68" s="139" t="s">
        <v>237</v>
      </c>
      <c r="D68" s="140">
        <v>2.41</v>
      </c>
    </row>
    <row r="69" spans="1:4" x14ac:dyDescent="0.2">
      <c r="A69" s="139">
        <v>178</v>
      </c>
      <c r="B69" s="139" t="s">
        <v>346</v>
      </c>
      <c r="C69" s="139" t="s">
        <v>237</v>
      </c>
      <c r="D69" s="140">
        <v>2.41</v>
      </c>
    </row>
    <row r="70" spans="1:4" x14ac:dyDescent="0.2">
      <c r="A70" s="139">
        <v>179</v>
      </c>
      <c r="B70" s="139" t="s">
        <v>346</v>
      </c>
      <c r="C70" s="139" t="s">
        <v>237</v>
      </c>
      <c r="D70" s="140">
        <v>2.41</v>
      </c>
    </row>
    <row r="71" spans="1:4" x14ac:dyDescent="0.2">
      <c r="A71" s="139">
        <v>180</v>
      </c>
      <c r="B71" s="139" t="s">
        <v>346</v>
      </c>
      <c r="C71" s="139" t="s">
        <v>237</v>
      </c>
      <c r="D71" s="140">
        <v>2.41</v>
      </c>
    </row>
    <row r="72" spans="1:4" x14ac:dyDescent="0.2">
      <c r="A72" s="139">
        <v>241</v>
      </c>
      <c r="B72" s="139" t="s">
        <v>346</v>
      </c>
      <c r="C72" s="139" t="s">
        <v>237</v>
      </c>
      <c r="D72" s="140">
        <v>2.41</v>
      </c>
    </row>
    <row r="73" spans="1:4" x14ac:dyDescent="0.2">
      <c r="A73" s="139">
        <v>245</v>
      </c>
      <c r="B73" s="139" t="s">
        <v>346</v>
      </c>
      <c r="C73" s="139" t="s">
        <v>237</v>
      </c>
      <c r="D73" s="140">
        <v>2.41</v>
      </c>
    </row>
    <row r="74" spans="1:4" x14ac:dyDescent="0.2">
      <c r="A74" s="139">
        <v>246</v>
      </c>
      <c r="B74" s="139" t="s">
        <v>346</v>
      </c>
      <c r="C74" s="139" t="s">
        <v>237</v>
      </c>
      <c r="D74" s="140">
        <v>2.41</v>
      </c>
    </row>
    <row r="75" spans="1:4" x14ac:dyDescent="0.2">
      <c r="A75" s="139">
        <v>250</v>
      </c>
      <c r="B75" s="139" t="s">
        <v>346</v>
      </c>
      <c r="C75" s="139" t="s">
        <v>237</v>
      </c>
      <c r="D75" s="140">
        <v>2.41</v>
      </c>
    </row>
    <row r="76" spans="1:4" x14ac:dyDescent="0.2">
      <c r="A76" s="139">
        <v>251</v>
      </c>
      <c r="B76" s="139" t="s">
        <v>346</v>
      </c>
      <c r="C76" s="139" t="s">
        <v>237</v>
      </c>
      <c r="D76" s="140">
        <v>2.41</v>
      </c>
    </row>
    <row r="77" spans="1:4" x14ac:dyDescent="0.2">
      <c r="A77" s="139">
        <v>255</v>
      </c>
      <c r="B77" s="139" t="s">
        <v>346</v>
      </c>
      <c r="C77" s="139" t="s">
        <v>237</v>
      </c>
      <c r="D77" s="140">
        <v>2.41</v>
      </c>
    </row>
    <row r="78" spans="1:4" x14ac:dyDescent="0.2">
      <c r="A78" s="139">
        <v>256</v>
      </c>
      <c r="B78" s="139" t="s">
        <v>346</v>
      </c>
      <c r="C78" s="139" t="s">
        <v>237</v>
      </c>
      <c r="D78" s="140">
        <v>2.41</v>
      </c>
    </row>
    <row r="79" spans="1:4" x14ac:dyDescent="0.2">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39" customWidth="1"/>
    <col min="4" max="4" width="15.6640625" style="140" customWidth="1"/>
    <col min="5" max="16384" width="9.1640625" style="128"/>
  </cols>
  <sheetData>
    <row r="1" spans="1:5" x14ac:dyDescent="0.2">
      <c r="A1" s="130" t="s">
        <v>102</v>
      </c>
      <c r="B1" s="131"/>
      <c r="C1" s="131"/>
      <c r="D1" s="131"/>
      <c r="E1" s="132"/>
    </row>
    <row r="2" spans="1:5" x14ac:dyDescent="0.2">
      <c r="A2" s="133" t="s">
        <v>244</v>
      </c>
      <c r="B2" s="134"/>
      <c r="C2" s="134"/>
      <c r="D2" s="134"/>
      <c r="E2" s="135"/>
    </row>
    <row r="3" spans="1:5" x14ac:dyDescent="0.2">
      <c r="A3" s="133" t="s">
        <v>246</v>
      </c>
      <c r="B3" s="134"/>
      <c r="C3" s="134"/>
      <c r="D3" s="134"/>
      <c r="E3" s="135"/>
    </row>
    <row r="4" spans="1:5" x14ac:dyDescent="0.2">
      <c r="A4" s="133" t="s">
        <v>247</v>
      </c>
      <c r="B4" s="134"/>
      <c r="C4" s="134"/>
      <c r="D4" s="134"/>
      <c r="E4" s="135"/>
    </row>
    <row r="5" spans="1:5" x14ac:dyDescent="0.2">
      <c r="A5" s="136" t="str">
        <f>"- Load: Value of subjected surface load (Input as Float) ("&amp;'User Defined Units'!$B$10&amp;"/"&amp;'User Defined Units'!$B$11&amp;"2)"</f>
        <v>- Load: Value of subjected surface load (Input as Float) (kN/m2)</v>
      </c>
      <c r="B5" s="137"/>
      <c r="C5" s="137"/>
      <c r="D5" s="137"/>
      <c r="E5" s="138"/>
    </row>
    <row r="6" spans="1:5" x14ac:dyDescent="0.2">
      <c r="A6" s="128"/>
      <c r="B6" s="128"/>
      <c r="C6" s="128"/>
      <c r="D6" s="128"/>
    </row>
    <row r="7" spans="1:5" s="124" customFormat="1" x14ac:dyDescent="0.2">
      <c r="A7" s="129" t="s">
        <v>243</v>
      </c>
      <c r="B7" s="129" t="s">
        <v>235</v>
      </c>
      <c r="C7" s="129" t="s">
        <v>238</v>
      </c>
      <c r="D7" s="129" t="s">
        <v>245</v>
      </c>
    </row>
    <row r="8" spans="1:5" x14ac:dyDescent="0.2">
      <c r="A8" s="139">
        <v>1</v>
      </c>
      <c r="B8" s="139" t="s">
        <v>346</v>
      </c>
      <c r="C8" s="139" t="s">
        <v>237</v>
      </c>
      <c r="D8" s="140">
        <v>1.1100000000000001</v>
      </c>
    </row>
    <row r="9" spans="1:5" x14ac:dyDescent="0.2">
      <c r="A9" s="139">
        <v>2</v>
      </c>
      <c r="B9" s="139" t="s">
        <v>346</v>
      </c>
      <c r="C9" s="139" t="s">
        <v>237</v>
      </c>
      <c r="D9" s="140">
        <v>1.1100000000000001</v>
      </c>
    </row>
    <row r="10" spans="1:5" x14ac:dyDescent="0.2">
      <c r="A10" s="139">
        <v>3</v>
      </c>
      <c r="B10" s="139" t="s">
        <v>346</v>
      </c>
      <c r="C10" s="139" t="s">
        <v>237</v>
      </c>
      <c r="D10" s="140">
        <v>1.1100000000000001</v>
      </c>
    </row>
    <row r="11" spans="1:5" x14ac:dyDescent="0.2">
      <c r="A11" s="139">
        <v>4</v>
      </c>
      <c r="B11" s="139" t="s">
        <v>346</v>
      </c>
      <c r="C11" s="139" t="s">
        <v>237</v>
      </c>
      <c r="D11" s="140">
        <v>1.1100000000000001</v>
      </c>
    </row>
    <row r="12" spans="1:5" x14ac:dyDescent="0.2">
      <c r="A12" s="139">
        <v>5</v>
      </c>
      <c r="B12" s="139" t="s">
        <v>346</v>
      </c>
      <c r="C12" s="139" t="s">
        <v>237</v>
      </c>
      <c r="D12" s="140">
        <v>1.1100000000000001</v>
      </c>
    </row>
    <row r="13" spans="1:5" x14ac:dyDescent="0.2">
      <c r="A13" s="139">
        <v>6</v>
      </c>
      <c r="B13" s="139" t="s">
        <v>346</v>
      </c>
      <c r="C13" s="139" t="s">
        <v>237</v>
      </c>
      <c r="D13" s="140">
        <v>1.1100000000000001</v>
      </c>
    </row>
    <row r="14" spans="1:5" x14ac:dyDescent="0.2">
      <c r="A14" s="139">
        <v>7</v>
      </c>
      <c r="B14" s="139" t="s">
        <v>346</v>
      </c>
      <c r="C14" s="139" t="s">
        <v>237</v>
      </c>
      <c r="D14" s="140">
        <v>1.1100000000000001</v>
      </c>
    </row>
    <row r="15" spans="1:5" x14ac:dyDescent="0.2">
      <c r="A15" s="139">
        <v>8</v>
      </c>
      <c r="B15" s="139" t="s">
        <v>346</v>
      </c>
      <c r="C15" s="139" t="s">
        <v>237</v>
      </c>
      <c r="D15" s="140">
        <v>1.1100000000000001</v>
      </c>
    </row>
    <row r="16" spans="1:5" x14ac:dyDescent="0.2">
      <c r="A16" s="139">
        <v>9</v>
      </c>
      <c r="B16" s="139" t="s">
        <v>346</v>
      </c>
      <c r="C16" s="139" t="s">
        <v>237</v>
      </c>
      <c r="D16" s="140">
        <v>1.1100000000000001</v>
      </c>
    </row>
    <row r="17" spans="1:4" x14ac:dyDescent="0.2">
      <c r="A17" s="139">
        <v>10</v>
      </c>
      <c r="B17" s="139" t="s">
        <v>346</v>
      </c>
      <c r="C17" s="139" t="s">
        <v>237</v>
      </c>
      <c r="D17" s="140">
        <v>1.1100000000000001</v>
      </c>
    </row>
    <row r="18" spans="1:4" x14ac:dyDescent="0.2">
      <c r="A18" s="139">
        <v>11</v>
      </c>
      <c r="B18" s="139" t="s">
        <v>346</v>
      </c>
      <c r="C18" s="139" t="s">
        <v>237</v>
      </c>
      <c r="D18" s="140">
        <v>1.1100000000000001</v>
      </c>
    </row>
    <row r="19" spans="1:4" x14ac:dyDescent="0.2">
      <c r="A19" s="139">
        <v>12</v>
      </c>
      <c r="B19" s="139" t="s">
        <v>346</v>
      </c>
      <c r="C19" s="139" t="s">
        <v>237</v>
      </c>
      <c r="D19" s="140">
        <v>1.1100000000000001</v>
      </c>
    </row>
    <row r="20" spans="1:4" x14ac:dyDescent="0.2">
      <c r="A20" s="139">
        <v>13</v>
      </c>
      <c r="B20" s="139" t="s">
        <v>346</v>
      </c>
      <c r="C20" s="139" t="s">
        <v>237</v>
      </c>
      <c r="D20" s="140">
        <v>1.1100000000000001</v>
      </c>
    </row>
    <row r="21" spans="1:4" x14ac:dyDescent="0.2">
      <c r="A21" s="139">
        <v>14</v>
      </c>
      <c r="B21" s="139" t="s">
        <v>346</v>
      </c>
      <c r="C21" s="139" t="s">
        <v>237</v>
      </c>
      <c r="D21" s="140">
        <v>1.1100000000000001</v>
      </c>
    </row>
    <row r="22" spans="1:4" x14ac:dyDescent="0.2">
      <c r="A22" s="139">
        <v>15</v>
      </c>
      <c r="B22" s="139" t="s">
        <v>346</v>
      </c>
      <c r="C22" s="139" t="s">
        <v>237</v>
      </c>
      <c r="D22" s="140">
        <v>1.1100000000000001</v>
      </c>
    </row>
    <row r="23" spans="1:4" x14ac:dyDescent="0.2">
      <c r="A23" s="139">
        <v>16</v>
      </c>
      <c r="B23" s="139" t="s">
        <v>346</v>
      </c>
      <c r="C23" s="139" t="s">
        <v>237</v>
      </c>
      <c r="D23" s="140">
        <v>1.1100000000000001</v>
      </c>
    </row>
    <row r="24" spans="1:4" x14ac:dyDescent="0.2">
      <c r="A24" s="139">
        <v>17</v>
      </c>
      <c r="B24" s="139" t="s">
        <v>346</v>
      </c>
      <c r="C24" s="139" t="s">
        <v>237</v>
      </c>
      <c r="D24" s="140">
        <v>1.1100000000000001</v>
      </c>
    </row>
    <row r="25" spans="1:4" x14ac:dyDescent="0.2">
      <c r="A25" s="139">
        <v>18</v>
      </c>
      <c r="B25" s="139" t="s">
        <v>346</v>
      </c>
      <c r="C25" s="139" t="s">
        <v>237</v>
      </c>
      <c r="D25" s="140">
        <v>1.1100000000000001</v>
      </c>
    </row>
    <row r="26" spans="1:4" x14ac:dyDescent="0.2">
      <c r="A26" s="139">
        <v>19</v>
      </c>
      <c r="B26" s="139" t="s">
        <v>346</v>
      </c>
      <c r="C26" s="139" t="s">
        <v>237</v>
      </c>
      <c r="D26" s="140">
        <v>1.1100000000000001</v>
      </c>
    </row>
    <row r="27" spans="1:4" x14ac:dyDescent="0.2">
      <c r="A27" s="139">
        <v>20</v>
      </c>
      <c r="B27" s="139" t="s">
        <v>346</v>
      </c>
      <c r="C27" s="139" t="s">
        <v>237</v>
      </c>
      <c r="D27" s="140">
        <v>1.1100000000000001</v>
      </c>
    </row>
    <row r="28" spans="1:4" x14ac:dyDescent="0.2">
      <c r="A28" s="139">
        <v>21</v>
      </c>
      <c r="B28" s="139" t="s">
        <v>346</v>
      </c>
      <c r="C28" s="139" t="s">
        <v>237</v>
      </c>
      <c r="D28" s="140">
        <v>1.1100000000000001</v>
      </c>
    </row>
    <row r="29" spans="1:4" x14ac:dyDescent="0.2">
      <c r="A29" s="139">
        <v>22</v>
      </c>
      <c r="B29" s="139" t="s">
        <v>346</v>
      </c>
      <c r="C29" s="139" t="s">
        <v>237</v>
      </c>
      <c r="D29" s="140">
        <v>1.1100000000000001</v>
      </c>
    </row>
    <row r="30" spans="1:4" x14ac:dyDescent="0.2">
      <c r="A30" s="139">
        <v>23</v>
      </c>
      <c r="B30" s="139" t="s">
        <v>346</v>
      </c>
      <c r="C30" s="139" t="s">
        <v>237</v>
      </c>
      <c r="D30" s="140">
        <v>1.1100000000000001</v>
      </c>
    </row>
    <row r="31" spans="1:4" x14ac:dyDescent="0.2">
      <c r="A31" s="139">
        <v>24</v>
      </c>
      <c r="B31" s="139" t="s">
        <v>346</v>
      </c>
      <c r="C31" s="139" t="s">
        <v>237</v>
      </c>
      <c r="D31" s="140">
        <v>1.1100000000000001</v>
      </c>
    </row>
    <row r="32" spans="1:4" x14ac:dyDescent="0.2">
      <c r="A32" s="139">
        <v>25</v>
      </c>
      <c r="B32" s="139" t="s">
        <v>346</v>
      </c>
      <c r="C32" s="139" t="s">
        <v>237</v>
      </c>
      <c r="D32" s="140">
        <v>1.1100000000000001</v>
      </c>
    </row>
    <row r="33" spans="1:4" x14ac:dyDescent="0.2">
      <c r="A33" s="139">
        <v>26</v>
      </c>
      <c r="B33" s="139" t="s">
        <v>346</v>
      </c>
      <c r="C33" s="139" t="s">
        <v>237</v>
      </c>
      <c r="D33" s="140">
        <v>1.1100000000000001</v>
      </c>
    </row>
    <row r="34" spans="1:4" x14ac:dyDescent="0.2">
      <c r="A34" s="139">
        <v>27</v>
      </c>
      <c r="B34" s="139" t="s">
        <v>346</v>
      </c>
      <c r="C34" s="139" t="s">
        <v>237</v>
      </c>
      <c r="D34" s="140">
        <v>1.1100000000000001</v>
      </c>
    </row>
    <row r="35" spans="1:4" x14ac:dyDescent="0.2">
      <c r="A35" s="139">
        <v>28</v>
      </c>
      <c r="B35" s="139" t="s">
        <v>346</v>
      </c>
      <c r="C35" s="139" t="s">
        <v>237</v>
      </c>
      <c r="D35" s="140">
        <v>1.1100000000000001</v>
      </c>
    </row>
    <row r="36" spans="1:4" x14ac:dyDescent="0.2">
      <c r="A36" s="139">
        <v>29</v>
      </c>
      <c r="B36" s="139" t="s">
        <v>346</v>
      </c>
      <c r="C36" s="139" t="s">
        <v>237</v>
      </c>
      <c r="D36" s="140">
        <v>1.1100000000000001</v>
      </c>
    </row>
    <row r="37" spans="1:4" x14ac:dyDescent="0.2">
      <c r="A37" s="139">
        <v>30</v>
      </c>
      <c r="B37" s="139" t="s">
        <v>346</v>
      </c>
      <c r="C37" s="139" t="s">
        <v>237</v>
      </c>
      <c r="D37" s="140">
        <v>1.1100000000000001</v>
      </c>
    </row>
    <row r="38" spans="1:4" x14ac:dyDescent="0.2">
      <c r="A38" s="139">
        <v>31</v>
      </c>
      <c r="B38" s="139" t="s">
        <v>346</v>
      </c>
      <c r="C38" s="139" t="s">
        <v>237</v>
      </c>
      <c r="D38" s="140">
        <v>1.1100000000000001</v>
      </c>
    </row>
    <row r="39" spans="1:4" x14ac:dyDescent="0.2">
      <c r="A39" s="139">
        <v>32</v>
      </c>
      <c r="B39" s="139" t="s">
        <v>346</v>
      </c>
      <c r="C39" s="139" t="s">
        <v>237</v>
      </c>
      <c r="D39" s="140">
        <v>1.1100000000000001</v>
      </c>
    </row>
    <row r="40" spans="1:4" x14ac:dyDescent="0.2">
      <c r="A40" s="139">
        <v>33</v>
      </c>
      <c r="B40" s="139" t="s">
        <v>346</v>
      </c>
      <c r="C40" s="139" t="s">
        <v>237</v>
      </c>
      <c r="D40" s="140">
        <v>1.1100000000000001</v>
      </c>
    </row>
    <row r="41" spans="1:4" x14ac:dyDescent="0.2">
      <c r="A41" s="139">
        <v>34</v>
      </c>
      <c r="B41" s="139" t="s">
        <v>346</v>
      </c>
      <c r="C41" s="139" t="s">
        <v>237</v>
      </c>
      <c r="D41" s="140">
        <v>1.1100000000000001</v>
      </c>
    </row>
    <row r="42" spans="1:4" x14ac:dyDescent="0.2">
      <c r="A42" s="139">
        <v>35</v>
      </c>
      <c r="B42" s="139" t="s">
        <v>346</v>
      </c>
      <c r="C42" s="139" t="s">
        <v>237</v>
      </c>
      <c r="D42" s="140">
        <v>1.1100000000000001</v>
      </c>
    </row>
    <row r="43" spans="1:4" x14ac:dyDescent="0.2">
      <c r="A43" s="139">
        <v>36</v>
      </c>
      <c r="B43" s="139" t="s">
        <v>346</v>
      </c>
      <c r="C43" s="139" t="s">
        <v>237</v>
      </c>
      <c r="D43" s="140">
        <v>1.1100000000000001</v>
      </c>
    </row>
    <row r="44" spans="1:4" x14ac:dyDescent="0.2">
      <c r="A44" s="139">
        <v>37</v>
      </c>
      <c r="B44" s="139" t="s">
        <v>346</v>
      </c>
      <c r="C44" s="139" t="s">
        <v>237</v>
      </c>
      <c r="D44" s="140">
        <v>1.1100000000000001</v>
      </c>
    </row>
    <row r="45" spans="1:4" x14ac:dyDescent="0.2">
      <c r="A45" s="139">
        <v>38</v>
      </c>
      <c r="B45" s="139" t="s">
        <v>346</v>
      </c>
      <c r="C45" s="139" t="s">
        <v>237</v>
      </c>
      <c r="D45" s="140">
        <v>1.1100000000000001</v>
      </c>
    </row>
    <row r="46" spans="1:4" x14ac:dyDescent="0.2">
      <c r="A46" s="139">
        <v>39</v>
      </c>
      <c r="B46" s="139" t="s">
        <v>346</v>
      </c>
      <c r="C46" s="139" t="s">
        <v>237</v>
      </c>
      <c r="D46" s="140">
        <v>1.1100000000000001</v>
      </c>
    </row>
    <row r="47" spans="1:4" x14ac:dyDescent="0.2">
      <c r="A47" s="139">
        <v>40</v>
      </c>
      <c r="B47" s="139" t="s">
        <v>346</v>
      </c>
      <c r="C47" s="139" t="s">
        <v>237</v>
      </c>
      <c r="D47" s="140">
        <v>1.1100000000000001</v>
      </c>
    </row>
    <row r="48" spans="1:4" x14ac:dyDescent="0.2">
      <c r="A48" s="139">
        <v>41</v>
      </c>
      <c r="B48" s="139" t="s">
        <v>346</v>
      </c>
      <c r="C48" s="139" t="s">
        <v>237</v>
      </c>
      <c r="D48" s="140">
        <v>1.1100000000000001</v>
      </c>
    </row>
    <row r="49" spans="1:4" x14ac:dyDescent="0.2">
      <c r="A49" s="139">
        <v>42</v>
      </c>
      <c r="B49" s="139" t="s">
        <v>346</v>
      </c>
      <c r="C49" s="139" t="s">
        <v>237</v>
      </c>
      <c r="D49" s="140">
        <v>1.1100000000000001</v>
      </c>
    </row>
    <row r="50" spans="1:4" x14ac:dyDescent="0.2">
      <c r="A50" s="139">
        <v>43</v>
      </c>
      <c r="B50" s="139" t="s">
        <v>346</v>
      </c>
      <c r="C50" s="139" t="s">
        <v>237</v>
      </c>
      <c r="D50" s="140">
        <v>1.1100000000000001</v>
      </c>
    </row>
    <row r="51" spans="1:4" x14ac:dyDescent="0.2">
      <c r="A51" s="139">
        <v>44</v>
      </c>
      <c r="B51" s="139" t="s">
        <v>346</v>
      </c>
      <c r="C51" s="139" t="s">
        <v>237</v>
      </c>
      <c r="D51" s="140">
        <v>1.1100000000000001</v>
      </c>
    </row>
    <row r="52" spans="1:4" x14ac:dyDescent="0.2">
      <c r="A52" s="139">
        <v>45</v>
      </c>
      <c r="B52" s="139" t="s">
        <v>346</v>
      </c>
      <c r="C52" s="139" t="s">
        <v>237</v>
      </c>
      <c r="D52" s="140">
        <v>1.1100000000000001</v>
      </c>
    </row>
    <row r="53" spans="1:4" x14ac:dyDescent="0.2">
      <c r="A53" s="139">
        <v>46</v>
      </c>
      <c r="B53" s="139" t="s">
        <v>346</v>
      </c>
      <c r="C53" s="139" t="s">
        <v>237</v>
      </c>
      <c r="D53" s="140">
        <v>1.1100000000000001</v>
      </c>
    </row>
    <row r="54" spans="1:4" x14ac:dyDescent="0.2">
      <c r="A54" s="139">
        <v>47</v>
      </c>
      <c r="B54" s="139" t="s">
        <v>346</v>
      </c>
      <c r="C54" s="139" t="s">
        <v>237</v>
      </c>
      <c r="D54" s="140">
        <v>1.1100000000000001</v>
      </c>
    </row>
    <row r="55" spans="1:4" x14ac:dyDescent="0.2">
      <c r="A55" s="139">
        <v>48</v>
      </c>
      <c r="B55" s="139" t="s">
        <v>346</v>
      </c>
      <c r="C55" s="139" t="s">
        <v>237</v>
      </c>
      <c r="D55" s="140">
        <v>1.1100000000000001</v>
      </c>
    </row>
    <row r="56" spans="1:4" x14ac:dyDescent="0.2">
      <c r="A56" s="139">
        <v>49</v>
      </c>
      <c r="B56" s="139" t="s">
        <v>346</v>
      </c>
      <c r="C56" s="139" t="s">
        <v>237</v>
      </c>
      <c r="D56" s="140">
        <v>0.41</v>
      </c>
    </row>
    <row r="57" spans="1:4" x14ac:dyDescent="0.2">
      <c r="A57" s="139">
        <v>50</v>
      </c>
      <c r="B57" s="139" t="s">
        <v>346</v>
      </c>
      <c r="C57" s="139" t="s">
        <v>237</v>
      </c>
      <c r="D57" s="140">
        <v>0.41</v>
      </c>
    </row>
    <row r="58" spans="1:4" x14ac:dyDescent="0.2">
      <c r="A58" s="139">
        <v>51</v>
      </c>
      <c r="B58" s="139" t="s">
        <v>346</v>
      </c>
      <c r="C58" s="139" t="s">
        <v>237</v>
      </c>
      <c r="D58" s="140">
        <v>0.41</v>
      </c>
    </row>
    <row r="59" spans="1:4" x14ac:dyDescent="0.2">
      <c r="A59" s="139">
        <v>52</v>
      </c>
      <c r="B59" s="139" t="s">
        <v>346</v>
      </c>
      <c r="C59" s="139" t="s">
        <v>237</v>
      </c>
      <c r="D59" s="140">
        <v>0.41</v>
      </c>
    </row>
    <row r="60" spans="1:4" x14ac:dyDescent="0.2">
      <c r="A60" s="139">
        <v>53</v>
      </c>
      <c r="B60" s="139" t="s">
        <v>346</v>
      </c>
      <c r="C60" s="139" t="s">
        <v>237</v>
      </c>
      <c r="D60" s="140">
        <v>0.41</v>
      </c>
    </row>
    <row r="61" spans="1:4" x14ac:dyDescent="0.2">
      <c r="A61" s="139">
        <v>54</v>
      </c>
      <c r="B61" s="139" t="s">
        <v>346</v>
      </c>
      <c r="C61" s="139" t="s">
        <v>237</v>
      </c>
      <c r="D61" s="140">
        <v>0.41</v>
      </c>
    </row>
    <row r="62" spans="1:4" x14ac:dyDescent="0.2">
      <c r="A62" s="139">
        <v>55</v>
      </c>
      <c r="B62" s="139" t="s">
        <v>346</v>
      </c>
      <c r="C62" s="139" t="s">
        <v>237</v>
      </c>
      <c r="D62" s="140">
        <v>0.41</v>
      </c>
    </row>
    <row r="63" spans="1:4" x14ac:dyDescent="0.2">
      <c r="A63" s="139">
        <v>56</v>
      </c>
      <c r="B63" s="139" t="s">
        <v>346</v>
      </c>
      <c r="C63" s="139" t="s">
        <v>237</v>
      </c>
      <c r="D63" s="140">
        <v>0.41</v>
      </c>
    </row>
    <row r="64" spans="1:4" x14ac:dyDescent="0.2">
      <c r="A64" s="139">
        <v>57</v>
      </c>
      <c r="B64" s="139" t="s">
        <v>346</v>
      </c>
      <c r="C64" s="139" t="s">
        <v>237</v>
      </c>
      <c r="D64" s="140">
        <v>0.41</v>
      </c>
    </row>
    <row r="65" spans="1:4" x14ac:dyDescent="0.2">
      <c r="A65" s="139">
        <v>58</v>
      </c>
      <c r="B65" s="139" t="s">
        <v>346</v>
      </c>
      <c r="C65" s="139" t="s">
        <v>237</v>
      </c>
      <c r="D65" s="140">
        <v>0.41</v>
      </c>
    </row>
    <row r="66" spans="1:4" x14ac:dyDescent="0.2">
      <c r="A66" s="139">
        <v>59</v>
      </c>
      <c r="B66" s="139" t="s">
        <v>346</v>
      </c>
      <c r="C66" s="139" t="s">
        <v>237</v>
      </c>
      <c r="D66" s="140">
        <v>0.41</v>
      </c>
    </row>
    <row r="67" spans="1:4" x14ac:dyDescent="0.2">
      <c r="A67" s="139">
        <v>60</v>
      </c>
      <c r="B67" s="139" t="s">
        <v>346</v>
      </c>
      <c r="C67" s="139" t="s">
        <v>237</v>
      </c>
      <c r="D67" s="140">
        <v>0.41</v>
      </c>
    </row>
    <row r="68" spans="1:4" x14ac:dyDescent="0.2">
      <c r="A68" s="139">
        <v>61</v>
      </c>
      <c r="B68" s="139" t="s">
        <v>346</v>
      </c>
      <c r="C68" s="139" t="s">
        <v>237</v>
      </c>
      <c r="D68" s="140">
        <v>0.41</v>
      </c>
    </row>
    <row r="69" spans="1:4" x14ac:dyDescent="0.2">
      <c r="A69" s="139">
        <v>62</v>
      </c>
      <c r="B69" s="139" t="s">
        <v>346</v>
      </c>
      <c r="C69" s="139" t="s">
        <v>237</v>
      </c>
      <c r="D69" s="140">
        <v>0.41</v>
      </c>
    </row>
    <row r="70" spans="1:4" x14ac:dyDescent="0.2">
      <c r="A70" s="139">
        <v>63</v>
      </c>
      <c r="B70" s="139" t="s">
        <v>346</v>
      </c>
      <c r="C70" s="139" t="s">
        <v>237</v>
      </c>
      <c r="D70" s="140">
        <v>0.41</v>
      </c>
    </row>
    <row r="71" spans="1:4" x14ac:dyDescent="0.2">
      <c r="A71" s="139">
        <v>64</v>
      </c>
      <c r="B71" s="139" t="s">
        <v>346</v>
      </c>
      <c r="C71" s="139" t="s">
        <v>237</v>
      </c>
      <c r="D71" s="140">
        <v>0.41</v>
      </c>
    </row>
    <row r="72" spans="1:4" x14ac:dyDescent="0.2">
      <c r="A72" s="139">
        <v>1</v>
      </c>
      <c r="B72" s="139" t="s">
        <v>347</v>
      </c>
      <c r="C72" s="139" t="s">
        <v>237</v>
      </c>
      <c r="D72" s="140">
        <v>2.69</v>
      </c>
    </row>
    <row r="73" spans="1:4" x14ac:dyDescent="0.2">
      <c r="A73" s="139">
        <v>2</v>
      </c>
      <c r="B73" s="139" t="s">
        <v>347</v>
      </c>
      <c r="C73" s="139" t="s">
        <v>237</v>
      </c>
      <c r="D73" s="140">
        <v>2.69</v>
      </c>
    </row>
    <row r="74" spans="1:4" x14ac:dyDescent="0.2">
      <c r="A74" s="139">
        <v>3</v>
      </c>
      <c r="B74" s="139" t="s">
        <v>347</v>
      </c>
      <c r="C74" s="139" t="s">
        <v>237</v>
      </c>
      <c r="D74" s="140">
        <v>2.69</v>
      </c>
    </row>
    <row r="75" spans="1:4" x14ac:dyDescent="0.2">
      <c r="A75" s="139">
        <v>4</v>
      </c>
      <c r="B75" s="139" t="s">
        <v>347</v>
      </c>
      <c r="C75" s="139" t="s">
        <v>237</v>
      </c>
      <c r="D75" s="140">
        <v>2.69</v>
      </c>
    </row>
    <row r="76" spans="1:4" x14ac:dyDescent="0.2">
      <c r="A76" s="139">
        <v>5</v>
      </c>
      <c r="B76" s="139" t="s">
        <v>347</v>
      </c>
      <c r="C76" s="139" t="s">
        <v>237</v>
      </c>
      <c r="D76" s="140">
        <v>2.69</v>
      </c>
    </row>
    <row r="77" spans="1:4" x14ac:dyDescent="0.2">
      <c r="A77" s="139">
        <v>6</v>
      </c>
      <c r="B77" s="139" t="s">
        <v>347</v>
      </c>
      <c r="C77" s="139" t="s">
        <v>237</v>
      </c>
      <c r="D77" s="140">
        <v>2.69</v>
      </c>
    </row>
    <row r="78" spans="1:4" x14ac:dyDescent="0.2">
      <c r="A78" s="139">
        <v>7</v>
      </c>
      <c r="B78" s="139" t="s">
        <v>347</v>
      </c>
      <c r="C78" s="139" t="s">
        <v>237</v>
      </c>
      <c r="D78" s="140">
        <v>2.69</v>
      </c>
    </row>
    <row r="79" spans="1:4" x14ac:dyDescent="0.2">
      <c r="A79" s="139">
        <v>8</v>
      </c>
      <c r="B79" s="139" t="s">
        <v>347</v>
      </c>
      <c r="C79" s="139" t="s">
        <v>237</v>
      </c>
      <c r="D79" s="140">
        <v>2.69</v>
      </c>
    </row>
    <row r="80" spans="1:4" x14ac:dyDescent="0.2">
      <c r="A80" s="139">
        <v>9</v>
      </c>
      <c r="B80" s="139" t="s">
        <v>347</v>
      </c>
      <c r="C80" s="139" t="s">
        <v>237</v>
      </c>
      <c r="D80" s="140">
        <v>2.69</v>
      </c>
    </row>
    <row r="81" spans="1:4" x14ac:dyDescent="0.2">
      <c r="A81" s="139">
        <v>10</v>
      </c>
      <c r="B81" s="139" t="s">
        <v>347</v>
      </c>
      <c r="C81" s="139" t="s">
        <v>237</v>
      </c>
      <c r="D81" s="140">
        <v>2.69</v>
      </c>
    </row>
    <row r="82" spans="1:4" x14ac:dyDescent="0.2">
      <c r="A82" s="139">
        <v>11</v>
      </c>
      <c r="B82" s="139" t="s">
        <v>347</v>
      </c>
      <c r="C82" s="139" t="s">
        <v>237</v>
      </c>
      <c r="D82" s="140">
        <v>2.69</v>
      </c>
    </row>
    <row r="83" spans="1:4" x14ac:dyDescent="0.2">
      <c r="A83" s="139">
        <v>12</v>
      </c>
      <c r="B83" s="139" t="s">
        <v>347</v>
      </c>
      <c r="C83" s="139" t="s">
        <v>237</v>
      </c>
      <c r="D83" s="140">
        <v>2.69</v>
      </c>
    </row>
    <row r="84" spans="1:4" x14ac:dyDescent="0.2">
      <c r="A84" s="139">
        <v>13</v>
      </c>
      <c r="B84" s="139" t="s">
        <v>347</v>
      </c>
      <c r="C84" s="139" t="s">
        <v>237</v>
      </c>
      <c r="D84" s="140">
        <v>2.69</v>
      </c>
    </row>
    <row r="85" spans="1:4" x14ac:dyDescent="0.2">
      <c r="A85" s="139">
        <v>14</v>
      </c>
      <c r="B85" s="139" t="s">
        <v>347</v>
      </c>
      <c r="C85" s="139" t="s">
        <v>237</v>
      </c>
      <c r="D85" s="140">
        <v>2.69</v>
      </c>
    </row>
    <row r="86" spans="1:4" x14ac:dyDescent="0.2">
      <c r="A86" s="139">
        <v>15</v>
      </c>
      <c r="B86" s="139" t="s">
        <v>347</v>
      </c>
      <c r="C86" s="139" t="s">
        <v>237</v>
      </c>
      <c r="D86" s="140">
        <v>2.69</v>
      </c>
    </row>
    <row r="87" spans="1:4" x14ac:dyDescent="0.2">
      <c r="A87" s="139">
        <v>16</v>
      </c>
      <c r="B87" s="139" t="s">
        <v>347</v>
      </c>
      <c r="C87" s="139" t="s">
        <v>237</v>
      </c>
      <c r="D87" s="140">
        <v>2.69</v>
      </c>
    </row>
    <row r="88" spans="1:4" x14ac:dyDescent="0.2">
      <c r="A88" s="139">
        <v>17</v>
      </c>
      <c r="B88" s="139" t="s">
        <v>347</v>
      </c>
      <c r="C88" s="139" t="s">
        <v>237</v>
      </c>
      <c r="D88" s="140">
        <v>2.69</v>
      </c>
    </row>
    <row r="89" spans="1:4" x14ac:dyDescent="0.2">
      <c r="A89" s="139">
        <v>18</v>
      </c>
      <c r="B89" s="139" t="s">
        <v>347</v>
      </c>
      <c r="C89" s="139" t="s">
        <v>237</v>
      </c>
      <c r="D89" s="140">
        <v>2.69</v>
      </c>
    </row>
    <row r="90" spans="1:4" x14ac:dyDescent="0.2">
      <c r="A90" s="139">
        <v>19</v>
      </c>
      <c r="B90" s="139" t="s">
        <v>347</v>
      </c>
      <c r="C90" s="139" t="s">
        <v>237</v>
      </c>
      <c r="D90" s="140">
        <v>2.69</v>
      </c>
    </row>
    <row r="91" spans="1:4" x14ac:dyDescent="0.2">
      <c r="A91" s="139">
        <v>20</v>
      </c>
      <c r="B91" s="139" t="s">
        <v>347</v>
      </c>
      <c r="C91" s="139" t="s">
        <v>237</v>
      </c>
      <c r="D91" s="140">
        <v>2.69</v>
      </c>
    </row>
    <row r="92" spans="1:4" x14ac:dyDescent="0.2">
      <c r="A92" s="139">
        <v>21</v>
      </c>
      <c r="B92" s="139" t="s">
        <v>347</v>
      </c>
      <c r="C92" s="139" t="s">
        <v>237</v>
      </c>
      <c r="D92" s="140">
        <v>2.69</v>
      </c>
    </row>
    <row r="93" spans="1:4" x14ac:dyDescent="0.2">
      <c r="A93" s="139">
        <v>22</v>
      </c>
      <c r="B93" s="139" t="s">
        <v>347</v>
      </c>
      <c r="C93" s="139" t="s">
        <v>237</v>
      </c>
      <c r="D93" s="140">
        <v>2.69</v>
      </c>
    </row>
    <row r="94" spans="1:4" x14ac:dyDescent="0.2">
      <c r="A94" s="139">
        <v>23</v>
      </c>
      <c r="B94" s="139" t="s">
        <v>347</v>
      </c>
      <c r="C94" s="139" t="s">
        <v>237</v>
      </c>
      <c r="D94" s="140">
        <v>2.69</v>
      </c>
    </row>
    <row r="95" spans="1:4" x14ac:dyDescent="0.2">
      <c r="A95" s="139">
        <v>24</v>
      </c>
      <c r="B95" s="139" t="s">
        <v>347</v>
      </c>
      <c r="C95" s="139" t="s">
        <v>237</v>
      </c>
      <c r="D95" s="140">
        <v>2.69</v>
      </c>
    </row>
    <row r="96" spans="1:4" x14ac:dyDescent="0.2">
      <c r="A96" s="139">
        <v>25</v>
      </c>
      <c r="B96" s="139" t="s">
        <v>347</v>
      </c>
      <c r="C96" s="139" t="s">
        <v>237</v>
      </c>
      <c r="D96" s="140">
        <v>2.69</v>
      </c>
    </row>
    <row r="97" spans="1:4" x14ac:dyDescent="0.2">
      <c r="A97" s="139">
        <v>26</v>
      </c>
      <c r="B97" s="139" t="s">
        <v>347</v>
      </c>
      <c r="C97" s="139" t="s">
        <v>237</v>
      </c>
      <c r="D97" s="140">
        <v>2.69</v>
      </c>
    </row>
    <row r="98" spans="1:4" x14ac:dyDescent="0.2">
      <c r="A98" s="139">
        <v>27</v>
      </c>
      <c r="B98" s="139" t="s">
        <v>347</v>
      </c>
      <c r="C98" s="139" t="s">
        <v>237</v>
      </c>
      <c r="D98" s="140">
        <v>2.69</v>
      </c>
    </row>
    <row r="99" spans="1:4" x14ac:dyDescent="0.2">
      <c r="A99" s="139">
        <v>28</v>
      </c>
      <c r="B99" s="139" t="s">
        <v>347</v>
      </c>
      <c r="C99" s="139" t="s">
        <v>237</v>
      </c>
      <c r="D99" s="140">
        <v>2.69</v>
      </c>
    </row>
    <row r="100" spans="1:4" x14ac:dyDescent="0.2">
      <c r="A100" s="139">
        <v>29</v>
      </c>
      <c r="B100" s="139" t="s">
        <v>347</v>
      </c>
      <c r="C100" s="139" t="s">
        <v>237</v>
      </c>
      <c r="D100" s="140">
        <v>2.69</v>
      </c>
    </row>
    <row r="101" spans="1:4" x14ac:dyDescent="0.2">
      <c r="A101" s="139">
        <v>30</v>
      </c>
      <c r="B101" s="139" t="s">
        <v>347</v>
      </c>
      <c r="C101" s="139" t="s">
        <v>237</v>
      </c>
      <c r="D101" s="140">
        <v>2.69</v>
      </c>
    </row>
    <row r="102" spans="1:4" x14ac:dyDescent="0.2">
      <c r="A102" s="139">
        <v>31</v>
      </c>
      <c r="B102" s="139" t="s">
        <v>347</v>
      </c>
      <c r="C102" s="139" t="s">
        <v>237</v>
      </c>
      <c r="D102" s="140">
        <v>2.69</v>
      </c>
    </row>
    <row r="103" spans="1:4" x14ac:dyDescent="0.2">
      <c r="A103" s="139">
        <v>32</v>
      </c>
      <c r="B103" s="139" t="s">
        <v>347</v>
      </c>
      <c r="C103" s="139" t="s">
        <v>237</v>
      </c>
      <c r="D103" s="140">
        <v>2.69</v>
      </c>
    </row>
    <row r="104" spans="1:4" x14ac:dyDescent="0.2">
      <c r="A104" s="139">
        <v>33</v>
      </c>
      <c r="B104" s="139" t="s">
        <v>347</v>
      </c>
      <c r="C104" s="139" t="s">
        <v>237</v>
      </c>
      <c r="D104" s="140">
        <v>2.69</v>
      </c>
    </row>
    <row r="105" spans="1:4" x14ac:dyDescent="0.2">
      <c r="A105" s="139">
        <v>34</v>
      </c>
      <c r="B105" s="139" t="s">
        <v>347</v>
      </c>
      <c r="C105" s="139" t="s">
        <v>237</v>
      </c>
      <c r="D105" s="140">
        <v>2.69</v>
      </c>
    </row>
    <row r="106" spans="1:4" x14ac:dyDescent="0.2">
      <c r="A106" s="139">
        <v>35</v>
      </c>
      <c r="B106" s="139" t="s">
        <v>347</v>
      </c>
      <c r="C106" s="139" t="s">
        <v>237</v>
      </c>
      <c r="D106" s="140">
        <v>2.69</v>
      </c>
    </row>
    <row r="107" spans="1:4" x14ac:dyDescent="0.2">
      <c r="A107" s="139">
        <v>36</v>
      </c>
      <c r="B107" s="139" t="s">
        <v>347</v>
      </c>
      <c r="C107" s="139" t="s">
        <v>237</v>
      </c>
      <c r="D107" s="140">
        <v>2.69</v>
      </c>
    </row>
    <row r="108" spans="1:4" x14ac:dyDescent="0.2">
      <c r="A108" s="139">
        <v>37</v>
      </c>
      <c r="B108" s="139" t="s">
        <v>347</v>
      </c>
      <c r="C108" s="139" t="s">
        <v>237</v>
      </c>
      <c r="D108" s="140">
        <v>2.69</v>
      </c>
    </row>
    <row r="109" spans="1:4" x14ac:dyDescent="0.2">
      <c r="A109" s="139">
        <v>38</v>
      </c>
      <c r="B109" s="139" t="s">
        <v>347</v>
      </c>
      <c r="C109" s="139" t="s">
        <v>237</v>
      </c>
      <c r="D109" s="140">
        <v>2.69</v>
      </c>
    </row>
    <row r="110" spans="1:4" x14ac:dyDescent="0.2">
      <c r="A110" s="139">
        <v>39</v>
      </c>
      <c r="B110" s="139" t="s">
        <v>347</v>
      </c>
      <c r="C110" s="139" t="s">
        <v>237</v>
      </c>
      <c r="D110" s="140">
        <v>2.69</v>
      </c>
    </row>
    <row r="111" spans="1:4" x14ac:dyDescent="0.2">
      <c r="A111" s="139">
        <v>40</v>
      </c>
      <c r="B111" s="139" t="s">
        <v>347</v>
      </c>
      <c r="C111" s="139" t="s">
        <v>237</v>
      </c>
      <c r="D111" s="140">
        <v>2.69</v>
      </c>
    </row>
    <row r="112" spans="1:4" x14ac:dyDescent="0.2">
      <c r="A112" s="139">
        <v>41</v>
      </c>
      <c r="B112" s="139" t="s">
        <v>347</v>
      </c>
      <c r="C112" s="139" t="s">
        <v>237</v>
      </c>
      <c r="D112" s="140">
        <v>2.69</v>
      </c>
    </row>
    <row r="113" spans="1:4" x14ac:dyDescent="0.2">
      <c r="A113" s="139">
        <v>42</v>
      </c>
      <c r="B113" s="139" t="s">
        <v>347</v>
      </c>
      <c r="C113" s="139" t="s">
        <v>237</v>
      </c>
      <c r="D113" s="140">
        <v>2.69</v>
      </c>
    </row>
    <row r="114" spans="1:4" x14ac:dyDescent="0.2">
      <c r="A114" s="139">
        <v>43</v>
      </c>
      <c r="B114" s="139" t="s">
        <v>347</v>
      </c>
      <c r="C114" s="139" t="s">
        <v>237</v>
      </c>
      <c r="D114" s="140">
        <v>2.69</v>
      </c>
    </row>
    <row r="115" spans="1:4" x14ac:dyDescent="0.2">
      <c r="A115" s="139">
        <v>44</v>
      </c>
      <c r="B115" s="139" t="s">
        <v>347</v>
      </c>
      <c r="C115" s="139" t="s">
        <v>237</v>
      </c>
      <c r="D115" s="140">
        <v>2.69</v>
      </c>
    </row>
    <row r="116" spans="1:4" x14ac:dyDescent="0.2">
      <c r="A116" s="139">
        <v>45</v>
      </c>
      <c r="B116" s="139" t="s">
        <v>347</v>
      </c>
      <c r="C116" s="139" t="s">
        <v>237</v>
      </c>
      <c r="D116" s="140">
        <v>2.69</v>
      </c>
    </row>
    <row r="117" spans="1:4" x14ac:dyDescent="0.2">
      <c r="A117" s="139">
        <v>46</v>
      </c>
      <c r="B117" s="139" t="s">
        <v>347</v>
      </c>
      <c r="C117" s="139" t="s">
        <v>237</v>
      </c>
      <c r="D117" s="140">
        <v>2.69</v>
      </c>
    </row>
    <row r="118" spans="1:4" x14ac:dyDescent="0.2">
      <c r="A118" s="139">
        <v>47</v>
      </c>
      <c r="B118" s="139" t="s">
        <v>347</v>
      </c>
      <c r="C118" s="139" t="s">
        <v>237</v>
      </c>
      <c r="D118" s="140">
        <v>2.69</v>
      </c>
    </row>
    <row r="119" spans="1:4" x14ac:dyDescent="0.2">
      <c r="A119" s="139">
        <v>48</v>
      </c>
      <c r="B119" s="139" t="s">
        <v>347</v>
      </c>
      <c r="C119" s="139" t="s">
        <v>237</v>
      </c>
      <c r="D119" s="140">
        <v>2.69</v>
      </c>
    </row>
    <row r="120" spans="1:4" x14ac:dyDescent="0.2">
      <c r="A120" s="139">
        <v>49</v>
      </c>
      <c r="B120" s="139" t="s">
        <v>46</v>
      </c>
      <c r="C120" s="139" t="s">
        <v>237</v>
      </c>
      <c r="D120" s="140">
        <v>0.57999999999999996</v>
      </c>
    </row>
    <row r="121" spans="1:4" x14ac:dyDescent="0.2">
      <c r="A121" s="139">
        <v>50</v>
      </c>
      <c r="B121" s="139" t="s">
        <v>46</v>
      </c>
      <c r="C121" s="139" t="s">
        <v>237</v>
      </c>
      <c r="D121" s="140">
        <v>0.57999999999999996</v>
      </c>
    </row>
    <row r="122" spans="1:4" x14ac:dyDescent="0.2">
      <c r="A122" s="139">
        <v>51</v>
      </c>
      <c r="B122" s="139" t="s">
        <v>46</v>
      </c>
      <c r="C122" s="139" t="s">
        <v>237</v>
      </c>
      <c r="D122" s="140">
        <v>0.57999999999999996</v>
      </c>
    </row>
    <row r="123" spans="1:4" x14ac:dyDescent="0.2">
      <c r="A123" s="139">
        <v>52</v>
      </c>
      <c r="B123" s="139" t="s">
        <v>46</v>
      </c>
      <c r="C123" s="139" t="s">
        <v>237</v>
      </c>
      <c r="D123" s="140">
        <v>0.57999999999999996</v>
      </c>
    </row>
    <row r="124" spans="1:4" x14ac:dyDescent="0.2">
      <c r="A124" s="139">
        <v>53</v>
      </c>
      <c r="B124" s="139" t="s">
        <v>46</v>
      </c>
      <c r="C124" s="139" t="s">
        <v>237</v>
      </c>
      <c r="D124" s="140">
        <v>0.57999999999999996</v>
      </c>
    </row>
    <row r="125" spans="1:4" x14ac:dyDescent="0.2">
      <c r="A125" s="139">
        <v>54</v>
      </c>
      <c r="B125" s="139" t="s">
        <v>46</v>
      </c>
      <c r="C125" s="139" t="s">
        <v>237</v>
      </c>
      <c r="D125" s="140">
        <v>0.57999999999999996</v>
      </c>
    </row>
    <row r="126" spans="1:4" x14ac:dyDescent="0.2">
      <c r="A126" s="139">
        <v>55</v>
      </c>
      <c r="B126" s="139" t="s">
        <v>46</v>
      </c>
      <c r="C126" s="139" t="s">
        <v>237</v>
      </c>
      <c r="D126" s="140">
        <v>0.57999999999999996</v>
      </c>
    </row>
    <row r="127" spans="1:4" x14ac:dyDescent="0.2">
      <c r="A127" s="139">
        <v>56</v>
      </c>
      <c r="B127" s="139" t="s">
        <v>46</v>
      </c>
      <c r="C127" s="139" t="s">
        <v>237</v>
      </c>
      <c r="D127" s="140">
        <v>0.57999999999999996</v>
      </c>
    </row>
    <row r="128" spans="1:4" x14ac:dyDescent="0.2">
      <c r="A128" s="139">
        <v>57</v>
      </c>
      <c r="B128" s="139" t="s">
        <v>46</v>
      </c>
      <c r="C128" s="139" t="s">
        <v>237</v>
      </c>
      <c r="D128" s="140">
        <v>0.57999999999999996</v>
      </c>
    </row>
    <row r="129" spans="1:4" x14ac:dyDescent="0.2">
      <c r="A129" s="139">
        <v>58</v>
      </c>
      <c r="B129" s="139" t="s">
        <v>46</v>
      </c>
      <c r="C129" s="139" t="s">
        <v>237</v>
      </c>
      <c r="D129" s="140">
        <v>0.57999999999999996</v>
      </c>
    </row>
    <row r="130" spans="1:4" x14ac:dyDescent="0.2">
      <c r="A130" s="139">
        <v>59</v>
      </c>
      <c r="B130" s="139" t="s">
        <v>46</v>
      </c>
      <c r="C130" s="139" t="s">
        <v>237</v>
      </c>
      <c r="D130" s="140">
        <v>0.57999999999999996</v>
      </c>
    </row>
    <row r="131" spans="1:4" x14ac:dyDescent="0.2">
      <c r="A131" s="139">
        <v>60</v>
      </c>
      <c r="B131" s="139" t="s">
        <v>46</v>
      </c>
      <c r="C131" s="139" t="s">
        <v>237</v>
      </c>
      <c r="D131" s="140">
        <v>0.57999999999999996</v>
      </c>
    </row>
    <row r="132" spans="1:4" x14ac:dyDescent="0.2">
      <c r="A132" s="139">
        <v>61</v>
      </c>
      <c r="B132" s="139" t="s">
        <v>46</v>
      </c>
      <c r="C132" s="139" t="s">
        <v>237</v>
      </c>
      <c r="D132" s="140">
        <v>0.57999999999999996</v>
      </c>
    </row>
    <row r="133" spans="1:4" x14ac:dyDescent="0.2">
      <c r="A133" s="139">
        <v>62</v>
      </c>
      <c r="B133" s="139" t="s">
        <v>46</v>
      </c>
      <c r="C133" s="139" t="s">
        <v>237</v>
      </c>
      <c r="D133" s="140">
        <v>0.57999999999999996</v>
      </c>
    </row>
    <row r="134" spans="1:4" x14ac:dyDescent="0.2">
      <c r="A134" s="139">
        <v>63</v>
      </c>
      <c r="B134" s="139" t="s">
        <v>46</v>
      </c>
      <c r="C134" s="139" t="s">
        <v>237</v>
      </c>
      <c r="D134" s="140">
        <v>0.57999999999999996</v>
      </c>
    </row>
    <row r="135" spans="1:4" x14ac:dyDescent="0.2">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2026-08-18T06:22:06Z</dcterms:modified>
</cp:coreProperties>
</file>