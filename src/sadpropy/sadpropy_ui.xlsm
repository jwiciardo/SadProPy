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SadProPy\src\sadpropy\"/>
    </mc:Choice>
  </mc:AlternateContent>
  <xr:revisionPtr revIDLastSave="0" documentId="13_ncr:1_{5198577C-9913-4809-81E3-4C97044F2C07}" xr6:coauthVersionLast="47" xr6:coauthVersionMax="47" xr10:uidLastSave="{00000000-0000-0000-0000-000000000000}"/>
  <bookViews>
    <workbookView xWindow="-120" yWindow="-120" windowWidth="29040" windowHeight="15720" activeTab="4" xr2:uid="{552DED43-9FBE-4010-B28B-6FE730C67E7F}"/>
  </bookViews>
  <sheets>
    <sheet name="Home" sheetId="7" r:id="rId1"/>
    <sheet name="Units" sheetId="4" r:id="rId2"/>
    <sheet name="Materials" sheetId="5" r:id="rId3"/>
    <sheet name="MaterialsForm" sheetId="6" r:id="rId4"/>
    <sheet name="FrameSections" sheetId="9" r:id="rId5"/>
    <sheet name="_db" sheetId="8" r:id="rId6"/>
    <sheet name="_temp_db" sheetId="2" r:id="rId7"/>
    <sheet name="_db_list" sheetId="3" r:id="rId8"/>
    <sheet name="_db_namelist" sheetId="1" r:id="rId9"/>
  </sheets>
  <functionGroups builtInGroupCount="19"/>
  <definedNames>
    <definedName name="_xleta.TYPE" hidden="1" xlm="1">#NAME?</definedName>
    <definedName name="_xlpm.Action" hidden="1" xlm="1">#NAME?</definedName>
    <definedName name="_xlpm.D" hidden="1" xlm="1">#NAME?</definedName>
    <definedName name="_xlpm.DB" hidden="1" xlm="1">#NAME?</definedName>
    <definedName name="_xlpm.De" hidden="1" xlm="1">#NAME?</definedName>
    <definedName name="_xlpm.Del" hidden="1" xlm="1">#NAME?</definedName>
    <definedName name="_xlpm.Dele" hidden="1" xlm="1">#NAME?</definedName>
    <definedName name="_xlpm.Delet" hidden="1" xlm="1">#NAME?</definedName>
    <definedName name="_xlpm.Delete" hidden="1" xlm="1">#NAME?</definedName>
    <definedName name="_xlpm.Name" hidden="1" xlm="1">#NAME?</definedName>
    <definedName name="_xlpm.tempD" hidden="1" xlm="1">#NAME?</definedName>
    <definedName name="_xlpm.tempDB" hidden="1" xlm="1">#NAME?</definedName>
    <definedName name="_xlpm.tempList" hidden="1" xlm="1">#NAME?</definedName>
    <definedName name="_xlpm.Type" hidden="1" xlm="1">#NAME?</definedName>
    <definedName name="Blank">_db_list!$OA$2:$OA$1001</definedName>
    <definedName name="MaterialModel_Concrete">_db_list!$H$2:$H$1001</definedName>
    <definedName name="MaterialModel_Steel">_db_list!$I$2:$I$1001</definedName>
    <definedName name="MaterialName">_xlfn.ANCHORARRAY(_db_namelist!$A$2)</definedName>
    <definedName name="MaterialType">_db_list!$G$2:$G$1001</definedName>
    <definedName name="UnitAngle">_db_list!$F$2:$F$1001</definedName>
    <definedName name="UnitForce">_db_list!$A$2:$A$1001</definedName>
    <definedName name="UnitLength">_db_list!$B$2:$B$1001</definedName>
    <definedName name="UnitMass">_db_list!$C$2:$C$1001</definedName>
    <definedName name="UnitStress">_db_list!$D$2:$D$1001</definedName>
    <definedName name="UnitTime">_db_list!$E$2:$E$1001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6" i="6" l="1"/>
  <c r="A2" i="1" l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<sst xmlns="http://schemas.openxmlformats.org/spreadsheetml/2006/main" count="113" uniqueCount="83">
  <si>
    <t>Unit of Force</t>
  </si>
  <si>
    <t>N</t>
  </si>
  <si>
    <t>m</t>
  </si>
  <si>
    <t>kg</t>
  </si>
  <si>
    <t>Pa</t>
  </si>
  <si>
    <t>s</t>
  </si>
  <si>
    <t>rad</t>
  </si>
  <si>
    <t>kN</t>
  </si>
  <si>
    <t>mm</t>
  </si>
  <si>
    <t>gr</t>
  </si>
  <si>
    <t>kPa</t>
  </si>
  <si>
    <t>ms</t>
  </si>
  <si>
    <t>deg</t>
  </si>
  <si>
    <t>MN</t>
  </si>
  <si>
    <t>cm</t>
  </si>
  <si>
    <t>ton</t>
  </si>
  <si>
    <t>MPa</t>
  </si>
  <si>
    <t>kgf</t>
  </si>
  <si>
    <t>ft</t>
  </si>
  <si>
    <t>lbs</t>
  </si>
  <si>
    <t>GPa</t>
  </si>
  <si>
    <t>tonf</t>
  </si>
  <si>
    <t>in</t>
  </si>
  <si>
    <t>kip</t>
  </si>
  <si>
    <t>psi</t>
  </si>
  <si>
    <t>lbf</t>
  </si>
  <si>
    <t>psf</t>
  </si>
  <si>
    <t>kipf</t>
  </si>
  <si>
    <t>ksi</t>
  </si>
  <si>
    <t>ksf</t>
  </si>
  <si>
    <t>Unit of Length</t>
  </si>
  <si>
    <t>Unit of Mass</t>
  </si>
  <si>
    <t>Unit of Stress</t>
  </si>
  <si>
    <t>Unit of Time</t>
  </si>
  <si>
    <t>Unit of Angle</t>
  </si>
  <si>
    <t>Material Type</t>
  </si>
  <si>
    <t>Material Model Concrete</t>
  </si>
  <si>
    <t>Material Model Steel</t>
  </si>
  <si>
    <t>Concrete</t>
  </si>
  <si>
    <t>Elastic</t>
  </si>
  <si>
    <t>Rebar</t>
  </si>
  <si>
    <t>Concrete04</t>
  </si>
  <si>
    <t>Steel02</t>
  </si>
  <si>
    <t>Steel</t>
  </si>
  <si>
    <t>Concrete04+MinMax</t>
  </si>
  <si>
    <t>Steel02+MinMax</t>
  </si>
  <si>
    <t>User Defined Units</t>
  </si>
  <si>
    <t>Item</t>
  </si>
  <si>
    <t>Unit</t>
  </si>
  <si>
    <t>Force</t>
  </si>
  <si>
    <t>Length</t>
  </si>
  <si>
    <t>Mass</t>
  </si>
  <si>
    <t>Stress</t>
  </si>
  <si>
    <t>Time</t>
  </si>
  <si>
    <t>Angle</t>
  </si>
  <si>
    <t>Define Materials</t>
  </si>
  <si>
    <t>Materials List:</t>
  </si>
  <si>
    <t>Material Property</t>
  </si>
  <si>
    <t>General Data</t>
  </si>
  <si>
    <t>Material Name</t>
  </si>
  <si>
    <t>Unitweight</t>
  </si>
  <si>
    <t>E</t>
  </si>
  <si>
    <t>nu</t>
  </si>
  <si>
    <t>G</t>
  </si>
  <si>
    <t>Design Property Data</t>
  </si>
  <si>
    <t>Nonlinear Material Data</t>
  </si>
  <si>
    <t>Material Model</t>
  </si>
  <si>
    <t>Preferences</t>
  </si>
  <si>
    <t>Define</t>
  </si>
  <si>
    <t>Assign</t>
  </si>
  <si>
    <t>SadProPy UI                                                    v1.0</t>
  </si>
  <si>
    <t>Units</t>
  </si>
  <si>
    <t>Material</t>
  </si>
  <si>
    <t>fc</t>
  </si>
  <si>
    <t>Note: Unit for force</t>
  </si>
  <si>
    <t>RC50</t>
  </si>
  <si>
    <t>RC30</t>
  </si>
  <si>
    <t>kN/m³</t>
  </si>
  <si>
    <t>Add</t>
  </si>
  <si>
    <t>RC40</t>
  </si>
  <si>
    <t>RC60</t>
  </si>
  <si>
    <t>Note: Name of material</t>
  </si>
  <si>
    <t>Define Frame Sections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</si>
</sst>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####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9"/>
      <color rgb="FF000000"/>
      <name val="Tahoma"/>
      <family val="2"/>
    </font>
    <font>
      <sz val="8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2" borderId="0">
      <alignment horizontal="left" vertical="center" wrapText="1" indent="1"/>
    </xf>
    <xf numFmtId="0" fontId="1" fillId="3" borderId="0">
      <alignment horizontal="left" vertical="center"/>
    </xf>
    <xf numFmtId="0" fontId="2" fillId="4" borderId="1">
      <alignment horizontal="center" vertical="center" wrapText="1"/>
    </xf>
  </cellStyleXfs>
  <cellXfs count="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4" borderId="1" xfId="3">
      <alignment horizontal="center" vertical="center" wrapText="1"/>
    </xf>
    <xf numFmtId="0" fontId="1" fillId="0" borderId="0" xfId="0" applyFont="1" applyAlignment="1">
      <alignment vertical="center"/>
    </xf>
    <xf numFmtId="0" fontId="1" fillId="5" borderId="1" xfId="2" applyFill="1" applyBorder="1" applyAlignment="1" applyProtection="1">
      <alignment horizontal="left" vertical="center" indent="1"/>
      <protection locked="0"/>
    </xf>
    <xf numFmtId="164" fontId="1" fillId="5" borderId="1" xfId="2" applyNumberFormat="1" applyFill="1" applyBorder="1" applyAlignment="1" applyProtection="1">
      <alignment horizontal="left" vertical="center" indent="1"/>
      <protection locked="0"/>
    </xf>
    <xf numFmtId="0" fontId="1" fillId="5" borderId="1" xfId="2" applyFill="1" applyBorder="1" applyAlignment="1" applyProtection="1">
      <alignment horizontal="center" vertical="center"/>
      <protection locked="0"/>
    </xf>
    <xf numFmtId="0" fontId="1" fillId="3" borderId="0" xfId="2" applyAlignment="1">
      <alignment horizontal="center" vertical="center"/>
    </xf>
    <xf numFmtId="0" fontId="1" fillId="3" borderId="0" xfId="2">
      <alignment horizontal="left" vertical="center"/>
    </xf>
    <xf numFmtId="0" fontId="2" fillId="2" borderId="0" xfId="1">
      <alignment horizontal="left" vertical="center" wrapText="1" indent="1"/>
    </xf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</xf>
    <xf numFmtId="0" fontId="2" fillId="2" borderId="2" xfId="1" applyBorder="1" applyProtection="1">
      <alignment horizontal="left" vertical="center" wrapText="1" indent="1"/>
    </xf>
    <xf numFmtId="0" fontId="2" fillId="2" borderId="3" xfId="1" applyBorder="1" applyProtection="1">
      <alignment horizontal="left" vertical="center" wrapText="1" indent="1"/>
    </xf>
    <xf numFmtId="0" fontId="2" fillId="2" borderId="4" xfId="1" applyBorder="1" applyProtection="1">
      <alignment horizontal="left" vertical="center" wrapText="1" indent="1"/>
    </xf>
    <xf numFmtId="0" fontId="1" fillId="3" borderId="5" xfId="2" applyBorder="1" applyAlignment="1" applyProtection="1">
      <alignment horizontal="center" vertical="center"/>
    </xf>
    <xf numFmtId="0" fontId="2" fillId="3" borderId="1" xfId="2" applyFont="1" applyBorder="1" applyAlignment="1" applyProtection="1">
      <alignment horizontal="center" vertical="center"/>
    </xf>
    <xf numFmtId="0" fontId="1" fillId="3" borderId="6" xfId="2" applyBorder="1" applyAlignment="1" applyProtection="1">
      <alignment horizontal="center" vertical="center"/>
    </xf>
    <xf numFmtId="0" fontId="1" fillId="3" borderId="1" xfId="2" applyBorder="1" applyProtection="1">
      <alignment horizontal="left" vertical="center"/>
    </xf>
    <xf numFmtId="0" fontId="1" fillId="3" borderId="0" xfId="2" applyAlignment="1" applyProtection="1">
      <alignment horizontal="center" vertical="center"/>
    </xf>
    <xf numFmtId="0" fontId="1" fillId="3" borderId="5" xfId="2" applyBorder="1" applyProtection="1">
      <alignment horizontal="left" vertical="center"/>
    </xf>
    <xf numFmtId="0" fontId="1" fillId="3" borderId="0" xfId="2" applyProtection="1">
      <alignment horizontal="left" vertical="center"/>
    </xf>
    <xf numFmtId="0" fontId="1" fillId="3" borderId="6" xfId="2" applyBorder="1" applyProtection="1">
      <alignment horizontal="left" vertical="center"/>
    </xf>
    <xf numFmtId="0" fontId="4" fillId="3" borderId="7" xfId="2" applyFont="1" applyBorder="1" applyAlignment="1" applyProtection="1">
      <alignment horizontal="left" vertical="center" indent="1"/>
    </xf>
    <xf numFmtId="0" fontId="4" fillId="3" borderId="8" xfId="2" applyFont="1" applyBorder="1" applyAlignment="1" applyProtection="1">
      <alignment horizontal="left" vertical="center" indent="1"/>
    </xf>
    <xf numFmtId="0" fontId="4" fillId="3" borderId="9" xfId="2" applyFont="1" applyBorder="1" applyAlignment="1" applyProtection="1">
      <alignment horizontal="left" vertical="center" indent="1"/>
    </xf>
    <xf numFmtId="0" fontId="2" fillId="2" borderId="0" xfId="1" applyProtection="1">
      <alignment horizontal="left" vertical="center" wrapText="1" indent="1"/>
    </xf>
    <xf numFmtId="0" fontId="0" fillId="0" borderId="0" xfId="0" applyAlignment="1" applyProtection="1">
      <alignment vertical="center"/>
    </xf>
    <xf numFmtId="0" fontId="1" fillId="3" borderId="7" xfId="2" applyBorder="1" applyProtection="1">
      <alignment horizontal="left" vertical="center"/>
    </xf>
    <xf numFmtId="0" fontId="1" fillId="3" borderId="8" xfId="2" applyBorder="1" applyProtection="1">
      <alignment horizontal="left" vertical="center"/>
    </xf>
    <xf numFmtId="0" fontId="1" fillId="3" borderId="9" xfId="2" applyBorder="1" applyProtection="1">
      <alignment horizontal="left" vertical="center"/>
    </xf>
    <xf numFmtId="0" fontId="1" fillId="0" borderId="0" xfId="0" applyFont="1" applyAlignment="1" applyProtection="1">
      <alignment vertical="center"/>
    </xf>
    <xf numFmtId="0" fontId="2" fillId="3" borderId="0" xfId="2" applyFont="1" applyProtection="1">
      <alignment horizontal="left" vertical="center"/>
    </xf>
    <xf numFmtId="164" fontId="1" fillId="3" borderId="1" xfId="2" applyNumberFormat="1" applyBorder="1" applyAlignment="1" applyProtection="1">
      <alignment horizontal="left" vertical="center" indent="1"/>
    </xf>
    <xf numFmtId="0" fontId="1" fillId="3" borderId="0" xfId="2" applyAlignment="1" applyProtection="1">
      <alignment horizontal="left" vertical="center" indent="1"/>
    </xf>
    <xf numFmtId="0" fontId="4" fillId="3" borderId="5" xfId="2" applyFont="1" applyBorder="1" applyAlignment="1" applyProtection="1">
      <alignment horizontal="left" vertical="top" wrapText="1" indent="1"/>
    </xf>
    <xf numFmtId="0" fontId="4" fillId="3" borderId="0" xfId="2" applyFont="1" applyAlignment="1" applyProtection="1">
      <alignment horizontal="left" vertical="top" wrapText="1" indent="1"/>
    </xf>
    <xf numFmtId="0" fontId="4" fillId="3" borderId="6" xfId="2" applyFont="1" applyBorder="1" applyAlignment="1" applyProtection="1">
      <alignment horizontal="left" vertical="top" wrapText="1" indent="1"/>
    </xf>
    <xf numFmtId="0" fontId="4" fillId="3" borderId="7" xfId="2" applyFont="1" applyBorder="1" applyAlignment="1" applyProtection="1">
      <alignment horizontal="left" vertical="top" wrapText="1" indent="1"/>
    </xf>
    <xf numFmtId="0" fontId="4" fillId="3" borderId="8" xfId="2" applyFont="1" applyBorder="1" applyAlignment="1" applyProtection="1">
      <alignment horizontal="left" vertical="top" wrapText="1" indent="1"/>
    </xf>
    <xf numFmtId="0" fontId="4" fillId="3" borderId="9" xfId="2" applyFont="1" applyBorder="1" applyAlignment="1" applyProtection="1">
      <alignment horizontal="left" vertical="top" wrapText="1" indent="1"/>
    </xf>
  </cellXfs>
  <cellStyles count="4">
    <cellStyle name="Content" xfId="2" xr:uid="{52725164-7BE7-4CD6-B77C-3CDBC75C1895}"/>
    <cellStyle name="Header" xfId="1" xr:uid="{0DECB89C-BBD8-42B3-99EE-D809C9C5F219}"/>
    <cellStyle name="Header 2" xfId="3" xr:uid="{D8423742-8227-4EED-9874-0F358770E77C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List" dx="22" fmlaRange="MaterialName" noThreeD="1" sel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2</xdr:row>
          <xdr:rowOff>0</xdr:rowOff>
        </xdr:from>
        <xdr:to>
          <xdr:col>1</xdr:col>
          <xdr:colOff>876300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2</xdr:row>
          <xdr:rowOff>9525</xdr:rowOff>
        </xdr:from>
        <xdr:to>
          <xdr:col>2</xdr:col>
          <xdr:colOff>914400</xdr:colOff>
          <xdr:row>3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Materials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24262</xdr:colOff>
          <xdr:row>8</xdr:row>
          <xdr:rowOff>154997</xdr:rowOff>
        </xdr:from>
        <xdr:to>
          <xdr:col>2</xdr:col>
          <xdr:colOff>680349</xdr:colOff>
          <xdr:row>9</xdr:row>
          <xdr:rowOff>181364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D90C305-BB0B-204C-BDE1-0FB0CE7DBC29}"/>
                </a:ext>
              </a:extLst>
            </xdr:cNvPr>
            <xdr:cNvGrpSpPr/>
          </xdr:nvGrpSpPr>
          <xdr:grpSpPr>
            <a:xfrm>
              <a:off x="135387" y="1678997"/>
              <a:ext cx="1703837" cy="216867"/>
              <a:chOff x="2600326" y="1678997"/>
              <a:chExt cx="1703837" cy="216867"/>
            </a:xfrm>
          </xdr:grpSpPr>
          <xdr:sp macro="" textlink="">
            <xdr:nvSpPr>
              <xdr:cNvPr id="7170" name="Button 2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100-0000021C0000}"/>
                  </a:ext>
                </a:extLst>
              </xdr:cNvPr>
              <xdr:cNvSpPr/>
            </xdr:nvSpPr>
            <xdr:spPr bwMode="auto">
              <a:xfrm>
                <a:off x="2600326" y="1679864"/>
                <a:ext cx="719279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OK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3584884" y="1678997"/>
                <a:ext cx="719279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Cancel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190500</xdr:rowOff>
        </xdr:from>
        <xdr:to>
          <xdr:col>1</xdr:col>
          <xdr:colOff>1695450</xdr:colOff>
          <xdr:row>16</xdr:row>
          <xdr:rowOff>171450</xdr:rowOff>
        </xdr:to>
        <xdr:sp macro="" textlink="">
          <xdr:nvSpPr>
            <xdr:cNvPr id="5122" name="MaterialsListBox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3257</xdr:colOff>
          <xdr:row>2</xdr:row>
          <xdr:rowOff>9062</xdr:rowOff>
        </xdr:from>
        <xdr:to>
          <xdr:col>4</xdr:col>
          <xdr:colOff>9810</xdr:colOff>
          <xdr:row>6</xdr:row>
          <xdr:rowOff>49193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CA56A044-85C8-5A48-FBD2-81EF57BBC8C9}"/>
                </a:ext>
              </a:extLst>
            </xdr:cNvPr>
            <xdr:cNvGrpSpPr/>
          </xdr:nvGrpSpPr>
          <xdr:grpSpPr>
            <a:xfrm>
              <a:off x="1940007" y="390062"/>
              <a:ext cx="720928" cy="802131"/>
              <a:chOff x="3390492" y="390062"/>
              <a:chExt cx="722107" cy="802131"/>
            </a:xfrm>
          </xdr:grpSpPr>
          <xdr:sp macro="" textlink="">
            <xdr:nvSpPr>
              <xdr:cNvPr id="5123" name="Button 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200-000003140000}"/>
                  </a:ext>
                </a:extLst>
              </xdr:cNvPr>
              <xdr:cNvSpPr/>
            </xdr:nvSpPr>
            <xdr:spPr bwMode="auto">
              <a:xfrm>
                <a:off x="3392599" y="390062"/>
                <a:ext cx="720000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Add</a:t>
                </a:r>
              </a:p>
            </xdr:txBody>
          </xdr:sp>
          <xdr:sp macro="" textlink="">
            <xdr:nvSpPr>
              <xdr:cNvPr id="5124" name="Button 4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200-000004140000}"/>
                  </a:ext>
                </a:extLst>
              </xdr:cNvPr>
              <xdr:cNvSpPr/>
            </xdr:nvSpPr>
            <xdr:spPr bwMode="auto">
              <a:xfrm>
                <a:off x="3391830" y="682547"/>
                <a:ext cx="720536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Modify</a:t>
                </a:r>
              </a:p>
            </xdr:txBody>
          </xdr:sp>
          <xdr:sp macro="" textlink="">
            <xdr:nvSpPr>
              <xdr:cNvPr id="5125" name="Button 5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200-000005140000}"/>
                  </a:ext>
                </a:extLst>
              </xdr:cNvPr>
              <xdr:cNvSpPr/>
            </xdr:nvSpPr>
            <xdr:spPr bwMode="auto">
              <a:xfrm>
                <a:off x="3390492" y="976193"/>
                <a:ext cx="720555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Delete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4129</xdr:colOff>
          <xdr:row>14</xdr:row>
          <xdr:rowOff>64589</xdr:rowOff>
        </xdr:from>
        <xdr:to>
          <xdr:col>4</xdr:col>
          <xdr:colOff>10182</xdr:colOff>
          <xdr:row>16</xdr:row>
          <xdr:rowOff>181300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119F3E29-2B82-9D8C-CD57-C86451AE1620}"/>
                </a:ext>
              </a:extLst>
            </xdr:cNvPr>
            <xdr:cNvGrpSpPr/>
          </xdr:nvGrpSpPr>
          <xdr:grpSpPr>
            <a:xfrm>
              <a:off x="1940879" y="2731589"/>
              <a:ext cx="720428" cy="497711"/>
              <a:chOff x="3391254" y="2773403"/>
              <a:chExt cx="721590" cy="497711"/>
            </a:xfrm>
          </xdr:grpSpPr>
          <xdr:sp macro="" textlink="">
            <xdr:nvSpPr>
              <xdr:cNvPr id="5126" name="Button 6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0200-000006140000}"/>
                  </a:ext>
                </a:extLst>
              </xdr:cNvPr>
              <xdr:cNvSpPr/>
            </xdr:nvSpPr>
            <xdr:spPr bwMode="auto">
              <a:xfrm>
                <a:off x="3391773" y="2773403"/>
                <a:ext cx="721071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OK</a:t>
                </a:r>
              </a:p>
            </xdr:txBody>
          </xdr:sp>
          <xdr:sp macro="" textlink="">
            <xdr:nvSpPr>
              <xdr:cNvPr id="5127" name="Button 7" hidden="1">
                <a:extLst>
                  <a:ext uri="{63B3BB69-23CF-44E3-9099-C40C66FF867C}">
                    <a14:compatExt spid="_x0000_s5127"/>
                  </a:ext>
                  <a:ext uri="{FF2B5EF4-FFF2-40B4-BE49-F238E27FC236}">
                    <a16:creationId xmlns:a16="http://schemas.microsoft.com/office/drawing/2014/main" id="{00000000-0008-0000-0200-000007140000}"/>
                  </a:ext>
                </a:extLst>
              </xdr:cNvPr>
              <xdr:cNvSpPr/>
            </xdr:nvSpPr>
            <xdr:spPr bwMode="auto">
              <a:xfrm>
                <a:off x="3391254" y="3055114"/>
                <a:ext cx="721073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Cancel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546594</xdr:colOff>
          <xdr:row>27</xdr:row>
          <xdr:rowOff>159727</xdr:rowOff>
        </xdr:from>
        <xdr:to>
          <xdr:col>2</xdr:col>
          <xdr:colOff>1283687</xdr:colOff>
          <xdr:row>28</xdr:row>
          <xdr:rowOff>186693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3CAC235F-B7F1-98F0-98B7-BB73A04ACC85}"/>
                </a:ext>
              </a:extLst>
            </xdr:cNvPr>
            <xdr:cNvGrpSpPr/>
          </xdr:nvGrpSpPr>
          <xdr:grpSpPr>
            <a:xfrm>
              <a:off x="657719" y="2826727"/>
              <a:ext cx="2784968" cy="217466"/>
              <a:chOff x="4664335" y="5303227"/>
              <a:chExt cx="2462517" cy="217466"/>
            </a:xfrm>
          </xdr:grpSpPr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4664335" y="5303227"/>
                <a:ext cx="636638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OK</a:t>
                </a:r>
              </a:p>
            </xdr:txBody>
          </xdr:sp>
          <xdr:sp macro="" textlink="">
            <xdr:nvSpPr>
              <xdr:cNvPr id="6146" name="Button 2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6490218" y="5304693"/>
                <a:ext cx="636634" cy="216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GB" sz="9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Cancel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A2AD7-1A2A-4002-981B-1C293EDC5EA7}">
  <sheetPr codeName="Sheet7"/>
  <dimension ref="A1:E9"/>
  <sheetViews>
    <sheetView showGridLines="0" showRowColHeaders="0" zoomScale="120" zoomScaleNormal="120" workbookViewId="0">
      <selection activeCell="G10" sqref="G10"/>
    </sheetView>
  </sheetViews>
  <sheetFormatPr defaultRowHeight="15" customHeight="1" x14ac:dyDescent="0.25"/>
  <cols>
    <col min="1" max="1" width="1.7109375" style="4" customWidth="1"/>
    <col min="2" max="4" width="15.7109375" style="4" customWidth="1"/>
    <col min="5" max="5" width="1.7109375" style="4" customWidth="1"/>
    <col min="6" max="16384" width="9.140625" style="4"/>
  </cols>
  <sheetData>
    <row r="1" spans="1:5" ht="15" customHeight="1" x14ac:dyDescent="0.25">
      <c r="A1" s="10" t="s">
        <v>70</v>
      </c>
      <c r="B1" s="10"/>
      <c r="C1" s="10"/>
      <c r="D1" s="10"/>
      <c r="E1" s="10"/>
    </row>
    <row r="2" spans="1:5" ht="15" customHeight="1" x14ac:dyDescent="0.25">
      <c r="A2" s="9"/>
      <c r="B2" s="8" t="s">
        <v>67</v>
      </c>
      <c r="C2" s="8" t="s">
        <v>68</v>
      </c>
      <c r="D2" s="8" t="s">
        <v>69</v>
      </c>
      <c r="E2" s="9"/>
    </row>
    <row r="3" spans="1:5" ht="15" customHeight="1" x14ac:dyDescent="0.25">
      <c r="A3" s="9"/>
      <c r="B3" s="9"/>
      <c r="C3" s="9"/>
      <c r="D3" s="9"/>
      <c r="E3" s="9"/>
    </row>
    <row r="4" spans="1:5" ht="15" customHeight="1" x14ac:dyDescent="0.25">
      <c r="A4" s="9"/>
      <c r="B4" s="9"/>
      <c r="C4" s="9"/>
      <c r="D4" s="9"/>
      <c r="E4" s="9"/>
    </row>
    <row r="5" spans="1:5" ht="15" customHeight="1" x14ac:dyDescent="0.25">
      <c r="A5" s="9"/>
      <c r="B5" s="9"/>
      <c r="C5" s="9"/>
      <c r="D5" s="9"/>
      <c r="E5" s="9"/>
    </row>
    <row r="6" spans="1:5" ht="15" customHeight="1" x14ac:dyDescent="0.25">
      <c r="A6" s="9"/>
      <c r="B6" s="9"/>
      <c r="C6" s="9"/>
      <c r="D6" s="9"/>
      <c r="E6" s="9"/>
    </row>
    <row r="7" spans="1:5" ht="15" customHeight="1" x14ac:dyDescent="0.25">
      <c r="A7" s="9"/>
      <c r="B7" s="9"/>
      <c r="C7" s="9"/>
      <c r="D7" s="9"/>
      <c r="E7" s="9"/>
    </row>
    <row r="8" spans="1:5" ht="15" customHeight="1" x14ac:dyDescent="0.25">
      <c r="A8" s="9"/>
      <c r="B8" s="9"/>
      <c r="C8" s="9"/>
      <c r="D8" s="9"/>
      <c r="E8" s="9"/>
    </row>
    <row r="9" spans="1:5" ht="15" customHeight="1" x14ac:dyDescent="0.25">
      <c r="A9" s="9"/>
      <c r="B9" s="9"/>
      <c r="C9" s="9"/>
      <c r="D9" s="9"/>
      <c r="E9" s="9"/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me_Units">
                <anchor moveWithCells="1" sizeWithCells="1">
                  <from>
                    <xdr:col>1</xdr:col>
                    <xdr:colOff>161925</xdr:colOff>
                    <xdr:row>2</xdr:row>
                    <xdr:rowOff>0</xdr:rowOff>
                  </from>
                  <to>
                    <xdr:col>1</xdr:col>
                    <xdr:colOff>876300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Home_Materials">
                <anchor moveWithCells="1" sizeWithCells="1">
                  <from>
                    <xdr:col>2</xdr:col>
                    <xdr:colOff>200025</xdr:colOff>
                    <xdr:row>2</xdr:row>
                    <xdr:rowOff>9525</xdr:rowOff>
                  </from>
                  <to>
                    <xdr:col>2</xdr:col>
                    <xdr:colOff>914400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8A6FE-45B3-4E5C-8DE7-3FB1DD3D3D90}">
  <sheetPr codeName="Sheet4"/>
  <dimension ref="A1:D12"/>
  <sheetViews>
    <sheetView showGridLines="0" showRowColHeaders="0" zoomScale="120" zoomScaleNormal="120" zoomScaleSheetLayoutView="130" workbookViewId="0">
      <selection activeCell="C3" sqref="C3"/>
    </sheetView>
  </sheetViews>
  <sheetFormatPr defaultRowHeight="15" customHeight="1" x14ac:dyDescent="0.25"/>
  <cols>
    <col min="1" max="1" width="1.7109375" style="12" customWidth="1"/>
    <col min="2" max="2" width="15.7109375" style="12" customWidth="1"/>
    <col min="3" max="3" width="10.7109375" style="12" customWidth="1"/>
    <col min="4" max="4" width="1.7109375" style="12" customWidth="1"/>
    <col min="5" max="16384" width="9.140625" style="12"/>
  </cols>
  <sheetData>
    <row r="1" spans="1:4" ht="15" customHeight="1" x14ac:dyDescent="0.25">
      <c r="A1" s="14" t="s">
        <v>46</v>
      </c>
      <c r="B1" s="15"/>
      <c r="C1" s="15"/>
      <c r="D1" s="16"/>
    </row>
    <row r="2" spans="1:4" ht="15" customHeight="1" x14ac:dyDescent="0.25">
      <c r="A2" s="17"/>
      <c r="B2" s="18" t="s">
        <v>47</v>
      </c>
      <c r="C2" s="18" t="s">
        <v>48</v>
      </c>
      <c r="D2" s="19"/>
    </row>
    <row r="3" spans="1:4" ht="15" customHeight="1" x14ac:dyDescent="0.25">
      <c r="A3" s="17"/>
      <c r="B3" s="20" t="s">
        <v>49</v>
      </c>
      <c r="C3" s="7" t="s">
        <v>1</v>
      </c>
      <c r="D3" s="19"/>
    </row>
    <row r="4" spans="1:4" ht="15" customHeight="1" x14ac:dyDescent="0.25">
      <c r="A4" s="17"/>
      <c r="B4" s="20" t="s">
        <v>50</v>
      </c>
      <c r="C4" s="7" t="s">
        <v>2</v>
      </c>
      <c r="D4" s="19"/>
    </row>
    <row r="5" spans="1:4" ht="15" customHeight="1" x14ac:dyDescent="0.25">
      <c r="A5" s="17"/>
      <c r="B5" s="20" t="s">
        <v>51</v>
      </c>
      <c r="C5" s="7" t="s">
        <v>3</v>
      </c>
      <c r="D5" s="19"/>
    </row>
    <row r="6" spans="1:4" ht="15" customHeight="1" x14ac:dyDescent="0.25">
      <c r="A6" s="17"/>
      <c r="B6" s="20" t="s">
        <v>52</v>
      </c>
      <c r="C6" s="7" t="s">
        <v>16</v>
      </c>
      <c r="D6" s="19"/>
    </row>
    <row r="7" spans="1:4" ht="15" customHeight="1" x14ac:dyDescent="0.25">
      <c r="A7" s="17"/>
      <c r="B7" s="20" t="s">
        <v>53</v>
      </c>
      <c r="C7" s="7" t="s">
        <v>5</v>
      </c>
      <c r="D7" s="19"/>
    </row>
    <row r="8" spans="1:4" ht="15" customHeight="1" x14ac:dyDescent="0.25">
      <c r="A8" s="17"/>
      <c r="B8" s="20" t="s">
        <v>54</v>
      </c>
      <c r="C8" s="7" t="s">
        <v>6</v>
      </c>
      <c r="D8" s="19"/>
    </row>
    <row r="9" spans="1:4" ht="15" customHeight="1" x14ac:dyDescent="0.25">
      <c r="A9" s="17"/>
      <c r="B9" s="21"/>
      <c r="C9" s="21"/>
      <c r="D9" s="19"/>
    </row>
    <row r="10" spans="1:4" ht="15" customHeight="1" x14ac:dyDescent="0.25">
      <c r="A10" s="22"/>
      <c r="B10" s="23"/>
      <c r="C10" s="23"/>
      <c r="D10" s="24"/>
    </row>
    <row r="11" spans="1:4" ht="15" customHeight="1" x14ac:dyDescent="0.25">
      <c r="A11" s="22"/>
      <c r="B11" s="23"/>
      <c r="C11" s="23"/>
      <c r="D11" s="24"/>
    </row>
    <row r="12" spans="1:4" ht="15" customHeight="1" x14ac:dyDescent="0.25">
      <c r="A12" s="25" t="s">
        <v>74</v>
      </c>
      <c r="B12" s="26"/>
      <c r="C12" s="26"/>
      <c r="D12" s="27"/>
    </row>
  </sheetData>
  <sheetProtection algorithmName="SHA-512" hashValue="V/dpScdwbPA1BjnabovjNrwAMJtc9STmHDQ32ate/HDDG9dt6z5czeMURSRIaq42yGkJ6vHPPRQUr8vjP8Y3pQ==" saltValue="AtNMsKZVXwd6J4Jo3TS2RQ==" spinCount="100000" sheet="1" objects="1" scenarios="1" selectLockedCells="1"/>
  <mergeCells count="2">
    <mergeCell ref="A1:D1"/>
    <mergeCell ref="A12:D12"/>
  </mergeCells>
  <dataValidations count="6">
    <dataValidation type="list" showInputMessage="1" showErrorMessage="1" errorTitle="Invalid Input" error="Choose from the list" sqref="C3" xr:uid="{D8ED1803-AA58-4B6E-8E7E-B3C23E791882}">
      <formula1>UnitForce</formula1>
    </dataValidation>
    <dataValidation type="list" showInputMessage="1" showErrorMessage="1" errorTitle="Invalid Input" error="Choose from the list" sqref="C4" xr:uid="{6A2D3E50-E272-4919-8057-185975869007}">
      <formula1>UnitLength</formula1>
    </dataValidation>
    <dataValidation type="list" showInputMessage="1" showErrorMessage="1" errorTitle="Invalid Input" error="Choose from the list" sqref="C5" xr:uid="{01DDAB18-6EB6-433A-81A4-47E41A900A58}">
      <formula1>UnitMass</formula1>
    </dataValidation>
    <dataValidation type="list" showInputMessage="1" showErrorMessage="1" errorTitle="Invalid Input" error="Choose from the list" sqref="C6" xr:uid="{3AEB1D67-EBC3-4F9C-AC79-681C5E5E1D85}">
      <formula1>UnitStress</formula1>
    </dataValidation>
    <dataValidation type="list" showInputMessage="1" showErrorMessage="1" errorTitle="Invalid Input" error="Choose from the list" sqref="C7" xr:uid="{56205151-EFF7-4355-BC7B-F64E1C7D3588}">
      <formula1>UnitTime</formula1>
    </dataValidation>
    <dataValidation type="list" showInputMessage="1" showErrorMessage="1" errorTitle="Invalid Input" error="Choose from the list" sqref="C8" xr:uid="{854925B2-0425-4BBE-B9AF-6EA338758060}">
      <formula1>UnitAngle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Units_OK">
                <anchor moveWithCells="1" sizeWithCells="1">
                  <from>
                    <xdr:col>1</xdr:col>
                    <xdr:colOff>28575</xdr:colOff>
                    <xdr:row>8</xdr:row>
                    <xdr:rowOff>152400</xdr:rowOff>
                  </from>
                  <to>
                    <xdr:col>1</xdr:col>
                    <xdr:colOff>742950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Units_Cancel">
                <anchor moveWithCells="1" sizeWithCells="1">
                  <from>
                    <xdr:col>1</xdr:col>
                    <xdr:colOff>1009650</xdr:colOff>
                    <xdr:row>8</xdr:row>
                    <xdr:rowOff>152400</xdr:rowOff>
                  </from>
                  <to>
                    <xdr:col>2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70085-A3B5-4172-94DC-B9FFAE61F725}">
  <sheetPr codeName="Sheet5"/>
  <dimension ref="A1:E18"/>
  <sheetViews>
    <sheetView showGridLines="0" zoomScale="120" zoomScaleNormal="120" workbookViewId="0">
      <selection activeCell="D2" sqref="D1:D1048576"/>
    </sheetView>
  </sheetViews>
  <sheetFormatPr defaultRowHeight="15" x14ac:dyDescent="0.25"/>
  <cols>
    <col min="1" max="1" width="1.7109375" style="29" customWidth="1"/>
    <col min="2" max="2" width="25.7109375" style="29" customWidth="1"/>
    <col min="3" max="3" width="1.7109375" style="29" customWidth="1"/>
    <col min="4" max="4" width="10.7109375" style="29" customWidth="1"/>
    <col min="5" max="5" width="1.7109375" style="29" customWidth="1"/>
    <col min="6" max="16384" width="9.140625" style="29"/>
  </cols>
  <sheetData>
    <row r="1" spans="1:5" x14ac:dyDescent="0.25">
      <c r="A1" s="28" t="s">
        <v>55</v>
      </c>
      <c r="B1" s="28"/>
      <c r="C1" s="28"/>
      <c r="D1" s="28"/>
      <c r="E1" s="28"/>
    </row>
    <row r="2" spans="1:5" x14ac:dyDescent="0.25">
      <c r="A2" s="22"/>
      <c r="B2" s="23" t="s">
        <v>56</v>
      </c>
      <c r="C2" s="23"/>
      <c r="D2" s="23"/>
      <c r="E2" s="24"/>
    </row>
    <row r="3" spans="1:5" x14ac:dyDescent="0.25">
      <c r="A3" s="22"/>
      <c r="B3" s="23"/>
      <c r="C3" s="23"/>
      <c r="D3" s="23"/>
      <c r="E3" s="24"/>
    </row>
    <row r="4" spans="1:5" x14ac:dyDescent="0.25">
      <c r="A4" s="22"/>
      <c r="B4" s="23"/>
      <c r="C4" s="23"/>
      <c r="D4" s="23"/>
      <c r="E4" s="24"/>
    </row>
    <row r="5" spans="1:5" x14ac:dyDescent="0.25">
      <c r="A5" s="22"/>
      <c r="B5" s="23"/>
      <c r="C5" s="23"/>
      <c r="D5" s="23"/>
      <c r="E5" s="24"/>
    </row>
    <row r="6" spans="1:5" x14ac:dyDescent="0.25">
      <c r="A6" s="22"/>
      <c r="B6" s="23"/>
      <c r="C6" s="23"/>
      <c r="D6" s="23"/>
      <c r="E6" s="24"/>
    </row>
    <row r="7" spans="1:5" x14ac:dyDescent="0.25">
      <c r="A7" s="22"/>
      <c r="B7" s="23"/>
      <c r="C7" s="23"/>
      <c r="D7" s="23"/>
      <c r="E7" s="24"/>
    </row>
    <row r="8" spans="1:5" x14ac:dyDescent="0.25">
      <c r="A8" s="22"/>
      <c r="B8" s="23"/>
      <c r="C8" s="23"/>
      <c r="D8" s="23"/>
      <c r="E8" s="24"/>
    </row>
    <row r="9" spans="1:5" x14ac:dyDescent="0.25">
      <c r="A9" s="22"/>
      <c r="B9" s="23"/>
      <c r="C9" s="23"/>
      <c r="D9" s="23"/>
      <c r="E9" s="24"/>
    </row>
    <row r="10" spans="1:5" x14ac:dyDescent="0.25">
      <c r="A10" s="22"/>
      <c r="B10" s="23"/>
      <c r="C10" s="23"/>
      <c r="D10" s="23"/>
      <c r="E10" s="24"/>
    </row>
    <row r="11" spans="1:5" x14ac:dyDescent="0.25">
      <c r="A11" s="22"/>
      <c r="B11" s="23"/>
      <c r="C11" s="23"/>
      <c r="D11" s="23"/>
      <c r="E11" s="24"/>
    </row>
    <row r="12" spans="1:5" x14ac:dyDescent="0.25">
      <c r="A12" s="22"/>
      <c r="B12" s="23"/>
      <c r="C12" s="23"/>
      <c r="D12" s="23"/>
      <c r="E12" s="24"/>
    </row>
    <row r="13" spans="1:5" x14ac:dyDescent="0.25">
      <c r="A13" s="22"/>
      <c r="B13" s="23"/>
      <c r="C13" s="23"/>
      <c r="D13" s="23"/>
      <c r="E13" s="24"/>
    </row>
    <row r="14" spans="1:5" x14ac:dyDescent="0.25">
      <c r="A14" s="22"/>
      <c r="B14" s="23"/>
      <c r="C14" s="23"/>
      <c r="D14" s="23"/>
      <c r="E14" s="24"/>
    </row>
    <row r="15" spans="1:5" x14ac:dyDescent="0.25">
      <c r="A15" s="22"/>
      <c r="B15" s="23"/>
      <c r="C15" s="23"/>
      <c r="D15" s="23"/>
      <c r="E15" s="24"/>
    </row>
    <row r="16" spans="1:5" x14ac:dyDescent="0.25">
      <c r="A16" s="22"/>
      <c r="B16" s="23"/>
      <c r="C16" s="23"/>
      <c r="D16" s="23"/>
      <c r="E16" s="24"/>
    </row>
    <row r="17" spans="1:5" x14ac:dyDescent="0.25">
      <c r="A17" s="22"/>
      <c r="B17" s="23"/>
      <c r="C17" s="23"/>
      <c r="D17" s="23"/>
      <c r="E17" s="24"/>
    </row>
    <row r="18" spans="1:5" x14ac:dyDescent="0.25">
      <c r="A18" s="30"/>
      <c r="B18" s="31"/>
      <c r="C18" s="31"/>
      <c r="D18" s="31"/>
      <c r="E18" s="32"/>
    </row>
  </sheetData>
  <sheetProtection selectLockedCells="1"/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MaterialsListBox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190500</xdr:rowOff>
                  </from>
                  <to>
                    <xdr:col>1</xdr:col>
                    <xdr:colOff>1695450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aterial_Add">
                <anchor moveWithCells="1" sizeWithCells="1"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4</xdr:col>
                    <xdr:colOff>9525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Material_Modify">
                <anchor moveWithCells="1" sizeWithCells="1">
                  <from>
                    <xdr:col>3</xdr:col>
                    <xdr:colOff>0</xdr:colOff>
                    <xdr:row>3</xdr:row>
                    <xdr:rowOff>114300</xdr:rowOff>
                  </from>
                  <to>
                    <xdr:col>4</xdr:col>
                    <xdr:colOff>9525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Material_Delete">
                <anchor moveWithCells="1" siz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4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Material_OK">
                <anchor moveWithCells="1" sizeWithCells="1">
                  <from>
                    <xdr:col>3</xdr:col>
                    <xdr:colOff>0</xdr:colOff>
                    <xdr:row>14</xdr:row>
                    <xdr:rowOff>66675</xdr:rowOff>
                  </from>
                  <to>
                    <xdr:col>4</xdr:col>
                    <xdr:colOff>9525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7">
              <controlPr defaultSize="0" print="0" autoFill="0" autoPict="0" macro="[0]!Material_Cancel">
                <anchor moveWithCells="1" sizeWithCells="1">
                  <from>
                    <xdr:col>3</xdr:col>
                    <xdr:colOff>0</xdr:colOff>
                    <xdr:row>15</xdr:row>
                    <xdr:rowOff>152400</xdr:rowOff>
                  </from>
                  <to>
                    <xdr:col>4</xdr:col>
                    <xdr:colOff>9525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6E1D3-A508-403D-8B4C-7E4EE13A1054}">
  <sheetPr codeName="Sheet6"/>
  <dimension ref="A1:Z32"/>
  <sheetViews>
    <sheetView showGridLines="0" showRowColHeaders="0" zoomScale="120" zoomScaleNormal="120" workbookViewId="0">
      <selection activeCell="C3" sqref="C3"/>
    </sheetView>
  </sheetViews>
  <sheetFormatPr defaultRowHeight="15" customHeight="1" x14ac:dyDescent="0.25"/>
  <cols>
    <col min="1" max="1" width="1.7109375" style="33" customWidth="1"/>
    <col min="2" max="2" width="30.7109375" style="33" customWidth="1"/>
    <col min="3" max="3" width="20.7109375" style="33" customWidth="1"/>
    <col min="4" max="4" width="10.7109375" style="33" customWidth="1"/>
    <col min="5" max="5" width="1.7109375" style="33" customWidth="1"/>
    <col min="6" max="6" width="9.140625" style="33" customWidth="1"/>
    <col min="7" max="7" width="9.140625" style="33" hidden="1" customWidth="1"/>
    <col min="8" max="16384" width="9.140625" style="33"/>
  </cols>
  <sheetData>
    <row r="1" spans="1:26" ht="15" customHeight="1" x14ac:dyDescent="0.25">
      <c r="A1" s="14" t="s">
        <v>57</v>
      </c>
      <c r="B1" s="15"/>
      <c r="C1" s="15"/>
      <c r="D1" s="15"/>
      <c r="E1" s="16"/>
      <c r="G1" s="33" t="s">
        <v>78</v>
      </c>
      <c r="Z1" s="33" t="s">
        <v>78</v>
      </c>
    </row>
    <row r="2" spans="1:26" ht="15" customHeight="1" x14ac:dyDescent="0.25">
      <c r="A2" s="22"/>
      <c r="B2" s="34" t="s">
        <v>58</v>
      </c>
      <c r="C2" s="23"/>
      <c r="D2" s="23"/>
      <c r="E2" s="24"/>
      <c r="Z2" s="33" t="s">
        <v>76</v>
      </c>
    </row>
    <row r="3" spans="1:26" ht="15" customHeight="1" x14ac:dyDescent="0.25">
      <c r="A3" s="22"/>
      <c r="B3" s="23" t="s">
        <v>59</v>
      </c>
      <c r="C3" s="5" t="s">
        <v>80</v>
      </c>
      <c r="D3" s="23"/>
      <c r="E3" s="24"/>
      <c r="Z3" s="33">
        <v>2</v>
      </c>
    </row>
    <row r="4" spans="1:26" ht="15" customHeight="1" x14ac:dyDescent="0.25">
      <c r="A4" s="22"/>
      <c r="B4" s="23" t="s">
        <v>35</v>
      </c>
      <c r="C4" s="5" t="s">
        <v>38</v>
      </c>
      <c r="D4" s="23"/>
      <c r="E4" s="24"/>
    </row>
    <row r="5" spans="1:26" ht="15" customHeight="1" x14ac:dyDescent="0.25">
      <c r="A5" s="22"/>
      <c r="B5" s="23" t="s">
        <v>60</v>
      </c>
      <c r="C5" s="6">
        <v>23.6</v>
      </c>
      <c r="D5" s="23" t="s">
        <v>77</v>
      </c>
      <c r="E5" s="24"/>
    </row>
    <row r="6" spans="1:26" ht="15" customHeight="1" x14ac:dyDescent="0.25">
      <c r="A6" s="22"/>
      <c r="B6" s="23" t="s">
        <v>61</v>
      </c>
      <c r="C6" s="6">
        <f>4700*SQRT(60)</f>
        <v>36406.043454349718</v>
      </c>
      <c r="D6" s="23" t="s">
        <v>16</v>
      </c>
      <c r="E6" s="24"/>
    </row>
    <row r="7" spans="1:26" ht="15" customHeight="1" x14ac:dyDescent="0.25">
      <c r="A7" s="22"/>
      <c r="B7" s="23" t="s">
        <v>62</v>
      </c>
      <c r="C7" s="6">
        <v>0.2</v>
      </c>
      <c r="D7" s="23"/>
      <c r="E7" s="24"/>
    </row>
    <row r="8" spans="1:26" ht="15" customHeight="1" x14ac:dyDescent="0.25">
      <c r="A8" s="22"/>
      <c r="B8" s="23" t="s">
        <v>63</v>
      </c>
      <c r="C8" s="35">
        <v>15169.184772645716</v>
      </c>
      <c r="D8" s="23" t="s">
        <v>16</v>
      </c>
      <c r="E8" s="24"/>
    </row>
    <row r="9" spans="1:26" ht="15" customHeight="1" x14ac:dyDescent="0.25">
      <c r="A9" s="22"/>
      <c r="B9" s="23"/>
      <c r="C9" s="36"/>
      <c r="D9" s="23"/>
      <c r="E9" s="24"/>
    </row>
    <row r="10" spans="1:26" ht="15" customHeight="1" x14ac:dyDescent="0.25">
      <c r="A10" s="22"/>
      <c r="B10" s="34" t="s">
        <v>64</v>
      </c>
      <c r="C10" s="36"/>
      <c r="D10" s="23"/>
      <c r="E10" s="24"/>
    </row>
    <row r="11" spans="1:26" ht="15" customHeight="1" x14ac:dyDescent="0.25">
      <c r="A11" s="22"/>
      <c r="B11" s="23" t="s">
        <v>73</v>
      </c>
      <c r="C11" s="6">
        <v>60</v>
      </c>
      <c r="D11" s="23" t="s">
        <v>16</v>
      </c>
      <c r="E11" s="24"/>
    </row>
    <row r="12" spans="1:26" ht="15" hidden="1" customHeight="1" x14ac:dyDescent="0.25">
      <c r="A12" s="22"/>
      <c r="B12" s="23"/>
      <c r="C12" s="6"/>
      <c r="D12" s="23"/>
      <c r="E12" s="24"/>
    </row>
    <row r="13" spans="1:26" ht="15" customHeight="1" x14ac:dyDescent="0.25">
      <c r="A13" s="22"/>
      <c r="B13" s="23"/>
      <c r="C13" s="36"/>
      <c r="D13" s="23"/>
      <c r="E13" s="24"/>
    </row>
    <row r="14" spans="1:26" ht="15" customHeight="1" x14ac:dyDescent="0.25">
      <c r="A14" s="22"/>
      <c r="B14" s="34" t="s">
        <v>65</v>
      </c>
      <c r="C14" s="36"/>
      <c r="D14" s="23"/>
      <c r="E14" s="24"/>
    </row>
    <row r="15" spans="1:26" ht="15" customHeight="1" x14ac:dyDescent="0.25">
      <c r="A15" s="22"/>
      <c r="B15" s="23" t="s">
        <v>66</v>
      </c>
      <c r="C15" s="5" t="s">
        <v>39</v>
      </c>
      <c r="D15" s="23"/>
      <c r="E15" s="24"/>
    </row>
    <row r="16" spans="1:26" ht="15" hidden="1" customHeight="1" x14ac:dyDescent="0.25">
      <c r="A16" s="22"/>
      <c r="B16" s="23"/>
      <c r="C16" s="6"/>
      <c r="D16" s="23"/>
      <c r="E16" s="24"/>
    </row>
    <row r="17" spans="1:5" ht="15" hidden="1" customHeight="1" x14ac:dyDescent="0.25">
      <c r="A17" s="22"/>
      <c r="B17" s="23"/>
      <c r="C17" s="6"/>
      <c r="D17" s="23"/>
      <c r="E17" s="24"/>
    </row>
    <row r="18" spans="1:5" ht="15" hidden="1" customHeight="1" x14ac:dyDescent="0.25">
      <c r="A18" s="22"/>
      <c r="B18" s="23"/>
      <c r="C18" s="6"/>
      <c r="D18" s="23"/>
      <c r="E18" s="24"/>
    </row>
    <row r="19" spans="1:5" ht="15" hidden="1" customHeight="1" x14ac:dyDescent="0.25">
      <c r="A19" s="22"/>
      <c r="B19" s="23"/>
      <c r="C19" s="6"/>
      <c r="D19" s="23"/>
      <c r="E19" s="24"/>
    </row>
    <row r="20" spans="1:5" ht="15" hidden="1" customHeight="1" x14ac:dyDescent="0.25">
      <c r="A20" s="22"/>
      <c r="B20" s="23"/>
      <c r="C20" s="6"/>
      <c r="D20" s="23"/>
      <c r="E20" s="24"/>
    </row>
    <row r="21" spans="1:5" ht="15" hidden="1" customHeight="1" x14ac:dyDescent="0.25">
      <c r="A21" s="22"/>
      <c r="B21" s="23"/>
      <c r="C21" s="6"/>
      <c r="D21" s="23"/>
      <c r="E21" s="24"/>
    </row>
    <row r="22" spans="1:5" ht="15" hidden="1" customHeight="1" x14ac:dyDescent="0.25">
      <c r="A22" s="22"/>
      <c r="B22" s="23"/>
      <c r="C22" s="6"/>
      <c r="D22" s="23"/>
      <c r="E22" s="24"/>
    </row>
    <row r="23" spans="1:5" ht="15" hidden="1" customHeight="1" x14ac:dyDescent="0.25">
      <c r="A23" s="22"/>
      <c r="B23" s="23"/>
      <c r="C23" s="6"/>
      <c r="D23" s="23"/>
      <c r="E23" s="24"/>
    </row>
    <row r="24" spans="1:5" ht="15" hidden="1" customHeight="1" x14ac:dyDescent="0.25">
      <c r="A24" s="22"/>
      <c r="B24" s="23"/>
      <c r="C24" s="6"/>
      <c r="D24" s="23"/>
      <c r="E24" s="24"/>
    </row>
    <row r="25" spans="1:5" ht="15" hidden="1" customHeight="1" x14ac:dyDescent="0.25">
      <c r="A25" s="22"/>
      <c r="B25" s="23"/>
      <c r="C25" s="6"/>
      <c r="D25" s="23"/>
      <c r="E25" s="24"/>
    </row>
    <row r="26" spans="1:5" ht="15" hidden="1" customHeight="1" x14ac:dyDescent="0.25">
      <c r="A26" s="22"/>
      <c r="B26" s="23"/>
      <c r="C26" s="6"/>
      <c r="D26" s="23"/>
      <c r="E26" s="24"/>
    </row>
    <row r="27" spans="1:5" ht="15" hidden="1" customHeight="1" x14ac:dyDescent="0.25">
      <c r="A27" s="22"/>
      <c r="B27" s="23"/>
      <c r="C27" s="6"/>
      <c r="D27" s="23"/>
      <c r="E27" s="24"/>
    </row>
    <row r="28" spans="1:5" ht="15" customHeight="1" x14ac:dyDescent="0.25">
      <c r="A28" s="22"/>
      <c r="B28" s="23"/>
      <c r="C28" s="23"/>
      <c r="D28" s="23"/>
      <c r="E28" s="24"/>
    </row>
    <row r="29" spans="1:5" ht="15" customHeight="1" x14ac:dyDescent="0.25">
      <c r="A29" s="22"/>
      <c r="B29" s="23"/>
      <c r="C29" s="23"/>
      <c r="D29" s="23"/>
      <c r="E29" s="24"/>
    </row>
    <row r="30" spans="1:5" ht="15" customHeight="1" x14ac:dyDescent="0.25">
      <c r="A30" s="22"/>
      <c r="B30" s="23"/>
      <c r="C30" s="23"/>
      <c r="D30" s="23"/>
      <c r="E30" s="24"/>
    </row>
    <row r="31" spans="1:5" ht="15" customHeight="1" x14ac:dyDescent="0.25">
      <c r="A31" s="37" t="s">
        <v>81</v>
      </c>
      <c r="B31" s="38"/>
      <c r="C31" s="38"/>
      <c r="D31" s="38"/>
      <c r="E31" s="39"/>
    </row>
    <row r="32" spans="1:5" ht="15" customHeight="1" x14ac:dyDescent="0.25">
      <c r="A32" s="40"/>
      <c r="B32" s="41"/>
      <c r="C32" s="41"/>
      <c r="D32" s="41"/>
      <c r="E32" s="42"/>
    </row>
  </sheetData>
  <sheetProtection algorithmName="SHA-512" hashValue="LBjNycCo8JMkNVULlQB4bA7nAki8jHhOU6XznGDz4LVO+Wy/3aq43LBASw+gZM9TBp++8olWTPt+0ybaBCq3Dw==" saltValue="zDTMknMnxMzuKWnyjweySg==" spinCount="100000" sheet="1" objects="1" scenarios="1" selectLockedCells="1"/>
  <mergeCells count="2">
    <mergeCell ref="A1:E1"/>
    <mergeCell ref="A31:E32"/>
  </mergeCells>
  <dataValidations count="2">
    <dataValidation type="list" showInputMessage="1" showErrorMessage="1" errorTitle="Invalid Input" error="Choose from the list" sqref="C4" xr:uid="{D9FFE26F-7555-4FE1-A0D4-FEB24899FDC6}">
      <formula1>MaterialType</formula1>
    </dataValidation>
    <dataValidation type="list" allowBlank="1" showInputMessage="1" showErrorMessage="1" errorTitle="Invalid Input" error="Choose from the list" sqref="C15" xr:uid="{8713B3F1-47FA-4FF0-8258-0CA8185B6E41}">
      <formula1>IF($C$4="Concrete",MaterialModel_Concrete,IF(OR($C$4="Steel",$C$4="Rebar"),MaterialModel_Steel,Blank))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terialsForm_OK">
                <anchor moveWithCells="1" sizeWithCells="1">
                  <from>
                    <xdr:col>1</xdr:col>
                    <xdr:colOff>542925</xdr:colOff>
                    <xdr:row>27</xdr:row>
                    <xdr:rowOff>161925</xdr:rowOff>
                  </from>
                  <to>
                    <xdr:col>1</xdr:col>
                    <xdr:colOff>1266825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aterialsForm_Cancel">
                <anchor moveWithCells="1" sizeWithCells="1">
                  <from>
                    <xdr:col>2</xdr:col>
                    <xdr:colOff>561975</xdr:colOff>
                    <xdr:row>27</xdr:row>
                    <xdr:rowOff>161925</xdr:rowOff>
                  </from>
                  <to>
                    <xdr:col>2</xdr:col>
                    <xdr:colOff>1285875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297CA-BD21-43BE-8916-279E4B638B7B}">
  <dimension ref="A1:E1"/>
  <sheetViews>
    <sheetView tabSelected="1" zoomScale="120" zoomScaleNormal="120" workbookViewId="0">
      <selection activeCell="F9" sqref="F9"/>
    </sheetView>
  </sheetViews>
  <sheetFormatPr defaultRowHeight="15" customHeight="1" x14ac:dyDescent="0.25"/>
  <cols>
    <col min="1" max="1" width="1.7109375" style="4" customWidth="1"/>
    <col min="2" max="2" width="25.7109375" style="4" customWidth="1"/>
    <col min="3" max="3" width="1.7109375" style="4" customWidth="1"/>
    <col min="4" max="4" width="10.7109375" style="4" customWidth="1"/>
    <col min="5" max="5" width="1.7109375" style="4" customWidth="1"/>
    <col min="6" max="16384" width="9.140625" style="4"/>
  </cols>
  <sheetData>
    <row r="1" spans="1:5" ht="15" customHeight="1" x14ac:dyDescent="0.25">
      <c r="A1" s="10" t="s">
        <v>82</v>
      </c>
      <c r="B1" s="10"/>
      <c r="C1" s="10"/>
      <c r="D1" s="10"/>
      <c r="E1" s="10"/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61B08-E2DE-4FD2-9C7C-2254E33569B9}">
  <sheetPr codeName="Sheet8"/>
  <dimension ref="A1:I4"/>
  <sheetViews>
    <sheetView zoomScale="120" zoomScaleNormal="120" workbookViewId="0">
      <selection activeCell="B3" sqref="B3"/>
    </sheetView>
  </sheetViews>
  <sheetFormatPr defaultColWidth="10.7109375" defaultRowHeight="15" customHeight="1" x14ac:dyDescent="0.25"/>
  <cols>
    <col min="1" max="16384" width="10.7109375" style="12"/>
  </cols>
  <sheetData>
    <row r="1" spans="1:9" ht="15" customHeight="1" x14ac:dyDescent="0.25">
      <c r="A1" s="12" t="s">
        <v>71</v>
      </c>
      <c r="B1" s="12" t="s">
        <v>1</v>
      </c>
      <c r="C1" s="12" t="s">
        <v>2</v>
      </c>
      <c r="D1" s="12" t="s">
        <v>3</v>
      </c>
      <c r="E1" s="12" t="s">
        <v>16</v>
      </c>
      <c r="F1" s="12" t="s">
        <v>5</v>
      </c>
      <c r="G1" s="12" t="s">
        <v>6</v>
      </c>
    </row>
    <row r="2" spans="1:9" ht="15" customHeight="1" x14ac:dyDescent="0.25">
      <c r="A2" s="12" t="s">
        <v>72</v>
      </c>
      <c r="B2" s="12" t="s">
        <v>76</v>
      </c>
      <c r="C2" s="12" t="s">
        <v>38</v>
      </c>
      <c r="D2" s="12" t="s">
        <v>39</v>
      </c>
      <c r="E2" s="12">
        <v>23.6</v>
      </c>
      <c r="F2" s="12">
        <v>29725.410005582766</v>
      </c>
      <c r="G2" s="12">
        <v>0.2</v>
      </c>
      <c r="H2" s="12">
        <v>12385.587502326152</v>
      </c>
      <c r="I2" s="12">
        <v>40</v>
      </c>
    </row>
    <row r="3" spans="1:9" ht="15" customHeight="1" x14ac:dyDescent="0.25">
      <c r="A3" s="12" t="s">
        <v>72</v>
      </c>
      <c r="B3" s="12" t="s">
        <v>79</v>
      </c>
      <c r="C3" s="12" t="s">
        <v>38</v>
      </c>
      <c r="D3" s="12" t="s">
        <v>39</v>
      </c>
      <c r="E3" s="12">
        <v>23.6</v>
      </c>
      <c r="F3" s="12">
        <v>29725.410005582766</v>
      </c>
      <c r="G3" s="12">
        <v>0.2</v>
      </c>
      <c r="H3" s="12">
        <v>12385.587502326152</v>
      </c>
      <c r="I3" s="12">
        <v>40</v>
      </c>
    </row>
    <row r="4" spans="1:9" ht="15" customHeight="1" x14ac:dyDescent="0.25">
      <c r="A4" s="12" t="s">
        <v>72</v>
      </c>
      <c r="B4" s="12" t="s">
        <v>75</v>
      </c>
      <c r="C4" s="12" t="s">
        <v>38</v>
      </c>
      <c r="D4" s="12" t="s">
        <v>39</v>
      </c>
      <c r="E4" s="12">
        <v>23.6</v>
      </c>
      <c r="F4" s="12">
        <v>33234.018715767736</v>
      </c>
      <c r="G4" s="12">
        <v>0.2</v>
      </c>
      <c r="H4" s="12">
        <v>13847.507798236556</v>
      </c>
      <c r="I4" s="12">
        <v>50</v>
      </c>
    </row>
  </sheetData>
  <sheetProtection algorithmName="SHA-512" hashValue="doEn2Y1bTTpzxsrr6BG43MOlJdHOCypMIDP0RjeIpD+OrORdbqvQSG8EsvL0vHFGMDJPQDpPk+uHEtrnQZNFuQ==" saltValue="IkTQOAsYW3USxJqfRMCPcQ==" spinCount="100000" sheet="1" objects="1" scenarios="1" select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5CF91-9F95-43AA-8451-F20566B29094}">
  <sheetPr codeName="Sheet2"/>
  <dimension ref="A1"/>
  <sheetViews>
    <sheetView zoomScale="120" zoomScaleNormal="120" workbookViewId="0">
      <selection activeCell="C3" sqref="C3"/>
    </sheetView>
  </sheetViews>
  <sheetFormatPr defaultColWidth="10.7109375" defaultRowHeight="15" customHeight="1" x14ac:dyDescent="0.2"/>
  <cols>
    <col min="1" max="16384" width="10.7109375" style="11"/>
  </cols>
  <sheetData/>
  <sheetProtection algorithmName="SHA-512" hashValue="2Mus6jD7wcSzIh68jRHXdE7GfxNZjVJnjLAgtkkucmZSl80Kx773pS+LS1IuK4IQBjufOOD8dMHbLvXwX3Wygg==" saltValue="UcgAhRboplxyVsTMnwRN4Q==" spinCount="100000" sheet="1" objects="1" scenarios="1" select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E4F6-F446-417B-9BAD-E9CA2ECC692B}">
  <sheetPr codeName="Sheet3"/>
  <dimension ref="A1:I9"/>
  <sheetViews>
    <sheetView zoomScale="120" zoomScaleNormal="120" workbookViewId="0">
      <selection activeCell="E20" sqref="E20"/>
    </sheetView>
  </sheetViews>
  <sheetFormatPr defaultRowHeight="15" customHeight="1" x14ac:dyDescent="0.25"/>
  <cols>
    <col min="1" max="6" width="10.7109375" style="1" customWidth="1"/>
    <col min="7" max="9" width="20.7109375" style="1" customWidth="1"/>
    <col min="10" max="16384" width="9.140625" style="1"/>
  </cols>
  <sheetData>
    <row r="1" spans="1:9" s="2" customFormat="1" ht="30" customHeight="1" x14ac:dyDescent="0.25">
      <c r="A1" s="3" t="s">
        <v>0</v>
      </c>
      <c r="B1" s="3" t="s">
        <v>30</v>
      </c>
      <c r="C1" s="3" t="s">
        <v>31</v>
      </c>
      <c r="D1" s="3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3" t="s">
        <v>37</v>
      </c>
    </row>
    <row r="2" spans="1:9" ht="15" customHeight="1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38</v>
      </c>
      <c r="H2" s="1" t="s">
        <v>39</v>
      </c>
      <c r="I2" s="1" t="s">
        <v>39</v>
      </c>
    </row>
    <row r="3" spans="1:9" ht="15" customHeight="1" x14ac:dyDescent="0.25">
      <c r="A3" s="1" t="s">
        <v>7</v>
      </c>
      <c r="B3" s="1" t="s">
        <v>8</v>
      </c>
      <c r="C3" s="1" t="s">
        <v>9</v>
      </c>
      <c r="D3" s="1" t="s">
        <v>10</v>
      </c>
      <c r="E3" s="1" t="s">
        <v>11</v>
      </c>
      <c r="F3" s="1" t="s">
        <v>12</v>
      </c>
      <c r="G3" s="1" t="s">
        <v>40</v>
      </c>
      <c r="H3" s="1" t="s">
        <v>41</v>
      </c>
      <c r="I3" s="1" t="s">
        <v>42</v>
      </c>
    </row>
    <row r="4" spans="1:9" ht="15" customHeight="1" x14ac:dyDescent="0.25">
      <c r="A4" s="1" t="s">
        <v>13</v>
      </c>
      <c r="B4" s="1" t="s">
        <v>14</v>
      </c>
      <c r="C4" s="1" t="s">
        <v>15</v>
      </c>
      <c r="D4" s="1" t="s">
        <v>16</v>
      </c>
      <c r="G4" s="1" t="s">
        <v>43</v>
      </c>
      <c r="H4" s="1" t="s">
        <v>44</v>
      </c>
      <c r="I4" s="1" t="s">
        <v>45</v>
      </c>
    </row>
    <row r="5" spans="1:9" ht="15" customHeight="1" x14ac:dyDescent="0.25">
      <c r="A5" s="1" t="s">
        <v>17</v>
      </c>
      <c r="B5" s="1" t="s">
        <v>18</v>
      </c>
      <c r="C5" s="1" t="s">
        <v>19</v>
      </c>
      <c r="D5" s="1" t="s">
        <v>20</v>
      </c>
    </row>
    <row r="6" spans="1:9" ht="15" customHeight="1" x14ac:dyDescent="0.25">
      <c r="A6" s="1" t="s">
        <v>21</v>
      </c>
      <c r="B6" s="1" t="s">
        <v>22</v>
      </c>
      <c r="C6" s="1" t="s">
        <v>23</v>
      </c>
      <c r="D6" s="1" t="s">
        <v>24</v>
      </c>
    </row>
    <row r="7" spans="1:9" ht="15" customHeight="1" x14ac:dyDescent="0.25">
      <c r="A7" s="1" t="s">
        <v>25</v>
      </c>
      <c r="D7" s="1" t="s">
        <v>26</v>
      </c>
    </row>
    <row r="8" spans="1:9" ht="15" customHeight="1" x14ac:dyDescent="0.25">
      <c r="A8" s="1" t="s">
        <v>27</v>
      </c>
      <c r="D8" s="1" t="s">
        <v>28</v>
      </c>
    </row>
    <row r="9" spans="1:9" ht="15" customHeight="1" x14ac:dyDescent="0.25">
      <c r="D9" s="1" t="s">
        <v>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A4984-D4B2-444B-9087-5BDA5BE7C690}">
  <sheetPr codeName="Sheet1"/>
  <dimension ref="A1:A4"/>
  <sheetViews>
    <sheetView zoomScale="120" zoomScaleNormal="120" workbookViewId="0">
      <selection activeCell="C3" sqref="C3"/>
    </sheetView>
  </sheetViews>
  <sheetFormatPr defaultRowHeight="15" customHeight="1" x14ac:dyDescent="0.25"/>
  <cols>
    <col min="1" max="1" width="15.7109375" style="12" customWidth="1"/>
    <col min="2" max="16384" width="9.140625" style="12"/>
  </cols>
  <sheetData>
    <row r="1" spans="1:1" ht="15" customHeight="1" x14ac:dyDescent="0.25">
      <c r="A1" s="13" t="s">
        <v>59</v>
      </c>
    </row>
    <row r="2" spans="1:1" ht="15" customHeight="1" x14ac:dyDescent="0.25">
      <c r="A2" s="12" t="str" cm="1">
        <f t="array" ref="A2:A4">_xlfn.LET(_xlpm.Type,_xlfn.VSTACK(_db!A1:A989,_temp_db!A1:A953),_xlpm.Name,_xlfn.VSTACK(_db!B1:B989,_temp_db!B1:B953),_xlpm.Action,_xlfn.VSTACK(_db!CW1:CW989,_temp_db!CW1:CW953),_xlfn._xlws.SORT(_xlfn.UNIQUE(_xlfn._xlws.FILTER(_xlpm.Name,(_xlpm.Type="Material")*(_xlpm.Name&lt;&gt;"")*(_xlpm.Action&lt;&gt;"Delete"),""))))</f>
        <v>RC30</v>
      </c>
    </row>
    <row r="3" spans="1:1" ht="15" customHeight="1" x14ac:dyDescent="0.25">
      <c r="A3" s="12" t="str">
        <v>RC40</v>
      </c>
    </row>
    <row r="4" spans="1:1" ht="15" customHeight="1" x14ac:dyDescent="0.25">
      <c r="A4" s="12" t="str">
        <v>RC50</v>
      </c>
    </row>
  </sheetData>
  <sheetProtection algorithmName="SHA-512" hashValue="Zi9cj/KxiXyHEUGNAwhb4f6AVZHRAO4pP5bmkvmP7wuU4Q/+X2cW4AIxg4QDIIo8WxWDsKp//4BZizSXTE3IRg==" saltValue="i6I6lzlqJ2jkbZ7R0FnctQ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Home</vt:lpstr>
      <vt:lpstr>Units</vt:lpstr>
      <vt:lpstr>Materials</vt:lpstr>
      <vt:lpstr>MaterialsForm</vt:lpstr>
      <vt:lpstr>FrameSections</vt:lpstr>
      <vt:lpstr>_db</vt:lpstr>
      <vt:lpstr>_temp_db</vt:lpstr>
      <vt:lpstr>_db_list</vt:lpstr>
      <vt:lpstr>_db_namelist</vt:lpstr>
      <vt:lpstr>Blank</vt:lpstr>
      <vt:lpstr>MaterialModel_Concrete</vt:lpstr>
      <vt:lpstr>MaterialModel_Steel</vt:lpstr>
      <vt:lpstr>MaterialType</vt:lpstr>
      <vt:lpstr>UnitAngle</vt:lpstr>
      <vt:lpstr>UnitForce</vt:lpstr>
      <vt:lpstr>UnitLength</vt:lpstr>
      <vt:lpstr>UnitMass</vt:lpstr>
      <vt:lpstr>UnitStress</vt:lpstr>
      <vt:lpstr>UnitTime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Wiciardo</dc:creator>
  <cp:lastModifiedBy>Julian Wiciardo</cp:lastModifiedBy>
  <cp:lastPrinted>2026-09-07T09:55:30Z</cp:lastPrinted>
  <dcterms:created xsi:type="dcterms:W3CDTF">2026-09-06T11:51:03Z</dcterms:created>
  <dcterms:modified xsi:type="dcterms:W3CDTF">2026-09-13T16:28:42Z</dcterms:modified>
</cp:coreProperties>
</file>